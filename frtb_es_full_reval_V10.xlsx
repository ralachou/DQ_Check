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de_Info" sheetId="2" state="visible" r:id="rId4"/>
    <sheet name="Curves" sheetId="3" state="visible" r:id="rId5"/>
    <sheet name="SABR" sheetId="4" state="visible" r:id="rId6"/>
    <sheet name="NPV_Engine" sheetId="5" state="visible" r:id="rId7"/>
    <sheet name="PnL_Summary" sheetId="6" state="visible" r:id="rId8"/>
    <sheet name="LH_NPV_Engine" sheetId="7" state="visible" r:id="rId9"/>
    <sheet name="LH_PnL_Summary" sheetId="8" state="visible" r:id="rId10"/>
    <sheet name="Maturity_LH_Pn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<sst xmlns="http://schemas.openxmlformats.org/spreadsheetml/2006/main" count="2072" uniqueCount="255">
  <si>
    <t xml:space="preserve">FRTB IMA — Full Revaluation PnL Vectors for Expected Shortfall (ES)</t>
  </si>
  <si>
    <t xml:space="preserve">Illustrative workbook — trade 123456, valuation date 7/23/2026. Demonstrates the mechanics of a full-revaluation Stressed PnL vector: PnL = StressedNPV − BaseNPV, built curve-by-curve and then combined cross-risk-class.</t>
  </si>
  <si>
    <t xml:space="preserve">Purpose</t>
  </si>
  <si>
    <t xml:space="preserve">Illustrate, end to end, how a full-reval ES PnL vector is constructed: base curve objects → shocked curve objects (10 scenarios, stress date 20-Nov-2008) → base/stressed NPV via full reval → PnL vector, both cross-risk-class and isolated by risk class (IR / Credit / FX).</t>
  </si>
  <si>
    <t xml:space="preserve">Tabs</t>
  </si>
  <si>
    <t xml:space="preserve">ReadMe | Trade_Info | Curves (Base, Shift Illustration, Shocks+Shocked aligned side-by-side) | SABR (Base, Shocks, Shocked - ATM/RHO/NU/Combined aligned horizontally per scenario) | NPV_Engine | PnL_Summary</t>
  </si>
  <si>
    <t xml:space="preserve">Curve shift mechanic</t>
  </si>
  <si>
    <t xml:space="preserve">gxlCurveDiscShift is simulated with a sequential (cascading) bootstrap: the simple forward rate implied by the BASE curve between consecutive tenors is bumped by the scenario shock (bps), and the SHOCKED discount factor for tenor i is solved from the SHOCKED discount factor at tenor i-1 (not the base one). 3M is bumped first; 6M relies on the bumped 3M; and so on to 30Y — exactly mirroring the described gxlCurveDiscShift behaviour.</t>
  </si>
  <si>
    <t xml:space="preserve">SABR surface mechanic</t>
  </si>
  <si>
    <t xml:space="preserve">Each of ATM / RHO / NU is a 10x10 grid (expiry x tenor). Each scenario applies a parameter-level shock size to every grid point, scaled by a per-cell Sensitivity Factor grid (captures the typical stress-period pattern of larger moves at short expiries/tenors). The result is a full shocked vol surface per parameter per scenario, exactly as gxlCurveDiscShift-style functions return a shocked object for curves.</t>
  </si>
  <si>
    <t xml:space="preserve">NPV engine</t>
  </si>
  <si>
    <t xml:space="preserve">NPV is an ILLUSTRATIVE simplified full-reval pricer (not a production pricer) that consumes: SOFR/ESTRN discount factors (IR discounting), the SABR ATM grid point matching the trade's expiry/tenor (IR_VOL / optionality), Treasury/Agency_FNMA/Eur_Govt discount factors (Credit spread proxy), and the EURUSD curve (FX discount/forward proxy). Base NPV = pricer with ALL curves at BASE. Stressed NPV = pricer with the relevant curve set SHOCKED for scenario s.</t>
  </si>
  <si>
    <t xml:space="preserve">Risk-class isolation</t>
  </si>
  <si>
    <t xml:space="preserve">Cross PnL: shock ALL curves for scenario s. IR PnL: shock SOFR, ESTRN and the SABR (IR_VOL) surface only — Credit and FX curves stay at BASE. Credit PnL: shock Treasury, Agency_FNMA, Eur_Govt only — IR and FX stay at BASE. FX PnL: shock EURUSD only — IR and Credit stay at BASE. This isolates each risk class's contribution to the full-reval PnL vector, consistent with how ES risk-class PnL vectors are typically decomposed.</t>
  </si>
  <si>
    <t xml:space="preserve">Colour convention</t>
  </si>
  <si>
    <t xml:space="preserve">Blue = hardcoded input / assumption. Black = formula. Green = link to another sheet.</t>
  </si>
  <si>
    <t xml:space="preserve">Disclaimer</t>
  </si>
  <si>
    <t xml:space="preserve">All curve levels, shock sizes and SABR parameters are illustrative placeholder assumptions chosen for demonstration purposes only — they are not calibrated to actual 20-Nov-2008 market data and this is not a production pricing/risk engine.</t>
  </si>
  <si>
    <t xml:space="preserve">Trade &amp; Valuation Info</t>
  </si>
  <si>
    <t xml:space="preserve">Trade ID</t>
  </si>
  <si>
    <t xml:space="preserve">123456</t>
  </si>
  <si>
    <t xml:space="preserve">Valuation Date</t>
  </si>
  <si>
    <t xml:space="preserve">7/23/2026</t>
  </si>
  <si>
    <t xml:space="preserve">Stress / Shock anchor date</t>
  </si>
  <si>
    <t xml:space="preserve">11/20/2008</t>
  </si>
  <si>
    <t xml:space="preserve">Number of scenarios</t>
  </si>
  <si>
    <t xml:space="preserve">Notional (USD)</t>
  </si>
  <si>
    <t xml:space="preserve">Product</t>
  </si>
  <si>
    <t xml:space="preserve">EUR-underlying payer swaption vs USD-collateral discounting</t>
  </si>
  <si>
    <t xml:space="preserve">Representative discounting tenor</t>
  </si>
  <si>
    <t xml:space="preserve">1Y</t>
  </si>
  <si>
    <t xml:space="preserve">Representative SABR grid point (Expiry x Tenor)</t>
  </si>
  <si>
    <t xml:space="preserve">1Y x 10Y</t>
  </si>
  <si>
    <t xml:space="preserve">Curve list, MDO used, and risk-class mapping</t>
  </si>
  <si>
    <t xml:space="preserve">Curve (MDO)</t>
  </si>
  <si>
    <t xml:space="preserve">Risk Class</t>
  </si>
  <si>
    <t xml:space="preserve">Notes</t>
  </si>
  <si>
    <t xml:space="preserve">Agency_FNMA</t>
  </si>
  <si>
    <t xml:space="preserve">Credit</t>
  </si>
  <si>
    <t xml:space="preserve">Credit — GSE/agency spread curve</t>
  </si>
  <si>
    <t xml:space="preserve">Eur_Govt</t>
  </si>
  <si>
    <t xml:space="preserve">Credit — EUR sovereign curve</t>
  </si>
  <si>
    <t xml:space="preserve">SOFR</t>
  </si>
  <si>
    <t xml:space="preserve">IR</t>
  </si>
  <si>
    <t xml:space="preserve">IR_RATE — USD OIS/SOFR discounting curve</t>
  </si>
  <si>
    <t xml:space="preserve">Treasury</t>
  </si>
  <si>
    <t xml:space="preserve">Credit — US Treasury (sovereign benchmark) curve</t>
  </si>
  <si>
    <t xml:space="preserve">Sabr_Swaption</t>
  </si>
  <si>
    <t xml:space="preserve">IR_VOL — SABR surface (ATM, RHO, NU); handled on SABR_* tabs</t>
  </si>
  <si>
    <t xml:space="preserve">EURUSD</t>
  </si>
  <si>
    <t xml:space="preserve">FX</t>
  </si>
  <si>
    <t xml:space="preserve">FX_RATE — EUR/USD FX curve</t>
  </si>
  <si>
    <t xml:space="preserve">ESTRN</t>
  </si>
  <si>
    <t xml:space="preserve">IR — EUR €STR discounting curve</t>
  </si>
  <si>
    <t xml:space="preserve">Liquidity-Horizon Curve Inclusion by Risk Class</t>
  </si>
  <si>
    <t xml:space="preserve">Class</t>
  </si>
  <si>
    <t xml:space="preserve">LH10</t>
  </si>
  <si>
    <t xml:space="preserve">LH20</t>
  </si>
  <si>
    <t xml:space="preserve">LH40</t>
  </si>
  <si>
    <t xml:space="preserve">LH60</t>
  </si>
  <si>
    <t xml:space="preserve">Agency_FNMA + Eur_Govt</t>
  </si>
  <si>
    <t xml:space="preserve">Agency_FNMA only</t>
  </si>
  <si>
    <t xml:space="preserve">—</t>
  </si>
  <si>
    <t xml:space="preserve">SOFR + ESTRN + Swaption</t>
  </si>
  <si>
    <t xml:space="preserve">Swaption only</t>
  </si>
  <si>
    <t xml:space="preserve">Cross</t>
  </si>
  <si>
    <t xml:space="preserve">all six</t>
  </si>
  <si>
    <t xml:space="preserve">Agency_FNMA + Eur_Govt + Swaption</t>
  </si>
  <si>
    <t xml:space="preserve">Agency_FNMA + Swaption</t>
  </si>
  <si>
    <t xml:space="preserve">Rule: at horizon bucket T, a curve is shocked only if its own assigned Liquidity Horizon &gt;= T. Note: IR LH20 = Swaption only (updated from the original placeholder dash once the LH20 bucket was added).</t>
  </si>
  <si>
    <t xml:space="preserve">Curve Objects — Base -&gt; Shift Mechanics -&gt; Shocks -&gt; Shocked Curves (Combined)</t>
  </si>
  <si>
    <t xml:space="preserve">Trade 123456 | Val date 7/23/2026 | Stress anchor 20-Nov-2008</t>
  </si>
  <si>
    <t xml:space="preserve">SECTION 1 - BASE CURVE OBJECTS: Discount Factors (as of 7/23/2026)</t>
  </si>
  <si>
    <t xml:space="preserve">Curve</t>
  </si>
  <si>
    <t xml:space="preserve">3M</t>
  </si>
  <si>
    <t xml:space="preserve">6M</t>
  </si>
  <si>
    <t xml:space="preserve">2Y</t>
  </si>
  <si>
    <t xml:space="preserve">3Y</t>
  </si>
  <si>
    <t xml:space="preserve">5Y</t>
  </si>
  <si>
    <t xml:space="preserve">10Y</t>
  </si>
  <si>
    <t xml:space="preserve">20Y</t>
  </si>
  <si>
    <t xml:space="preserve">30Y</t>
  </si>
  <si>
    <t xml:space="preserve">Tenor Date</t>
  </si>
  <si>
    <t xml:space="preserve">10/23/2026</t>
  </si>
  <si>
    <t xml:space="preserve">1/23/2027</t>
  </si>
  <si>
    <t xml:space="preserve">7/23/2027</t>
  </si>
  <si>
    <t xml:space="preserve">7/23/2028</t>
  </si>
  <si>
    <t xml:space="preserve">7/23/2029</t>
  </si>
  <si>
    <t xml:space="preserve">7/23/2031</t>
  </si>
  <si>
    <t xml:space="preserve">7/23/2036</t>
  </si>
  <si>
    <t xml:space="preserve">7/23/2046</t>
  </si>
  <si>
    <t xml:space="preserve">7/23/2056</t>
  </si>
  <si>
    <t xml:space="preserve">Year Frac (t)</t>
  </si>
  <si>
    <t xml:space="preserve">Base DF values are illustrative placeholder inputs (blue), not calibrated to a real curve build.</t>
  </si>
  <si>
    <t xml:space="preserve">SECTION 2 - gxlCurveDiscShift STEP-BY-STEP ILLUSTRATION (Curve = SOFR, Scenario 1)</t>
  </si>
  <si>
    <t xml:space="preserve">Sequential / cascading bootstrap: base forward rate (Section 1) + scenario shock (bps, Section 3) = shocked forward rate; the SHOCKED discount factor at tenor i is solved off the SHOCKED discount factor at tenor i-1 (not the base one). 3M is shocked first and feeds into 6M, which feeds into 1Y, and so on to 30Y.</t>
  </si>
  <si>
    <t xml:space="preserve">Tenor</t>
  </si>
  <si>
    <t xml:space="preserve">t</t>
  </si>
  <si>
    <t xml:space="preserve">Base DF
(prior)</t>
  </si>
  <si>
    <t xml:space="preserve">Base DF
(current)</t>
  </si>
  <si>
    <t xml:space="preserve">Base Fwd Rate
(simple, ann.)</t>
  </si>
  <si>
    <t xml:space="preserve">Shock
(bps)</t>
  </si>
  <si>
    <t xml:space="preserve">Shocked Fwd
Rate</t>
  </si>
  <si>
    <t xml:space="preserve">Shocked DF
(current)</t>
  </si>
  <si>
    <t xml:space="preserve">Formula logic</t>
  </si>
  <si>
    <t xml:space="preserve">Anchors at DF=1, t=0</t>
  </si>
  <si>
    <t xml:space="preserve">Uses SHOCKED DF from 3M (row above), not base</t>
  </si>
  <si>
    <t xml:space="preserve">Uses SHOCKED DF from 6M (row above), not base</t>
  </si>
  <si>
    <t xml:space="preserve">Uses SHOCKED DF from 1Y (row above), not base</t>
  </si>
  <si>
    <t xml:space="preserve">Uses SHOCKED DF from 2Y (row above), not base</t>
  </si>
  <si>
    <t xml:space="preserve">Uses SHOCKED DF from 3Y (row above), not base</t>
  </si>
  <si>
    <t xml:space="preserve">Uses SHOCKED DF from 5Y (row above), not base</t>
  </si>
  <si>
    <t xml:space="preserve">Uses SHOCKED DF from 10Y (row above), not base</t>
  </si>
  <si>
    <t xml:space="preserve">Uses SHOCKED DF from 20Y (row above), not base</t>
  </si>
  <si>
    <t xml:space="preserve">This exact column-H formula pattern is replicated for all 6 curves x 10 scenarios in Sections 3/4 below.</t>
  </si>
  <si>
    <t xml:space="preserve">SECTION 3 - SHOCK VECTORS: Forward-Rate Shock (bps), 10 Scenarios (anchor 20-Nov-2008)</t>
  </si>
  <si>
    <t xml:space="preserve">SECTION 4 - SHOCKED CURVE OBJECTS (gxlCurveDiscShift output): Discount Factors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</si>
  <si>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</si>
  <si>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</si>
  <si>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</si>
  <si>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</si>
  <si>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</si>
  <si>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</si>
  <si>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Scenario 7</t>
  </si>
  <si>
    <t xml:space="preserve">Scenario 8</t>
  </si>
  <si>
    <t xml:space="preserve">Scenario 9</t>
  </si>
  <si>
    <t xml:space="preserve">Scenario 10</t>
  </si>
  <si>
    <t xml:space="preserve">Section 3 (left, blue) = raw hardcoded shock inputs for the stress period. Section 4 (right, black) = shocked discount factors, computed with the same cascading bootstrap formula illustrated in Section 2, sitting directly across from the shocks that drive them.</t>
  </si>
  <si>
    <t xml:space="preserve">SABR Swaption Vol Surfaces — Base -&gt; Scenario Shocks -&gt; Shocked Surfaces, ATM/RHO/NU/Combined aligned</t>
  </si>
  <si>
    <t xml:space="preserve">Swabr_Swaption (IR_VOL) | Trade 123456 | Stress anchor 20-Nov-2008</t>
  </si>
  <si>
    <t xml:space="preserve">SECTION 1 - BASE SABR SURFACES (ATM, RHO, NU, Combined Effective Vol aligned horizontally)</t>
  </si>
  <si>
    <t xml:space="preserve">Param: ATM</t>
  </si>
  <si>
    <t xml:space="preserve">Param: RHO</t>
  </si>
  <si>
    <t xml:space="preserve">Param: NU</t>
  </si>
  <si>
    <t xml:space="preserve">Combined Effective ATM Vol (Hagan approx, beta=1)</t>
  </si>
  <si>
    <t xml:space="preserve">Expiry \ Tenor</t>
  </si>
  <si>
    <t xml:space="preserve">1M</t>
  </si>
  <si>
    <t xml:space="preserve">Combined = Hagan SABR ATM-vol asymptotic approximation with beta=1 (lognormal): sigma_ATM = alpha*(1+((2-3*rho^2)/24*nu^2+rho*nu*alpha/4)*T). Collapses ATM/RHO/NU into one usable vol surface per scenario.</t>
  </si>
  <si>
    <t xml:space="preserve">SECTION 2 - SCENARIO SHOCKS: Per-Param Shock Size + Sensitivity Factor Grid</t>
  </si>
  <si>
    <t xml:space="preserve">Shocked(i,j) = Base(i,j) + ScenarioShockSize(param,scenario) x SensitivityFactor(i,j) for ATM/RHO/NU. Combined Effective Vol is then recomputed from the SHOCKED ATM/RHO/NU via the same Hagan formula shown in Section 1 - i.e. the single 'shocked SABR curve' is derived, not separately shocked.</t>
  </si>
  <si>
    <t xml:space="preserve">Scenario Shock Size (per param, parallel move applied before sensitivity scaling)</t>
  </si>
  <si>
    <t xml:space="preserve">Scenario</t>
  </si>
  <si>
    <t xml:space="preserve">ATM</t>
  </si>
  <si>
    <t xml:space="preserve">RHO</t>
  </si>
  <si>
    <t xml:space="preserve">NU</t>
  </si>
  <si>
    <t xml:space="preserve">Sensitivity Factor Grid (shared shape across ATM/RHO/NU; applied to all scenarios)</t>
  </si>
  <si>
    <t xml:space="preserve">SECTION 3 - SHOCKED SABR SURFACES: ATM, RHO, NU, Combined Effective Vol aligned per scenario (10 scenarios)</t>
  </si>
  <si>
    <t xml:space="preserve">Combined block recomputes the Hagan formula from this scenario's SHOCKED ATM/RHO/NU -&gt; a single shocked vol surface per scenario.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</si>
  <si>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</si>
  <si>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</si>
  <si>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</si>
  <si>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</si>
  <si>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</si>
  <si>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</si>
  <si>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SCENARIO 7</t>
  </si>
  <si>
    <t xml:space="preserve">SCENARIO 8</t>
  </si>
  <si>
    <t xml:space="preserve">SCENARIO 9</t>
  </si>
  <si>
    <t xml:space="preserve">SCENARIO 10</t>
  </si>
  <si>
    <t xml:space="preserve">Full-Reval NPV Engine — Cross / IR / Credit / FX (Base vs Stressed, Trade 123456)</t>
  </si>
  <si>
    <t xml:space="preserve">Illustrative simplified full-reval pricer (NOT a production model): NPV = Notional x DF_SOFR(1Y) x [DF_ESTRN(1Y)/DF_ESTRN_base(1Y)] x [1+0.5x(SABR_EffVol(1Yx10Y)-SABR_EffVol_base)] x [AVERAGE(DF_Treasury,DF_Agency_FNMA,DF_Eur_Govt)(1Y)/DF_SOFR(1Y)] x [DF_EURUSD(1Y)/DF_EURUSD_base(1Y)]. SABR_EffVol is the single Combined Effective Vol pulled from the SABR tab (Hagan formula collapsing ATM/RHO/NU into one number at the 1Yx10Y grid point). Each risk-class table below feeds this same pricer with only that risk class curves/surface shocked; the rest held at BASE.</t>
  </si>
  <si>
    <t xml:space="preserve">Reference base constants</t>
  </si>
  <si>
    <t xml:space="preserve">DF_SOFR_base(1Y)</t>
  </si>
  <si>
    <t xml:space="preserve">DF_ESTRN_base(1Y)</t>
  </si>
  <si>
    <t xml:space="preserve">DF_Treasury_base(1Y)</t>
  </si>
  <si>
    <t xml:space="preserve">DF_Agency_FNMA_base(1Y)</t>
  </si>
  <si>
    <t xml:space="preserve">DF_Eur_Govt_base(1Y)</t>
  </si>
  <si>
    <t xml:space="preserve">DF_EURUSD_base(1Y)</t>
  </si>
  <si>
    <t xml:space="preserve">SABR EffVol_base(1Yx10Y)</t>
  </si>
  <si>
    <t xml:space="preserve">Cross — Full-Reval NPV</t>
  </si>
  <si>
    <t xml:space="preserve">Case</t>
  </si>
  <si>
    <t xml:space="preserve">DF_SOFR(1Y)</t>
  </si>
  <si>
    <t xml:space="preserve">DF_ESTRN(1Y)</t>
  </si>
  <si>
    <t xml:space="preserve">SABR EffVol(1Yx10Y)</t>
  </si>
  <si>
    <t xml:space="preserve">DF_Treasury(1Y)</t>
  </si>
  <si>
    <t xml:space="preserve">DF_Agency_FNMA(1Y)</t>
  </si>
  <si>
    <t xml:space="preserve">DF_Eur_Govt(1Y)</t>
  </si>
  <si>
    <t xml:space="preserve">DF_EURUSD(1Y)</t>
  </si>
  <si>
    <t xml:space="preserve">NPV (USD)</t>
  </si>
  <si>
    <t xml:space="preserve">Base</t>
  </si>
  <si>
    <t xml:space="preserve">IR — Full-Reval NPV</t>
  </si>
  <si>
    <t xml:space="preserve">Credit — Full-Reval NPV</t>
  </si>
  <si>
    <t xml:space="preserve">FX — Full-Reval NPV</t>
  </si>
  <si>
    <t xml:space="preserve">Full-Reval ES PnL Vectors — PnL = StressedNPV − BaseNPV  (Trade 123456, Val Date 7/23/2026)</t>
  </si>
  <si>
    <t xml:space="preserve">Stress anchor date: 20-Nov-2008. Cross = all curves shocked. IR = SOFR/ESTRN/SABR shocked only. Credit = Treasury/Agency_FNMA/Eur_Govt shocked only. FX = EURUSD shocked only (others held at Base each time).</t>
  </si>
  <si>
    <t xml:space="preserve">Cross PnL (USD)</t>
  </si>
  <si>
    <t xml:space="preserve">IR PnL (USD)</t>
  </si>
  <si>
    <t xml:space="preserve">Credit PnL (USD)</t>
  </si>
  <si>
    <t xml:space="preserve">FX PnL (USD)</t>
  </si>
  <si>
    <t xml:space="preserve">Sum IR+Credit+FX (USD)</t>
  </si>
  <si>
    <t xml:space="preserve">Cross - Sum (diversification, USD)</t>
  </si>
  <si>
    <t xml:space="preserve">Worst (min) PnL</t>
  </si>
  <si>
    <t xml:space="preserve">Best (max) PnL</t>
  </si>
  <si>
    <t xml:space="preserve">ES (avg of 6 worst)</t>
  </si>
  <si>
    <t xml:space="preserve">ES illustration note: rank the Cross PnL vector and average the worst-tail observations per the chosen ES confidence level to derive the (illustrative) Expected Shortfall capital number. Column G (Cross - Sum of IR/Credit/FX) is the cross-risk-class diversification / interaction term: in an ideal additive world with no cross-curve hedges it would be ~0; a non-zero residual reflects the pricer combining curves multiplicatively (hedging and cross-gamma effects), which is expected in a real full-reval engine.</t>
  </si>
  <si>
    <t xml:space="preserve">Liquidity-Horizon Bucketed Full-Reval NPV Engine (Trade 123456)</t>
  </si>
  <si>
    <t xml:space="preserve">LH ladder rule: at horizon bucket T, a curve is SHOCKED only if its own Liquidity Horizon &gt;= T; shorter-horizon curves are held at BASE (their risk is already captured at their own, shorter horizon). Credit LH: Agency_FNMA=40, Eur_Govt=20 (Treasury excluded from this LH decomposition per the two-curve Credit set specified). IR LH: SOFR=10, ESTRN=10, Sabr_Swaption(IR_VOL)=60. FX LH: EURUSD=10. Same illustrative pricer as NPV_Engine: NPV = Notional x DF_SOFR x [DF_ESTRN/ESTRN_base] x [1+0.5x(EffVol-EffVol_base)] x [AVG(DF_Treasury,DF_Agency_FNMA,DF_Eur_Govt)/DF_SOFR] x [DF_EURUSD/EURUSD_base]. Treasury is always held at BASE in this sheet.</t>
  </si>
  <si>
    <t xml:space="preserve">Credit — LH 10d — Full-Reval NPV</t>
  </si>
  <si>
    <t xml:space="preserve">Shocked curves: Agency_FNMA, Eur_Govt</t>
  </si>
  <si>
    <t xml:space="preserve">Credit — LH 20d — Full-Reval NPV</t>
  </si>
  <si>
    <t xml:space="preserve">Credit — LH 40d — Full-Reval NPV</t>
  </si>
  <si>
    <t xml:space="preserve">Shocked curves: Agency_FNMA</t>
  </si>
  <si>
    <t xml:space="preserve">IR — LH 10d — Full-Reval NPV</t>
  </si>
  <si>
    <t xml:space="preserve">Shocked curves: ESTRN, SOFR, Swaption</t>
  </si>
  <si>
    <t xml:space="preserve">IR — LH 20d — Full-Reval NPV</t>
  </si>
  <si>
    <t xml:space="preserve">Shocked curves: Swaption</t>
  </si>
  <si>
    <t xml:space="preserve">IR — LH 40d — Full-Reval NPV</t>
  </si>
  <si>
    <t xml:space="preserve">IR — LH 60d — Full-Reval NPV</t>
  </si>
  <si>
    <t xml:space="preserve">FX — LH 10d — Full-Reval NPV</t>
  </si>
  <si>
    <t xml:space="preserve">Shocked curves: EURUSD</t>
  </si>
  <si>
    <t xml:space="preserve">Cross — LH 10d — Full-Reval NPV</t>
  </si>
  <si>
    <t xml:space="preserve">Shocked curves: Agency_FNMA, ESTRN, EURUSD, Eur_Govt, SOFR, Swaption</t>
  </si>
  <si>
    <t xml:space="preserve">Cross — LH 20d — Full-Reval NPV</t>
  </si>
  <si>
    <t xml:space="preserve">Shocked curves: Agency_FNMA, Eur_Govt, Swaption</t>
  </si>
  <si>
    <t xml:space="preserve">Cross — LH 40d — Full-Reval NPV</t>
  </si>
  <si>
    <t xml:space="preserve">Shocked curves: Agency_FNMA, Swaption</t>
  </si>
  <si>
    <t xml:space="preserve">Cross — LH 60d — Full-Reval NPV</t>
  </si>
  <si>
    <t xml:space="preserve">Liquidity-Horizon PnL Vectors — PnL = StressedNPV − BaseNPV (Trade 123456)</t>
  </si>
  <si>
    <t xml:space="preserve">At LH bucket T, only curves with own Liquidity Horizon &gt;= T are shocked (others held at Base) — a curve's risk is captured once, at its own horizon, and then held constant for longer buckets. Credit: Agency_FNMA(LH40), Eur_Govt(LH20). IR: SOFR(LH10), ESTRN(LH10), Sabr_Swaption(LH60). FX: EURUSD(LH10). Treasury excluded from this LH decomposition (per the two-curve Credit set specified).</t>
  </si>
  <si>
    <t xml:space="preserve">Credit LH10 PnL</t>
  </si>
  <si>
    <t xml:space="preserve">Credit LH20 PnL</t>
  </si>
  <si>
    <t xml:space="preserve">Credit LH40 PnL</t>
  </si>
  <si>
    <t xml:space="preserve">IR LH10 PnL</t>
  </si>
  <si>
    <t xml:space="preserve">IR LH20 PnL</t>
  </si>
  <si>
    <t xml:space="preserve">IR LH40 PnL</t>
  </si>
  <si>
    <t xml:space="preserve">IR LH60 PnL</t>
  </si>
  <si>
    <t xml:space="preserve">FX LH10 PnL</t>
  </si>
  <si>
    <t xml:space="preserve">Cross LH10 PnL</t>
  </si>
  <si>
    <t xml:space="preserve">Cross LH20 PnL</t>
  </si>
  <si>
    <t xml:space="preserve">Cross LH40 PnL</t>
  </si>
  <si>
    <t xml:space="preserve">Cross LH60 PnL</t>
  </si>
  <si>
    <t xml:space="preserve">Cross-check: for a given horizon T, Cross PnL is not generally the simple sum of the per-risk-class PnLs at that same T, since IR's LH10 bucket already embeds SOFR/ESTRN which have no Cross counterpart beyond LH10 — compare Cross LH20/40/60 against Credit+IR at the matching bucket instead (e.g. Cross LH40 ~ Credit LH40 + IR LH40).</t>
  </si>
  <si>
    <t xml:space="preserve">Maturity-Overridden Liquidity Horizon — Sabr_Swaption, Scenario 1 Only</t>
  </si>
  <si>
    <t xml:space="preserve">Same product (payer swaption), 4 trades differing only in the IR option's residual maturity. The trade's own maturity overrides the originally assigned Sabr_Swaption LH (60d): effective LH = the FRTB horizon bucket the residual maturity maps into. Only Sabr_Swaption's LH changes per trade — SOFR/ESTRN/Agency_FNMA/Eur_Govt/EURUSD keep their originally assigned LH (10/10/40/20/10) throughout. Recomputed LH ladder below uses Scenario 1 only.</t>
  </si>
  <si>
    <t xml:space="preserve">Trade Set</t>
  </si>
  <si>
    <t xml:space="preserve">Maturity (days)</t>
  </si>
  <si>
    <t xml:space="preserve">Effective LH (days)</t>
  </si>
  <si>
    <t xml:space="preserve">Originally Assigned LH (days)</t>
  </si>
  <si>
    <t xml:space="preserve">tradeID1111</t>
  </si>
  <si>
    <t xml:space="preserve">tradeID2222</t>
  </si>
  <si>
    <t xml:space="preserve">tradeID3333</t>
  </si>
  <si>
    <t xml:space="preserve">tradeID4444</t>
  </si>
  <si>
    <t xml:space="preserve">Recomputed LH PnL Ladder — Scenario 1 Only (per trade, effective Swaption LH applied)</t>
  </si>
  <si>
    <t xml:space="preserve">Credit LH10</t>
  </si>
  <si>
    <t xml:space="preserve">Credit LH20</t>
  </si>
  <si>
    <t xml:space="preserve">Credit LH40</t>
  </si>
  <si>
    <t xml:space="preserve">IR LH10</t>
  </si>
  <si>
    <t xml:space="preserve">IR LH20</t>
  </si>
  <si>
    <t xml:space="preserve">IR LH40</t>
  </si>
  <si>
    <t xml:space="preserve">IR LH60</t>
  </si>
  <si>
    <t xml:space="preserve">FX LH10</t>
  </si>
  <si>
    <t xml:space="preserve">Cross LH10</t>
  </si>
  <si>
    <t xml:space="preserve">Cross LH20</t>
  </si>
  <si>
    <t xml:space="preserve">Cross LH40</t>
  </si>
  <si>
    <t xml:space="preserve">Cross LH60</t>
  </si>
  <si>
    <t xml:space="preserve">Grey/0 cells = no curve is shocked in that (trade, LH bucket) combination once Swaption drops out beyond its effective LH (Stressed NPV = Base NPV, so PnL = 0). Green cells link directly to the existing LH_PnL_Summary Scenario 1 values where the effective-LH-adjusted curve set matches an already-computed baseline combo (e.g. Cross LH20 for tradeID1111 reduces to Agency_FNMA+Eur_Govt, i.e. the same set as Credit LH10/LH20).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</si>
</sst>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0"/>
    <numFmt numFmtId="166" formatCode="0.0000"/>
    <numFmt numFmtId="167" formatCode="0.0"/>
    <numFmt numFmtId="168" formatCode="0.000"/>
    <numFmt numFmtId="169" formatCode="#,##0"/>
    <numFmt numFmtId="170" formatCode="#,##0.00"/>
    <numFmt numFmtId="171" formatCode="#,##0.00;\(#,##0.00\)"/>
    <numFmt numFmtId="172" formatCode="0"/>
    <numFmt numFmtId="173" formatCode="#,##0.00;\(#,##0.00\)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808080"/>
      <name val="Arial"/>
      <family val="0"/>
      <charset val="1"/>
    </font>
    <font>
      <sz val="11"/>
      <color rgb="FFA6A6A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9DC3E6"/>
        <bgColor rgb="FFBFBFBF"/>
      </patternFill>
    </fill>
    <fill>
      <patternFill patternType="solid">
        <fgColor rgb="FF1F6B3A"/>
        <bgColor rgb="FF375623"/>
      </patternFill>
    </fill>
    <fill>
      <patternFill patternType="solid">
        <fgColor rgb="FFD9E2F3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1F4E78"/>
        <bgColor rgb="FF1F3864"/>
      </patternFill>
    </fill>
    <fill>
      <patternFill patternType="solid">
        <fgColor rgb="FF806000"/>
        <bgColor rgb="FF993300"/>
      </patternFill>
    </fill>
    <fill>
      <patternFill patternType="solid">
        <fgColor rgb="FF375623"/>
        <bgColor rgb="FF1F6B3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F6B3A"/>
      <rgbColor rgb="FFBFBFBF"/>
      <rgbColor rgb="FF808080"/>
      <rgbColor rgb="FFA6A6A6"/>
      <rgbColor rgb="FFBE4B48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B3B3B3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Full-Reval PnL Vectors by Risk Class (Trade 123456)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PnL_Summary!B4</c:f>
              <c:strCache>
                <c:ptCount val="1"/>
                <c:pt idx="0">
                  <c:v>Cross PnL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PnL_Summary!$B$5:$B$14</c:f>
              <c:numCache>
                <c:formatCode>#,##0.00;\(#,##0.00\)</c:formatCode>
                <c:ptCount val="10"/>
                <c:pt idx="0">
                  <c:v>-36924.5838805307</c:v>
                </c:pt>
                <c:pt idx="1">
                  <c:v>-22419.874383755</c:v>
                </c:pt>
                <c:pt idx="2">
                  <c:v>-48109.2334980071</c:v>
                </c:pt>
                <c:pt idx="3">
                  <c:v>-28235.3486086223</c:v>
                </c:pt>
                <c:pt idx="4">
                  <c:v>-94989.218774261</c:v>
                </c:pt>
                <c:pt idx="5">
                  <c:v>-96303.0137668867</c:v>
                </c:pt>
                <c:pt idx="6">
                  <c:v>-83510.6560241785</c:v>
                </c:pt>
                <c:pt idx="7">
                  <c:v>-7632.24099958688</c:v>
                </c:pt>
                <c:pt idx="8">
                  <c:v>-137424.496606329</c:v>
                </c:pt>
                <c:pt idx="9">
                  <c:v>49784.5686824136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PnL_Summary!C4</c:f>
              <c:strCache>
                <c:ptCount val="1"/>
                <c:pt idx="0">
                  <c:v>IR PnL (USD)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PnL_Summary!$C$5:$C$14</c:f>
              <c:numCache>
                <c:formatCode>#,##0.00;\(#,##0.00\)</c:formatCode>
                <c:ptCount val="10"/>
                <c:pt idx="0">
                  <c:v>21890.9453293066</c:v>
                </c:pt>
                <c:pt idx="1">
                  <c:v>37069.4184338767</c:v>
                </c:pt>
                <c:pt idx="2">
                  <c:v>23102.2120348606</c:v>
                </c:pt>
                <c:pt idx="3">
                  <c:v>26652.7172415666</c:v>
                </c:pt>
                <c:pt idx="4">
                  <c:v>7336.63403604738</c:v>
                </c:pt>
                <c:pt idx="5">
                  <c:v>8648.4871593453</c:v>
                </c:pt>
                <c:pt idx="6">
                  <c:v>31871.9643237777</c:v>
                </c:pt>
                <c:pt idx="7">
                  <c:v>100220.854355633</c:v>
                </c:pt>
                <c:pt idx="8">
                  <c:v>25251.2994294968</c:v>
                </c:pt>
                <c:pt idx="9">
                  <c:v>136739.702052264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PnL_Summary!D4</c:f>
              <c:strCache>
                <c:ptCount val="1"/>
                <c:pt idx="0">
                  <c:v>Credit PnL (USD)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PnL_Summary!$D$5:$D$14</c:f>
              <c:numCache>
                <c:formatCode>#,##0.00;\(#,##0.00\)</c:formatCode>
                <c:ptCount val="10"/>
                <c:pt idx="0">
                  <c:v>-37825.7968787812</c:v>
                </c:pt>
                <c:pt idx="1">
                  <c:v>-31272.0955403186</c:v>
                </c:pt>
                <c:pt idx="2">
                  <c:v>-40575.5706020817</c:v>
                </c:pt>
                <c:pt idx="3">
                  <c:v>-70797.3185566664</c:v>
                </c:pt>
                <c:pt idx="4">
                  <c:v>-64115.106465783</c:v>
                </c:pt>
                <c:pt idx="5">
                  <c:v>-85953.2132942695</c:v>
                </c:pt>
                <c:pt idx="6">
                  <c:v>-71497.4993748292</c:v>
                </c:pt>
                <c:pt idx="7">
                  <c:v>-102631.983082671</c:v>
                </c:pt>
                <c:pt idx="8">
                  <c:v>-112317.633996386</c:v>
                </c:pt>
                <c:pt idx="9">
                  <c:v>-31613.8690954633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PnL_Summary!E4</c:f>
              <c:strCache>
                <c:ptCount val="1"/>
                <c:pt idx="0">
                  <c:v>FX PnL (USD)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PnL_Summary!$E$5:$E$14</c:f>
              <c:numCache>
                <c:formatCode>#,##0.00;\(#,##0.00\)</c:formatCode>
                <c:ptCount val="10"/>
                <c:pt idx="0">
                  <c:v>-20938.4394061528</c:v>
                </c:pt>
                <c:pt idx="1">
                  <c:v>-28079.8877904695</c:v>
                </c:pt>
                <c:pt idx="2">
                  <c:v>-30594.2422538474</c:v>
                </c:pt>
                <c:pt idx="3">
                  <c:v>16180.4484719206</c:v>
                </c:pt>
                <c:pt idx="4">
                  <c:v>-38388.9287798144</c:v>
                </c:pt>
                <c:pt idx="5">
                  <c:v>-19074.5800839607</c:v>
                </c:pt>
                <c:pt idx="6">
                  <c:v>-43829.766838355</c:v>
                </c:pt>
                <c:pt idx="7">
                  <c:v>-4151.55194514617</c:v>
                </c:pt>
                <c:pt idx="8">
                  <c:v>-50522.4328916892</c:v>
                </c:pt>
                <c:pt idx="9">
                  <c:v>-54299.2695993483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904361"/>
        <c:axId val="79535933"/>
      </c:lineChart>
      <c:catAx>
        <c:axId val="24904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35933"/>
        <c:crosses val="autoZero"/>
        <c:auto val="1"/>
        <c:lblAlgn val="ctr"/>
        <c:lblOffset val="100"/>
        <c:noMultiLvlLbl val="0"/>
      </c:catAx>
      <c:valAx>
        <c:axId val="79535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PnL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04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PnL Vectors by Liquidity Horizon Bucket (Trade 123456)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LH_PnL_Summary!B4</c:f>
              <c:strCache>
                <c:ptCount val="1"/>
                <c:pt idx="0">
                  <c:v>Credit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LH_PnL_Summary!$B$5:$B$14</c:f>
              <c:numCache>
                <c:formatCode>#,##0.00;\(#,##0.00\)</c:formatCode>
                <c:ptCount val="10"/>
                <c:pt idx="0">
                  <c:v>-35611.8821975216</c:v>
                </c:pt>
                <c:pt idx="1">
                  <c:v>-17481.8383169062</c:v>
                </c:pt>
                <c:pt idx="2">
                  <c:v>-24852.0955876261</c:v>
                </c:pt>
                <c:pt idx="3">
                  <c:v>-52402.7314004675</c:v>
                </c:pt>
                <c:pt idx="4">
                  <c:v>-56347.4600851163</c:v>
                </c:pt>
                <c:pt idx="5">
                  <c:v>-63992.8685258236</c:v>
                </c:pt>
                <c:pt idx="6">
                  <c:v>-47893.8484188244</c:v>
                </c:pt>
                <c:pt idx="7">
                  <c:v>-76293.8900941163</c:v>
                </c:pt>
                <c:pt idx="8">
                  <c:v>-83462.3636818286</c:v>
                </c:pt>
                <c:pt idx="9">
                  <c:v>-26653.1922448594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LH_PnL_Summary!C4</c:f>
              <c:strCache>
                <c:ptCount val="1"/>
                <c:pt idx="0">
                  <c:v>Credit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LH_PnL_Summary!$C$5:$C$14</c:f>
              <c:numCache>
                <c:formatCode>#,##0.00;\(#,##0.00\)</c:formatCode>
                <c:ptCount val="10"/>
                <c:pt idx="0">
                  <c:v>-35611.8821975216</c:v>
                </c:pt>
                <c:pt idx="1">
                  <c:v>-17481.8383169062</c:v>
                </c:pt>
                <c:pt idx="2">
                  <c:v>-24852.0955876261</c:v>
                </c:pt>
                <c:pt idx="3">
                  <c:v>-52402.7314004675</c:v>
                </c:pt>
                <c:pt idx="4">
                  <c:v>-56347.4600851163</c:v>
                </c:pt>
                <c:pt idx="5">
                  <c:v>-63992.8685258236</c:v>
                </c:pt>
                <c:pt idx="6">
                  <c:v>-47893.8484188244</c:v>
                </c:pt>
                <c:pt idx="7">
                  <c:v>-76293.8900941163</c:v>
                </c:pt>
                <c:pt idx="8">
                  <c:v>-83462.3636818286</c:v>
                </c:pt>
                <c:pt idx="9">
                  <c:v>-26653.1922448594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LH_PnL_Summary!D4</c:f>
              <c:strCache>
                <c:ptCount val="1"/>
                <c:pt idx="0">
                  <c:v>Credit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LH_PnL_Summary!$D$5:$D$14</c:f>
              <c:numCache>
                <c:formatCode>#,##0.00;\(#,##0.00\)</c:formatCode>
                <c:ptCount val="10"/>
                <c:pt idx="0">
                  <c:v>-18625.5113925245</c:v>
                </c:pt>
                <c:pt idx="1">
                  <c:v>-9357.11854015105</c:v>
                </c:pt>
                <c:pt idx="2">
                  <c:v>-4287.64054781012</c:v>
                </c:pt>
                <c:pt idx="3">
                  <c:v>-28881.7339678481</c:v>
                </c:pt>
                <c:pt idx="4">
                  <c:v>-31849.1487018373</c:v>
                </c:pt>
                <c:pt idx="5">
                  <c:v>-34723.0382536892</c:v>
                </c:pt>
                <c:pt idx="6">
                  <c:v>-15945.1017022412</c:v>
                </c:pt>
                <c:pt idx="7">
                  <c:v>-41840.4365078956</c:v>
                </c:pt>
                <c:pt idx="8">
                  <c:v>-46046.04162395</c:v>
                </c:pt>
                <c:pt idx="9">
                  <c:v>-22142.269533867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LH_PnL_Summary!E4</c:f>
              <c:strCache>
                <c:ptCount val="1"/>
                <c:pt idx="0">
                  <c:v>IR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LH_PnL_Summary!$E$5:$E$14</c:f>
              <c:numCache>
                <c:formatCode>#,##0.00;\(#,##0.00\)</c:formatCode>
                <c:ptCount val="10"/>
                <c:pt idx="0">
                  <c:v>21890.9453293066</c:v>
                </c:pt>
                <c:pt idx="1">
                  <c:v>37069.4184338767</c:v>
                </c:pt>
                <c:pt idx="2">
                  <c:v>23102.2120348606</c:v>
                </c:pt>
                <c:pt idx="3">
                  <c:v>26652.7172415666</c:v>
                </c:pt>
                <c:pt idx="4">
                  <c:v>7336.63403604738</c:v>
                </c:pt>
                <c:pt idx="5">
                  <c:v>8648.4871593453</c:v>
                </c:pt>
                <c:pt idx="6">
                  <c:v>31871.9643237777</c:v>
                </c:pt>
                <c:pt idx="7">
                  <c:v>100220.854355633</c:v>
                </c:pt>
                <c:pt idx="8">
                  <c:v>25251.2994294968</c:v>
                </c:pt>
                <c:pt idx="9">
                  <c:v>136739.702052264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LH_PnL_Summary!F4</c:f>
              <c:strCache>
                <c:ptCount val="1"/>
                <c:pt idx="0">
                  <c:v>IR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LH_PnL_Summary!$F$5:$F$14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LH_PnL_Summary!G4</c:f>
              <c:strCache>
                <c:ptCount val="1"/>
                <c:pt idx="0">
                  <c:v>IR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LH_PnL_Summary!$G$5:$G$14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LH_PnL_Summary!H4</c:f>
              <c:strCache>
                <c:ptCount val="1"/>
                <c:pt idx="0">
                  <c:v>IR LH60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LH_PnL_Summary!$H$5:$H$14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LH_PnL_Summary!I4</c:f>
              <c:strCache>
                <c:ptCount val="1"/>
                <c:pt idx="0">
                  <c:v>FX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LH_PnL_Summary!$I$5:$I$14</c:f>
              <c:numCache>
                <c:formatCode>#,##0.00;\(#,##0.00\)</c:formatCode>
                <c:ptCount val="10"/>
                <c:pt idx="0">
                  <c:v>-20938.4394061528</c:v>
                </c:pt>
                <c:pt idx="1">
                  <c:v>-28079.8877904695</c:v>
                </c:pt>
                <c:pt idx="2">
                  <c:v>-30594.2422538474</c:v>
                </c:pt>
                <c:pt idx="3">
                  <c:v>16180.4484719206</c:v>
                </c:pt>
                <c:pt idx="4">
                  <c:v>-38388.9287798144</c:v>
                </c:pt>
                <c:pt idx="5">
                  <c:v>-19074.5800839607</c:v>
                </c:pt>
                <c:pt idx="6">
                  <c:v>-43829.766838355</c:v>
                </c:pt>
                <c:pt idx="7">
                  <c:v>-4151.55194514617</c:v>
                </c:pt>
                <c:pt idx="8">
                  <c:v>-50522.4328916892</c:v>
                </c:pt>
                <c:pt idx="9">
                  <c:v>-54299.2695993483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LH_PnL_Summary!J4</c:f>
              <c:strCache>
                <c:ptCount val="1"/>
                <c:pt idx="0">
                  <c:v>Cross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LH_PnL_Summary!$J$5:$J$14</c:f>
              <c:numCache>
                <c:formatCode>#,##0.00;\(#,##0.00\)</c:formatCode>
                <c:ptCount val="10"/>
                <c:pt idx="0">
                  <c:v>-34710.4606169071</c:v>
                </c:pt>
                <c:pt idx="1">
                  <c:v>-8616.86404076777</c:v>
                </c:pt>
                <c:pt idx="2">
                  <c:v>-32398.1455605887</c:v>
                </c:pt>
                <c:pt idx="3">
                  <c:v>-9758.63168792427</c:v>
                </c:pt>
                <c:pt idx="4">
                  <c:v>-87246.7125751711</c:v>
                </c:pt>
                <c:pt idx="5">
                  <c:v>-74366.549914293</c:v>
                </c:pt>
                <c:pt idx="6">
                  <c:v>-59936.753017731</c:v>
                </c:pt>
                <c:pt idx="7">
                  <c:v>18969.2110976391</c:v>
                </c:pt>
                <c:pt idx="8">
                  <c:v>-108645.557503356</c:v>
                </c:pt>
                <c:pt idx="9">
                  <c:v>54787.431142021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LH_PnL_Summary!K4</c:f>
              <c:strCache>
                <c:ptCount val="1"/>
                <c:pt idx="0">
                  <c:v>Cross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LH_PnL_Summary!$K$5:$K$14</c:f>
              <c:numCache>
                <c:formatCode>#,##0.00;\(#,##0.00\)</c:formatCode>
                <c:ptCount val="10"/>
                <c:pt idx="0">
                  <c:v>-3289.91580963135</c:v>
                </c:pt>
                <c:pt idx="1">
                  <c:v>23404.2959971186</c:v>
                </c:pt>
                <c:pt idx="2">
                  <c:v>14368.7398784254</c:v>
                </c:pt>
                <c:pt idx="3">
                  <c:v>14397.4016146809</c:v>
                </c:pt>
                <c:pt idx="4">
                  <c:v>-4554.07593888417</c:v>
                </c:pt>
                <c:pt idx="5">
                  <c:v>-6058.59519851394</c:v>
                </c:pt>
                <c:pt idx="6">
                  <c:v>37838.0506574139</c:v>
                </c:pt>
                <c:pt idx="7">
                  <c:v>-3487.4007844571</c:v>
                </c:pt>
                <c:pt idx="8">
                  <c:v>2599.65638656542</c:v>
                </c:pt>
                <c:pt idx="9">
                  <c:v>76575.383880347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LH_PnL_Summary!L4</c:f>
              <c:strCache>
                <c:ptCount val="1"/>
                <c:pt idx="0">
                  <c:v>Cross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LH_PnL_Summary!$L$5:$L$14</c:f>
              <c:numCache>
                <c:formatCode>#,##0.00;\(#,##0.00\)</c:formatCode>
                <c:ptCount val="10"/>
                <c:pt idx="0">
                  <c:v>13753.8385078348</c:v>
                </c:pt>
                <c:pt idx="1">
                  <c:v>31563.6695868429</c:v>
                </c:pt>
                <c:pt idx="2">
                  <c:v>35017.399296293</c:v>
                </c:pt>
                <c:pt idx="3">
                  <c:v>38082.906146368</c:v>
                </c:pt>
                <c:pt idx="4">
                  <c:v>20077.1404779777</c:v>
                </c:pt>
                <c:pt idx="5">
                  <c:v>23388.9953378513</c:v>
                </c:pt>
                <c:pt idx="6">
                  <c:v>70073.4413881004</c:v>
                </c:pt>
                <c:pt idx="7">
                  <c:v>31229.3475238495</c:v>
                </c:pt>
                <c:pt idx="8">
                  <c:v>40354.2292437516</c:v>
                </c:pt>
                <c:pt idx="9">
                  <c:v>81134.9302484077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LH_PnL_Summary!M4</c:f>
              <c:strCache>
                <c:ptCount val="1"/>
                <c:pt idx="0">
                  <c:v>Cross LH60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LH_PnL_Summary!$M$5:$M$14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836394"/>
        <c:axId val="19422401"/>
      </c:lineChart>
      <c:catAx>
        <c:axId val="42836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22401"/>
        <c:crosses val="autoZero"/>
        <c:auto val="1"/>
        <c:lblAlgn val="ctr"/>
        <c:lblOffset val="100"/>
        <c:noMultiLvlLbl val="0"/>
      </c:catAx>
      <c:valAx>
        <c:axId val="194224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PnL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36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10080</xdr:rowOff>
    </xdr:from>
    <xdr:to>
      <xdr:col>8</xdr:col>
      <xdr:colOff>582840</xdr:colOff>
      <xdr:row>40</xdr:row>
      <xdr:rowOff>155520</xdr:rowOff>
    </xdr:to>
    <xdr:graphicFrame>
      <xdr:nvGraphicFramePr>
        <xdr:cNvPr id="0" name="Chart 1"/>
        <xdr:cNvGraphicFramePr/>
      </xdr:nvGraphicFramePr>
      <xdr:xfrm>
        <a:off x="0" y="4467960"/>
        <a:ext cx="9511560" cy="395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10080</xdr:rowOff>
    </xdr:from>
    <xdr:to>
      <xdr:col>8</xdr:col>
      <xdr:colOff>971640</xdr:colOff>
      <xdr:row>42</xdr:row>
      <xdr:rowOff>138600</xdr:rowOff>
    </xdr:to>
    <xdr:graphicFrame>
      <xdr:nvGraphicFramePr>
        <xdr:cNvPr id="1" name="Chart 1"/>
        <xdr:cNvGraphicFramePr/>
      </xdr:nvGraphicFramePr>
      <xdr:xfrm>
        <a:off x="0" y="4620240"/>
        <a:ext cx="935928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2" customFormat="false" ht="18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45" hidden="false" customHeight="true" outlineLevel="0" collapsed="false">
      <c r="B6" s="5" t="s">
        <v>3</v>
      </c>
    </row>
    <row r="8" customFormat="false" ht="15" hidden="false" customHeight="true" outlineLevel="0" collapsed="false">
      <c r="B8" s="4" t="s">
        <v>4</v>
      </c>
    </row>
    <row r="9" customFormat="false" ht="45" hidden="false" customHeight="true" outlineLevel="0" collapsed="false">
      <c r="B9" s="5" t="s">
        <v>5</v>
      </c>
    </row>
    <row r="11" customFormat="false" ht="15" hidden="false" customHeight="true" outlineLevel="0" collapsed="false">
      <c r="B11" s="4" t="s">
        <v>6</v>
      </c>
    </row>
    <row r="12" customFormat="false" ht="45" hidden="false" customHeight="true" outlineLevel="0" collapsed="false">
      <c r="B12" s="5" t="s">
        <v>7</v>
      </c>
    </row>
    <row r="14" customFormat="false" ht="15" hidden="false" customHeight="true" outlineLevel="0" collapsed="false">
      <c r="B14" s="4" t="s">
        <v>8</v>
      </c>
    </row>
    <row r="15" customFormat="false" ht="45" hidden="false" customHeight="true" outlineLevel="0" collapsed="false">
      <c r="B15" s="5" t="s">
        <v>9</v>
      </c>
    </row>
    <row r="17" customFormat="false" ht="15" hidden="false" customHeight="true" outlineLevel="0" collapsed="false">
      <c r="B17" s="4" t="s">
        <v>10</v>
      </c>
    </row>
    <row r="18" customFormat="false" ht="45" hidden="false" customHeight="true" outlineLevel="0" collapsed="false">
      <c r="B18" s="5" t="s">
        <v>11</v>
      </c>
    </row>
    <row r="20" customFormat="false" ht="15" hidden="false" customHeight="true" outlineLevel="0" collapsed="false">
      <c r="B20" s="4" t="s">
        <v>12</v>
      </c>
    </row>
    <row r="21" customFormat="false" ht="45" hidden="false" customHeight="true" outlineLevel="0" collapsed="false">
      <c r="B21" s="5" t="s">
        <v>13</v>
      </c>
    </row>
    <row r="23" customFormat="false" ht="15" hidden="false" customHeight="true" outlineLevel="0" collapsed="false">
      <c r="B23" s="4" t="s">
        <v>14</v>
      </c>
    </row>
    <row r="24" customFormat="false" ht="45" hidden="false" customHeight="true" outlineLevel="0" collapsed="false">
      <c r="B24" s="5" t="s">
        <v>15</v>
      </c>
    </row>
    <row r="26" customFormat="false" ht="15" hidden="false" customHeight="true" outlineLevel="0" collapsed="false">
      <c r="B26" s="4" t="s">
        <v>16</v>
      </c>
    </row>
    <row r="27" customFormat="false" ht="45" hidden="false" customHeight="true" outlineLevel="0" collapsed="false">
      <c r="B27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25" hidden="false" customHeight="true" outlineLevel="0" collapsed="false">
      <c r="A1" s="6" t="s">
        <v>18</v>
      </c>
    </row>
    <row r="3" customFormat="false" ht="15" hidden="false" customHeight="true" outlineLevel="0" collapsed="false">
      <c r="A3" s="4" t="s">
        <v>19</v>
      </c>
      <c r="B3" s="7" t="s">
        <v>20</v>
      </c>
    </row>
    <row r="4" customFormat="false" ht="15" hidden="false" customHeight="true" outlineLevel="0" collapsed="false">
      <c r="A4" s="4" t="s">
        <v>21</v>
      </c>
      <c r="B4" s="7" t="s">
        <v>22</v>
      </c>
    </row>
    <row r="5" customFormat="false" ht="15" hidden="false" customHeight="true" outlineLevel="0" collapsed="false">
      <c r="A5" s="4" t="s">
        <v>23</v>
      </c>
      <c r="B5" s="7" t="s">
        <v>24</v>
      </c>
    </row>
    <row r="6" customFormat="false" ht="15" hidden="false" customHeight="true" outlineLevel="0" collapsed="false">
      <c r="A6" s="4" t="s">
        <v>25</v>
      </c>
      <c r="B6" s="7" t="n">
        <v>10</v>
      </c>
    </row>
    <row r="7" customFormat="false" ht="15" hidden="false" customHeight="true" outlineLevel="0" collapsed="false">
      <c r="A7" s="4" t="s">
        <v>26</v>
      </c>
      <c r="B7" s="7" t="n">
        <v>10000000</v>
      </c>
    </row>
    <row r="8" customFormat="false" ht="15" hidden="false" customHeight="true" outlineLevel="0" collapsed="false">
      <c r="A8" s="4" t="s">
        <v>27</v>
      </c>
      <c r="B8" s="7" t="s">
        <v>28</v>
      </c>
    </row>
    <row r="9" customFormat="false" ht="15" hidden="false" customHeight="true" outlineLevel="0" collapsed="false">
      <c r="A9" s="4" t="s">
        <v>29</v>
      </c>
      <c r="B9" s="7" t="s">
        <v>30</v>
      </c>
    </row>
    <row r="10" customFormat="false" ht="15" hidden="false" customHeight="true" outlineLevel="0" collapsed="false">
      <c r="A10" s="4" t="s">
        <v>31</v>
      </c>
      <c r="B10" s="7" t="s">
        <v>32</v>
      </c>
    </row>
    <row r="12" customFormat="false" ht="17.25" hidden="false" customHeight="true" outlineLevel="0" collapsed="false">
      <c r="A12" s="6" t="s">
        <v>33</v>
      </c>
    </row>
    <row r="13" customFormat="false" ht="15" hidden="false" customHeight="true" outlineLevel="0" collapsed="false">
      <c r="A13" s="8" t="s">
        <v>34</v>
      </c>
      <c r="B13" s="8" t="s">
        <v>35</v>
      </c>
      <c r="C13" s="8" t="s">
        <v>36</v>
      </c>
    </row>
    <row r="14" customFormat="false" ht="15" hidden="false" customHeight="true" outlineLevel="0" collapsed="false">
      <c r="A14" s="9" t="s">
        <v>37</v>
      </c>
      <c r="B14" s="9" t="s">
        <v>38</v>
      </c>
      <c r="C14" s="10" t="s">
        <v>39</v>
      </c>
    </row>
    <row r="15" customFormat="false" ht="15" hidden="false" customHeight="true" outlineLevel="0" collapsed="false">
      <c r="A15" s="9" t="s">
        <v>40</v>
      </c>
      <c r="B15" s="9" t="s">
        <v>38</v>
      </c>
      <c r="C15" s="10" t="s">
        <v>41</v>
      </c>
    </row>
    <row r="16" customFormat="false" ht="15" hidden="false" customHeight="true" outlineLevel="0" collapsed="false">
      <c r="A16" s="9" t="s">
        <v>42</v>
      </c>
      <c r="B16" s="9" t="s">
        <v>43</v>
      </c>
      <c r="C16" s="10" t="s">
        <v>44</v>
      </c>
    </row>
    <row r="17" customFormat="false" ht="15" hidden="false" customHeight="true" outlineLevel="0" collapsed="false">
      <c r="A17" s="9" t="s">
        <v>45</v>
      </c>
      <c r="B17" s="9" t="s">
        <v>38</v>
      </c>
      <c r="C17" s="10" t="s">
        <v>46</v>
      </c>
    </row>
    <row r="18" customFormat="false" ht="15" hidden="false" customHeight="true" outlineLevel="0" collapsed="false">
      <c r="A18" s="9" t="s">
        <v>47</v>
      </c>
      <c r="B18" s="9" t="s">
        <v>43</v>
      </c>
      <c r="C18" s="10" t="s">
        <v>48</v>
      </c>
    </row>
    <row r="19" customFormat="false" ht="15" hidden="false" customHeight="true" outlineLevel="0" collapsed="false">
      <c r="A19" s="9" t="s">
        <v>49</v>
      </c>
      <c r="B19" s="9" t="s">
        <v>50</v>
      </c>
      <c r="C19" s="10" t="s">
        <v>51</v>
      </c>
    </row>
    <row r="20" customFormat="false" ht="15" hidden="false" customHeight="true" outlineLevel="0" collapsed="false">
      <c r="A20" s="9" t="s">
        <v>52</v>
      </c>
      <c r="B20" s="9" t="s">
        <v>43</v>
      </c>
      <c r="C20" s="10" t="s">
        <v>53</v>
      </c>
    </row>
    <row r="22" customFormat="false" ht="15" hidden="false" customHeight="false" outlineLevel="0" collapsed="false">
      <c r="A22" s="11" t="s">
        <v>54</v>
      </c>
    </row>
    <row r="24" customFormat="false" ht="15" hidden="false" customHeight="false" outlineLevel="0" collapsed="false">
      <c r="A24" s="12" t="s">
        <v>55</v>
      </c>
      <c r="B24" s="12" t="s">
        <v>56</v>
      </c>
      <c r="C24" s="12" t="s">
        <v>57</v>
      </c>
      <c r="D24" s="12" t="s">
        <v>58</v>
      </c>
      <c r="E24" s="12" t="s">
        <v>59</v>
      </c>
    </row>
    <row r="25" customFormat="false" ht="15" hidden="false" customHeight="false" outlineLevel="0" collapsed="false">
      <c r="A25" s="13" t="s">
        <v>38</v>
      </c>
      <c r="B25" s="14" t="s">
        <v>60</v>
      </c>
      <c r="C25" s="14" t="s">
        <v>60</v>
      </c>
      <c r="D25" s="14" t="s">
        <v>61</v>
      </c>
      <c r="E25" s="14" t="s">
        <v>62</v>
      </c>
    </row>
    <row r="26" customFormat="false" ht="15" hidden="false" customHeight="false" outlineLevel="0" collapsed="false">
      <c r="A26" s="13" t="s">
        <v>43</v>
      </c>
      <c r="B26" s="14" t="s">
        <v>63</v>
      </c>
      <c r="C26" s="14" t="s">
        <v>64</v>
      </c>
      <c r="D26" s="14" t="s">
        <v>64</v>
      </c>
      <c r="E26" s="14" t="s">
        <v>64</v>
      </c>
    </row>
    <row r="27" customFormat="false" ht="15" hidden="false" customHeight="false" outlineLevel="0" collapsed="false">
      <c r="A27" s="13" t="s">
        <v>50</v>
      </c>
      <c r="B27" s="14" t="s">
        <v>49</v>
      </c>
      <c r="C27" s="14" t="s">
        <v>62</v>
      </c>
      <c r="D27" s="14" t="s">
        <v>62</v>
      </c>
      <c r="E27" s="14" t="s">
        <v>62</v>
      </c>
    </row>
    <row r="28" customFormat="false" ht="15" hidden="false" customHeight="false" outlineLevel="0" collapsed="false">
      <c r="A28" s="13" t="s">
        <v>65</v>
      </c>
      <c r="B28" s="14" t="s">
        <v>66</v>
      </c>
      <c r="C28" s="14" t="s">
        <v>67</v>
      </c>
      <c r="D28" s="14" t="s">
        <v>68</v>
      </c>
      <c r="E28" s="14" t="s">
        <v>64</v>
      </c>
    </row>
    <row r="30" customFormat="false" ht="22.35" hidden="false" customHeight="true" outlineLevel="0" collapsed="false">
      <c r="A30" s="15" t="s">
        <v>69</v>
      </c>
      <c r="B30" s="15"/>
      <c r="C30" s="15"/>
      <c r="D30" s="15"/>
      <c r="E30" s="15"/>
    </row>
  </sheetData>
  <mergeCells count="1"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11" min="3" style="1" width="11"/>
    <col collapsed="false" customWidth="true" hidden="false" outlineLevel="0" max="12" min="12" style="1" width="3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23" min="15" style="1" width="11"/>
  </cols>
  <sheetData>
    <row r="1" customFormat="false" ht="17.25" hidden="false" customHeight="true" outlineLevel="0" collapsed="false">
      <c r="A1" s="6" t="s">
        <v>70</v>
      </c>
    </row>
    <row r="2" customFormat="false" ht="15" hidden="false" customHeight="true" outlineLevel="0" collapsed="false">
      <c r="A2" s="16" t="s">
        <v>71</v>
      </c>
    </row>
    <row r="3" customFormat="false" ht="19.5" hidden="false" customHeight="true" outlineLevel="0" collapsed="false">
      <c r="A3" s="17" t="s">
        <v>72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5" customFormat="false" ht="15" hidden="false" customHeight="true" outlineLevel="0" collapsed="false">
      <c r="A5" s="18" t="s">
        <v>73</v>
      </c>
      <c r="B5" s="18" t="s">
        <v>35</v>
      </c>
      <c r="C5" s="12" t="s">
        <v>74</v>
      </c>
      <c r="D5" s="12" t="s">
        <v>75</v>
      </c>
      <c r="E5" s="12" t="s">
        <v>30</v>
      </c>
      <c r="F5" s="12" t="s">
        <v>76</v>
      </c>
      <c r="G5" s="12" t="s">
        <v>77</v>
      </c>
      <c r="H5" s="12" t="s">
        <v>78</v>
      </c>
      <c r="I5" s="12" t="s">
        <v>79</v>
      </c>
      <c r="J5" s="12" t="s">
        <v>80</v>
      </c>
      <c r="K5" s="12" t="s">
        <v>81</v>
      </c>
    </row>
    <row r="6" customFormat="false" ht="15" hidden="false" customHeight="true" outlineLevel="0" collapsed="false">
      <c r="A6" s="1" t="s">
        <v>82</v>
      </c>
      <c r="C6" s="19" t="s">
        <v>83</v>
      </c>
      <c r="D6" s="19" t="s">
        <v>84</v>
      </c>
      <c r="E6" s="19" t="s">
        <v>85</v>
      </c>
      <c r="F6" s="19" t="s">
        <v>86</v>
      </c>
      <c r="G6" s="19" t="s">
        <v>87</v>
      </c>
      <c r="H6" s="19" t="s">
        <v>88</v>
      </c>
      <c r="I6" s="19" t="s">
        <v>89</v>
      </c>
      <c r="J6" s="19" t="s">
        <v>90</v>
      </c>
      <c r="K6" s="19" t="s">
        <v>91</v>
      </c>
    </row>
    <row r="7" customFormat="false" ht="15" hidden="false" customHeight="true" outlineLevel="0" collapsed="false">
      <c r="A7" s="4" t="s">
        <v>92</v>
      </c>
      <c r="C7" s="20" t="n">
        <v>0.25</v>
      </c>
      <c r="D7" s="20" t="n">
        <v>0.5</v>
      </c>
      <c r="E7" s="20" t="n">
        <v>1</v>
      </c>
      <c r="F7" s="20" t="n">
        <v>2</v>
      </c>
      <c r="G7" s="20" t="n">
        <v>3</v>
      </c>
      <c r="H7" s="20" t="n">
        <v>5</v>
      </c>
      <c r="I7" s="20" t="n">
        <v>10</v>
      </c>
      <c r="J7" s="20" t="n">
        <v>20</v>
      </c>
      <c r="K7" s="20" t="n">
        <v>30</v>
      </c>
    </row>
    <row r="8" customFormat="false" ht="15" hidden="false" customHeight="true" outlineLevel="0" collapsed="false">
      <c r="A8" s="4" t="s">
        <v>42</v>
      </c>
      <c r="B8" s="9" t="s">
        <v>43</v>
      </c>
      <c r="C8" s="21" t="n">
        <v>0.989298</v>
      </c>
      <c r="D8" s="21" t="n">
        <v>0.978693</v>
      </c>
      <c r="E8" s="21" t="n">
        <v>0.957768</v>
      </c>
      <c r="F8" s="21" t="n">
        <v>0.917044</v>
      </c>
      <c r="G8" s="21" t="n">
        <v>0.877788</v>
      </c>
      <c r="H8" s="21" t="n">
        <v>0.803523</v>
      </c>
      <c r="I8" s="21" t="n">
        <v>0.640824</v>
      </c>
      <c r="J8" s="21" t="n">
        <v>0.410656</v>
      </c>
      <c r="K8" s="21" t="n">
        <v>0.263158</v>
      </c>
    </row>
    <row r="9" customFormat="false" ht="15" hidden="false" customHeight="true" outlineLevel="0" collapsed="false">
      <c r="A9" s="4" t="s">
        <v>52</v>
      </c>
      <c r="B9" s="9" t="s">
        <v>43</v>
      </c>
      <c r="C9" s="21" t="n">
        <v>0.992271</v>
      </c>
      <c r="D9" s="21" t="n">
        <v>0.984583</v>
      </c>
      <c r="E9" s="21" t="n">
        <v>0.96933</v>
      </c>
      <c r="F9" s="21" t="n">
        <v>0.939319</v>
      </c>
      <c r="G9" s="21" t="n">
        <v>0.909964</v>
      </c>
      <c r="H9" s="21" t="n">
        <v>0.85321</v>
      </c>
      <c r="I9" s="21" t="n">
        <v>0.722527</v>
      </c>
      <c r="J9" s="21" t="n">
        <v>0.522046</v>
      </c>
      <c r="K9" s="21" t="n">
        <v>0.377192</v>
      </c>
    </row>
    <row r="10" customFormat="false" ht="15" hidden="false" customHeight="true" outlineLevel="0" collapsed="false">
      <c r="A10" s="4" t="s">
        <v>45</v>
      </c>
      <c r="B10" s="9" t="s">
        <v>38</v>
      </c>
      <c r="C10" s="21" t="n">
        <v>0.989546</v>
      </c>
      <c r="D10" s="21" t="n">
        <v>0.979182</v>
      </c>
      <c r="E10" s="21" t="n">
        <v>0.958726</v>
      </c>
      <c r="F10" s="21" t="n">
        <v>0.91888</v>
      </c>
      <c r="G10" s="21" t="n">
        <v>0.880425</v>
      </c>
      <c r="H10" s="21" t="n">
        <v>0.80755</v>
      </c>
      <c r="I10" s="21" t="n">
        <v>0.647265</v>
      </c>
      <c r="J10" s="21" t="n">
        <v>0.418952</v>
      </c>
      <c r="K10" s="21" t="n">
        <v>0.271173</v>
      </c>
    </row>
    <row r="11" customFormat="false" ht="15" hidden="false" customHeight="true" outlineLevel="0" collapsed="false">
      <c r="A11" s="4" t="s">
        <v>37</v>
      </c>
      <c r="B11" s="9" t="s">
        <v>38</v>
      </c>
      <c r="C11" s="21" t="n">
        <v>0.988557</v>
      </c>
      <c r="D11" s="21" t="n">
        <v>0.977226</v>
      </c>
      <c r="E11" s="21" t="n">
        <v>0.954899</v>
      </c>
      <c r="F11" s="21" t="n">
        <v>0.911558</v>
      </c>
      <c r="G11" s="21" t="n">
        <v>0.869924</v>
      </c>
      <c r="H11" s="21" t="n">
        <v>0.79156</v>
      </c>
      <c r="I11" s="21" t="n">
        <v>0.621885</v>
      </c>
      <c r="J11" s="21" t="n">
        <v>0.386741</v>
      </c>
      <c r="K11" s="21" t="n">
        <v>0.240508</v>
      </c>
    </row>
    <row r="12" customFormat="false" ht="15" hidden="false" customHeight="true" outlineLevel="0" collapsed="false">
      <c r="A12" s="4" t="s">
        <v>40</v>
      </c>
      <c r="B12" s="9" t="s">
        <v>38</v>
      </c>
      <c r="C12" s="21" t="n">
        <v>0.991775</v>
      </c>
      <c r="D12" s="21" t="n">
        <v>0.983598</v>
      </c>
      <c r="E12" s="21" t="n">
        <v>0.967393</v>
      </c>
      <c r="F12" s="21" t="n">
        <v>0.935569</v>
      </c>
      <c r="G12" s="21" t="n">
        <v>0.904521</v>
      </c>
      <c r="H12" s="21" t="n">
        <v>0.84472</v>
      </c>
      <c r="I12" s="21" t="n">
        <v>0.70822</v>
      </c>
      <c r="J12" s="21" t="n">
        <v>0.501576</v>
      </c>
      <c r="K12" s="21" t="n">
        <v>0.355226</v>
      </c>
    </row>
    <row r="13" customFormat="false" ht="15" hidden="false" customHeight="true" outlineLevel="0" collapsed="false">
      <c r="A13" s="4" t="s">
        <v>49</v>
      </c>
      <c r="B13" s="9" t="s">
        <v>50</v>
      </c>
      <c r="C13" s="21" t="n">
        <v>0.990041</v>
      </c>
      <c r="D13" s="21" t="n">
        <v>0.980162</v>
      </c>
      <c r="E13" s="21" t="n">
        <v>0.960645</v>
      </c>
      <c r="F13" s="21" t="n">
        <v>0.922563</v>
      </c>
      <c r="G13" s="21" t="n">
        <v>0.885724</v>
      </c>
      <c r="H13" s="21" t="n">
        <v>0.815666</v>
      </c>
      <c r="I13" s="21" t="n">
        <v>0.66034</v>
      </c>
      <c r="J13" s="21" t="n">
        <v>0.436049</v>
      </c>
      <c r="K13" s="21" t="n">
        <v>0.287941</v>
      </c>
    </row>
    <row r="15" customFormat="false" ht="15" hidden="false" customHeight="true" outlineLevel="0" collapsed="false">
      <c r="A15" s="16" t="s">
        <v>93</v>
      </c>
    </row>
    <row r="17" customFormat="false" ht="19.5" hidden="false" customHeight="true" outlineLevel="0" collapsed="false">
      <c r="A17" s="17" t="s">
        <v>94</v>
      </c>
      <c r="B17" s="17"/>
      <c r="C17" s="17"/>
      <c r="D17" s="17"/>
      <c r="E17" s="17"/>
      <c r="F17" s="17"/>
      <c r="G17" s="17"/>
      <c r="H17" s="17"/>
      <c r="I17" s="17"/>
    </row>
    <row r="18" customFormat="false" ht="30" hidden="false" customHeight="true" outlineLevel="0" collapsed="false">
      <c r="A18" s="15" t="s">
        <v>95</v>
      </c>
      <c r="B18" s="15"/>
      <c r="C18" s="15"/>
      <c r="D18" s="15"/>
      <c r="E18" s="15"/>
      <c r="F18" s="15"/>
      <c r="G18" s="15"/>
      <c r="H18" s="15"/>
      <c r="I18" s="15"/>
    </row>
    <row r="21" customFormat="false" ht="51.75" hidden="false" customHeight="true" outlineLevel="0" collapsed="false">
      <c r="A21" s="22" t="s">
        <v>96</v>
      </c>
      <c r="B21" s="22" t="s">
        <v>97</v>
      </c>
      <c r="C21" s="22" t="s">
        <v>98</v>
      </c>
      <c r="D21" s="22" t="s">
        <v>99</v>
      </c>
      <c r="E21" s="22" t="s">
        <v>100</v>
      </c>
      <c r="F21" s="22" t="s">
        <v>101</v>
      </c>
      <c r="G21" s="22" t="s">
        <v>102</v>
      </c>
      <c r="H21" s="22" t="s">
        <v>103</v>
      </c>
      <c r="I21" s="22" t="s">
        <v>104</v>
      </c>
    </row>
    <row r="22" customFormat="false" ht="15" hidden="false" customHeight="true" outlineLevel="0" collapsed="false">
      <c r="A22" s="23" t="s">
        <v>74</v>
      </c>
      <c r="B22" s="23" t="n">
        <v>0.25</v>
      </c>
      <c r="C22" s="23" t="n">
        <v>1</v>
      </c>
      <c r="D22" s="24" t="n">
        <f aca="false">C8</f>
        <v>0.989298</v>
      </c>
      <c r="E22" s="25" t="n">
        <f aca="false">(C22/D22-1)/(0.25-0)</f>
        <v>0.0432710871749462</v>
      </c>
      <c r="F22" s="26" t="n">
        <f aca="false">C37</f>
        <v>-40.9</v>
      </c>
      <c r="G22" s="25" t="n">
        <f aca="false">E22+F22/10000</f>
        <v>0.0391810871749462</v>
      </c>
      <c r="H22" s="27" t="n">
        <f aca="false">1/(1+G22*(0.25-0))</f>
        <v>0.990299744842005</v>
      </c>
      <c r="I22" s="28" t="s">
        <v>105</v>
      </c>
    </row>
    <row r="23" customFormat="false" ht="15" hidden="false" customHeight="true" outlineLevel="0" collapsed="false">
      <c r="A23" s="23" t="s">
        <v>75</v>
      </c>
      <c r="B23" s="23" t="n">
        <v>0.5</v>
      </c>
      <c r="C23" s="24" t="n">
        <f aca="false">C8</f>
        <v>0.989298</v>
      </c>
      <c r="D23" s="24" t="n">
        <f aca="false">D8</f>
        <v>0.978693</v>
      </c>
      <c r="E23" s="25" t="n">
        <f aca="false">(C23/D23-1)/(0.5-0.25)</f>
        <v>0.0433435203889268</v>
      </c>
      <c r="F23" s="26" t="n">
        <f aca="false">D37</f>
        <v>34.3</v>
      </c>
      <c r="G23" s="25" t="n">
        <f aca="false">E23+F23/10000</f>
        <v>0.0467735203889268</v>
      </c>
      <c r="H23" s="27" t="n">
        <f aca="false">H22/(1+G23*(0.5-0.25))</f>
        <v>0.978853637202636</v>
      </c>
      <c r="I23" s="28" t="s">
        <v>106</v>
      </c>
    </row>
    <row r="24" customFormat="false" ht="15" hidden="false" customHeight="true" outlineLevel="0" collapsed="false">
      <c r="A24" s="23" t="s">
        <v>30</v>
      </c>
      <c r="B24" s="23" t="n">
        <v>1</v>
      </c>
      <c r="C24" s="24" t="n">
        <f aca="false">D8</f>
        <v>0.978693</v>
      </c>
      <c r="D24" s="24" t="n">
        <f aca="false">E8</f>
        <v>0.957768</v>
      </c>
      <c r="E24" s="25" t="n">
        <f aca="false">(C24/D24-1)/(1-0.5)</f>
        <v>0.0436953416693813</v>
      </c>
      <c r="F24" s="26" t="n">
        <f aca="false">E37</f>
        <v>31.4</v>
      </c>
      <c r="G24" s="25" t="n">
        <f aca="false">E24+F24/10000</f>
        <v>0.0468353416693813</v>
      </c>
      <c r="H24" s="27" t="n">
        <f aca="false">H23/(1+G24*(1-0.5))</f>
        <v>0.95645567308242</v>
      </c>
      <c r="I24" s="28" t="s">
        <v>107</v>
      </c>
    </row>
    <row r="25" customFormat="false" ht="15" hidden="false" customHeight="true" outlineLevel="0" collapsed="false">
      <c r="A25" s="23" t="s">
        <v>76</v>
      </c>
      <c r="B25" s="23" t="n">
        <v>2</v>
      </c>
      <c r="C25" s="24" t="n">
        <f aca="false">E8</f>
        <v>0.957768</v>
      </c>
      <c r="D25" s="24" t="n">
        <f aca="false">F8</f>
        <v>0.917044</v>
      </c>
      <c r="E25" s="25" t="n">
        <f aca="false">(C25/D25-1)/(2-1)</f>
        <v>0.0444079019109225</v>
      </c>
      <c r="F25" s="26" t="n">
        <f aca="false">F37</f>
        <v>-21.7</v>
      </c>
      <c r="G25" s="25" t="n">
        <f aca="false">E25+F25/10000</f>
        <v>0.0422379019109225</v>
      </c>
      <c r="H25" s="27" t="n">
        <f aca="false">H24/(1+G25*(2-1))</f>
        <v>0.917694195661832</v>
      </c>
      <c r="I25" s="28" t="s">
        <v>108</v>
      </c>
    </row>
    <row r="26" customFormat="false" ht="15" hidden="false" customHeight="true" outlineLevel="0" collapsed="false">
      <c r="A26" s="23" t="s">
        <v>77</v>
      </c>
      <c r="B26" s="23" t="n">
        <v>3</v>
      </c>
      <c r="C26" s="24" t="n">
        <f aca="false">F8</f>
        <v>0.917044</v>
      </c>
      <c r="D26" s="24" t="n">
        <f aca="false">G8</f>
        <v>0.877788</v>
      </c>
      <c r="E26" s="25" t="n">
        <f aca="false">(C26/D26-1)/(3-2)</f>
        <v>0.0447215045090614</v>
      </c>
      <c r="F26" s="26" t="n">
        <f aca="false">G37</f>
        <v>-13</v>
      </c>
      <c r="G26" s="25" t="n">
        <f aca="false">E26+F26/10000</f>
        <v>0.0434215045090614</v>
      </c>
      <c r="H26" s="27" t="n">
        <f aca="false">H25/(1+G26*(3-2))</f>
        <v>0.879504775103917</v>
      </c>
      <c r="I26" s="28" t="s">
        <v>109</v>
      </c>
    </row>
    <row r="27" customFormat="false" ht="15" hidden="false" customHeight="true" outlineLevel="0" collapsed="false">
      <c r="A27" s="23" t="s">
        <v>78</v>
      </c>
      <c r="B27" s="23" t="n">
        <v>5</v>
      </c>
      <c r="C27" s="24" t="n">
        <f aca="false">G8</f>
        <v>0.877788</v>
      </c>
      <c r="D27" s="24" t="n">
        <f aca="false">H8</f>
        <v>0.803523</v>
      </c>
      <c r="E27" s="25" t="n">
        <f aca="false">(C27/D27-1)/(5-3)</f>
        <v>0.0462121183836679</v>
      </c>
      <c r="F27" s="26" t="n">
        <f aca="false">H37</f>
        <v>6.1</v>
      </c>
      <c r="G27" s="25" t="n">
        <f aca="false">E27+F27/10000</f>
        <v>0.0468221183836679</v>
      </c>
      <c r="H27" s="27" t="n">
        <f aca="false">H26/(1+G27*(5-3))</f>
        <v>0.804196415557964</v>
      </c>
      <c r="I27" s="28" t="s">
        <v>110</v>
      </c>
    </row>
    <row r="28" customFormat="false" ht="15" hidden="false" customHeight="true" outlineLevel="0" collapsed="false">
      <c r="A28" s="23" t="s">
        <v>79</v>
      </c>
      <c r="B28" s="23" t="n">
        <v>10</v>
      </c>
      <c r="C28" s="24" t="n">
        <f aca="false">H8</f>
        <v>0.803523</v>
      </c>
      <c r="D28" s="24" t="n">
        <f aca="false">I8</f>
        <v>0.640824</v>
      </c>
      <c r="E28" s="25" t="n">
        <f aca="false">(C28/D28-1)/(10-5)</f>
        <v>0.0507780607467885</v>
      </c>
      <c r="F28" s="26" t="n">
        <f aca="false">I37</f>
        <v>2.9</v>
      </c>
      <c r="G28" s="25" t="n">
        <f aca="false">E28+F28/10000</f>
        <v>0.0510680607467885</v>
      </c>
      <c r="H28" s="27" t="n">
        <f aca="false">H27/(1+G28*(10-5))</f>
        <v>0.640620247088319</v>
      </c>
      <c r="I28" s="28" t="s">
        <v>111</v>
      </c>
    </row>
    <row r="29" customFormat="false" ht="15" hidden="false" customHeight="true" outlineLevel="0" collapsed="false">
      <c r="A29" s="23" t="s">
        <v>80</v>
      </c>
      <c r="B29" s="23" t="n">
        <v>20</v>
      </c>
      <c r="C29" s="24" t="n">
        <f aca="false">I8</f>
        <v>0.640824</v>
      </c>
      <c r="D29" s="24" t="n">
        <f aca="false">J8</f>
        <v>0.410656</v>
      </c>
      <c r="E29" s="25" t="n">
        <f aca="false">(C29/D29-1)/(20-10)</f>
        <v>0.0560488584119068</v>
      </c>
      <c r="F29" s="26" t="n">
        <f aca="false">J37</f>
        <v>2.1</v>
      </c>
      <c r="G29" s="25" t="n">
        <f aca="false">E29+F29/10000</f>
        <v>0.0562588584119068</v>
      </c>
      <c r="H29" s="27" t="n">
        <f aca="false">H28/(1+G29*(20-10))</f>
        <v>0.40997371515387</v>
      </c>
      <c r="I29" s="28" t="s">
        <v>112</v>
      </c>
    </row>
    <row r="30" customFormat="false" ht="15" hidden="false" customHeight="true" outlineLevel="0" collapsed="false">
      <c r="A30" s="23" t="s">
        <v>81</v>
      </c>
      <c r="B30" s="23" t="n">
        <v>30</v>
      </c>
      <c r="C30" s="24" t="n">
        <f aca="false">J8</f>
        <v>0.410656</v>
      </c>
      <c r="D30" s="24" t="n">
        <f aca="false">K8</f>
        <v>0.263158</v>
      </c>
      <c r="E30" s="25" t="n">
        <f aca="false">(C30/D30-1)/(30-20)</f>
        <v>0.056049217580313</v>
      </c>
      <c r="F30" s="26" t="n">
        <f aca="false">K37</f>
        <v>1.2</v>
      </c>
      <c r="G30" s="25" t="n">
        <f aca="false">E30+F30/10000</f>
        <v>0.056169217580313</v>
      </c>
      <c r="H30" s="27" t="n">
        <f aca="false">H29/(1+G30*(30-20))</f>
        <v>0.262518901935993</v>
      </c>
      <c r="I30" s="28" t="s">
        <v>113</v>
      </c>
    </row>
    <row r="32" customFormat="false" ht="15" hidden="false" customHeight="true" outlineLevel="0" collapsed="false">
      <c r="A32" s="16" t="s">
        <v>114</v>
      </c>
    </row>
    <row r="34" customFormat="false" ht="19.5" hidden="false" customHeight="true" outlineLevel="0" collapsed="false">
      <c r="A34" s="17" t="s">
        <v>115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M34" s="17" t="s">
        <v>116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6" customFormat="false" ht="15" hidden="false" customHeight="true" outlineLevel="0" collapsed="false">
      <c r="A36" s="29" t="s">
        <v>117</v>
      </c>
      <c r="B36" s="29"/>
      <c r="C36" s="12" t="s">
        <v>74</v>
      </c>
      <c r="D36" s="12" t="s">
        <v>75</v>
      </c>
      <c r="E36" s="12" t="s">
        <v>30</v>
      </c>
      <c r="F36" s="12" t="s">
        <v>76</v>
      </c>
      <c r="G36" s="12" t="s">
        <v>77</v>
      </c>
      <c r="H36" s="12" t="s">
        <v>78</v>
      </c>
      <c r="I36" s="12" t="s">
        <v>79</v>
      </c>
      <c r="J36" s="12" t="s">
        <v>80</v>
      </c>
      <c r="K36" s="12" t="s">
        <v>81</v>
      </c>
      <c r="M36" s="29" t="s">
        <v>117</v>
      </c>
      <c r="N36" s="29"/>
      <c r="O36" s="12" t="s">
        <v>74</v>
      </c>
      <c r="P36" s="12" t="s">
        <v>75</v>
      </c>
      <c r="Q36" s="12" t="s">
        <v>30</v>
      </c>
      <c r="R36" s="12" t="s">
        <v>76</v>
      </c>
      <c r="S36" s="12" t="s">
        <v>77</v>
      </c>
      <c r="T36" s="12" t="s">
        <v>78</v>
      </c>
      <c r="U36" s="12" t="s">
        <v>79</v>
      </c>
      <c r="V36" s="12" t="s">
        <v>80</v>
      </c>
      <c r="W36" s="12" t="s">
        <v>81</v>
      </c>
    </row>
    <row r="37" customFormat="false" ht="15" hidden="false" customHeight="true" outlineLevel="0" collapsed="false">
      <c r="A37" s="9" t="s">
        <v>42</v>
      </c>
      <c r="B37" s="30" t="s">
        <v>43</v>
      </c>
      <c r="C37" s="31" t="n">
        <v>-40.9</v>
      </c>
      <c r="D37" s="31" t="n">
        <v>34.3</v>
      </c>
      <c r="E37" s="31" t="n">
        <v>31.4</v>
      </c>
      <c r="F37" s="31" t="n">
        <v>-21.7</v>
      </c>
      <c r="G37" s="31" t="n">
        <v>-13</v>
      </c>
      <c r="H37" s="31" t="n">
        <v>6.1</v>
      </c>
      <c r="I37" s="31" t="n">
        <v>2.9</v>
      </c>
      <c r="J37" s="31" t="n">
        <v>2.1</v>
      </c>
      <c r="K37" s="31" t="n">
        <v>1.2</v>
      </c>
      <c r="M37" s="4" t="s">
        <v>42</v>
      </c>
      <c r="N37" s="30" t="s">
        <v>43</v>
      </c>
      <c r="O37" s="32" t="n">
        <f aca="false">1/(1+(((1/C8-1)/(0.25-0))+C37/10000)*(0.25-0))</f>
        <v>0.990299744842005</v>
      </c>
      <c r="P37" s="32" t="n">
        <f aca="false">O37/(1+(((C8/D8-1)/(0.5-0.25))+D37/10000)*(0.5-0.25))</f>
        <v>0.978853637202636</v>
      </c>
      <c r="Q37" s="32" t="n">
        <f aca="false">P37/(1+(((D8/E8-1)/(1-0.5))+E37/10000)*(1-0.5))</f>
        <v>0.95645567308242</v>
      </c>
      <c r="R37" s="32" t="n">
        <f aca="false">Q37/(1+(((E8/F8-1)/(2-1))+F37/10000)*(2-1))</f>
        <v>0.917694195661832</v>
      </c>
      <c r="S37" s="32" t="n">
        <f aca="false">R37/(1+(((F8/G8-1)/(3-2))+G37/10000)*(3-2))</f>
        <v>0.879504775103917</v>
      </c>
      <c r="T37" s="32" t="n">
        <f aca="false">S37/(1+(((G8/H8-1)/(5-3))+H37/10000)*(5-3))</f>
        <v>0.804196415557964</v>
      </c>
      <c r="U37" s="32" t="n">
        <f aca="false">T37/(1+(((H8/I8-1)/(10-5))+I37/10000)*(10-5))</f>
        <v>0.640620247088319</v>
      </c>
      <c r="V37" s="32" t="n">
        <f aca="false">U37/(1+(((I8/J8-1)/(20-10))+J37/10000)*(20-10))</f>
        <v>0.40997371515387</v>
      </c>
      <c r="W37" s="32" t="n">
        <f aca="false">V37/(1+(((J8/K8-1)/(30-20))+K37/10000)*(30-20))</f>
        <v>0.262518901935993</v>
      </c>
    </row>
    <row r="38" customFormat="false" ht="15" hidden="false" customHeight="true" outlineLevel="0" collapsed="false">
      <c r="A38" s="9" t="s">
        <v>52</v>
      </c>
      <c r="B38" s="30" t="s">
        <v>43</v>
      </c>
      <c r="C38" s="31" t="n">
        <v>-35.5</v>
      </c>
      <c r="D38" s="31" t="n">
        <v>31.9</v>
      </c>
      <c r="E38" s="31" t="n">
        <v>24.1</v>
      </c>
      <c r="F38" s="31" t="n">
        <v>18.3</v>
      </c>
      <c r="G38" s="31" t="n">
        <v>-8.9</v>
      </c>
      <c r="H38" s="31" t="n">
        <v>5.7</v>
      </c>
      <c r="I38" s="31" t="n">
        <v>2.8</v>
      </c>
      <c r="J38" s="31" t="n">
        <v>1.3</v>
      </c>
      <c r="K38" s="31" t="n">
        <v>0.6</v>
      </c>
      <c r="M38" s="4" t="s">
        <v>52</v>
      </c>
      <c r="N38" s="30" t="s">
        <v>43</v>
      </c>
      <c r="O38" s="32" t="n">
        <f aca="false">1/(1+(((1/C9-1)/(0.25-0))+C38/10000)*(0.25-0))</f>
        <v>0.993145604253917</v>
      </c>
      <c r="P38" s="32" t="n">
        <f aca="false">O38/(1+(((C9/D9-1)/(0.5-0.25))+D38/10000)*(0.5-0.25))</f>
        <v>0.984671636516035</v>
      </c>
      <c r="Q38" s="32" t="n">
        <f aca="false">P38/(1+(((D9/E9-1)/(1-0.5))+E38/10000)*(1-0.5))</f>
        <v>0.968268575053369</v>
      </c>
      <c r="R38" s="32" t="n">
        <f aca="false">Q38/(1+(((E9/F9-1)/(2-1))+F38/10000)*(2-1))</f>
        <v>0.936629472818505</v>
      </c>
      <c r="S38" s="32" t="n">
        <f aca="false">R38/(1+(((F9/G9-1)/(3-2))+G38/10000)*(3-2))</f>
        <v>0.908141511368365</v>
      </c>
      <c r="T38" s="32" t="n">
        <f aca="false">S38/(1+(((G9/H9-1)/(5-3))+H38/10000)*(5-3))</f>
        <v>0.850591982350296</v>
      </c>
      <c r="U38" s="32" t="n">
        <f aca="false">T38/(1+(((H9/I9-1)/(10-5))+I38/10000)*(10-5))</f>
        <v>0.719457009728903</v>
      </c>
      <c r="V38" s="32" t="n">
        <f aca="false">U38/(1+(((I9/J9-1)/(20-10))+J38/10000)*(20-10))</f>
        <v>0.519340036974825</v>
      </c>
      <c r="W38" s="32" t="n">
        <f aca="false">V38/(1+(((J9/K9-1)/(30-20))+K38/10000)*(30-20))</f>
        <v>0.375074269735307</v>
      </c>
    </row>
    <row r="39" customFormat="false" ht="15" hidden="false" customHeight="true" outlineLevel="0" collapsed="false">
      <c r="A39" s="9" t="s">
        <v>45</v>
      </c>
      <c r="B39" s="30" t="s">
        <v>38</v>
      </c>
      <c r="C39" s="31" t="n">
        <v>49.9</v>
      </c>
      <c r="D39" s="31" t="n">
        <v>46.7</v>
      </c>
      <c r="E39" s="31" t="n">
        <v>-34.6</v>
      </c>
      <c r="F39" s="31" t="n">
        <v>21.6</v>
      </c>
      <c r="G39" s="31" t="n">
        <v>13</v>
      </c>
      <c r="H39" s="31" t="n">
        <v>7.2</v>
      </c>
      <c r="I39" s="31" t="n">
        <v>4.1</v>
      </c>
      <c r="J39" s="31" t="n">
        <v>1.9</v>
      </c>
      <c r="K39" s="31" t="n">
        <v>1.2</v>
      </c>
      <c r="M39" s="4" t="s">
        <v>45</v>
      </c>
      <c r="N39" s="30" t="s">
        <v>38</v>
      </c>
      <c r="O39" s="32" t="n">
        <f aca="false">1/(1+(((1/C10-1)/(0.25-0))+C39/10000)*(0.25-0))</f>
        <v>0.988325952493749</v>
      </c>
      <c r="P39" s="32" t="n">
        <f aca="false">O39/(1+(((C10/D10-1)/(0.5-0.25))+D39/10000)*(0.5-0.25))</f>
        <v>0.976846207381304</v>
      </c>
      <c r="Q39" s="32" t="n">
        <f aca="false">P39/(1+(((D10/E10-1)/(1-0.5))+E39/10000)*(1-0.5))</f>
        <v>0.958061825595622</v>
      </c>
      <c r="R39" s="32" t="n">
        <f aca="false">Q39/(1+(((E10/F10-1)/(2-1))+F39/10000)*(2-1))</f>
        <v>0.916346384257527</v>
      </c>
      <c r="S39" s="32" t="n">
        <f aca="false">R39/(1+(((F10/G10-1)/(3-2))+G39/10000)*(3-2))</f>
        <v>0.876905146898167</v>
      </c>
      <c r="T39" s="32" t="n">
        <f aca="false">S39/(1+(((G10/H10-1)/(5-3))+H39/10000)*(5-3))</f>
        <v>0.80326054142634</v>
      </c>
      <c r="U39" s="32" t="n">
        <f aca="false">T39/(1+(((H10/I10-1)/(10-5))+I39/10000)*(10-5))</f>
        <v>0.642770783397353</v>
      </c>
      <c r="V39" s="32" t="n">
        <f aca="false">U39/(1+(((I10/J10-1)/(20-10))+J39/10000)*(20-10))</f>
        <v>0.415532027986881</v>
      </c>
      <c r="W39" s="32" t="n">
        <f aca="false">V39/(1+(((J10/K10-1)/(30-20))+K39/10000)*(30-20))</f>
        <v>0.268750628063382</v>
      </c>
    </row>
    <row r="40" customFormat="false" ht="15" hidden="false" customHeight="true" outlineLevel="0" collapsed="false">
      <c r="A40" s="9" t="s">
        <v>37</v>
      </c>
      <c r="B40" s="30" t="s">
        <v>38</v>
      </c>
      <c r="C40" s="31" t="n">
        <v>75.2</v>
      </c>
      <c r="D40" s="31" t="n">
        <v>60.7</v>
      </c>
      <c r="E40" s="31" t="n">
        <v>51.5</v>
      </c>
      <c r="F40" s="31" t="n">
        <v>44.3</v>
      </c>
      <c r="G40" s="31" t="n">
        <v>26.8</v>
      </c>
      <c r="H40" s="31" t="n">
        <v>15.7</v>
      </c>
      <c r="I40" s="31" t="n">
        <v>-6.2</v>
      </c>
      <c r="J40" s="31" t="n">
        <v>3.8</v>
      </c>
      <c r="K40" s="31" t="n">
        <v>2.5</v>
      </c>
      <c r="M40" s="4" t="s">
        <v>37</v>
      </c>
      <c r="N40" s="30" t="s">
        <v>38</v>
      </c>
      <c r="O40" s="32" t="n">
        <f aca="false">1/(1+(((1/C11-1)/(0.25-0))+C40/10000)*(0.25-0))</f>
        <v>0.986723187625324</v>
      </c>
      <c r="P40" s="32" t="n">
        <f aca="false">O40/(1+(((C11/D11-1)/(0.5-0.25))+D40/10000)*(0.5-0.25))</f>
        <v>0.973952175411425</v>
      </c>
      <c r="Q40" s="32" t="n">
        <f aca="false">P40/(1+(((D11/E11-1)/(1-0.5))+E40/10000)*(1-0.5))</f>
        <v>0.949311346582243</v>
      </c>
      <c r="R40" s="32" t="n">
        <f aca="false">Q40/(1+(((E11/F11-1)/(2-1))+F40/10000)*(2-1))</f>
        <v>0.902407739231667</v>
      </c>
      <c r="S40" s="32" t="n">
        <f aca="false">R40/(1+(((F11/G11-1)/(3-2))+G40/10000)*(3-2))</f>
        <v>0.858994702536728</v>
      </c>
      <c r="T40" s="32" t="n">
        <f aca="false">S40/(1+(((G11/H11-1)/(5-3))+H40/10000)*(5-3))</f>
        <v>0.779388404169136</v>
      </c>
      <c r="U40" s="32" t="n">
        <f aca="false">T40/(1+(((H11/I11-1)/(10-5))+I40/10000)*(10-5))</f>
        <v>0.613817400592048</v>
      </c>
      <c r="V40" s="32" t="n">
        <f aca="false">U40/(1+(((I11/J11-1)/(20-10))+J40/10000)*(20-10))</f>
        <v>0.380823931202804</v>
      </c>
      <c r="W40" s="32" t="n">
        <f aca="false">V40/(1+(((J11/K11-1)/(30-20))+K40/10000)*(30-20))</f>
        <v>0.236460642536442</v>
      </c>
    </row>
    <row r="41" customFormat="false" ht="15" hidden="false" customHeight="true" outlineLevel="0" collapsed="false">
      <c r="A41" s="9" t="s">
        <v>40</v>
      </c>
      <c r="B41" s="30" t="s">
        <v>38</v>
      </c>
      <c r="C41" s="31" t="n">
        <v>64.8</v>
      </c>
      <c r="D41" s="31" t="n">
        <v>54.8</v>
      </c>
      <c r="E41" s="31" t="n">
        <v>47.2</v>
      </c>
      <c r="F41" s="31" t="n">
        <v>28</v>
      </c>
      <c r="G41" s="31" t="n">
        <v>18.8</v>
      </c>
      <c r="H41" s="31" t="n">
        <v>10.1</v>
      </c>
      <c r="I41" s="31" t="n">
        <v>5.2</v>
      </c>
      <c r="J41" s="31" t="n">
        <v>3</v>
      </c>
      <c r="K41" s="31" t="n">
        <v>-1.8</v>
      </c>
      <c r="M41" s="4" t="s">
        <v>40</v>
      </c>
      <c r="N41" s="30" t="s">
        <v>38</v>
      </c>
      <c r="O41" s="32" t="n">
        <f aca="false">1/(1+(((1/C12-1)/(0.25-0))+C41/10000)*(0.25-0))</f>
        <v>0.990184095473313</v>
      </c>
      <c r="P41" s="32" t="n">
        <f aca="false">O41/(1+(((C12/D12-1)/(0.5-0.25))+D41/10000)*(0.5-0.25))</f>
        <v>0.980687747225983</v>
      </c>
      <c r="Q41" s="32" t="n">
        <f aca="false">P41/(1+(((D12/E12-1)/(1-0.5))+E41/10000)*(1-0.5))</f>
        <v>0.962297088758501</v>
      </c>
      <c r="R41" s="32" t="n">
        <f aca="false">Q41/(1+(((E12/F12-1)/(2-1))+F41/10000)*(2-1))</f>
        <v>0.928127460760787</v>
      </c>
      <c r="S41" s="32" t="n">
        <f aca="false">R41/(1+(((F12/G12-1)/(3-2))+G41/10000)*(3-2))</f>
        <v>0.89569838707071</v>
      </c>
      <c r="T41" s="32" t="n">
        <f aca="false">S41/(1+(((G12/H12-1)/(5-3))+H41/10000)*(5-3))</f>
        <v>0.834905671905509</v>
      </c>
      <c r="U41" s="32" t="n">
        <f aca="false">T41/(1+(((H12/I12-1)/(10-5))+I41/10000)*(10-5))</f>
        <v>0.6984690236456</v>
      </c>
      <c r="V41" s="32" t="n">
        <f aca="false">U41/(1+(((I12/J12-1)/(20-10))+J41/10000)*(20-10))</f>
        <v>0.493621379082153</v>
      </c>
      <c r="W41" s="32" t="n">
        <f aca="false">V41/(1+(((J12/K12-1)/(30-20))+K41/10000)*(30-20))</f>
        <v>0.350038608450848</v>
      </c>
    </row>
    <row r="42" customFormat="false" ht="15" hidden="false" customHeight="true" outlineLevel="0" collapsed="false">
      <c r="A42" s="9" t="s">
        <v>49</v>
      </c>
      <c r="B42" s="30" t="s">
        <v>50</v>
      </c>
      <c r="C42" s="31" t="n">
        <v>23.9</v>
      </c>
      <c r="D42" s="31" t="n">
        <v>26.9</v>
      </c>
      <c r="E42" s="31" t="n">
        <v>18.9</v>
      </c>
      <c r="F42" s="31" t="n">
        <v>16.3</v>
      </c>
      <c r="G42" s="31" t="n">
        <v>11</v>
      </c>
      <c r="H42" s="31" t="n">
        <v>5.2</v>
      </c>
      <c r="I42" s="31" t="n">
        <v>3.4</v>
      </c>
      <c r="J42" s="31" t="n">
        <v>1.9</v>
      </c>
      <c r="K42" s="31" t="n">
        <v>1.2</v>
      </c>
      <c r="M42" s="4" t="s">
        <v>49</v>
      </c>
      <c r="N42" s="30" t="s">
        <v>50</v>
      </c>
      <c r="O42" s="32" t="n">
        <f aca="false">1/(1+(((1/C13-1)/(0.25-0))+C42/10000)*(0.25-0))</f>
        <v>0.989455687984974</v>
      </c>
      <c r="P42" s="32" t="n">
        <f aca="false">O42/(1+(((C13/D13-1)/(0.5-0.25))+D42/10000)*(0.5-0.25))</f>
        <v>0.978930766579769</v>
      </c>
      <c r="Q42" s="32" t="n">
        <f aca="false">P42/(1+(((D13/E13-1)/(1-0.5))+E42/10000)*(1-0.5))</f>
        <v>0.958550489609229</v>
      </c>
      <c r="R42" s="32" t="n">
        <f aca="false">Q42/(1+(((E13/F13-1)/(2-1))+F42/10000)*(2-1))</f>
        <v>0.919112756624303</v>
      </c>
      <c r="S42" s="32" t="n">
        <f aca="false">R42/(1+(((F13/G13-1)/(3-2))+G42/10000)*(3-2))</f>
        <v>0.881480618510627</v>
      </c>
      <c r="T42" s="32" t="n">
        <f aca="false">S42/(1+(((G13/H13-1)/(5-3))+H42/10000)*(5-3))</f>
        <v>0.810981547863511</v>
      </c>
      <c r="U42" s="32" t="n">
        <f aca="false">T42/(1+(((H13/I13-1)/(10-5))+I42/10000)*(10-5))</f>
        <v>0.65564525477019</v>
      </c>
      <c r="V42" s="32" t="n">
        <f aca="false">U42/(1+(((I13/J13-1)/(20-10))+J42/10000)*(20-10))</f>
        <v>0.432406354327059</v>
      </c>
      <c r="W42" s="32" t="n">
        <f aca="false">V42/(1+(((J13/K13-1)/(30-20))+K42/10000)*(30-20))</f>
        <v>0.285309530116098</v>
      </c>
    </row>
    <row r="44" customFormat="false" ht="15" hidden="false" customHeight="true" outlineLevel="0" collapsed="false">
      <c r="A44" s="29" t="s">
        <v>118</v>
      </c>
      <c r="B44" s="29"/>
      <c r="C44" s="12" t="s">
        <v>74</v>
      </c>
      <c r="D44" s="12" t="s">
        <v>75</v>
      </c>
      <c r="E44" s="12" t="s">
        <v>30</v>
      </c>
      <c r="F44" s="12" t="s">
        <v>76</v>
      </c>
      <c r="G44" s="12" t="s">
        <v>77</v>
      </c>
      <c r="H44" s="12" t="s">
        <v>78</v>
      </c>
      <c r="I44" s="12" t="s">
        <v>79</v>
      </c>
      <c r="J44" s="12" t="s">
        <v>80</v>
      </c>
      <c r="K44" s="12" t="s">
        <v>81</v>
      </c>
      <c r="M44" s="29" t="s">
        <v>118</v>
      </c>
      <c r="N44" s="29"/>
      <c r="O44" s="12" t="s">
        <v>74</v>
      </c>
      <c r="P44" s="12" t="s">
        <v>75</v>
      </c>
      <c r="Q44" s="12" t="s">
        <v>30</v>
      </c>
      <c r="R44" s="12" t="s">
        <v>76</v>
      </c>
      <c r="S44" s="12" t="s">
        <v>77</v>
      </c>
      <c r="T44" s="12" t="s">
        <v>78</v>
      </c>
      <c r="U44" s="12" t="s">
        <v>79</v>
      </c>
      <c r="V44" s="12" t="s">
        <v>80</v>
      </c>
      <c r="W44" s="12" t="s">
        <v>81</v>
      </c>
    </row>
    <row r="45" customFormat="false" ht="15" hidden="false" customHeight="true" outlineLevel="0" collapsed="false">
      <c r="A45" s="9" t="s">
        <v>42</v>
      </c>
      <c r="B45" s="30" t="s">
        <v>43</v>
      </c>
      <c r="C45" s="31" t="n">
        <v>45.8</v>
      </c>
      <c r="D45" s="31" t="n">
        <v>45.7</v>
      </c>
      <c r="E45" s="31" t="n">
        <v>34.7</v>
      </c>
      <c r="F45" s="31" t="n">
        <v>25.1</v>
      </c>
      <c r="G45" s="31" t="n">
        <v>14.8</v>
      </c>
      <c r="H45" s="31" t="n">
        <v>7.9</v>
      </c>
      <c r="I45" s="31" t="n">
        <v>4.1</v>
      </c>
      <c r="J45" s="31" t="n">
        <v>2.4</v>
      </c>
      <c r="K45" s="31" t="n">
        <v>1.4</v>
      </c>
      <c r="M45" s="4" t="s">
        <v>42</v>
      </c>
      <c r="N45" s="30" t="s">
        <v>43</v>
      </c>
      <c r="O45" s="32" t="n">
        <f aca="false">1/(1+(((1/C8-1)/(0.25-0))+C45/10000)*(0.25-0))</f>
        <v>0.988178644385769</v>
      </c>
      <c r="P45" s="32" t="n">
        <f aca="false">O45/(1+(((C8/D8-1)/(0.5-0.25))+D45/10000)*(0.5-0.25))</f>
        <v>0.976481972165081</v>
      </c>
      <c r="Q45" s="32" t="n">
        <f aca="false">P45/(1+(((D8/E8-1)/(1-0.5))+E45/10000)*(1-0.5))</f>
        <v>0.953984470417811</v>
      </c>
      <c r="R45" s="32" t="n">
        <f aca="false">Q45/(1+(((E8/F8-1)/(2-1))+F45/10000)*(2-1))</f>
        <v>0.911231404751527</v>
      </c>
      <c r="S45" s="32" t="n">
        <f aca="false">R45/(1+(((F8/G8-1)/(3-2))+G45/10000)*(3-2))</f>
        <v>0.870990340602817</v>
      </c>
      <c r="T45" s="32" t="n">
        <f aca="false">S45/(1+(((G8/H8-1)/(5-3))+H45/10000)*(5-3))</f>
        <v>0.796148964812513</v>
      </c>
      <c r="U45" s="32" t="n">
        <f aca="false">T45/(1+(((H8/I8-1)/(10-5))+I45/10000)*(10-5))</f>
        <v>0.63390669321268</v>
      </c>
      <c r="V45" s="32" t="n">
        <f aca="false">U45/(1+(((I8/J8-1)/(20-10))+J45/10000)*(20-10))</f>
        <v>0.40559941358199</v>
      </c>
      <c r="W45" s="32" t="n">
        <f aca="false">V45/(1+(((J8/K8-1)/(30-20))+K45/10000)*(30-20))</f>
        <v>0.259684643962973</v>
      </c>
    </row>
    <row r="46" customFormat="false" ht="15" hidden="false" customHeight="true" outlineLevel="0" collapsed="false">
      <c r="A46" s="9" t="s">
        <v>52</v>
      </c>
      <c r="B46" s="30" t="s">
        <v>43</v>
      </c>
      <c r="C46" s="31" t="n">
        <v>34.7</v>
      </c>
      <c r="D46" s="31" t="n">
        <v>37.4</v>
      </c>
      <c r="E46" s="31" t="n">
        <v>-28.1</v>
      </c>
      <c r="F46" s="31" t="n">
        <v>20.8</v>
      </c>
      <c r="G46" s="31" t="n">
        <v>10.6</v>
      </c>
      <c r="H46" s="31" t="n">
        <v>5.6</v>
      </c>
      <c r="I46" s="31" t="n">
        <v>-3.3</v>
      </c>
      <c r="J46" s="31" t="n">
        <v>1.5</v>
      </c>
      <c r="K46" s="31" t="n">
        <v>0.7</v>
      </c>
      <c r="M46" s="4" t="s">
        <v>52</v>
      </c>
      <c r="N46" s="30" t="s">
        <v>43</v>
      </c>
      <c r="O46" s="32" t="n">
        <f aca="false">1/(1+(((1/C9-1)/(0.25-0))+C46/10000)*(0.25-0))</f>
        <v>0.99141759260167</v>
      </c>
      <c r="P46" s="32" t="n">
        <f aca="false">O46/(1+(((C9/D9-1)/(0.5-0.25))+D46/10000)*(0.5-0.25))</f>
        <v>0.982824383750023</v>
      </c>
      <c r="Q46" s="32" t="n">
        <f aca="false">P46/(1+(((D9/E9-1)/(1-0.5))+E46/10000)*(1-0.5))</f>
        <v>0.968938897143004</v>
      </c>
      <c r="R46" s="32" t="n">
        <f aca="false">Q46/(1+(((E9/F9-1)/(2-1))+F46/10000)*(2-1))</f>
        <v>0.937051283433405</v>
      </c>
      <c r="S46" s="32" t="n">
        <f aca="false">R46/(1+(((F9/G9-1)/(3-2))+G46/10000)*(3-2))</f>
        <v>0.906835946817593</v>
      </c>
      <c r="T46" s="32" t="n">
        <f aca="false">S46/(1+(((G9/H9-1)/(5-3))+H46/10000)*(5-3))</f>
        <v>0.849385063469144</v>
      </c>
      <c r="U46" s="32" t="n">
        <f aca="false">T46/(1+(((H9/I9-1)/(10-5))+I46/10000)*(10-5))</f>
        <v>0.720294364531124</v>
      </c>
      <c r="V46" s="32" t="n">
        <f aca="false">U46/(1+(((I9/J9-1)/(20-10))+J46/10000)*(20-10))</f>
        <v>0.519869427983886</v>
      </c>
      <c r="W46" s="32" t="n">
        <f aca="false">V46/(1+(((J9/K9-1)/(30-20))+K46/10000)*(30-20))</f>
        <v>0.375429488934394</v>
      </c>
    </row>
    <row r="47" customFormat="false" ht="15" hidden="false" customHeight="true" outlineLevel="0" collapsed="false">
      <c r="A47" s="9" t="s">
        <v>45</v>
      </c>
      <c r="B47" s="30" t="s">
        <v>38</v>
      </c>
      <c r="C47" s="31" t="n">
        <v>53</v>
      </c>
      <c r="D47" s="31" t="n">
        <v>50.5</v>
      </c>
      <c r="E47" s="31" t="n">
        <v>36.1</v>
      </c>
      <c r="F47" s="31" t="n">
        <v>29.7</v>
      </c>
      <c r="G47" s="31" t="n">
        <v>16.7</v>
      </c>
      <c r="H47" s="31" t="n">
        <v>8.5</v>
      </c>
      <c r="I47" s="31" t="n">
        <v>4.5</v>
      </c>
      <c r="J47" s="31" t="n">
        <v>2.2</v>
      </c>
      <c r="K47" s="31" t="n">
        <v>1.4</v>
      </c>
      <c r="M47" s="4" t="s">
        <v>45</v>
      </c>
      <c r="N47" s="30" t="s">
        <v>38</v>
      </c>
      <c r="O47" s="32" t="n">
        <f aca="false">1/(1+(((1/C10-1)/(0.25-0))+C47/10000)*(0.25-0))</f>
        <v>0.988250257207051</v>
      </c>
      <c r="P47" s="32" t="n">
        <f aca="false">O47/(1+(((C10/D10-1)/(0.5-0.25))+D47/10000)*(0.5-0.25))</f>
        <v>0.976679684475935</v>
      </c>
      <c r="Q47" s="32" t="n">
        <f aca="false">P47/(1+(((D10/E10-1)/(1-0.5))+E47/10000)*(1-0.5))</f>
        <v>0.954588922832977</v>
      </c>
      <c r="R47" s="32" t="n">
        <f aca="false">Q47/(1+(((E10/F10-1)/(2-1))+F47/10000)*(2-1))</f>
        <v>0.912317895550149</v>
      </c>
      <c r="S47" s="32" t="n">
        <f aca="false">R47/(1+(((F10/G10-1)/(3-2))+G47/10000)*(3-2))</f>
        <v>0.87274103640811</v>
      </c>
      <c r="T47" s="32" t="n">
        <f aca="false">S47/(1+(((G10/H10-1)/(5-3))+H47/10000)*(5-3))</f>
        <v>0.799255788546327</v>
      </c>
      <c r="U47" s="32" t="n">
        <f aca="false">T47/(1+(((H10/I10-1)/(10-5))+I47/10000)*(10-5))</f>
        <v>0.639463831614459</v>
      </c>
      <c r="V47" s="32" t="n">
        <f aca="false">U47/(1+(((I10/J10-1)/(20-10))+J47/10000)*(20-10))</f>
        <v>0.4133140243345</v>
      </c>
      <c r="W47" s="32" t="n">
        <f aca="false">V47/(1+(((J10/K10-1)/(30-20))+K47/10000)*(30-20))</f>
        <v>0.267281532423454</v>
      </c>
    </row>
    <row r="48" customFormat="false" ht="15" hidden="false" customHeight="true" outlineLevel="0" collapsed="false">
      <c r="A48" s="9" t="s">
        <v>37</v>
      </c>
      <c r="B48" s="30" t="s">
        <v>38</v>
      </c>
      <c r="C48" s="31" t="n">
        <v>79.9</v>
      </c>
      <c r="D48" s="31" t="n">
        <v>-82.8</v>
      </c>
      <c r="E48" s="31" t="n">
        <v>61.9</v>
      </c>
      <c r="F48" s="31" t="n">
        <v>-43.5</v>
      </c>
      <c r="G48" s="31" t="n">
        <v>33.6</v>
      </c>
      <c r="H48" s="31" t="n">
        <v>16.8</v>
      </c>
      <c r="I48" s="31" t="n">
        <v>8.2</v>
      </c>
      <c r="J48" s="31" t="n">
        <v>4.2</v>
      </c>
      <c r="K48" s="31" t="n">
        <v>3</v>
      </c>
      <c r="M48" s="4" t="s">
        <v>37</v>
      </c>
      <c r="N48" s="30" t="s">
        <v>38</v>
      </c>
      <c r="O48" s="32" t="n">
        <f aca="false">1/(1+(((1/C11-1)/(0.25-0))+C48/10000)*(0.25-0))</f>
        <v>0.986608800226139</v>
      </c>
      <c r="P48" s="32" t="n">
        <f aca="false">O48/(1+(((C11/D11-1)/(0.5-0.25))+D48/10000)*(0.5-0.25))</f>
        <v>0.977299953632902</v>
      </c>
      <c r="Q48" s="32" t="n">
        <f aca="false">P48/(1+(((D11/E11-1)/(1-0.5))+E48/10000)*(1-0.5))</f>
        <v>0.952091864437955</v>
      </c>
      <c r="R48" s="32" t="n">
        <f aca="false">Q48/(1+(((E11/F11-1)/(2-1))+F48/10000)*(2-1))</f>
        <v>0.912668186063619</v>
      </c>
      <c r="S48" s="32" t="n">
        <f aca="false">R48/(1+(((F11/G11-1)/(3-2))+G48/10000)*(3-2))</f>
        <v>0.868199565826666</v>
      </c>
      <c r="T48" s="32" t="n">
        <f aca="false">S48/(1+(((G11/H11-1)/(5-3))+H48/10000)*(5-3))</f>
        <v>0.787583007017669</v>
      </c>
      <c r="U48" s="32" t="n">
        <f aca="false">T48/(1+(((H11/I11-1)/(10-5))+I48/10000)*(10-5))</f>
        <v>0.616773779165688</v>
      </c>
      <c r="V48" s="32" t="n">
        <f aca="false">U48/(1+(((I11/J11-1)/(20-10))+J48/10000)*(20-10))</f>
        <v>0.382563184640624</v>
      </c>
      <c r="W48" s="32" t="n">
        <f aca="false">V48/(1+(((J11/K11-1)/(30-20))+K48/10000)*(30-20))</f>
        <v>0.237466853469285</v>
      </c>
    </row>
    <row r="49" customFormat="false" ht="15" hidden="false" customHeight="true" outlineLevel="0" collapsed="false">
      <c r="A49" s="9" t="s">
        <v>40</v>
      </c>
      <c r="B49" s="30" t="s">
        <v>38</v>
      </c>
      <c r="C49" s="31" t="n">
        <v>72.6</v>
      </c>
      <c r="D49" s="31" t="n">
        <v>-67.8</v>
      </c>
      <c r="E49" s="31" t="n">
        <v>49</v>
      </c>
      <c r="F49" s="31" t="n">
        <v>37.3</v>
      </c>
      <c r="G49" s="31" t="n">
        <v>20.2</v>
      </c>
      <c r="H49" s="31" t="n">
        <v>11.4</v>
      </c>
      <c r="I49" s="31" t="n">
        <v>5.8</v>
      </c>
      <c r="J49" s="31" t="n">
        <v>3</v>
      </c>
      <c r="K49" s="31" t="n">
        <v>-2.3</v>
      </c>
      <c r="M49" s="4" t="s">
        <v>40</v>
      </c>
      <c r="N49" s="30" t="s">
        <v>38</v>
      </c>
      <c r="O49" s="32" t="n">
        <f aca="false">1/(1+(((1/C12-1)/(0.25-0))+C49/10000)*(0.25-0))</f>
        <v>0.989992941796522</v>
      </c>
      <c r="P49" s="32" t="n">
        <f aca="false">O49/(1+(((C12/D12-1)/(0.5-0.25))+D49/10000)*(0.5-0.25))</f>
        <v>0.983483895590089</v>
      </c>
      <c r="Q49" s="32" t="n">
        <f aca="false">P49/(1+(((D12/E12-1)/(1-0.5))+E49/10000)*(1-0.5))</f>
        <v>0.964955584066973</v>
      </c>
      <c r="R49" s="32" t="n">
        <f aca="false">Q49/(1+(((E12/F12-1)/(2-1))+F49/10000)*(2-1))</f>
        <v>0.929857496195902</v>
      </c>
      <c r="S49" s="32" t="n">
        <f aca="false">R49/(1+(((F12/G12-1)/(3-2))+G49/10000)*(3-2))</f>
        <v>0.897246748976098</v>
      </c>
      <c r="T49" s="32" t="n">
        <f aca="false">S49/(1+(((G12/H12-1)/(5-3))+H49/10000)*(5-3))</f>
        <v>0.836146300779977</v>
      </c>
      <c r="U49" s="32" t="n">
        <f aca="false">T49/(1+(((H12/I12-1)/(10-5))+I49/10000)*(10-5))</f>
        <v>0.699331399440798</v>
      </c>
      <c r="V49" s="32" t="n">
        <f aca="false">U49/(1+(((I12/J12-1)/(20-10))+J49/10000)*(20-10))</f>
        <v>0.494230836502455</v>
      </c>
      <c r="W49" s="32" t="n">
        <f aca="false">V49/(1+(((J12/K12-1)/(30-20))+K49/10000)*(30-20))</f>
        <v>0.350595096781494</v>
      </c>
    </row>
    <row r="50" customFormat="false" ht="15" hidden="false" customHeight="true" outlineLevel="0" collapsed="false">
      <c r="A50" s="9" t="s">
        <v>49</v>
      </c>
      <c r="B50" s="30" t="s">
        <v>50</v>
      </c>
      <c r="C50" s="31" t="n">
        <v>34</v>
      </c>
      <c r="D50" s="31" t="n">
        <v>32.1</v>
      </c>
      <c r="E50" s="31" t="n">
        <v>26.4</v>
      </c>
      <c r="F50" s="31" t="n">
        <v>16.9</v>
      </c>
      <c r="G50" s="31" t="n">
        <v>-11.3</v>
      </c>
      <c r="H50" s="31" t="n">
        <v>6.8</v>
      </c>
      <c r="I50" s="31" t="n">
        <v>3.7</v>
      </c>
      <c r="J50" s="31" t="n">
        <v>2.3</v>
      </c>
      <c r="K50" s="31" t="n">
        <v>1.7</v>
      </c>
      <c r="M50" s="4" t="s">
        <v>49</v>
      </c>
      <c r="N50" s="30" t="s">
        <v>50</v>
      </c>
      <c r="O50" s="32" t="n">
        <f aca="false">1/(1+(((1/C13-1)/(0.25-0))+C50/10000)*(0.25-0))</f>
        <v>0.989208546534173</v>
      </c>
      <c r="P50" s="32" t="n">
        <f aca="false">O50/(1+(((C13/D13-1)/(0.5-0.25))+D50/10000)*(0.5-0.25))</f>
        <v>0.97856039431516</v>
      </c>
      <c r="Q50" s="32" t="n">
        <f aca="false">P50/(1+(((D13/E13-1)/(1-0.5))+E50/10000)*(1-0.5))</f>
        <v>0.957836117465444</v>
      </c>
      <c r="R50" s="32" t="n">
        <f aca="false">Q50/(1+(((E13/F13-1)/(2-1))+F50/10000)*(2-1))</f>
        <v>0.918374940551607</v>
      </c>
      <c r="S50" s="32" t="n">
        <f aca="false">R50/(1+(((F13/G13-1)/(3-2))+G50/10000)*(3-2))</f>
        <v>0.882660753633322</v>
      </c>
      <c r="T50" s="32" t="n">
        <f aca="false">S50/(1+(((G13/H13-1)/(5-3))+H50/10000)*(5-3))</f>
        <v>0.811828290161123</v>
      </c>
      <c r="U50" s="32" t="n">
        <f aca="false">T50/(1+(((H13/I13-1)/(10-5))+I50/10000)*(10-5))</f>
        <v>0.656250228420335</v>
      </c>
      <c r="V50" s="32" t="n">
        <f aca="false">U50/(1+(((I13/J13-1)/(20-10))+J50/10000)*(20-10))</f>
        <v>0.43269119598514</v>
      </c>
      <c r="W50" s="32" t="n">
        <f aca="false">V50/(1+(((J13/K13-1)/(30-20))+K50/10000)*(30-20))</f>
        <v>0.285403316657702</v>
      </c>
    </row>
    <row r="52" customFormat="false" ht="15" hidden="false" customHeight="true" outlineLevel="0" collapsed="false">
      <c r="A52" s="29" t="s">
        <v>119</v>
      </c>
      <c r="B52" s="29"/>
      <c r="C52" s="12" t="s">
        <v>74</v>
      </c>
      <c r="D52" s="12" t="s">
        <v>75</v>
      </c>
      <c r="E52" s="12" t="s">
        <v>30</v>
      </c>
      <c r="F52" s="12" t="s">
        <v>76</v>
      </c>
      <c r="G52" s="12" t="s">
        <v>77</v>
      </c>
      <c r="H52" s="12" t="s">
        <v>78</v>
      </c>
      <c r="I52" s="12" t="s">
        <v>79</v>
      </c>
      <c r="J52" s="12" t="s">
        <v>80</v>
      </c>
      <c r="K52" s="12" t="s">
        <v>81</v>
      </c>
      <c r="M52" s="29" t="s">
        <v>119</v>
      </c>
      <c r="N52" s="29"/>
      <c r="O52" s="12" t="s">
        <v>74</v>
      </c>
      <c r="P52" s="12" t="s">
        <v>75</v>
      </c>
      <c r="Q52" s="12" t="s">
        <v>30</v>
      </c>
      <c r="R52" s="12" t="s">
        <v>76</v>
      </c>
      <c r="S52" s="12" t="s">
        <v>77</v>
      </c>
      <c r="T52" s="12" t="s">
        <v>78</v>
      </c>
      <c r="U52" s="12" t="s">
        <v>79</v>
      </c>
      <c r="V52" s="12" t="s">
        <v>80</v>
      </c>
      <c r="W52" s="12" t="s">
        <v>81</v>
      </c>
    </row>
    <row r="53" customFormat="false" ht="15" hidden="false" customHeight="true" outlineLevel="0" collapsed="false">
      <c r="A53" s="9" t="s">
        <v>42</v>
      </c>
      <c r="B53" s="30" t="s">
        <v>43</v>
      </c>
      <c r="C53" s="31" t="n">
        <v>53.3</v>
      </c>
      <c r="D53" s="31" t="n">
        <v>45.4</v>
      </c>
      <c r="E53" s="31" t="n">
        <v>43</v>
      </c>
      <c r="F53" s="31" t="n">
        <v>26.6</v>
      </c>
      <c r="G53" s="31" t="n">
        <v>16.2</v>
      </c>
      <c r="H53" s="31" t="n">
        <v>8.8</v>
      </c>
      <c r="I53" s="31" t="n">
        <v>4.1</v>
      </c>
      <c r="J53" s="31" t="n">
        <v>2.4</v>
      </c>
      <c r="K53" s="31" t="n">
        <v>1.8</v>
      </c>
      <c r="M53" s="4" t="s">
        <v>42</v>
      </c>
      <c r="N53" s="30" t="s">
        <v>43</v>
      </c>
      <c r="O53" s="32" t="n">
        <f aca="false">1/(1+(((1/C8-1)/(0.25-0))+C53/10000)*(0.25-0))</f>
        <v>0.987995585109903</v>
      </c>
      <c r="P53" s="32" t="n">
        <f aca="false">O53/(1+(((C8/D8-1)/(0.5-0.25))+D53/10000)*(0.5-0.25))</f>
        <v>0.976308315329167</v>
      </c>
      <c r="Q53" s="32" t="n">
        <f aca="false">P53/(1+(((D8/E8-1)/(1-0.5))+E53/10000)*(1-0.5))</f>
        <v>0.953428257833193</v>
      </c>
      <c r="R53" s="32" t="n">
        <f aca="false">Q53/(1+(((E8/F8-1)/(2-1))+F53/10000)*(2-1))</f>
        <v>0.910569654645286</v>
      </c>
      <c r="S53" s="32" t="n">
        <f aca="false">R53/(1+(((F8/G8-1)/(3-2))+G53/10000)*(3-2))</f>
        <v>0.870241360704239</v>
      </c>
      <c r="T53" s="32" t="n">
        <f aca="false">S53/(1+(((G8/H8-1)/(5-3))+H53/10000)*(5-3))</f>
        <v>0.795333483577944</v>
      </c>
      <c r="U53" s="32" t="n">
        <f aca="false">T53/(1+(((H8/I8-1)/(10-5))+I53/10000)*(10-5))</f>
        <v>0.633257393853352</v>
      </c>
      <c r="V53" s="32" t="n">
        <f aca="false">U53/(1+(((I8/J8-1)/(20-10))+J53/10000)*(20-10))</f>
        <v>0.405183965311444</v>
      </c>
      <c r="W53" s="32" t="n">
        <f aca="false">V53/(1+(((J8/K8-1)/(30-20))+K53/10000)*(30-20))</f>
        <v>0.259352233587901</v>
      </c>
    </row>
    <row r="54" customFormat="false" ht="15" hidden="false" customHeight="true" outlineLevel="0" collapsed="false">
      <c r="A54" s="9" t="s">
        <v>52</v>
      </c>
      <c r="B54" s="30" t="s">
        <v>43</v>
      </c>
      <c r="C54" s="31" t="n">
        <v>-41.9</v>
      </c>
      <c r="D54" s="31" t="n">
        <v>42.4</v>
      </c>
      <c r="E54" s="31" t="n">
        <v>34</v>
      </c>
      <c r="F54" s="31" t="n">
        <v>21.7</v>
      </c>
      <c r="G54" s="31" t="n">
        <v>13.3</v>
      </c>
      <c r="H54" s="31" t="n">
        <v>6.7</v>
      </c>
      <c r="I54" s="31" t="n">
        <v>3.4</v>
      </c>
      <c r="J54" s="31" t="n">
        <v>1.8</v>
      </c>
      <c r="K54" s="31" t="n">
        <v>0.9</v>
      </c>
      <c r="M54" s="4" t="s">
        <v>52</v>
      </c>
      <c r="N54" s="30" t="s">
        <v>43</v>
      </c>
      <c r="O54" s="32" t="n">
        <f aca="false">1/(1+(((1/C9-1)/(0.25-0))+C54/10000)*(0.25-0))</f>
        <v>0.993303443445685</v>
      </c>
      <c r="P54" s="32" t="n">
        <f aca="false">O54/(1+(((C9/D9-1)/(0.5-0.25))+D54/10000)*(0.5-0.25))</f>
        <v>0.984571884046208</v>
      </c>
      <c r="Q54" s="32" t="n">
        <f aca="false">P54/(1+(((D9/E9-1)/(1-0.5))+E54/10000)*(1-0.5))</f>
        <v>0.967699452636081</v>
      </c>
      <c r="R54" s="32" t="n">
        <f aca="false">Q54/(1+(((E9/F9-1)/(2-1))+F54/10000)*(2-1))</f>
        <v>0.935771181073623</v>
      </c>
      <c r="S54" s="32" t="n">
        <f aca="false">R54/(1+(((F9/G9-1)/(3-2))+G54/10000)*(3-2))</f>
        <v>0.905360556404932</v>
      </c>
      <c r="T54" s="32" t="n">
        <f aca="false">S54/(1+(((G9/H9-1)/(5-3))+H54/10000)*(5-3))</f>
        <v>0.847828438146959</v>
      </c>
      <c r="U54" s="32" t="n">
        <f aca="false">T54/(1+(((H9/I9-1)/(10-5))+I54/10000)*(10-5))</f>
        <v>0.716937596159315</v>
      </c>
      <c r="V54" s="32" t="n">
        <f aca="false">U54/(1+(((I9/J9-1)/(20-10))+J54/10000)*(20-10))</f>
        <v>0.517334679291725</v>
      </c>
      <c r="W54" s="32" t="n">
        <f aca="false">V54/(1+(((J9/K9-1)/(30-20))+K54/10000)*(30-20))</f>
        <v>0.373545040036198</v>
      </c>
    </row>
    <row r="55" customFormat="false" ht="15" hidden="false" customHeight="true" outlineLevel="0" collapsed="false">
      <c r="A55" s="9" t="s">
        <v>45</v>
      </c>
      <c r="B55" s="30" t="s">
        <v>38</v>
      </c>
      <c r="C55" s="31" t="n">
        <v>56.8</v>
      </c>
      <c r="D55" s="31" t="n">
        <v>62.4</v>
      </c>
      <c r="E55" s="31" t="n">
        <v>40.6</v>
      </c>
      <c r="F55" s="31" t="n">
        <v>29.5</v>
      </c>
      <c r="G55" s="31" t="n">
        <v>20.7</v>
      </c>
      <c r="H55" s="31" t="n">
        <v>10.3</v>
      </c>
      <c r="I55" s="31" t="n">
        <v>5.6</v>
      </c>
      <c r="J55" s="31" t="n">
        <v>2.7</v>
      </c>
      <c r="K55" s="31" t="n">
        <v>-1.8</v>
      </c>
      <c r="M55" s="4" t="s">
        <v>45</v>
      </c>
      <c r="N55" s="30" t="s">
        <v>38</v>
      </c>
      <c r="O55" s="32" t="n">
        <f aca="false">1/(1+(((1/C10-1)/(0.25-0))+C55/10000)*(0.25-0))</f>
        <v>0.9881574852526</v>
      </c>
      <c r="P55" s="32" t="n">
        <f aca="false">O55/(1+(((C10/D10-1)/(0.5-0.25))+D55/10000)*(0.5-0.25))</f>
        <v>0.976300949799881</v>
      </c>
      <c r="Q55" s="32" t="n">
        <f aca="false">P55/(1+(((D10/E10-1)/(1-0.5))+E55/10000)*(1-0.5))</f>
        <v>0.954008957495664</v>
      </c>
      <c r="R55" s="32" t="n">
        <f aca="false">Q55/(1+(((E10/F10-1)/(2-1))+F55/10000)*(2-1))</f>
        <v>0.911781040302227</v>
      </c>
      <c r="S55" s="32" t="n">
        <f aca="false">R55/(1+(((F10/G10-1)/(3-2))+G55/10000)*(3-2))</f>
        <v>0.871893841999927</v>
      </c>
      <c r="T55" s="32" t="n">
        <f aca="false">S55/(1+(((G10/H10-1)/(5-3))+H55/10000)*(5-3))</f>
        <v>0.798216766006532</v>
      </c>
      <c r="U55" s="32" t="n">
        <f aca="false">T55/(1+(((H10/I10-1)/(10-5))+I55/10000)*(10-5))</f>
        <v>0.638351635897112</v>
      </c>
      <c r="V55" s="32" t="n">
        <f aca="false">U55/(1+(((I10/J10-1)/(20-10))+J55/10000)*(20-10))</f>
        <v>0.412461866326851</v>
      </c>
      <c r="W55" s="32" t="n">
        <f aca="false">V55/(1+(((J10/K10-1)/(30-20))+K55/10000)*(30-20))</f>
        <v>0.267283569083221</v>
      </c>
    </row>
    <row r="56" customFormat="false" ht="15" hidden="false" customHeight="true" outlineLevel="0" collapsed="false">
      <c r="A56" s="9" t="s">
        <v>37</v>
      </c>
      <c r="B56" s="30" t="s">
        <v>38</v>
      </c>
      <c r="C56" s="31" t="n">
        <v>102.4</v>
      </c>
      <c r="D56" s="31" t="n">
        <v>90.6</v>
      </c>
      <c r="E56" s="31" t="n">
        <v>-69.8</v>
      </c>
      <c r="F56" s="31" t="n">
        <v>49</v>
      </c>
      <c r="G56" s="31" t="n">
        <v>33.7</v>
      </c>
      <c r="H56" s="31" t="n">
        <v>20.1</v>
      </c>
      <c r="I56" s="31" t="n">
        <v>9</v>
      </c>
      <c r="J56" s="31" t="n">
        <v>5.3</v>
      </c>
      <c r="K56" s="31" t="n">
        <v>-3.7</v>
      </c>
      <c r="M56" s="4" t="s">
        <v>37</v>
      </c>
      <c r="N56" s="30" t="s">
        <v>38</v>
      </c>
      <c r="O56" s="32" t="n">
        <f aca="false">1/(1+(((1/C11-1)/(0.25-0))+C56/10000)*(0.25-0))</f>
        <v>0.986061568151993</v>
      </c>
      <c r="P56" s="32" t="n">
        <f aca="false">O56/(1+(((C11/D11-1)/(0.5-0.25))+D56/10000)*(0.5-0.25))</f>
        <v>0.972581524005963</v>
      </c>
      <c r="Q56" s="32" t="n">
        <f aca="false">P56/(1+(((D11/E11-1)/(1-0.5))+E56/10000)*(1-0.5))</f>
        <v>0.953612707835657</v>
      </c>
      <c r="R56" s="32" t="n">
        <f aca="false">Q56/(1+(((E11/F11-1)/(2-1))+F56/10000)*(2-1))</f>
        <v>0.906091756615953</v>
      </c>
      <c r="S56" s="32" t="n">
        <f aca="false">R56/(1+(((F11/G11-1)/(3-2))+G56/10000)*(3-2))</f>
        <v>0.861935365323622</v>
      </c>
      <c r="T56" s="32" t="n">
        <f aca="false">S56/(1+(((G11/H11-1)/(5-3))+H56/10000)*(5-3))</f>
        <v>0.781432612005374</v>
      </c>
      <c r="U56" s="32" t="n">
        <f aca="false">T56/(1+(((H11/I11-1)/(10-5))+I56/10000)*(10-5))</f>
        <v>0.611765633052155</v>
      </c>
      <c r="V56" s="32" t="n">
        <f aca="false">U56/(1+(((I11/J11-1)/(20-10))+J56/10000)*(20-10))</f>
        <v>0.379198083293197</v>
      </c>
      <c r="W56" s="32" t="n">
        <f aca="false">V56/(1+(((J11/K11-1)/(30-20))+K56/10000)*(30-20))</f>
        <v>0.236361041331527</v>
      </c>
    </row>
    <row r="57" customFormat="false" ht="15" hidden="false" customHeight="true" outlineLevel="0" collapsed="false">
      <c r="A57" s="9" t="s">
        <v>40</v>
      </c>
      <c r="B57" s="30" t="s">
        <v>38</v>
      </c>
      <c r="C57" s="31" t="n">
        <v>78.1</v>
      </c>
      <c r="D57" s="31" t="n">
        <v>64</v>
      </c>
      <c r="E57" s="31" t="n">
        <v>58.6</v>
      </c>
      <c r="F57" s="31" t="n">
        <v>41.3</v>
      </c>
      <c r="G57" s="31" t="n">
        <v>-24.3</v>
      </c>
      <c r="H57" s="31" t="n">
        <v>12.2</v>
      </c>
      <c r="I57" s="31" t="n">
        <v>7.6</v>
      </c>
      <c r="J57" s="31" t="n">
        <v>3.7</v>
      </c>
      <c r="K57" s="31" t="n">
        <v>-2.5</v>
      </c>
      <c r="M57" s="4" t="s">
        <v>40</v>
      </c>
      <c r="N57" s="30" t="s">
        <v>38</v>
      </c>
      <c r="O57" s="32" t="n">
        <f aca="false">1/(1+(((1/C12-1)/(0.25-0))+C57/10000)*(0.25-0))</f>
        <v>0.989858198309937</v>
      </c>
      <c r="P57" s="32" t="n">
        <f aca="false">O57/(1+(((C12/D12-1)/(0.5-0.25))+D57/10000)*(0.5-0.25))</f>
        <v>0.980141704991619</v>
      </c>
      <c r="Q57" s="32" t="n">
        <f aca="false">P57/(1+(((D12/E12-1)/(1-0.5))+E57/10000)*(1-0.5))</f>
        <v>0.961223663488055</v>
      </c>
      <c r="R57" s="32" t="n">
        <f aca="false">Q57/(1+(((E12/F12-1)/(2-1))+F57/10000)*(2-1))</f>
        <v>0.925904425135753</v>
      </c>
      <c r="S57" s="32" t="n">
        <f aca="false">R57/(1+(((F12/G12-1)/(3-2))+G57/10000)*(3-2))</f>
        <v>0.897285199554242</v>
      </c>
      <c r="T57" s="32" t="n">
        <f aca="false">S57/(1+(((G12/H12-1)/(5-3))+H57/10000)*(5-3))</f>
        <v>0.836057473141918</v>
      </c>
      <c r="U57" s="32" t="n">
        <f aca="false">T57/(1+(((H12/I12-1)/(10-5))+I57/10000)*(10-5))</f>
        <v>0.698731145486687</v>
      </c>
      <c r="V57" s="32" t="n">
        <f aca="false">U57/(1+(((I12/J12-1)/(20-10))+J57/10000)*(20-10))</f>
        <v>0.493562458584677</v>
      </c>
      <c r="W57" s="32" t="n">
        <f aca="false">V57/(1+(((J12/K12-1)/(30-20))+K57/10000)*(30-20))</f>
        <v>0.350170646538948</v>
      </c>
    </row>
    <row r="58" customFormat="false" ht="15" hidden="false" customHeight="true" outlineLevel="0" collapsed="false">
      <c r="A58" s="9" t="s">
        <v>49</v>
      </c>
      <c r="B58" s="30" t="s">
        <v>50</v>
      </c>
      <c r="C58" s="31" t="n">
        <v>34</v>
      </c>
      <c r="D58" s="31" t="n">
        <v>35.2</v>
      </c>
      <c r="E58" s="31" t="n">
        <v>30.2</v>
      </c>
      <c r="F58" s="31" t="n">
        <v>-18.5</v>
      </c>
      <c r="G58" s="31" t="n">
        <v>13.9</v>
      </c>
      <c r="H58" s="31" t="n">
        <v>7.8</v>
      </c>
      <c r="I58" s="31" t="n">
        <v>4.1</v>
      </c>
      <c r="J58" s="31" t="n">
        <v>2.8</v>
      </c>
      <c r="K58" s="31" t="n">
        <v>1.9</v>
      </c>
      <c r="M58" s="4" t="s">
        <v>49</v>
      </c>
      <c r="N58" s="30" t="s">
        <v>50</v>
      </c>
      <c r="O58" s="32" t="n">
        <f aca="false">1/(1+(((1/C13-1)/(0.25-0))+C58/10000)*(0.25-0))</f>
        <v>0.989208546534173</v>
      </c>
      <c r="P58" s="32" t="n">
        <f aca="false">O58/(1+(((C13/D13-1)/(0.5-0.25))+D58/10000)*(0.5-0.25))</f>
        <v>0.978485377984527</v>
      </c>
      <c r="Q58" s="32" t="n">
        <f aca="false">P58/(1+(((D13/E13-1)/(1-0.5))+E58/10000)*(1-0.5))</f>
        <v>0.95758460198965</v>
      </c>
      <c r="R58" s="32" t="n">
        <f aca="false">Q58/(1+(((E13/F13-1)/(2-1))+F58/10000)*(2-1))</f>
        <v>0.921260691583347</v>
      </c>
      <c r="S58" s="32" t="n">
        <f aca="false">R58/(1+(((F13/G13-1)/(3-2))+G58/10000)*(3-2))</f>
        <v>0.883294940950007</v>
      </c>
      <c r="T58" s="32" t="n">
        <f aca="false">S58/(1+(((G13/H13-1)/(5-3))+H58/10000)*(5-3))</f>
        <v>0.812262168887263</v>
      </c>
      <c r="U58" s="32" t="n">
        <f aca="false">T58/(1+(((H13/I13-1)/(10-5))+I58/10000)*(10-5))</f>
        <v>0.656494822061818</v>
      </c>
      <c r="V58" s="32" t="n">
        <f aca="false">U58/(1+(((I13/J13-1)/(20-10))+J58/10000)*(20-10))</f>
        <v>0.432709814876346</v>
      </c>
      <c r="W58" s="32" t="n">
        <f aca="false">V58/(1+(((J13/K13-1)/(30-20))+K58/10000)*(30-20))</f>
        <v>0.285377950600986</v>
      </c>
    </row>
    <row r="60" customFormat="false" ht="15" hidden="false" customHeight="true" outlineLevel="0" collapsed="false">
      <c r="A60" s="29" t="s">
        <v>120</v>
      </c>
      <c r="B60" s="29"/>
      <c r="C60" s="12" t="s">
        <v>74</v>
      </c>
      <c r="D60" s="12" t="s">
        <v>75</v>
      </c>
      <c r="E60" s="12" t="s">
        <v>30</v>
      </c>
      <c r="F60" s="12" t="s">
        <v>76</v>
      </c>
      <c r="G60" s="12" t="s">
        <v>77</v>
      </c>
      <c r="H60" s="12" t="s">
        <v>78</v>
      </c>
      <c r="I60" s="12" t="s">
        <v>79</v>
      </c>
      <c r="J60" s="12" t="s">
        <v>80</v>
      </c>
      <c r="K60" s="12" t="s">
        <v>81</v>
      </c>
      <c r="M60" s="29" t="s">
        <v>120</v>
      </c>
      <c r="N60" s="29"/>
      <c r="O60" s="12" t="s">
        <v>74</v>
      </c>
      <c r="P60" s="12" t="s">
        <v>75</v>
      </c>
      <c r="Q60" s="12" t="s">
        <v>30</v>
      </c>
      <c r="R60" s="12" t="s">
        <v>76</v>
      </c>
      <c r="S60" s="12" t="s">
        <v>77</v>
      </c>
      <c r="T60" s="12" t="s">
        <v>78</v>
      </c>
      <c r="U60" s="12" t="s">
        <v>79</v>
      </c>
      <c r="V60" s="12" t="s">
        <v>80</v>
      </c>
      <c r="W60" s="12" t="s">
        <v>81</v>
      </c>
    </row>
    <row r="61" customFormat="false" ht="15" hidden="false" customHeight="true" outlineLevel="0" collapsed="false">
      <c r="A61" s="9" t="s">
        <v>42</v>
      </c>
      <c r="B61" s="30" t="s">
        <v>43</v>
      </c>
      <c r="C61" s="31" t="n">
        <v>54.8</v>
      </c>
      <c r="D61" s="31" t="n">
        <v>53</v>
      </c>
      <c r="E61" s="31" t="n">
        <v>46.7</v>
      </c>
      <c r="F61" s="31" t="n">
        <v>31.2</v>
      </c>
      <c r="G61" s="31" t="n">
        <v>-20.7</v>
      </c>
      <c r="H61" s="31" t="n">
        <v>10.5</v>
      </c>
      <c r="I61" s="31" t="n">
        <v>4.7</v>
      </c>
      <c r="J61" s="31" t="n">
        <v>3</v>
      </c>
      <c r="K61" s="31" t="n">
        <v>2.1</v>
      </c>
      <c r="M61" s="4" t="s">
        <v>42</v>
      </c>
      <c r="N61" s="30" t="s">
        <v>43</v>
      </c>
      <c r="O61" s="32" t="n">
        <f aca="false">1/(1+(((1/C8-1)/(0.25-0))+C61/10000)*(0.25-0))</f>
        <v>0.987958981393207</v>
      </c>
      <c r="P61" s="32" t="n">
        <f aca="false">O61/(1+(((C8/D8-1)/(0.5-0.25))+D61/10000)*(0.5-0.25))</f>
        <v>0.976088881540551</v>
      </c>
      <c r="Q61" s="32" t="n">
        <f aca="false">P61/(1+(((D8/E8-1)/(1-0.5))+E61/10000)*(1-0.5))</f>
        <v>0.953041785744194</v>
      </c>
      <c r="R61" s="32" t="n">
        <f aca="false">Q61/(1+(((E8/F8-1)/(2-1))+F61/10000)*(2-1))</f>
        <v>0.909800859724724</v>
      </c>
      <c r="S61" s="32" t="n">
        <f aca="false">R61/(1+(((F8/G8-1)/(3-2))+G61/10000)*(3-2))</f>
        <v>0.872583845887327</v>
      </c>
      <c r="T61" s="32" t="n">
        <f aca="false">S61/(1+(((G8/H8-1)/(5-3))+H61/10000)*(5-3))</f>
        <v>0.797226609128814</v>
      </c>
      <c r="U61" s="32" t="n">
        <f aca="false">T61/(1+(((H8/I8-1)/(10-5))+I61/10000)*(10-5))</f>
        <v>0.634613144283944</v>
      </c>
      <c r="V61" s="32" t="n">
        <f aca="false">U61/(1+(((I8/J8-1)/(20-10))+J61/10000)*(20-10))</f>
        <v>0.405895604694492</v>
      </c>
      <c r="W61" s="32" t="n">
        <f aca="false">V61/(1+(((J8/K8-1)/(30-20))+K61/10000)*(30-20))</f>
        <v>0.259757863235091</v>
      </c>
    </row>
    <row r="62" customFormat="false" ht="15" hidden="false" customHeight="true" outlineLevel="0" collapsed="false">
      <c r="A62" s="9" t="s">
        <v>52</v>
      </c>
      <c r="B62" s="30" t="s">
        <v>43</v>
      </c>
      <c r="C62" s="31" t="n">
        <v>45.7</v>
      </c>
      <c r="D62" s="31" t="n">
        <v>43.3</v>
      </c>
      <c r="E62" s="31" t="n">
        <v>40.5</v>
      </c>
      <c r="F62" s="31" t="n">
        <v>25.3</v>
      </c>
      <c r="G62" s="31" t="n">
        <v>16</v>
      </c>
      <c r="H62" s="31" t="n">
        <v>-8.5</v>
      </c>
      <c r="I62" s="31" t="n">
        <v>4.3</v>
      </c>
      <c r="J62" s="31" t="n">
        <v>2.1</v>
      </c>
      <c r="K62" s="31" t="n">
        <v>0.9</v>
      </c>
      <c r="M62" s="4" t="s">
        <v>52</v>
      </c>
      <c r="N62" s="30" t="s">
        <v>43</v>
      </c>
      <c r="O62" s="32" t="n">
        <f aca="false">1/(1+(((1/C9-1)/(0.25-0))+C62/10000)*(0.25-0))</f>
        <v>0.99114736634431</v>
      </c>
      <c r="P62" s="32" t="n">
        <f aca="false">O62/(1+(((C9/D9-1)/(0.5-0.25))+D62/10000)*(0.5-0.25))</f>
        <v>0.982412849795813</v>
      </c>
      <c r="Q62" s="32" t="n">
        <f aca="false">P62/(1+(((D9/E9-1)/(1-0.5))+E62/10000)*(1-0.5))</f>
        <v>0.965269080950153</v>
      </c>
      <c r="R62" s="32" t="n">
        <f aca="false">Q62/(1+(((E9/F9-1)/(2-1))+F62/10000)*(2-1))</f>
        <v>0.9330961656065</v>
      </c>
      <c r="S62" s="32" t="n">
        <f aca="false">R62/(1+(((F9/G9-1)/(3-2))+G62/10000)*(3-2))</f>
        <v>0.902536707742093</v>
      </c>
      <c r="T62" s="32" t="n">
        <f aca="false">S62/(1+(((G9/H9-1)/(5-3))+H62/10000)*(5-3))</f>
        <v>0.847596989990749</v>
      </c>
      <c r="U62" s="32" t="n">
        <f aca="false">T62/(1+(((H9/I9-1)/(10-5))+I62/10000)*(10-5))</f>
        <v>0.71646924366174</v>
      </c>
      <c r="V62" s="32" t="n">
        <f aca="false">U62/(1+(((I9/J9-1)/(20-10))+J62/10000)*(20-10))</f>
        <v>0.5168848274151</v>
      </c>
      <c r="W62" s="32" t="n">
        <f aca="false">V62/(1+(((J9/K9-1)/(30-20))+K62/10000)*(30-20))</f>
        <v>0.373220221414925</v>
      </c>
    </row>
    <row r="63" customFormat="false" ht="15" hidden="false" customHeight="true" outlineLevel="0" collapsed="false">
      <c r="A63" s="9" t="s">
        <v>45</v>
      </c>
      <c r="B63" s="30" t="s">
        <v>38</v>
      </c>
      <c r="C63" s="31" t="n">
        <v>71.9</v>
      </c>
      <c r="D63" s="31" t="n">
        <v>65.5</v>
      </c>
      <c r="E63" s="31" t="n">
        <v>48.6</v>
      </c>
      <c r="F63" s="31" t="n">
        <v>33.3</v>
      </c>
      <c r="G63" s="31" t="n">
        <v>20</v>
      </c>
      <c r="H63" s="31" t="n">
        <v>12</v>
      </c>
      <c r="I63" s="31" t="n">
        <v>6.2</v>
      </c>
      <c r="J63" s="31" t="n">
        <v>-2.9</v>
      </c>
      <c r="K63" s="31" t="n">
        <v>2</v>
      </c>
      <c r="M63" s="4" t="s">
        <v>45</v>
      </c>
      <c r="N63" s="30" t="s">
        <v>38</v>
      </c>
      <c r="O63" s="32" t="n">
        <f aca="false">1/(1+(((1/C10-1)/(0.25-0))+C63/10000)*(0.25-0))</f>
        <v>0.987789010860488</v>
      </c>
      <c r="P63" s="32" t="n">
        <f aca="false">O63/(1+(((C10/D10-1)/(0.5-0.25))+D63/10000)*(0.5-0.25))</f>
        <v>0.975862174725066</v>
      </c>
      <c r="Q63" s="32" t="n">
        <f aca="false">P63/(1+(((D10/E10-1)/(1-0.5))+E63/10000)*(1-0.5))</f>
        <v>0.95320762385314</v>
      </c>
      <c r="R63" s="32" t="n">
        <f aca="false">Q63/(1+(((E10/F10-1)/(2-1))+F63/10000)*(2-1))</f>
        <v>0.910684434407317</v>
      </c>
      <c r="S63" s="32" t="n">
        <f aca="false">R63/(1+(((F10/G10-1)/(3-2))+G63/10000)*(3-2))</f>
        <v>0.870903505056356</v>
      </c>
      <c r="T63" s="32" t="n">
        <f aca="false">S63/(1+(((G10/H10-1)/(5-3))+H63/10000)*(5-3))</f>
        <v>0.797062014001968</v>
      </c>
      <c r="U63" s="32" t="n">
        <f aca="false">T63/(1+(((H10/I10-1)/(10-5))+I63/10000)*(10-5))</f>
        <v>0.637275262185611</v>
      </c>
      <c r="V63" s="32" t="n">
        <f aca="false">U63/(1+(((I10/J10-1)/(20-10))+J63/10000)*(20-10))</f>
        <v>0.413261712628012</v>
      </c>
      <c r="W63" s="32" t="n">
        <f aca="false">V63/(1+(((J10/K10-1)/(30-20))+K63/10000)*(30-20))</f>
        <v>0.267144049656573</v>
      </c>
    </row>
    <row r="64" customFormat="false" ht="15" hidden="false" customHeight="true" outlineLevel="0" collapsed="false">
      <c r="A64" s="9" t="s">
        <v>37</v>
      </c>
      <c r="B64" s="30" t="s">
        <v>38</v>
      </c>
      <c r="C64" s="31" t="n">
        <v>105.6</v>
      </c>
      <c r="D64" s="31" t="n">
        <v>102.5</v>
      </c>
      <c r="E64" s="31" t="n">
        <v>81.6</v>
      </c>
      <c r="F64" s="31" t="n">
        <v>58.5</v>
      </c>
      <c r="G64" s="31" t="n">
        <v>37.2</v>
      </c>
      <c r="H64" s="31" t="n">
        <v>23.3</v>
      </c>
      <c r="I64" s="31" t="n">
        <v>10.5</v>
      </c>
      <c r="J64" s="31" t="n">
        <v>5.7</v>
      </c>
      <c r="K64" s="31" t="n">
        <v>3.6</v>
      </c>
      <c r="M64" s="4" t="s">
        <v>37</v>
      </c>
      <c r="N64" s="30" t="s">
        <v>38</v>
      </c>
      <c r="O64" s="32" t="n">
        <f aca="false">1/(1+(((1/C11-1)/(0.25-0))+C64/10000)*(0.25-0))</f>
        <v>0.985983788894309</v>
      </c>
      <c r="P64" s="32" t="n">
        <f aca="false">O64/(1+(((C11/D11-1)/(0.5-0.25))+D64/10000)*(0.5-0.25))</f>
        <v>0.972219526745014</v>
      </c>
      <c r="Q64" s="32" t="n">
        <f aca="false">P64/(1+(((D11/E11-1)/(1-0.5))+E64/10000)*(1-0.5))</f>
        <v>0.946234479809646</v>
      </c>
      <c r="R64" s="32" t="n">
        <f aca="false">Q64/(1+(((E11/F11-1)/(2-1))+F64/10000)*(2-1))</f>
        <v>0.898270372586212</v>
      </c>
      <c r="S64" s="32" t="n">
        <f aca="false">R64/(1+(((F11/G11-1)/(3-2))+G64/10000)*(3-2))</f>
        <v>0.854210735334789</v>
      </c>
      <c r="T64" s="32" t="n">
        <f aca="false">S64/(1+(((G11/H11-1)/(5-3))+H64/10000)*(5-3))</f>
        <v>0.773980361309547</v>
      </c>
      <c r="U64" s="32" t="n">
        <f aca="false">T64/(1+(((H11/I11-1)/(10-5))+I64/10000)*(10-5))</f>
        <v>0.605575868677362</v>
      </c>
      <c r="V64" s="32" t="n">
        <f aca="false">U64/(1+(((I11/J11-1)/(20-10))+J64/10000)*(20-10))</f>
        <v>0.375268364010495</v>
      </c>
      <c r="W64" s="32" t="n">
        <f aca="false">V64/(1+(((J11/K11-1)/(30-20))+K64/10000)*(30-20))</f>
        <v>0.232852047449366</v>
      </c>
    </row>
    <row r="65" customFormat="false" ht="15" hidden="false" customHeight="true" outlineLevel="0" collapsed="false">
      <c r="A65" s="9" t="s">
        <v>40</v>
      </c>
      <c r="B65" s="30" t="s">
        <v>38</v>
      </c>
      <c r="C65" s="31" t="n">
        <v>88.1</v>
      </c>
      <c r="D65" s="31" t="n">
        <v>81.2</v>
      </c>
      <c r="E65" s="31" t="n">
        <v>63.7</v>
      </c>
      <c r="F65" s="31" t="n">
        <v>44.4</v>
      </c>
      <c r="G65" s="31" t="n">
        <v>29</v>
      </c>
      <c r="H65" s="31" t="n">
        <v>13.9</v>
      </c>
      <c r="I65" s="31" t="n">
        <v>8.1</v>
      </c>
      <c r="J65" s="31" t="n">
        <v>4.2</v>
      </c>
      <c r="K65" s="31" t="n">
        <v>3.1</v>
      </c>
      <c r="M65" s="4" t="s">
        <v>40</v>
      </c>
      <c r="N65" s="30" t="s">
        <v>38</v>
      </c>
      <c r="O65" s="32" t="n">
        <f aca="false">1/(1+(((1/C12-1)/(0.25-0))+C65/10000)*(0.25-0))</f>
        <v>0.989613304099382</v>
      </c>
      <c r="P65" s="32" t="n">
        <f aca="false">O65/(1+(((C12/D12-1)/(0.5-0.25))+D65/10000)*(0.5-0.25))</f>
        <v>0.979482171635985</v>
      </c>
      <c r="Q65" s="32" t="n">
        <f aca="false">P65/(1+(((D12/E12-1)/(1-0.5))+E65/10000)*(1-0.5))</f>
        <v>0.960336700770215</v>
      </c>
      <c r="R65" s="32" t="n">
        <f aca="false">Q65/(1+(((E12/F12-1)/(2-1))+F65/10000)*(2-1))</f>
        <v>0.92477390687557</v>
      </c>
      <c r="S65" s="32" t="n">
        <f aca="false">R65/(1+(((F12/G12-1)/(3-2))+G65/10000)*(3-2))</f>
        <v>0.891584366680052</v>
      </c>
      <c r="T65" s="32" t="n">
        <f aca="false">S65/(1+(((G12/H12-1)/(5-3))+H65/10000)*(5-3))</f>
        <v>0.830482549451779</v>
      </c>
      <c r="U65" s="32" t="n">
        <f aca="false">T65/(1+(((H12/I12-1)/(10-5))+I65/10000)*(10-5))</f>
        <v>0.693926942382383</v>
      </c>
      <c r="V65" s="32" t="n">
        <f aca="false">U65/(1+(((I12/J12-1)/(20-10))+J65/10000)*(20-10))</f>
        <v>0.489995856334911</v>
      </c>
      <c r="W65" s="32" t="n">
        <f aca="false">V65/(1+(((J12/K12-1)/(30-20))+K65/10000)*(30-20))</f>
        <v>0.346264497086134</v>
      </c>
    </row>
    <row r="66" customFormat="false" ht="15" hidden="false" customHeight="true" outlineLevel="0" collapsed="false">
      <c r="A66" s="9" t="s">
        <v>49</v>
      </c>
      <c r="B66" s="30" t="s">
        <v>50</v>
      </c>
      <c r="C66" s="31" t="n">
        <v>-37.7</v>
      </c>
      <c r="D66" s="31" t="n">
        <v>36.1</v>
      </c>
      <c r="E66" s="31" t="n">
        <v>-33.5</v>
      </c>
      <c r="F66" s="31" t="n">
        <v>21.5</v>
      </c>
      <c r="G66" s="31" t="n">
        <v>14.1</v>
      </c>
      <c r="H66" s="31" t="n">
        <v>8.9</v>
      </c>
      <c r="I66" s="31" t="n">
        <v>-5.1</v>
      </c>
      <c r="J66" s="31" t="n">
        <v>3.1</v>
      </c>
      <c r="K66" s="31" t="n">
        <v>1.9</v>
      </c>
      <c r="M66" s="4" t="s">
        <v>49</v>
      </c>
      <c r="N66" s="30" t="s">
        <v>50</v>
      </c>
      <c r="O66" s="32" t="n">
        <f aca="false">1/(1+(((1/C13-1)/(0.25-0))+C66/10000)*(0.25-0))</f>
        <v>0.990965683598615</v>
      </c>
      <c r="P66" s="32" t="n">
        <f aca="false">O66/(1+(((C13/D13-1)/(0.5-0.25))+D66/10000)*(0.5-0.25))</f>
        <v>0.980201651957777</v>
      </c>
      <c r="Q66" s="32" t="n">
        <f aca="false">P66/(1+(((D13/E13-1)/(1-0.5))+E66/10000)*(1-0.5))</f>
        <v>0.962263559855125</v>
      </c>
      <c r="R66" s="32" t="n">
        <f aca="false">Q66/(1+(((E13/F13-1)/(2-1))+F66/10000)*(2-1))</f>
        <v>0.922213238994581</v>
      </c>
      <c r="S66" s="32" t="n">
        <f aca="false">R66/(1+(((F13/G13-1)/(3-2))+G66/10000)*(3-2))</f>
        <v>0.884191278200956</v>
      </c>
      <c r="T66" s="32" t="n">
        <f aca="false">S66/(1+(((G13/H13-1)/(5-3))+H66/10000)*(5-3))</f>
        <v>0.812921963872878</v>
      </c>
      <c r="U66" s="32" t="n">
        <f aca="false">T66/(1+(((H13/I13-1)/(10-5))+I66/10000)*(10-5))</f>
        <v>0.659479941709994</v>
      </c>
      <c r="V66" s="32" t="n">
        <f aca="false">U66/(1+(((I13/J13-1)/(20-10))+J66/10000)*(20-10))</f>
        <v>0.434591436687819</v>
      </c>
      <c r="W66" s="32" t="n">
        <f aca="false">V66/(1+(((J13/K13-1)/(30-20))+K66/10000)*(30-20))</f>
        <v>0.286618905527136</v>
      </c>
    </row>
    <row r="68" customFormat="false" ht="15" hidden="false" customHeight="true" outlineLevel="0" collapsed="false">
      <c r="A68" s="29" t="s">
        <v>121</v>
      </c>
      <c r="B68" s="29"/>
      <c r="C68" s="12" t="s">
        <v>74</v>
      </c>
      <c r="D68" s="12" t="s">
        <v>75</v>
      </c>
      <c r="E68" s="12" t="s">
        <v>30</v>
      </c>
      <c r="F68" s="12" t="s">
        <v>76</v>
      </c>
      <c r="G68" s="12" t="s">
        <v>77</v>
      </c>
      <c r="H68" s="12" t="s">
        <v>78</v>
      </c>
      <c r="I68" s="12" t="s">
        <v>79</v>
      </c>
      <c r="J68" s="12" t="s">
        <v>80</v>
      </c>
      <c r="K68" s="12" t="s">
        <v>81</v>
      </c>
      <c r="M68" s="29" t="s">
        <v>121</v>
      </c>
      <c r="N68" s="29"/>
      <c r="O68" s="12" t="s">
        <v>74</v>
      </c>
      <c r="P68" s="12" t="s">
        <v>75</v>
      </c>
      <c r="Q68" s="12" t="s">
        <v>30</v>
      </c>
      <c r="R68" s="12" t="s">
        <v>76</v>
      </c>
      <c r="S68" s="12" t="s">
        <v>77</v>
      </c>
      <c r="T68" s="12" t="s">
        <v>78</v>
      </c>
      <c r="U68" s="12" t="s">
        <v>79</v>
      </c>
      <c r="V68" s="12" t="s">
        <v>80</v>
      </c>
      <c r="W68" s="12" t="s">
        <v>81</v>
      </c>
    </row>
    <row r="69" customFormat="false" ht="15" hidden="false" customHeight="true" outlineLevel="0" collapsed="false">
      <c r="A69" s="9" t="s">
        <v>42</v>
      </c>
      <c r="B69" s="30" t="s">
        <v>43</v>
      </c>
      <c r="C69" s="31" t="n">
        <v>62.9</v>
      </c>
      <c r="D69" s="31" t="n">
        <v>-60.7</v>
      </c>
      <c r="E69" s="31" t="n">
        <v>47.7</v>
      </c>
      <c r="F69" s="31" t="n">
        <v>32.8</v>
      </c>
      <c r="G69" s="31" t="n">
        <v>22.5</v>
      </c>
      <c r="H69" s="31" t="n">
        <v>11.2</v>
      </c>
      <c r="I69" s="31" t="n">
        <v>5.8</v>
      </c>
      <c r="J69" s="31" t="n">
        <v>3.4</v>
      </c>
      <c r="K69" s="31" t="n">
        <v>2.3</v>
      </c>
      <c r="M69" s="4" t="s">
        <v>42</v>
      </c>
      <c r="N69" s="30" t="s">
        <v>43</v>
      </c>
      <c r="O69" s="32" t="n">
        <f aca="false">1/(1+(((1/C8-1)/(0.25-0))+C69/10000)*(0.25-0))</f>
        <v>0.987761368180886</v>
      </c>
      <c r="P69" s="32" t="n">
        <f aca="false">O69/(1+(((C8/D8-1)/(0.5-0.25))+D69/10000)*(0.5-0.25))</f>
        <v>0.978642009953025</v>
      </c>
      <c r="Q69" s="32" t="n">
        <f aca="false">P69/(1+(((D8/E8-1)/(1-0.5))+E69/10000)*(1-0.5))</f>
        <v>0.955487984146696</v>
      </c>
      <c r="R69" s="32" t="n">
        <f aca="false">Q69/(1+(((E8/F8-1)/(2-1))+F69/10000)*(2-1))</f>
        <v>0.911996771561398</v>
      </c>
      <c r="S69" s="32" t="n">
        <f aca="false">R69/(1+(((F8/G8-1)/(3-2))+G69/10000)*(3-2))</f>
        <v>0.871080796023236</v>
      </c>
      <c r="T69" s="32" t="n">
        <f aca="false">S69/(1+(((G8/H8-1)/(5-3))+H69/10000)*(5-3))</f>
        <v>0.795751580042144</v>
      </c>
      <c r="U69" s="32" t="n">
        <f aca="false">T69/(1+(((H8/I8-1)/(10-5))+I69/10000)*(10-5))</f>
        <v>0.633161775419459</v>
      </c>
      <c r="V69" s="32" t="n">
        <f aca="false">U69/(1+(((I8/J8-1)/(20-10))+J69/10000)*(20-10))</f>
        <v>0.404863736361447</v>
      </c>
      <c r="W69" s="32" t="n">
        <f aca="false">V69/(1+(((J8/K8-1)/(30-20))+K69/10000)*(30-20))</f>
        <v>0.259064348177572</v>
      </c>
    </row>
    <row r="70" customFormat="false" ht="15" hidden="false" customHeight="true" outlineLevel="0" collapsed="false">
      <c r="A70" s="9" t="s">
        <v>52</v>
      </c>
      <c r="B70" s="30" t="s">
        <v>43</v>
      </c>
      <c r="C70" s="31" t="n">
        <v>58.2</v>
      </c>
      <c r="D70" s="31" t="n">
        <v>49.3</v>
      </c>
      <c r="E70" s="31" t="n">
        <v>40.3</v>
      </c>
      <c r="F70" s="31" t="n">
        <v>28.6</v>
      </c>
      <c r="G70" s="31" t="n">
        <v>16.8</v>
      </c>
      <c r="H70" s="31" t="n">
        <v>8.3</v>
      </c>
      <c r="I70" s="31" t="n">
        <v>4.3</v>
      </c>
      <c r="J70" s="31" t="n">
        <v>-2.2</v>
      </c>
      <c r="K70" s="31" t="n">
        <v>1.1</v>
      </c>
      <c r="M70" s="4" t="s">
        <v>52</v>
      </c>
      <c r="N70" s="30" t="s">
        <v>43</v>
      </c>
      <c r="O70" s="32" t="n">
        <f aca="false">1/(1+(((1/C9-1)/(0.25-0))+C70/10000)*(0.25-0))</f>
        <v>0.990840469806149</v>
      </c>
      <c r="P70" s="32" t="n">
        <f aca="false">O70/(1+(((C9/D9-1)/(0.5-0.25))+D70/10000)*(0.5-0.25))</f>
        <v>0.981962661429996</v>
      </c>
      <c r="Q70" s="32" t="n">
        <f aca="false">P70/(1+(((D9/E9-1)/(1-0.5))+E70/10000)*(1-0.5))</f>
        <v>0.964836228667716</v>
      </c>
      <c r="R70" s="32" t="n">
        <f aca="false">Q70/(1+(((E9/F9-1)/(2-1))+F70/10000)*(2-1))</f>
        <v>0.932380310327217</v>
      </c>
      <c r="S70" s="32" t="n">
        <f aca="false">R70/(1+(((F9/G9-1)/(3-2))+G70/10000)*(3-2))</f>
        <v>0.901774517882615</v>
      </c>
      <c r="T70" s="32" t="n">
        <f aca="false">S70/(1+(((G9/H9-1)/(5-3))+H70/10000)*(5-3))</f>
        <v>0.844217295741428</v>
      </c>
      <c r="U70" s="32" t="n">
        <f aca="false">T70/(1+(((H9/I9-1)/(10-5))+I70/10000)*(10-5))</f>
        <v>0.713612406024026</v>
      </c>
      <c r="V70" s="32" t="n">
        <f aca="false">U70/(1+(((I9/J9-1)/(20-10))+J70/10000)*(20-10))</f>
        <v>0.516425846812637</v>
      </c>
      <c r="W70" s="32" t="n">
        <f aca="false">V70/(1+(((J9/K9-1)/(30-20))+K70/10000)*(30-20))</f>
        <v>0.372834969727305</v>
      </c>
    </row>
    <row r="71" customFormat="false" ht="15" hidden="false" customHeight="true" outlineLevel="0" collapsed="false">
      <c r="A71" s="9" t="s">
        <v>45</v>
      </c>
      <c r="B71" s="30" t="s">
        <v>38</v>
      </c>
      <c r="C71" s="31" t="n">
        <v>-79.3</v>
      </c>
      <c r="D71" s="31" t="n">
        <v>70.5</v>
      </c>
      <c r="E71" s="31" t="n">
        <v>54.3</v>
      </c>
      <c r="F71" s="31" t="n">
        <v>38.1</v>
      </c>
      <c r="G71" s="31" t="n">
        <v>24.5</v>
      </c>
      <c r="H71" s="31" t="n">
        <v>13.9</v>
      </c>
      <c r="I71" s="31" t="n">
        <v>-6.5</v>
      </c>
      <c r="J71" s="31" t="n">
        <v>3.2</v>
      </c>
      <c r="K71" s="31" t="n">
        <v>2.3</v>
      </c>
      <c r="M71" s="4" t="s">
        <v>45</v>
      </c>
      <c r="N71" s="30" t="s">
        <v>38</v>
      </c>
      <c r="O71" s="32" t="n">
        <f aca="false">1/(1+(((1/C10-1)/(0.25-0))+C71/10000)*(0.25-0))</f>
        <v>0.991491082363572</v>
      </c>
      <c r="P71" s="32" t="n">
        <f aca="false">O71/(1+(((C10/D10-1)/(0.5-0.25))+D71/10000)*(0.5-0.25))</f>
        <v>0.979398599764871</v>
      </c>
      <c r="Q71" s="32" t="n">
        <f aca="false">P71/(1+(((D10/E10-1)/(1-0.5))+E71/10000)*(1-0.5))</f>
        <v>0.9563957060858</v>
      </c>
      <c r="R71" s="32" t="n">
        <f aca="false">Q71/(1+(((E10/F10-1)/(2-1))+F71/10000)*(2-1))</f>
        <v>0.913311461622517</v>
      </c>
      <c r="S71" s="32" t="n">
        <f aca="false">R71/(1+(((F10/G10-1)/(3-2))+G71/10000)*(3-2))</f>
        <v>0.873040070687825</v>
      </c>
      <c r="T71" s="32" t="n">
        <f aca="false">S71/(1+(((G10/H10-1)/(5-3))+H71/10000)*(5-3))</f>
        <v>0.798739639808863</v>
      </c>
      <c r="U71" s="32" t="n">
        <f aca="false">T71/(1+(((H10/I10-1)/(10-5))+I71/10000)*(10-5))</f>
        <v>0.641875387588773</v>
      </c>
      <c r="V71" s="32" t="n">
        <f aca="false">U71/(1+(((I10/J10-1)/(20-10))+J71/10000)*(20-10))</f>
        <v>0.414604743072572</v>
      </c>
      <c r="W71" s="32" t="n">
        <f aca="false">V71/(1+(((J10/K10-1)/(30-20))+K71/10000)*(30-20))</f>
        <v>0.267960257364607</v>
      </c>
    </row>
    <row r="72" customFormat="false" ht="15" hidden="false" customHeight="true" outlineLevel="0" collapsed="false">
      <c r="A72" s="9" t="s">
        <v>37</v>
      </c>
      <c r="B72" s="30" t="s">
        <v>38</v>
      </c>
      <c r="C72" s="31" t="n">
        <v>119.6</v>
      </c>
      <c r="D72" s="31" t="n">
        <v>110.7</v>
      </c>
      <c r="E72" s="31" t="n">
        <v>89.7</v>
      </c>
      <c r="F72" s="31" t="n">
        <v>-65.4</v>
      </c>
      <c r="G72" s="31" t="n">
        <v>43</v>
      </c>
      <c r="H72" s="31" t="n">
        <v>23.9</v>
      </c>
      <c r="I72" s="31" t="n">
        <v>-10.9</v>
      </c>
      <c r="J72" s="31" t="n">
        <v>-6.7</v>
      </c>
      <c r="K72" s="31" t="n">
        <v>4.3</v>
      </c>
      <c r="M72" s="4" t="s">
        <v>37</v>
      </c>
      <c r="N72" s="30" t="s">
        <v>38</v>
      </c>
      <c r="O72" s="32" t="n">
        <f aca="false">1/(1+(((1/C11-1)/(0.25-0))+C72/10000)*(0.25-0))</f>
        <v>0.985643648863517</v>
      </c>
      <c r="P72" s="32" t="n">
        <f aca="false">O72/(1+(((C11/D11-1)/(0.5-0.25))+D72/10000)*(0.5-0.25))</f>
        <v>0.971687719823269</v>
      </c>
      <c r="Q72" s="32" t="n">
        <f aca="false">P72/(1+(((D11/E11-1)/(1-0.5))+E72/10000)*(1-0.5))</f>
        <v>0.945344255389449</v>
      </c>
      <c r="R72" s="32" t="n">
        <f aca="false">Q72/(1+(((E11/F11-1)/(2-1))+F72/10000)*(2-1))</f>
        <v>0.908106381997084</v>
      </c>
      <c r="S72" s="32" t="n">
        <f aca="false">R72/(1+(((F11/G11-1)/(3-2))+G72/10000)*(3-2))</f>
        <v>0.86308825674416</v>
      </c>
      <c r="T72" s="32" t="n">
        <f aca="false">S72/(1+(((G11/H11-1)/(5-3))+H72/10000)*(5-3))</f>
        <v>0.78193905614907</v>
      </c>
      <c r="U72" s="32" t="n">
        <f aca="false">T72/(1+(((H11/I11-1)/(10-5))+I72/10000)*(10-5))</f>
        <v>0.616968067233873</v>
      </c>
      <c r="V72" s="32" t="n">
        <f aca="false">U72/(1+(((I11/J11-1)/(20-10))+J72/10000)*(20-10))</f>
        <v>0.385288587887378</v>
      </c>
      <c r="W72" s="32" t="n">
        <f aca="false">V72/(1+(((J11/K11-1)/(30-20))+K72/10000)*(30-20))</f>
        <v>0.238965749804225</v>
      </c>
    </row>
    <row r="73" customFormat="false" ht="15" hidden="false" customHeight="true" outlineLevel="0" collapsed="false">
      <c r="A73" s="9" t="s">
        <v>40</v>
      </c>
      <c r="B73" s="30" t="s">
        <v>38</v>
      </c>
      <c r="C73" s="31" t="n">
        <v>92.2</v>
      </c>
      <c r="D73" s="31" t="n">
        <v>83.3</v>
      </c>
      <c r="E73" s="31" t="n">
        <v>66.8</v>
      </c>
      <c r="F73" s="31" t="n">
        <v>47.4</v>
      </c>
      <c r="G73" s="31" t="n">
        <v>32</v>
      </c>
      <c r="H73" s="31" t="n">
        <v>17.1</v>
      </c>
      <c r="I73" s="31" t="n">
        <v>-8.5</v>
      </c>
      <c r="J73" s="31" t="n">
        <v>4.1</v>
      </c>
      <c r="K73" s="31" t="n">
        <v>3.5</v>
      </c>
      <c r="M73" s="4" t="s">
        <v>40</v>
      </c>
      <c r="N73" s="30" t="s">
        <v>38</v>
      </c>
      <c r="O73" s="32" t="n">
        <f aca="false">1/(1+(((1/C12-1)/(0.25-0))+C73/10000)*(0.25-0))</f>
        <v>0.989512932495218</v>
      </c>
      <c r="P73" s="32" t="n">
        <f aca="false">O73/(1+(((C12/D12-1)/(0.5-0.25))+D73/10000)*(0.5-0.25))</f>
        <v>0.979331939014459</v>
      </c>
      <c r="Q73" s="32" t="n">
        <f aca="false">P73/(1+(((D12/E12-1)/(1-0.5))+E73/10000)*(1-0.5))</f>
        <v>0.960043506585016</v>
      </c>
      <c r="R73" s="32" t="n">
        <f aca="false">Q73/(1+(((E12/F12-1)/(2-1))+F73/10000)*(2-1))</f>
        <v>0.924224570417075</v>
      </c>
      <c r="S73" s="32" t="n">
        <f aca="false">R73/(1+(((F12/G12-1)/(3-2))+G73/10000)*(3-2))</f>
        <v>0.890797097464492</v>
      </c>
      <c r="T73" s="32" t="n">
        <f aca="false">S73/(1+(((G12/H12-1)/(5-3))+H73/10000)*(5-3))</f>
        <v>0.829254881404532</v>
      </c>
      <c r="U73" s="32" t="n">
        <f aca="false">T73/(1+(((H12/I12-1)/(10-5))+I73/10000)*(10-5))</f>
        <v>0.697740132296408</v>
      </c>
      <c r="V73" s="32" t="n">
        <f aca="false">U73/(1+(((I12/J12-1)/(20-10))+J73/10000)*(20-10))</f>
        <v>0.492723219080562</v>
      </c>
      <c r="W73" s="32" t="n">
        <f aca="false">V73/(1+(((J12/K12-1)/(30-20))+K73/10000)*(30-20))</f>
        <v>0.348093443020092</v>
      </c>
    </row>
    <row r="74" customFormat="false" ht="15" hidden="false" customHeight="true" outlineLevel="0" collapsed="false">
      <c r="A74" s="9" t="s">
        <v>49</v>
      </c>
      <c r="B74" s="30" t="s">
        <v>50</v>
      </c>
      <c r="C74" s="31" t="n">
        <v>45</v>
      </c>
      <c r="D74" s="31" t="n">
        <v>42.7</v>
      </c>
      <c r="E74" s="31" t="n">
        <v>37.5</v>
      </c>
      <c r="F74" s="31" t="n">
        <v>22.5</v>
      </c>
      <c r="G74" s="31" t="n">
        <v>15.6</v>
      </c>
      <c r="H74" s="31" t="n">
        <v>10</v>
      </c>
      <c r="I74" s="31" t="n">
        <v>5.7</v>
      </c>
      <c r="J74" s="31" t="n">
        <v>3.1</v>
      </c>
      <c r="K74" s="31" t="n">
        <v>-2.3</v>
      </c>
      <c r="M74" s="4" t="s">
        <v>49</v>
      </c>
      <c r="N74" s="30" t="s">
        <v>50</v>
      </c>
      <c r="O74" s="32" t="n">
        <f aca="false">1/(1+(((1/C13-1)/(0.25-0))+C74/10000)*(0.25-0))</f>
        <v>0.988939522991433</v>
      </c>
      <c r="P74" s="32" t="n">
        <f aca="false">O74/(1+(((C13/D13-1)/(0.5-0.25))+D74/10000)*(0.5-0.25))</f>
        <v>0.978037876484776</v>
      </c>
      <c r="Q74" s="32" t="n">
        <f aca="false">P74/(1+(((D13/E13-1)/(1-0.5))+E74/10000)*(1-0.5))</f>
        <v>0.956804885239764</v>
      </c>
      <c r="R74" s="32" t="n">
        <f aca="false">Q74/(1+(((E13/F13-1)/(2-1))+F74/10000)*(2-1))</f>
        <v>0.916893886397982</v>
      </c>
      <c r="S74" s="32" t="n">
        <f aca="false">R74/(1+(((F13/G13-1)/(3-2))+G74/10000)*(3-2))</f>
        <v>0.878964828478632</v>
      </c>
      <c r="T74" s="32" t="n">
        <f aca="false">S74/(1+(((G13/H13-1)/(5-3))+H74/10000)*(5-3))</f>
        <v>0.807953364262708</v>
      </c>
      <c r="U74" s="32" t="n">
        <f aca="false">T74/(1+(((H13/I13-1)/(10-5))+I74/10000)*(10-5))</f>
        <v>0.652590361406961</v>
      </c>
      <c r="V74" s="32" t="n">
        <f aca="false">U74/(1+(((I13/J13-1)/(20-10))+J74/10000)*(20-10))</f>
        <v>0.430051264329722</v>
      </c>
      <c r="W74" s="32" t="n">
        <f aca="false">V74/(1+(((J13/K13-1)/(30-20))+K74/10000)*(30-20))</f>
        <v>0.284412410734736</v>
      </c>
    </row>
    <row r="76" customFormat="false" ht="15" hidden="false" customHeight="true" outlineLevel="0" collapsed="false">
      <c r="A76" s="29" t="s">
        <v>122</v>
      </c>
      <c r="B76" s="29"/>
      <c r="C76" s="12" t="s">
        <v>74</v>
      </c>
      <c r="D76" s="12" t="s">
        <v>75</v>
      </c>
      <c r="E76" s="12" t="s">
        <v>30</v>
      </c>
      <c r="F76" s="12" t="s">
        <v>76</v>
      </c>
      <c r="G76" s="12" t="s">
        <v>77</v>
      </c>
      <c r="H76" s="12" t="s">
        <v>78</v>
      </c>
      <c r="I76" s="12" t="s">
        <v>79</v>
      </c>
      <c r="J76" s="12" t="s">
        <v>80</v>
      </c>
      <c r="K76" s="12" t="s">
        <v>81</v>
      </c>
      <c r="M76" s="29" t="s">
        <v>122</v>
      </c>
      <c r="N76" s="29"/>
      <c r="O76" s="12" t="s">
        <v>74</v>
      </c>
      <c r="P76" s="12" t="s">
        <v>75</v>
      </c>
      <c r="Q76" s="12" t="s">
        <v>30</v>
      </c>
      <c r="R76" s="12" t="s">
        <v>76</v>
      </c>
      <c r="S76" s="12" t="s">
        <v>77</v>
      </c>
      <c r="T76" s="12" t="s">
        <v>78</v>
      </c>
      <c r="U76" s="12" t="s">
        <v>79</v>
      </c>
      <c r="V76" s="12" t="s">
        <v>80</v>
      </c>
      <c r="W76" s="12" t="s">
        <v>81</v>
      </c>
    </row>
    <row r="77" customFormat="false" ht="15" hidden="false" customHeight="true" outlineLevel="0" collapsed="false">
      <c r="A77" s="9" t="s">
        <v>42</v>
      </c>
      <c r="B77" s="30" t="s">
        <v>43</v>
      </c>
      <c r="C77" s="31" t="n">
        <v>75.7</v>
      </c>
      <c r="D77" s="31" t="n">
        <v>-63.1</v>
      </c>
      <c r="E77" s="31" t="n">
        <v>53.1</v>
      </c>
      <c r="F77" s="31" t="n">
        <v>38.5</v>
      </c>
      <c r="G77" s="31" t="n">
        <v>-24.9</v>
      </c>
      <c r="H77" s="31" t="n">
        <v>12.4</v>
      </c>
      <c r="I77" s="31" t="n">
        <v>5.7</v>
      </c>
      <c r="J77" s="31" t="n">
        <v>3.8</v>
      </c>
      <c r="K77" s="31" t="n">
        <v>2.3</v>
      </c>
      <c r="M77" s="4" t="s">
        <v>42</v>
      </c>
      <c r="N77" s="30" t="s">
        <v>43</v>
      </c>
      <c r="O77" s="32" t="n">
        <f aca="false">1/(1+(((1/C8-1)/(0.25-0))+C77/10000)*(0.25-0))</f>
        <v>0.98744925162927</v>
      </c>
      <c r="P77" s="32" t="n">
        <f aca="false">O77/(1+(((C8/D8-1)/(0.5-0.25))+D77/10000)*(0.5-0.25))</f>
        <v>0.978390936455875</v>
      </c>
      <c r="Q77" s="32" t="n">
        <f aca="false">P77/(1+(((D8/E8-1)/(1-0.5))+E77/10000)*(1-0.5))</f>
        <v>0.954991103789659</v>
      </c>
      <c r="R77" s="32" t="n">
        <f aca="false">Q77/(1+(((E8/F8-1)/(2-1))+F77/10000)*(2-1))</f>
        <v>0.91102685899029</v>
      </c>
      <c r="S77" s="32" t="n">
        <f aca="false">R77/(1+(((F8/G8-1)/(3-2))+G77/10000)*(3-2))</f>
        <v>0.874111802463144</v>
      </c>
      <c r="T77" s="32" t="n">
        <f aca="false">S77/(1+(((G8/H8-1)/(5-3))+H77/10000)*(5-3))</f>
        <v>0.79834543799367</v>
      </c>
      <c r="U77" s="32" t="n">
        <f aca="false">T77/(1+(((H8/I8-1)/(10-5))+I77/10000)*(10-5))</f>
        <v>0.635250923059983</v>
      </c>
      <c r="V77" s="32" t="n">
        <f aca="false">U77/(1+(((I8/J8-1)/(20-10))+J77/10000)*(20-10))</f>
        <v>0.406095735473085</v>
      </c>
      <c r="W77" s="32" t="n">
        <f aca="false">V77/(1+(((J8/K8-1)/(30-20))+K77/10000)*(30-20))</f>
        <v>0.259852680196834</v>
      </c>
    </row>
    <row r="78" customFormat="false" ht="15" hidden="false" customHeight="true" outlineLevel="0" collapsed="false">
      <c r="A78" s="9" t="s">
        <v>52</v>
      </c>
      <c r="B78" s="30" t="s">
        <v>43</v>
      </c>
      <c r="C78" s="31" t="n">
        <v>62.8</v>
      </c>
      <c r="D78" s="31" t="n">
        <v>53.9</v>
      </c>
      <c r="E78" s="31" t="n">
        <v>46</v>
      </c>
      <c r="F78" s="31" t="n">
        <v>31.6</v>
      </c>
      <c r="G78" s="31" t="n">
        <v>17.2</v>
      </c>
      <c r="H78" s="31" t="n">
        <v>9.9</v>
      </c>
      <c r="I78" s="31" t="n">
        <v>5</v>
      </c>
      <c r="J78" s="31" t="n">
        <v>2.5</v>
      </c>
      <c r="K78" s="31" t="n">
        <v>1.2</v>
      </c>
      <c r="M78" s="4" t="s">
        <v>52</v>
      </c>
      <c r="N78" s="30" t="s">
        <v>43</v>
      </c>
      <c r="O78" s="32" t="n">
        <f aca="false">1/(1+(((1/C9-1)/(0.25-0))+C78/10000)*(0.25-0))</f>
        <v>0.990727579713388</v>
      </c>
      <c r="P78" s="32" t="n">
        <f aca="false">O78/(1+(((C9/D9-1)/(0.5-0.25))+D78/10000)*(0.5-0.25))</f>
        <v>0.98173889441551</v>
      </c>
      <c r="Q78" s="32" t="n">
        <f aca="false">P78/(1+(((D9/E9-1)/(1-0.5))+E78/10000)*(1-0.5))</f>
        <v>0.96434631914572</v>
      </c>
      <c r="R78" s="32" t="n">
        <f aca="false">Q78/(1+(((E9/F9-1)/(2-1))+F78/10000)*(2-1))</f>
        <v>0.931636791467687</v>
      </c>
      <c r="S78" s="32" t="n">
        <f aca="false">R78/(1+(((F9/G9-1)/(3-2))+G78/10000)*(3-2))</f>
        <v>0.901020547589485</v>
      </c>
      <c r="T78" s="32" t="n">
        <f aca="false">S78/(1+(((G9/H9-1)/(5-3))+H78/10000)*(5-3))</f>
        <v>0.843258829156853</v>
      </c>
      <c r="U78" s="32" t="n">
        <f aca="false">T78/(1+(((H9/I9-1)/(10-5))+I78/10000)*(10-5))</f>
        <v>0.712591396893678</v>
      </c>
      <c r="V78" s="32" t="n">
        <f aca="false">U78/(1+(((I9/J9-1)/(20-10))+J78/10000)*(20-10))</f>
        <v>0.513938910244066</v>
      </c>
      <c r="W78" s="32" t="n">
        <f aca="false">V78/(1+(((J9/K9-1)/(30-20))+K78/10000)*(30-20))</f>
        <v>0.371012734108747</v>
      </c>
    </row>
    <row r="79" customFormat="false" ht="15" hidden="false" customHeight="true" outlineLevel="0" collapsed="false">
      <c r="A79" s="9" t="s">
        <v>45</v>
      </c>
      <c r="B79" s="30" t="s">
        <v>38</v>
      </c>
      <c r="C79" s="31" t="n">
        <v>85.1</v>
      </c>
      <c r="D79" s="31" t="n">
        <v>78</v>
      </c>
      <c r="E79" s="31" t="n">
        <v>58.6</v>
      </c>
      <c r="F79" s="31" t="n">
        <v>-44.2</v>
      </c>
      <c r="G79" s="31" t="n">
        <v>28</v>
      </c>
      <c r="H79" s="31" t="n">
        <v>14.5</v>
      </c>
      <c r="I79" s="31" t="n">
        <v>-7.1</v>
      </c>
      <c r="J79" s="31" t="n">
        <v>3.8</v>
      </c>
      <c r="K79" s="31" t="n">
        <v>2.3</v>
      </c>
      <c r="M79" s="4" t="s">
        <v>45</v>
      </c>
      <c r="N79" s="30" t="s">
        <v>38</v>
      </c>
      <c r="O79" s="32" t="n">
        <f aca="false">1/(1+(((1/C10-1)/(0.25-0))+C79/10000)*(0.25-0))</f>
        <v>0.987467125832578</v>
      </c>
      <c r="P79" s="32" t="n">
        <f aca="false">O79/(1+(((C10/D10-1)/(0.5-0.25))+D79/10000)*(0.5-0.25))</f>
        <v>0.975243092556967</v>
      </c>
      <c r="Q79" s="32" t="n">
        <f aca="false">P79/(1+(((D10/E10-1)/(1-0.5))+E79/10000)*(1-0.5))</f>
        <v>0.952137896569466</v>
      </c>
      <c r="R79" s="32" t="n">
        <f aca="false">Q79/(1+(((E10/F10-1)/(2-1))+F79/10000)*(2-1))</f>
        <v>0.916448055008612</v>
      </c>
      <c r="S79" s="32" t="n">
        <f aca="false">R79/(1+(((F10/G10-1)/(3-2))+G79/10000)*(3-2))</f>
        <v>0.875745364048579</v>
      </c>
      <c r="T79" s="32" t="n">
        <f aca="false">S79/(1+(((G10/H10-1)/(5-3))+H79/10000)*(5-3))</f>
        <v>0.801126744492871</v>
      </c>
      <c r="U79" s="32" t="n">
        <f aca="false">T79/(1+(((H10/I10-1)/(10-5))+I79/10000)*(10-5))</f>
        <v>0.643948934653827</v>
      </c>
      <c r="V79" s="32" t="n">
        <f aca="false">U79/(1+(((I10/J10-1)/(20-10))+J79/10000)*(20-10))</f>
        <v>0.415782964125085</v>
      </c>
      <c r="W79" s="32" t="n">
        <f aca="false">V79/(1+(((J10/K10-1)/(30-20))+K79/10000)*(30-20))</f>
        <v>0.268721745074863</v>
      </c>
    </row>
    <row r="80" customFormat="false" ht="15" hidden="false" customHeight="true" outlineLevel="0" collapsed="false">
      <c r="A80" s="9" t="s">
        <v>37</v>
      </c>
      <c r="B80" s="30" t="s">
        <v>38</v>
      </c>
      <c r="C80" s="31" t="n">
        <v>130.3</v>
      </c>
      <c r="D80" s="31" t="n">
        <v>124.2</v>
      </c>
      <c r="E80" s="31" t="n">
        <v>96.2</v>
      </c>
      <c r="F80" s="31" t="n">
        <v>68.6</v>
      </c>
      <c r="G80" s="31" t="n">
        <v>48.3</v>
      </c>
      <c r="H80" s="31" t="n">
        <v>27.3</v>
      </c>
      <c r="I80" s="31" t="n">
        <v>12.1</v>
      </c>
      <c r="J80" s="31" t="n">
        <v>6.9</v>
      </c>
      <c r="K80" s="31" t="n">
        <v>5</v>
      </c>
      <c r="M80" s="4" t="s">
        <v>37</v>
      </c>
      <c r="N80" s="30" t="s">
        <v>38</v>
      </c>
      <c r="O80" s="32" t="n">
        <f aca="false">1/(1+(((1/C11-1)/(0.25-0))+C80/10000)*(0.25-0))</f>
        <v>0.985383842878698</v>
      </c>
      <c r="P80" s="32" t="n">
        <f aca="false">O80/(1+(((C11/D11-1)/(0.5-0.25))+D80/10000)*(0.5-0.25))</f>
        <v>0.971108484037313</v>
      </c>
      <c r="Q80" s="32" t="n">
        <f aca="false">P80/(1+(((D11/E11-1)/(1-0.5))+E80/10000)*(1-0.5))</f>
        <v>0.944482088523894</v>
      </c>
      <c r="R80" s="32" t="n">
        <f aca="false">Q80/(1+(((E11/F11-1)/(2-1))+F80/10000)*(2-1))</f>
        <v>0.895747962635192</v>
      </c>
      <c r="S80" s="32" t="n">
        <f aca="false">R80/(1+(((F11/G11-1)/(3-2))+G80/10000)*(3-2))</f>
        <v>0.8509138616117</v>
      </c>
      <c r="T80" s="32" t="n">
        <f aca="false">S80/(1+(((G11/H11-1)/(5-3))+H80/10000)*(5-3))</f>
        <v>0.770434682893803</v>
      </c>
      <c r="U80" s="32" t="n">
        <f aca="false">T80/(1+(((H11/I11-1)/(10-5))+I80/10000)*(10-5))</f>
        <v>0.602424589337743</v>
      </c>
      <c r="V80" s="32" t="n">
        <f aca="false">U80/(1+(((I11/J11-1)/(20-10))+J80/10000)*(20-10))</f>
        <v>0.373038151724193</v>
      </c>
      <c r="W80" s="32" t="n">
        <f aca="false">V80/(1+(((J11/K11-1)/(30-20))+K80/10000)*(30-20))</f>
        <v>0.231267312235389</v>
      </c>
    </row>
    <row r="81" customFormat="false" ht="15" hidden="false" customHeight="true" outlineLevel="0" collapsed="false">
      <c r="A81" s="9" t="s">
        <v>40</v>
      </c>
      <c r="B81" s="30" t="s">
        <v>38</v>
      </c>
      <c r="C81" s="31" t="n">
        <v>110.1</v>
      </c>
      <c r="D81" s="31" t="n">
        <v>97.2</v>
      </c>
      <c r="E81" s="31" t="n">
        <v>81.2</v>
      </c>
      <c r="F81" s="31" t="n">
        <v>55.9</v>
      </c>
      <c r="G81" s="31" t="n">
        <v>-32.8</v>
      </c>
      <c r="H81" s="31" t="n">
        <v>-17.4</v>
      </c>
      <c r="I81" s="31" t="n">
        <v>9.7</v>
      </c>
      <c r="J81" s="31" t="n">
        <v>4.6</v>
      </c>
      <c r="K81" s="31" t="n">
        <v>3.6</v>
      </c>
      <c r="M81" s="4" t="s">
        <v>40</v>
      </c>
      <c r="N81" s="30" t="s">
        <v>38</v>
      </c>
      <c r="O81" s="32" t="n">
        <f aca="false">1/(1+(((1/C12-1)/(0.25-0))+C81/10000)*(0.25-0))</f>
        <v>0.989074963141131</v>
      </c>
      <c r="P81" s="32" t="n">
        <f aca="false">O81/(1+(((C12/D12-1)/(0.5-0.25))+D81/10000)*(0.5-0.25))</f>
        <v>0.978561924352935</v>
      </c>
      <c r="Q81" s="32" t="n">
        <f aca="false">P81/(1+(((D12/E12-1)/(1-0.5))+E81/10000)*(1-0.5))</f>
        <v>0.958612050918359</v>
      </c>
      <c r="R81" s="32" t="n">
        <f aca="false">Q81/(1+(((E12/F12-1)/(2-1))+F81/10000)*(2-1))</f>
        <v>0.922091986274837</v>
      </c>
      <c r="S81" s="32" t="n">
        <f aca="false">R81/(1+(((F12/G12-1)/(3-2))+G81/10000)*(3-2))</f>
        <v>0.894327282677946</v>
      </c>
      <c r="T81" s="32" t="n">
        <f aca="false">S81/(1+(((G12/H12-1)/(5-3))+H81/10000)*(5-3))</f>
        <v>0.837923412877144</v>
      </c>
      <c r="U81" s="32" t="n">
        <f aca="false">T81/(1+(((H12/I12-1)/(10-5))+I81/10000)*(10-5))</f>
        <v>0.699676606899493</v>
      </c>
      <c r="V81" s="32" t="n">
        <f aca="false">U81/(1+(((I12/J12-1)/(20-10))+J81/10000)*(20-10))</f>
        <v>0.493916305081595</v>
      </c>
      <c r="W81" s="32" t="n">
        <f aca="false">V81/(1+(((J12/K12-1)/(30-20))+K81/10000)*(30-20))</f>
        <v>0.348911671209494</v>
      </c>
    </row>
    <row r="82" customFormat="false" ht="15" hidden="false" customHeight="true" outlineLevel="0" collapsed="false">
      <c r="A82" s="9" t="s">
        <v>49</v>
      </c>
      <c r="B82" s="30" t="s">
        <v>50</v>
      </c>
      <c r="C82" s="31" t="n">
        <v>51.5</v>
      </c>
      <c r="D82" s="31" t="n">
        <v>-44.7</v>
      </c>
      <c r="E82" s="31" t="n">
        <v>37.2</v>
      </c>
      <c r="F82" s="31" t="n">
        <v>-25.5</v>
      </c>
      <c r="G82" s="31" t="n">
        <v>18.2</v>
      </c>
      <c r="H82" s="31" t="n">
        <v>11.6</v>
      </c>
      <c r="I82" s="31" t="n">
        <v>-6.2</v>
      </c>
      <c r="J82" s="31" t="n">
        <v>3.8</v>
      </c>
      <c r="K82" s="31" t="n">
        <v>2.5</v>
      </c>
      <c r="M82" s="4" t="s">
        <v>49</v>
      </c>
      <c r="N82" s="30" t="s">
        <v>50</v>
      </c>
      <c r="O82" s="32" t="n">
        <f aca="false">1/(1+(((1/C13-1)/(0.25-0))+C82/10000)*(0.25-0))</f>
        <v>0.988780623302765</v>
      </c>
      <c r="P82" s="32" t="n">
        <f aca="false">O82/(1+(((C13/D13-1)/(0.5-0.25))+D82/10000)*(0.5-0.25))</f>
        <v>0.979998420248893</v>
      </c>
      <c r="Q82" s="32" t="n">
        <f aca="false">P82/(1+(((D13/E13-1)/(1-0.5))+E82/10000)*(1-0.5))</f>
        <v>0.958736934866277</v>
      </c>
      <c r="R82" s="32" t="n">
        <f aca="false">Q82/(1+(((E13/F13-1)/(2-1))+F82/10000)*(2-1))</f>
        <v>0.922990898651156</v>
      </c>
      <c r="S82" s="32" t="n">
        <f aca="false">R82/(1+(((F13/G13-1)/(3-2))+G82/10000)*(3-2))</f>
        <v>0.884589147160831</v>
      </c>
      <c r="T82" s="32" t="n">
        <f aca="false">S82/(1+(((G13/H13-1)/(5-3))+H82/10000)*(5-3))</f>
        <v>0.812884187267349</v>
      </c>
      <c r="U82" s="32" t="n">
        <f aca="false">T82/(1+(((H13/I13-1)/(10-5))+I82/10000)*(10-5))</f>
        <v>0.659743663614393</v>
      </c>
      <c r="V82" s="32" t="n">
        <f aca="false">U82/(1+(((I13/J13-1)/(20-10))+J82/10000)*(20-10))</f>
        <v>0.43456476505541</v>
      </c>
      <c r="W82" s="32" t="n">
        <f aca="false">V82/(1+(((J13/K13-1)/(30-20))+K82/10000)*(30-20))</f>
        <v>0.28648794962965</v>
      </c>
    </row>
    <row r="84" customFormat="false" ht="15" hidden="false" customHeight="true" outlineLevel="0" collapsed="false">
      <c r="A84" s="29" t="s">
        <v>123</v>
      </c>
      <c r="B84" s="29"/>
      <c r="C84" s="12" t="s">
        <v>74</v>
      </c>
      <c r="D84" s="12" t="s">
        <v>75</v>
      </c>
      <c r="E84" s="12" t="s">
        <v>30</v>
      </c>
      <c r="F84" s="12" t="s">
        <v>76</v>
      </c>
      <c r="G84" s="12" t="s">
        <v>77</v>
      </c>
      <c r="H84" s="12" t="s">
        <v>78</v>
      </c>
      <c r="I84" s="12" t="s">
        <v>79</v>
      </c>
      <c r="J84" s="12" t="s">
        <v>80</v>
      </c>
      <c r="K84" s="12" t="s">
        <v>81</v>
      </c>
      <c r="M84" s="29" t="s">
        <v>123</v>
      </c>
      <c r="N84" s="29"/>
      <c r="O84" s="12" t="s">
        <v>74</v>
      </c>
      <c r="P84" s="12" t="s">
        <v>75</v>
      </c>
      <c r="Q84" s="12" t="s">
        <v>30</v>
      </c>
      <c r="R84" s="12" t="s">
        <v>76</v>
      </c>
      <c r="S84" s="12" t="s">
        <v>77</v>
      </c>
      <c r="T84" s="12" t="s">
        <v>78</v>
      </c>
      <c r="U84" s="12" t="s">
        <v>79</v>
      </c>
      <c r="V84" s="12" t="s">
        <v>80</v>
      </c>
      <c r="W84" s="12" t="s">
        <v>81</v>
      </c>
    </row>
    <row r="85" customFormat="false" ht="15" hidden="false" customHeight="true" outlineLevel="0" collapsed="false">
      <c r="A85" s="9" t="s">
        <v>42</v>
      </c>
      <c r="B85" s="30" t="s">
        <v>43</v>
      </c>
      <c r="C85" s="31" t="n">
        <v>78.9</v>
      </c>
      <c r="D85" s="31" t="n">
        <v>-69.8</v>
      </c>
      <c r="E85" s="31" t="n">
        <v>62.6</v>
      </c>
      <c r="F85" s="31" t="n">
        <v>41.1</v>
      </c>
      <c r="G85" s="31" t="n">
        <v>25</v>
      </c>
      <c r="H85" s="31" t="n">
        <v>-12.5</v>
      </c>
      <c r="I85" s="31" t="n">
        <v>6.7</v>
      </c>
      <c r="J85" s="31" t="n">
        <v>-4.2</v>
      </c>
      <c r="K85" s="31" t="n">
        <v>2.7</v>
      </c>
      <c r="M85" s="4" t="s">
        <v>42</v>
      </c>
      <c r="N85" s="30" t="s">
        <v>43</v>
      </c>
      <c r="O85" s="32" t="n">
        <f aca="false">1/(1+(((1/C8-1)/(0.25-0))+C85/10000)*(0.25-0))</f>
        <v>0.987371253308857</v>
      </c>
      <c r="P85" s="32" t="n">
        <f aca="false">O85/(1+(((C8/D8-1)/(0.5-0.25))+D85/10000)*(0.5-0.25))</f>
        <v>0.978476044906598</v>
      </c>
      <c r="Q85" s="32" t="n">
        <f aca="false">P85/(1+(((D8/E8-1)/(1-0.5))+E85/10000)*(1-0.5))</f>
        <v>0.954631571739291</v>
      </c>
      <c r="R85" s="32" t="n">
        <f aca="false">Q85/(1+(((E8/F8-1)/(2-1))+F85/10000)*(2-1))</f>
        <v>0.910458057034101</v>
      </c>
      <c r="S85" s="32" t="n">
        <f aca="false">R85/(1+(((F8/G8-1)/(3-2))+G85/10000)*(3-2))</f>
        <v>0.869403515028967</v>
      </c>
      <c r="T85" s="32" t="n">
        <f aca="false">S85/(1+(((G8/H8-1)/(5-3))+H85/10000)*(5-3))</f>
        <v>0.797673348018737</v>
      </c>
      <c r="U85" s="32" t="n">
        <f aca="false">T85/(1+(((H8/I8-1)/(10-5))+I85/10000)*(10-5))</f>
        <v>0.634463710437603</v>
      </c>
      <c r="V85" s="32" t="n">
        <f aca="false">U85/(1+(((I8/J8-1)/(20-10))+J85/10000)*(20-10))</f>
        <v>0.40767741722962</v>
      </c>
      <c r="W85" s="32" t="n">
        <f aca="false">V85/(1+(((J8/K8-1)/(30-20))+K85/10000)*(30-20))</f>
        <v>0.260798015458442</v>
      </c>
    </row>
    <row r="86" customFormat="false" ht="15" hidden="false" customHeight="true" outlineLevel="0" collapsed="false">
      <c r="A86" s="9" t="s">
        <v>52</v>
      </c>
      <c r="B86" s="30" t="s">
        <v>43</v>
      </c>
      <c r="C86" s="31" t="n">
        <v>68.3</v>
      </c>
      <c r="D86" s="31" t="n">
        <v>59.6</v>
      </c>
      <c r="E86" s="31" t="n">
        <v>49.8</v>
      </c>
      <c r="F86" s="31" t="n">
        <v>35</v>
      </c>
      <c r="G86" s="31" t="n">
        <v>20.1</v>
      </c>
      <c r="H86" s="31" t="n">
        <v>10.9</v>
      </c>
      <c r="I86" s="31" t="n">
        <v>5.1</v>
      </c>
      <c r="J86" s="31" t="n">
        <v>2.7</v>
      </c>
      <c r="K86" s="31" t="n">
        <v>-1.3</v>
      </c>
      <c r="M86" s="4" t="s">
        <v>52</v>
      </c>
      <c r="N86" s="30" t="s">
        <v>43</v>
      </c>
      <c r="O86" s="32" t="n">
        <f aca="false">1/(1+(((1/C9-1)/(0.25-0))+C86/10000)*(0.25-0))</f>
        <v>0.99059263618971</v>
      </c>
      <c r="P86" s="32" t="n">
        <f aca="false">O86/(1+(((C9/D9-1)/(0.5-0.25))+D86/10000)*(0.5-0.25))</f>
        <v>0.981466585135041</v>
      </c>
      <c r="Q86" s="32" t="n">
        <f aca="false">P86/(1+(((D9/E9-1)/(1-0.5))+E86/10000)*(1-0.5))</f>
        <v>0.963898937861947</v>
      </c>
      <c r="R86" s="32" t="n">
        <f aca="false">Q86/(1+(((E9/F9-1)/(2-1))+F86/10000)*(2-1))</f>
        <v>0.930898814758972</v>
      </c>
      <c r="S86" s="32" t="n">
        <f aca="false">R86/(1+(((F9/G9-1)/(3-2))+G86/10000)*(3-2))</f>
        <v>0.900054384853211</v>
      </c>
      <c r="T86" s="32" t="n">
        <f aca="false">S86/(1+(((G9/H9-1)/(5-3))+H86/10000)*(5-3))</f>
        <v>0.842196962959345</v>
      </c>
      <c r="U86" s="32" t="n">
        <f aca="false">T86/(1+(((H9/I9-1)/(10-5))+I86/10000)*(10-5))</f>
        <v>0.711664003106313</v>
      </c>
      <c r="V86" s="32" t="n">
        <f aca="false">U86/(1+(((I9/J9-1)/(20-10))+J86/10000)*(20-10))</f>
        <v>0.513196024439014</v>
      </c>
      <c r="W86" s="32" t="n">
        <f aca="false">V86/(1+(((J9/K9-1)/(30-20))+K86/10000)*(30-20))</f>
        <v>0.371146271163474</v>
      </c>
    </row>
    <row r="87" customFormat="false" ht="15" hidden="false" customHeight="true" outlineLevel="0" collapsed="false">
      <c r="A87" s="9" t="s">
        <v>45</v>
      </c>
      <c r="B87" s="30" t="s">
        <v>38</v>
      </c>
      <c r="C87" s="31" t="n">
        <v>86.8</v>
      </c>
      <c r="D87" s="31" t="n">
        <v>86.8</v>
      </c>
      <c r="E87" s="31" t="n">
        <v>63.9</v>
      </c>
      <c r="F87" s="31" t="n">
        <v>47.3</v>
      </c>
      <c r="G87" s="31" t="n">
        <v>29.7</v>
      </c>
      <c r="H87" s="31" t="n">
        <v>16.4</v>
      </c>
      <c r="I87" s="31" t="n">
        <v>8.1</v>
      </c>
      <c r="J87" s="31" t="n">
        <v>3.9</v>
      </c>
      <c r="K87" s="31" t="n">
        <v>2.7</v>
      </c>
      <c r="M87" s="4" t="s">
        <v>45</v>
      </c>
      <c r="N87" s="30" t="s">
        <v>38</v>
      </c>
      <c r="O87" s="32" t="n">
        <f aca="false">1/(1+(((1/C10-1)/(0.25-0))+C87/10000)*(0.25-0))</f>
        <v>0.987425686190395</v>
      </c>
      <c r="P87" s="32" t="n">
        <f aca="false">O87/(1+(((C10/D10-1)/(0.5-0.25))+D87/10000)*(0.5-0.25))</f>
        <v>0.974990323340189</v>
      </c>
      <c r="Q87" s="32" t="n">
        <f aca="false">P87/(1+(((D10/E10-1)/(1-0.5))+E87/10000)*(1-0.5))</f>
        <v>0.951644904713199</v>
      </c>
      <c r="R87" s="32" t="n">
        <f aca="false">Q87/(1+(((E10/F10-1)/(2-1))+F87/10000)*(2-1))</f>
        <v>0.907976968981165</v>
      </c>
      <c r="S87" s="32" t="n">
        <f aca="false">R87/(1+(((F10/G10-1)/(3-2))+G87/10000)*(3-2))</f>
        <v>0.867509582162342</v>
      </c>
      <c r="T87" s="32" t="n">
        <f aca="false">S87/(1+(((G10/H10-1)/(5-3))+H87/10000)*(5-3))</f>
        <v>0.793316925079884</v>
      </c>
      <c r="U87" s="32" t="n">
        <f aca="false">T87/(1+(((H10/I10-1)/(10-5))+I87/10000)*(10-5))</f>
        <v>0.633799545103656</v>
      </c>
      <c r="V87" s="32" t="n">
        <f aca="false">U87/(1+(((I10/J10-1)/(20-10))+J87/10000)*(20-10))</f>
        <v>0.409203316236881</v>
      </c>
      <c r="W87" s="32" t="n">
        <f aca="false">V87/(1+(((J10/K10-1)/(30-20))+K87/10000)*(30-20))</f>
        <v>0.264400946170227</v>
      </c>
    </row>
    <row r="88" customFormat="false" ht="15" hidden="false" customHeight="true" outlineLevel="0" collapsed="false">
      <c r="A88" s="9" t="s">
        <v>37</v>
      </c>
      <c r="B88" s="30" t="s">
        <v>38</v>
      </c>
      <c r="C88" s="31" t="n">
        <v>-150.9</v>
      </c>
      <c r="D88" s="31" t="n">
        <v>126.7</v>
      </c>
      <c r="E88" s="31" t="n">
        <v>115.6</v>
      </c>
      <c r="F88" s="31" t="n">
        <v>-77.2</v>
      </c>
      <c r="G88" s="31" t="n">
        <v>54</v>
      </c>
      <c r="H88" s="31" t="n">
        <v>30.6</v>
      </c>
      <c r="I88" s="31" t="n">
        <v>-13.2</v>
      </c>
      <c r="J88" s="31" t="n">
        <v>7.5</v>
      </c>
      <c r="K88" s="31" t="n">
        <v>5.2</v>
      </c>
      <c r="M88" s="4" t="s">
        <v>37</v>
      </c>
      <c r="N88" s="30" t="s">
        <v>38</v>
      </c>
      <c r="O88" s="32" t="n">
        <f aca="false">1/(1+(((1/C11-1)/(0.25-0))+C88/10000)*(0.25-0))</f>
        <v>0.992257456773841</v>
      </c>
      <c r="P88" s="32" t="n">
        <f aca="false">O88/(1+(((C11/D11-1)/(0.5-0.25))+D88/10000)*(0.5-0.25))</f>
        <v>0.977822290638908</v>
      </c>
      <c r="Q88" s="32" t="n">
        <f aca="false">P88/(1+(((D11/E11-1)/(1-0.5))+E88/10000)*(1-0.5))</f>
        <v>0.950115469489328</v>
      </c>
      <c r="R88" s="32" t="n">
        <f aca="false">Q88/(1+(((E11/F11-1)/(2-1))+F88/10000)*(2-1))</f>
        <v>0.91372537906029</v>
      </c>
      <c r="S88" s="32" t="n">
        <f aca="false">R88/(1+(((F11/G11-1)/(3-2))+G88/10000)*(3-2))</f>
        <v>0.867521732664848</v>
      </c>
      <c r="T88" s="32" t="n">
        <f aca="false">S88/(1+(((G11/H11-1)/(5-3))+H88/10000)*(5-3))</f>
        <v>0.785002686604053</v>
      </c>
      <c r="U88" s="32" t="n">
        <f aca="false">T88/(1+(((H11/I11-1)/(10-5))+I88/10000)*(10-5))</f>
        <v>0.619947869031123</v>
      </c>
      <c r="V88" s="32" t="n">
        <f aca="false">U88/(1+(((I11/J11-1)/(20-10))+J88/10000)*(20-10))</f>
        <v>0.383746480594609</v>
      </c>
      <c r="W88" s="32" t="n">
        <f aca="false">V88/(1+(((J11/K11-1)/(30-20))+K88/10000)*(30-20))</f>
        <v>0.23787651242755</v>
      </c>
    </row>
    <row r="89" customFormat="false" ht="15" hidden="false" customHeight="true" outlineLevel="0" collapsed="false">
      <c r="A89" s="9" t="s">
        <v>40</v>
      </c>
      <c r="B89" s="30" t="s">
        <v>38</v>
      </c>
      <c r="C89" s="31" t="n">
        <v>112.9</v>
      </c>
      <c r="D89" s="31" t="n">
        <v>109.9</v>
      </c>
      <c r="E89" s="31" t="n">
        <v>90.5</v>
      </c>
      <c r="F89" s="31" t="n">
        <v>60.6</v>
      </c>
      <c r="G89" s="31" t="n">
        <v>34.9</v>
      </c>
      <c r="H89" s="31" t="n">
        <v>19.7</v>
      </c>
      <c r="I89" s="31" t="n">
        <v>11.1</v>
      </c>
      <c r="J89" s="31" t="n">
        <v>5.3</v>
      </c>
      <c r="K89" s="31" t="n">
        <v>-4</v>
      </c>
      <c r="M89" s="4" t="s">
        <v>40</v>
      </c>
      <c r="N89" s="30" t="s">
        <v>38</v>
      </c>
      <c r="O89" s="32" t="n">
        <f aca="false">1/(1+(((1/C12-1)/(0.25-0))+C89/10000)*(0.25-0))</f>
        <v>0.989006489032163</v>
      </c>
      <c r="P89" s="32" t="n">
        <f aca="false">O89/(1+(((C12/D12-1)/(0.5-0.25))+D89/10000)*(0.5-0.25))</f>
        <v>0.978186904869363</v>
      </c>
      <c r="Q89" s="32" t="n">
        <f aca="false">P89/(1+(((D12/E12-1)/(1-0.5))+E89/10000)*(1-0.5))</f>
        <v>0.957808375985025</v>
      </c>
      <c r="R89" s="32" t="n">
        <f aca="false">Q89/(1+(((E12/F12-1)/(2-1))+F89/10000)*(2-1))</f>
        <v>0.920902593800176</v>
      </c>
      <c r="S89" s="32" t="n">
        <f aca="false">R89/(1+(((F12/G12-1)/(3-2))+G89/10000)*(3-2))</f>
        <v>0.887347246992719</v>
      </c>
      <c r="T89" s="32" t="n">
        <f aca="false">S89/(1+(((G12/H12-1)/(5-3))+H89/10000)*(5-3))</f>
        <v>0.825643696245752</v>
      </c>
      <c r="U89" s="32" t="n">
        <f aca="false">T89/(1+(((H12/I12-1)/(10-5))+I89/10000)*(10-5))</f>
        <v>0.689020150443237</v>
      </c>
      <c r="V89" s="32" t="n">
        <f aca="false">U89/(1+(((I12/J12-1)/(20-10))+J89/10000)*(20-10))</f>
        <v>0.4861534601771</v>
      </c>
      <c r="W89" s="32" t="n">
        <f aca="false">V89/(1+(((J12/K12-1)/(30-20))+K89/10000)*(30-20))</f>
        <v>0.345281594501379</v>
      </c>
    </row>
    <row r="90" customFormat="false" ht="15" hidden="false" customHeight="true" outlineLevel="0" collapsed="false">
      <c r="A90" s="9" t="s">
        <v>49</v>
      </c>
      <c r="B90" s="30" t="s">
        <v>50</v>
      </c>
      <c r="C90" s="31" t="n">
        <v>51.8</v>
      </c>
      <c r="D90" s="31" t="n">
        <v>51.2</v>
      </c>
      <c r="E90" s="31" t="n">
        <v>41.4</v>
      </c>
      <c r="F90" s="31" t="n">
        <v>28.3</v>
      </c>
      <c r="G90" s="31" t="n">
        <v>20.6</v>
      </c>
      <c r="H90" s="31" t="n">
        <v>11.8</v>
      </c>
      <c r="I90" s="31" t="n">
        <v>6.5</v>
      </c>
      <c r="J90" s="31" t="n">
        <v>3.9</v>
      </c>
      <c r="K90" s="31" t="n">
        <v>2.8</v>
      </c>
      <c r="M90" s="4" t="s">
        <v>49</v>
      </c>
      <c r="N90" s="30" t="s">
        <v>50</v>
      </c>
      <c r="O90" s="32" t="n">
        <f aca="false">1/(1+(((1/C13-1)/(0.25-0))+C90/10000)*(0.25-0))</f>
        <v>0.988773290703735</v>
      </c>
      <c r="P90" s="32" t="n">
        <f aca="false">O90/(1+(((C13/D13-1)/(0.5-0.25))+D90/10000)*(0.5-0.25))</f>
        <v>0.977668012414378</v>
      </c>
      <c r="Q90" s="32" t="n">
        <f aca="false">P90/(1+(((D13/E13-1)/(1-0.5))+E90/10000)*(1-0.5))</f>
        <v>0.956260628257328</v>
      </c>
      <c r="R90" s="32" t="n">
        <f aca="false">Q90/(1+(((E13/F13-1)/(2-1))+F90/10000)*(2-1))</f>
        <v>0.915863289045974</v>
      </c>
      <c r="S90" s="32" t="n">
        <f aca="false">R90/(1+(((F13/G13-1)/(3-2))+G90/10000)*(3-2))</f>
        <v>0.877556236516843</v>
      </c>
      <c r="T90" s="32" t="n">
        <f aca="false">S90/(1+(((G13/H13-1)/(5-3))+H90/10000)*(5-3))</f>
        <v>0.806391724642567</v>
      </c>
      <c r="U90" s="32" t="n">
        <f aca="false">T90/(1+(((H13/I13-1)/(10-5))+I90/10000)*(10-5))</f>
        <v>0.65111864717443</v>
      </c>
      <c r="V90" s="32" t="n">
        <f aca="false">U90/(1+(((I13/J13-1)/(20-10))+J90/10000)*(20-10))</f>
        <v>0.428855328205816</v>
      </c>
      <c r="W90" s="32" t="n">
        <f aca="false">V90/(1+(((J13/K13-1)/(30-20))+K90/10000)*(30-20))</f>
        <v>0.282668083662645</v>
      </c>
    </row>
    <row r="92" customFormat="false" ht="15" hidden="false" customHeight="true" outlineLevel="0" collapsed="false">
      <c r="A92" s="29" t="s">
        <v>124</v>
      </c>
      <c r="B92" s="29"/>
      <c r="C92" s="12" t="s">
        <v>74</v>
      </c>
      <c r="D92" s="12" t="s">
        <v>75</v>
      </c>
      <c r="E92" s="12" t="s">
        <v>30</v>
      </c>
      <c r="F92" s="12" t="s">
        <v>76</v>
      </c>
      <c r="G92" s="12" t="s">
        <v>77</v>
      </c>
      <c r="H92" s="12" t="s">
        <v>78</v>
      </c>
      <c r="I92" s="12" t="s">
        <v>79</v>
      </c>
      <c r="J92" s="12" t="s">
        <v>80</v>
      </c>
      <c r="K92" s="12" t="s">
        <v>81</v>
      </c>
      <c r="M92" s="29" t="s">
        <v>124</v>
      </c>
      <c r="N92" s="29"/>
      <c r="O92" s="12" t="s">
        <v>74</v>
      </c>
      <c r="P92" s="12" t="s">
        <v>75</v>
      </c>
      <c r="Q92" s="12" t="s">
        <v>30</v>
      </c>
      <c r="R92" s="12" t="s">
        <v>76</v>
      </c>
      <c r="S92" s="12" t="s">
        <v>77</v>
      </c>
      <c r="T92" s="12" t="s">
        <v>78</v>
      </c>
      <c r="U92" s="12" t="s">
        <v>79</v>
      </c>
      <c r="V92" s="12" t="s">
        <v>80</v>
      </c>
      <c r="W92" s="12" t="s">
        <v>81</v>
      </c>
    </row>
    <row r="93" customFormat="false" ht="15" hidden="false" customHeight="true" outlineLevel="0" collapsed="false">
      <c r="A93" s="9" t="s">
        <v>42</v>
      </c>
      <c r="B93" s="30" t="s">
        <v>43</v>
      </c>
      <c r="C93" s="31" t="n">
        <v>86.2</v>
      </c>
      <c r="D93" s="31" t="n">
        <v>75.9</v>
      </c>
      <c r="E93" s="31" t="n">
        <v>66.2</v>
      </c>
      <c r="F93" s="31" t="n">
        <v>44.1</v>
      </c>
      <c r="G93" s="31" t="n">
        <v>28.8</v>
      </c>
      <c r="H93" s="31" t="n">
        <v>14.2</v>
      </c>
      <c r="I93" s="31" t="n">
        <v>6.8</v>
      </c>
      <c r="J93" s="31" t="n">
        <v>4.3</v>
      </c>
      <c r="K93" s="31" t="n">
        <v>2.8</v>
      </c>
      <c r="M93" s="4" t="s">
        <v>42</v>
      </c>
      <c r="N93" s="30" t="s">
        <v>43</v>
      </c>
      <c r="O93" s="32" t="n">
        <f aca="false">1/(1+(((1/C8-1)/(0.25-0))+C93/10000)*(0.25-0))</f>
        <v>0.987193365749837</v>
      </c>
      <c r="P93" s="32" t="n">
        <f aca="false">O93/(1+(((C8/D8-1)/(0.5-0.25))+D93/10000)*(0.5-0.25))</f>
        <v>0.974781107397741</v>
      </c>
      <c r="Q93" s="32" t="n">
        <f aca="false">P93/(1+(((D8/E8-1)/(1-0.5))+E93/10000)*(1-0.5))</f>
        <v>0.950859692250137</v>
      </c>
      <c r="R93" s="32" t="n">
        <f aca="false">Q93/(1+(((E8/F8-1)/(2-1))+F93/10000)*(2-1))</f>
        <v>0.906601318034038</v>
      </c>
      <c r="S93" s="32" t="n">
        <f aca="false">R93/(1+(((F8/G8-1)/(3-2))+G93/10000)*(3-2))</f>
        <v>0.865406659051048</v>
      </c>
      <c r="T93" s="32" t="n">
        <f aca="false">S93/(1+(((G8/H8-1)/(5-3))+H93/10000)*(5-3))</f>
        <v>0.790135046868041</v>
      </c>
      <c r="U93" s="32" t="n">
        <f aca="false">T93/(1+(((H8/I8-1)/(10-5))+I93/10000)*(10-5))</f>
        <v>0.628442806344304</v>
      </c>
      <c r="V93" s="32" t="n">
        <f aca="false">U93/(1+(((I8/J8-1)/(20-10))+J93/10000)*(20-10))</f>
        <v>0.401615152821491</v>
      </c>
      <c r="W93" s="32" t="n">
        <f aca="false">V93/(1+(((J8/K8-1)/(30-20))+K93/10000)*(30-20))</f>
        <v>0.256903449679945</v>
      </c>
    </row>
    <row r="94" customFormat="false" ht="15" hidden="false" customHeight="true" outlineLevel="0" collapsed="false">
      <c r="A94" s="9" t="s">
        <v>52</v>
      </c>
      <c r="B94" s="30" t="s">
        <v>43</v>
      </c>
      <c r="C94" s="31" t="n">
        <v>-71.9</v>
      </c>
      <c r="D94" s="31" t="n">
        <v>67.9</v>
      </c>
      <c r="E94" s="31" t="n">
        <v>-54.1</v>
      </c>
      <c r="F94" s="31" t="n">
        <v>37.1</v>
      </c>
      <c r="G94" s="31" t="n">
        <v>22</v>
      </c>
      <c r="H94" s="31" t="n">
        <v>11.1</v>
      </c>
      <c r="I94" s="31" t="n">
        <v>6</v>
      </c>
      <c r="J94" s="31" t="n">
        <v>2.9</v>
      </c>
      <c r="K94" s="31" t="n">
        <v>1.5</v>
      </c>
      <c r="M94" s="4" t="s">
        <v>52</v>
      </c>
      <c r="N94" s="30" t="s">
        <v>43</v>
      </c>
      <c r="O94" s="32" t="n">
        <f aca="false">1/(1+(((1/C9-1)/(0.25-0))+C94/10000)*(0.25-0))</f>
        <v>0.994043983929816</v>
      </c>
      <c r="P94" s="32" t="n">
        <f aca="false">O94/(1+(((C9/D9-1)/(0.5-0.25))+D94/10000)*(0.5-0.25))</f>
        <v>0.984683697072841</v>
      </c>
      <c r="Q94" s="32" t="n">
        <f aca="false">P94/(1+(((D9/E9-1)/(1-0.5))+E94/10000)*(1-0.5))</f>
        <v>0.972017712190285</v>
      </c>
      <c r="R94" s="32" t="n">
        <f aca="false">Q94/(1+(((E9/F9-1)/(2-1))+F94/10000)*(2-1))</f>
        <v>0.938549286485854</v>
      </c>
      <c r="S94" s="32" t="n">
        <f aca="false">R94/(1+(((F9/G9-1)/(3-2))+G94/10000)*(3-2))</f>
        <v>0.907284693303094</v>
      </c>
      <c r="T94" s="32" t="n">
        <f aca="false">S94/(1+(((G9/H9-1)/(5-3))+H94/10000)*(5-3))</f>
        <v>0.848930717324491</v>
      </c>
      <c r="U94" s="32" t="n">
        <f aca="false">T94/(1+(((H9/I9-1)/(10-5))+I94/10000)*(10-5))</f>
        <v>0.717081412958277</v>
      </c>
      <c r="V94" s="32" t="n">
        <f aca="false">U94/(1+(((I9/J9-1)/(20-10))+J94/10000)*(20-10))</f>
        <v>0.517028065735622</v>
      </c>
      <c r="W94" s="32" t="n">
        <f aca="false">V94/(1+(((J9/K9-1)/(30-20))+K94/10000)*(30-20))</f>
        <v>0.373161981128047</v>
      </c>
    </row>
    <row r="95" customFormat="false" ht="15" hidden="false" customHeight="true" outlineLevel="0" collapsed="false">
      <c r="A95" s="9" t="s">
        <v>45</v>
      </c>
      <c r="B95" s="30" t="s">
        <v>38</v>
      </c>
      <c r="C95" s="31" t="n">
        <v>104.3</v>
      </c>
      <c r="D95" s="31" t="n">
        <v>90.6</v>
      </c>
      <c r="E95" s="31" t="n">
        <v>70.8</v>
      </c>
      <c r="F95" s="31" t="n">
        <v>50.1</v>
      </c>
      <c r="G95" s="31" t="n">
        <v>30.7</v>
      </c>
      <c r="H95" s="31" t="n">
        <v>17.3</v>
      </c>
      <c r="I95" s="31" t="n">
        <v>-8.6</v>
      </c>
      <c r="J95" s="31" t="n">
        <v>4.3</v>
      </c>
      <c r="K95" s="31" t="n">
        <v>2.9</v>
      </c>
      <c r="M95" s="4" t="s">
        <v>45</v>
      </c>
      <c r="N95" s="30" t="s">
        <v>38</v>
      </c>
      <c r="O95" s="32" t="n">
        <f aca="false">1/(1+(((1/C10-1)/(0.25-0))+C95/10000)*(0.25-0))</f>
        <v>0.986999303737061</v>
      </c>
      <c r="P95" s="32" t="n">
        <f aca="false">O95/(1+(((C10/D10-1)/(0.5-0.25))+D95/10000)*(0.5-0.25))</f>
        <v>0.974477901096281</v>
      </c>
      <c r="Q95" s="32" t="n">
        <f aca="false">P95/(1+(((D10/E10-1)/(1-0.5))+E95/10000)*(1-0.5))</f>
        <v>0.950824572103433</v>
      </c>
      <c r="R95" s="32" t="n">
        <f aca="false">Q95/(1+(((E10/F10-1)/(2-1))+F95/10000)*(2-1))</f>
        <v>0.906951985044646</v>
      </c>
      <c r="S95" s="32" t="n">
        <f aca="false">R95/(1+(((F10/G10-1)/(3-2))+G95/10000)*(3-2))</f>
        <v>0.866447497362752</v>
      </c>
      <c r="T95" s="32" t="n">
        <f aca="false">S95/(1+(((G10/H10-1)/(5-3))+H95/10000)*(5-3))</f>
        <v>0.792215270564619</v>
      </c>
      <c r="U95" s="32" t="n">
        <f aca="false">T95/(1+(((H10/I10-1)/(10-5))+I95/10000)*(10-5))</f>
        <v>0.637169975538531</v>
      </c>
      <c r="V95" s="32" t="n">
        <f aca="false">U95/(1+(((I10/J10-1)/(20-10))+J95/10000)*(20-10))</f>
        <v>0.411273171892197</v>
      </c>
      <c r="W95" s="32" t="n">
        <f aca="false">V95/(1+(((J10/K10-1)/(30-20))+K95/10000)*(30-20))</f>
        <v>0.265704018002227</v>
      </c>
    </row>
    <row r="96" customFormat="false" ht="15" hidden="false" customHeight="true" outlineLevel="0" collapsed="false">
      <c r="A96" s="9" t="s">
        <v>37</v>
      </c>
      <c r="B96" s="30" t="s">
        <v>38</v>
      </c>
      <c r="C96" s="31" t="n">
        <v>156.5</v>
      </c>
      <c r="D96" s="31" t="n">
        <v>138</v>
      </c>
      <c r="E96" s="31" t="n">
        <v>122.5</v>
      </c>
      <c r="F96" s="31" t="n">
        <v>-88.4</v>
      </c>
      <c r="G96" s="31" t="n">
        <v>58.8</v>
      </c>
      <c r="H96" s="31" t="n">
        <v>32.6</v>
      </c>
      <c r="I96" s="31" t="n">
        <v>14.6</v>
      </c>
      <c r="J96" s="31" t="n">
        <v>9</v>
      </c>
      <c r="K96" s="31" t="n">
        <v>5.4</v>
      </c>
      <c r="M96" s="4" t="s">
        <v>37</v>
      </c>
      <c r="N96" s="30" t="s">
        <v>38</v>
      </c>
      <c r="O96" s="32" t="n">
        <f aca="false">1/(1+(((1/C11-1)/(0.25-0))+C96/10000)*(0.25-0))</f>
        <v>0.984748260337298</v>
      </c>
      <c r="P96" s="32" t="n">
        <f aca="false">O96/(1+(((C11/D11-1)/(0.5-0.25))+D96/10000)*(0.5-0.25))</f>
        <v>0.970152255589067</v>
      </c>
      <c r="Q96" s="32" t="n">
        <f aca="false">P96/(1+(((D11/E11-1)/(1-0.5))+E96/10000)*(1-0.5))</f>
        <v>0.942346869047631</v>
      </c>
      <c r="R96" s="32" t="n">
        <f aca="false">Q96/(1+(((E11/F11-1)/(2-1))+F96/10000)*(2-1))</f>
        <v>0.907231503443921</v>
      </c>
      <c r="S96" s="32" t="n">
        <f aca="false">R96/(1+(((F11/G11-1)/(3-2))+G96/10000)*(3-2))</f>
        <v>0.860963862327311</v>
      </c>
      <c r="T96" s="32" t="n">
        <f aca="false">S96/(1+(((G11/H11-1)/(5-3))+H96/10000)*(5-3))</f>
        <v>0.778786720481855</v>
      </c>
      <c r="U96" s="32" t="n">
        <f aca="false">T96/(1+(((H11/I11-1)/(10-5))+I96/10000)*(10-5))</f>
        <v>0.608360664953194</v>
      </c>
      <c r="V96" s="32" t="n">
        <f aca="false">U96/(1+(((I11/J11-1)/(20-10))+J96/10000)*(20-10))</f>
        <v>0.376224701143073</v>
      </c>
      <c r="W96" s="32" t="n">
        <f aca="false">V96/(1+(((J11/K11-1)/(30-20))+K96/10000)*(30-20))</f>
        <v>0.233185007484868</v>
      </c>
    </row>
    <row r="97" customFormat="false" ht="15" hidden="false" customHeight="true" outlineLevel="0" collapsed="false">
      <c r="A97" s="9" t="s">
        <v>40</v>
      </c>
      <c r="B97" s="30" t="s">
        <v>38</v>
      </c>
      <c r="C97" s="31" t="n">
        <v>130</v>
      </c>
      <c r="D97" s="31" t="n">
        <v>119.2</v>
      </c>
      <c r="E97" s="31" t="n">
        <v>93.2</v>
      </c>
      <c r="F97" s="31" t="n">
        <v>66</v>
      </c>
      <c r="G97" s="31" t="n">
        <v>40.7</v>
      </c>
      <c r="H97" s="31" t="n">
        <v>21.4</v>
      </c>
      <c r="I97" s="31" t="n">
        <v>11.2</v>
      </c>
      <c r="J97" s="31" t="n">
        <v>5.8</v>
      </c>
      <c r="K97" s="31" t="n">
        <v>4.5</v>
      </c>
      <c r="M97" s="4" t="s">
        <v>40</v>
      </c>
      <c r="N97" s="30" t="s">
        <v>38</v>
      </c>
      <c r="O97" s="32" t="n">
        <f aca="false">1/(1+(((1/C12-1)/(0.25-0))+C97/10000)*(0.25-0))</f>
        <v>0.988588513537705</v>
      </c>
      <c r="P97" s="32" t="n">
        <f aca="false">O97/(1+(((C12/D12-1)/(0.5-0.25))+D97/10000)*(0.5-0.25))</f>
        <v>0.977548708300357</v>
      </c>
      <c r="Q97" s="32" t="n">
        <f aca="false">P97/(1+(((D12/E12-1)/(1-0.5))+E97/10000)*(1-0.5))</f>
        <v>0.957056963924134</v>
      </c>
      <c r="R97" s="32" t="n">
        <f aca="false">Q97/(1+(((E12/F12-1)/(2-1))+F97/10000)*(2-1))</f>
        <v>0.919702631599233</v>
      </c>
      <c r="S97" s="32" t="n">
        <f aca="false">R97/(1+(((F12/G12-1)/(3-2))+G97/10000)*(3-2))</f>
        <v>0.885696022722474</v>
      </c>
      <c r="T97" s="32" t="n">
        <f aca="false">S97/(1+(((G12/H12-1)/(5-3))+H97/10000)*(5-3))</f>
        <v>0.82384666333821</v>
      </c>
      <c r="U97" s="32" t="n">
        <f aca="false">T97/(1+(((H12/I12-1)/(10-5))+I97/10000)*(10-5))</f>
        <v>0.687491795445724</v>
      </c>
      <c r="V97" s="32" t="n">
        <f aca="false">U97/(1+(((I12/J12-1)/(20-10))+J97/10000)*(20-10))</f>
        <v>0.484904027986479</v>
      </c>
      <c r="W97" s="32" t="n">
        <f aca="false">V97/(1+(((J12/K12-1)/(30-20))+K97/10000)*(30-20))</f>
        <v>0.342327587002036</v>
      </c>
    </row>
    <row r="98" customFormat="false" ht="15" hidden="false" customHeight="true" outlineLevel="0" collapsed="false">
      <c r="A98" s="9" t="s">
        <v>49</v>
      </c>
      <c r="B98" s="30" t="s">
        <v>50</v>
      </c>
      <c r="C98" s="31" t="n">
        <v>56.4</v>
      </c>
      <c r="D98" s="31" t="n">
        <v>55.7</v>
      </c>
      <c r="E98" s="31" t="n">
        <v>-47.7</v>
      </c>
      <c r="F98" s="31" t="n">
        <v>29.9</v>
      </c>
      <c r="G98" s="31" t="n">
        <v>22.5</v>
      </c>
      <c r="H98" s="31" t="n">
        <v>13.2</v>
      </c>
      <c r="I98" s="31" t="n">
        <v>6.8</v>
      </c>
      <c r="J98" s="31" t="n">
        <v>4.5</v>
      </c>
      <c r="K98" s="31" t="n">
        <v>2.9</v>
      </c>
      <c r="M98" s="4" t="s">
        <v>49</v>
      </c>
      <c r="N98" s="30" t="s">
        <v>50</v>
      </c>
      <c r="O98" s="32" t="n">
        <f aca="false">1/(1+(((1/C13-1)/(0.25-0))+C98/10000)*(0.25-0))</f>
        <v>0.988660871135497</v>
      </c>
      <c r="P98" s="32" t="n">
        <f aca="false">O98/(1+(((C13/D13-1)/(0.5-0.25))+D98/10000)*(0.5-0.25))</f>
        <v>0.977448127591642</v>
      </c>
      <c r="Q98" s="32" t="n">
        <f aca="false">P98/(1+(((D13/E13-1)/(1-0.5))+E98/10000)*(1-0.5))</f>
        <v>0.960229712665626</v>
      </c>
      <c r="R98" s="32" t="n">
        <f aca="false">Q98/(1+(((E13/F13-1)/(2-1))+F98/10000)*(2-1))</f>
        <v>0.919523790486639</v>
      </c>
      <c r="S98" s="32" t="n">
        <f aca="false">R98/(1+(((F13/G13-1)/(3-2))+G98/10000)*(3-2))</f>
        <v>0.880903262100167</v>
      </c>
      <c r="T98" s="32" t="n">
        <f aca="false">S98/(1+(((G13/H13-1)/(5-3))+H98/10000)*(5-3))</f>
        <v>0.809259109398274</v>
      </c>
      <c r="U98" s="32" t="n">
        <f aca="false">T98/(1+(((H13/I13-1)/(10-5))+I98/10000)*(10-5))</f>
        <v>0.653354776224689</v>
      </c>
      <c r="V98" s="32" t="n">
        <f aca="false">U98/(1+(((I13/J13-1)/(20-10))+J98/10000)*(20-10))</f>
        <v>0.430158148349435</v>
      </c>
      <c r="W98" s="32" t="n">
        <f aca="false">V98/(1+(((J13/K13-1)/(30-20))+K98/10000)*(30-20))</f>
        <v>0.283508114740984</v>
      </c>
    </row>
    <row r="100" customFormat="false" ht="15" hidden="false" customHeight="true" outlineLevel="0" collapsed="false">
      <c r="A100" s="29" t="s">
        <v>125</v>
      </c>
      <c r="B100" s="29"/>
      <c r="C100" s="12" t="s">
        <v>74</v>
      </c>
      <c r="D100" s="12" t="s">
        <v>75</v>
      </c>
      <c r="E100" s="12" t="s">
        <v>30</v>
      </c>
      <c r="F100" s="12" t="s">
        <v>76</v>
      </c>
      <c r="G100" s="12" t="s">
        <v>77</v>
      </c>
      <c r="H100" s="12" t="s">
        <v>78</v>
      </c>
      <c r="I100" s="12" t="s">
        <v>79</v>
      </c>
      <c r="J100" s="12" t="s">
        <v>80</v>
      </c>
      <c r="K100" s="12" t="s">
        <v>81</v>
      </c>
      <c r="M100" s="29" t="s">
        <v>125</v>
      </c>
      <c r="N100" s="29"/>
      <c r="O100" s="12" t="s">
        <v>74</v>
      </c>
      <c r="P100" s="12" t="s">
        <v>75</v>
      </c>
      <c r="Q100" s="12" t="s">
        <v>30</v>
      </c>
      <c r="R100" s="12" t="s">
        <v>76</v>
      </c>
      <c r="S100" s="12" t="s">
        <v>77</v>
      </c>
      <c r="T100" s="12" t="s">
        <v>78</v>
      </c>
      <c r="U100" s="12" t="s">
        <v>79</v>
      </c>
      <c r="V100" s="12" t="s">
        <v>80</v>
      </c>
      <c r="W100" s="12" t="s">
        <v>81</v>
      </c>
    </row>
    <row r="101" customFormat="false" ht="15" hidden="false" customHeight="true" outlineLevel="0" collapsed="false">
      <c r="A101" s="9" t="s">
        <v>42</v>
      </c>
      <c r="B101" s="30" t="s">
        <v>43</v>
      </c>
      <c r="C101" s="31" t="n">
        <v>88</v>
      </c>
      <c r="D101" s="31" t="n">
        <v>82.9</v>
      </c>
      <c r="E101" s="31" t="n">
        <v>66.7</v>
      </c>
      <c r="F101" s="31" t="n">
        <v>46.5</v>
      </c>
      <c r="G101" s="31" t="n">
        <v>-29.7</v>
      </c>
      <c r="H101" s="31" t="n">
        <v>16</v>
      </c>
      <c r="I101" s="31" t="n">
        <v>7.5</v>
      </c>
      <c r="J101" s="31" t="n">
        <v>4.4</v>
      </c>
      <c r="K101" s="31" t="n">
        <v>3</v>
      </c>
      <c r="M101" s="4" t="s">
        <v>42</v>
      </c>
      <c r="N101" s="30" t="s">
        <v>43</v>
      </c>
      <c r="O101" s="32" t="n">
        <f aca="false">1/(1+(((1/C8-1)/(0.25-0))+C101/10000)*(0.25-0))</f>
        <v>0.98714951291458</v>
      </c>
      <c r="P101" s="32" t="n">
        <f aca="false">O101/(1+(((C8/D8-1)/(0.5-0.25))+D101/10000)*(0.5-0.25))</f>
        <v>0.974569400659733</v>
      </c>
      <c r="Q101" s="32" t="n">
        <f aca="false">P101/(1+(((D8/E8-1)/(1-0.5))+E101/10000)*(1-0.5))</f>
        <v>0.950629998326299</v>
      </c>
      <c r="R101" s="32" t="n">
        <f aca="false">Q101/(1+(((E8/F8-1)/(2-1))+F101/10000)*(2-1))</f>
        <v>0.906174956210395</v>
      </c>
      <c r="S101" s="32" t="n">
        <f aca="false">R101/(1+(((F8/G8-1)/(3-2))+G101/10000)*(3-2))</f>
        <v>0.869857113033344</v>
      </c>
      <c r="T101" s="32" t="n">
        <f aca="false">S101/(1+(((G8/H8-1)/(5-3))+H101/10000)*(5-3))</f>
        <v>0.793937450306756</v>
      </c>
      <c r="U101" s="32" t="n">
        <f aca="false">T101/(1+(((H8/I8-1)/(10-5))+I101/10000)*(10-5))</f>
        <v>0.631291354093496</v>
      </c>
      <c r="V101" s="32" t="n">
        <f aca="false">U101/(1+(((I8/J8-1)/(20-10))+J101/10000)*(20-10))</f>
        <v>0.403409776580914</v>
      </c>
      <c r="W101" s="32" t="n">
        <f aca="false">V101/(1+(((J8/K8-1)/(30-20))+K101/10000)*(30-20))</f>
        <v>0.258018417248357</v>
      </c>
    </row>
    <row r="102" customFormat="false" ht="15" hidden="false" customHeight="true" outlineLevel="0" collapsed="false">
      <c r="A102" s="9" t="s">
        <v>52</v>
      </c>
      <c r="B102" s="30" t="s">
        <v>43</v>
      </c>
      <c r="C102" s="31" t="n">
        <v>73.1</v>
      </c>
      <c r="D102" s="31" t="n">
        <v>72.2</v>
      </c>
      <c r="E102" s="31" t="n">
        <v>56.4</v>
      </c>
      <c r="F102" s="31" t="n">
        <v>37.9</v>
      </c>
      <c r="G102" s="31" t="n">
        <v>23.4</v>
      </c>
      <c r="H102" s="31" t="n">
        <v>12</v>
      </c>
      <c r="I102" s="31" t="n">
        <v>6</v>
      </c>
      <c r="J102" s="31" t="n">
        <v>3.1</v>
      </c>
      <c r="K102" s="31" t="n">
        <v>1.6</v>
      </c>
      <c r="M102" s="4" t="s">
        <v>52</v>
      </c>
      <c r="N102" s="30" t="s">
        <v>43</v>
      </c>
      <c r="O102" s="32" t="n">
        <f aca="false">1/(1+(((1/C9-1)/(0.25-0))+C102/10000)*(0.25-0))</f>
        <v>0.990474897332954</v>
      </c>
      <c r="P102" s="32" t="n">
        <f aca="false">O102/(1+(((C9/D9-1)/(0.5-0.25))+D102/10000)*(0.5-0.25))</f>
        <v>0.981043749187381</v>
      </c>
      <c r="Q102" s="32" t="n">
        <f aca="false">P102/(1+(((D9/E9-1)/(1-0.5))+E102/10000)*(1-0.5))</f>
        <v>0.963171513076289</v>
      </c>
      <c r="R102" s="32" t="n">
        <f aca="false">Q102/(1+(((E9/F9-1)/(2-1))+F102/10000)*(2-1))</f>
        <v>0.929935845587093</v>
      </c>
      <c r="S102" s="32" t="n">
        <f aca="false">R102/(1+(((F9/G9-1)/(3-2))+G102/10000)*(3-2))</f>
        <v>0.898836534760485</v>
      </c>
      <c r="T102" s="32" t="n">
        <f aca="false">S102/(1+(((G9/H9-1)/(5-3))+H102/10000)*(5-3))</f>
        <v>0.840884296176745</v>
      </c>
      <c r="U102" s="32" t="n">
        <f aca="false">T102/(1+(((H9/I9-1)/(10-5))+I102/10000)*(10-5))</f>
        <v>0.710284699247565</v>
      </c>
      <c r="V102" s="32" t="n">
        <f aca="false">U102/(1+(((I9/J9-1)/(20-10))+J102/10000)*(20-10))</f>
        <v>0.512053678025539</v>
      </c>
      <c r="W102" s="32" t="n">
        <f aca="false">V102/(1+(((J9/K9-1)/(30-20))+K102/10000)*(30-20))</f>
        <v>0.369545074205724</v>
      </c>
    </row>
    <row r="103" customFormat="false" ht="15" hidden="false" customHeight="true" outlineLevel="0" collapsed="false">
      <c r="A103" s="9" t="s">
        <v>45</v>
      </c>
      <c r="B103" s="30" t="s">
        <v>38</v>
      </c>
      <c r="C103" s="31" t="n">
        <v>113.3</v>
      </c>
      <c r="D103" s="31" t="n">
        <v>105.1</v>
      </c>
      <c r="E103" s="31" t="n">
        <v>75.2</v>
      </c>
      <c r="F103" s="31" t="n">
        <v>54.9</v>
      </c>
      <c r="G103" s="31" t="n">
        <v>32.3</v>
      </c>
      <c r="H103" s="31" t="n">
        <v>18.5</v>
      </c>
      <c r="I103" s="31" t="n">
        <v>9</v>
      </c>
      <c r="J103" s="31" t="n">
        <v>4.7</v>
      </c>
      <c r="K103" s="31" t="n">
        <v>3.1</v>
      </c>
      <c r="M103" s="4" t="s">
        <v>45</v>
      </c>
      <c r="N103" s="30" t="s">
        <v>38</v>
      </c>
      <c r="O103" s="32" t="n">
        <f aca="false">1/(1+(((1/C10-1)/(0.25-0))+C103/10000)*(0.25-0))</f>
        <v>0.986780164686577</v>
      </c>
      <c r="P103" s="32" t="n">
        <f aca="false">O103/(1+(((C10/D10-1)/(0.5-0.25))+D103/10000)*(0.5-0.25))</f>
        <v>0.973912977489715</v>
      </c>
      <c r="Q103" s="32" t="n">
        <f aca="false">P103/(1+(((D10/E10-1)/(1-0.5))+E103/10000)*(1-0.5))</f>
        <v>0.950069418905633</v>
      </c>
      <c r="R103" s="32" t="n">
        <f aca="false">Q103/(1+(((E10/F10-1)/(2-1))+F103/10000)*(2-1))</f>
        <v>0.905816945719428</v>
      </c>
      <c r="S103" s="32" t="n">
        <f aca="false">R103/(1+(((F10/G10-1)/(3-2))+G103/10000)*(3-2))</f>
        <v>0.865230894561439</v>
      </c>
      <c r="T103" s="32" t="n">
        <f aca="false">S103/(1+(((G10/H10-1)/(5-3))+H103/10000)*(5-3))</f>
        <v>0.790929339180539</v>
      </c>
      <c r="U103" s="32" t="n">
        <f aca="false">T103/(1+(((H10/I10-1)/(10-5))+I103/10000)*(10-5))</f>
        <v>0.631664953195476</v>
      </c>
      <c r="V103" s="32" t="n">
        <f aca="false">U103/(1+(((I10/J10-1)/(20-10))+J103/10000)*(20-10))</f>
        <v>0.407614612211658</v>
      </c>
      <c r="W103" s="32" t="n">
        <f aca="false">V103/(1+(((J10/K10-1)/(30-20))+K103/10000)*(30-20))</f>
        <v>0.263306374812826</v>
      </c>
    </row>
    <row r="104" customFormat="false" ht="15" hidden="false" customHeight="true" outlineLevel="0" collapsed="false">
      <c r="A104" s="9" t="s">
        <v>37</v>
      </c>
      <c r="B104" s="30" t="s">
        <v>38</v>
      </c>
      <c r="C104" s="31" t="n">
        <v>172.5</v>
      </c>
      <c r="D104" s="31" t="n">
        <v>156.5</v>
      </c>
      <c r="E104" s="31" t="n">
        <v>132.6</v>
      </c>
      <c r="F104" s="31" t="n">
        <v>93.8</v>
      </c>
      <c r="G104" s="31" t="n">
        <v>61.2</v>
      </c>
      <c r="H104" s="31" t="n">
        <v>-34.7</v>
      </c>
      <c r="I104" s="31" t="n">
        <v>15.1</v>
      </c>
      <c r="J104" s="31" t="n">
        <v>-8.9</v>
      </c>
      <c r="K104" s="31" t="n">
        <v>6.2</v>
      </c>
      <c r="M104" s="4" t="s">
        <v>37</v>
      </c>
      <c r="N104" s="30" t="s">
        <v>38</v>
      </c>
      <c r="O104" s="32" t="n">
        <f aca="false">1/(1+(((1/C11-1)/(0.25-0))+C104/10000)*(0.25-0))</f>
        <v>0.984360521412895</v>
      </c>
      <c r="P104" s="32" t="n">
        <f aca="false">O104/(1+(((C11/D11-1)/(0.5-0.25))+D104/10000)*(0.5-0.25))</f>
        <v>0.969328594229379</v>
      </c>
      <c r="Q104" s="32" t="n">
        <f aca="false">P104/(1+(((D11/E11-1)/(1-0.5))+E104/10000)*(1-0.5))</f>
        <v>0.941085187512815</v>
      </c>
      <c r="R104" s="32" t="n">
        <f aca="false">Q104/(1+(((E11/F11-1)/(2-1))+F104/10000)*(2-1))</f>
        <v>0.890398311377447</v>
      </c>
      <c r="S104" s="32" t="n">
        <f aca="false">R104/(1+(((F11/G11-1)/(3-2))+G104/10000)*(3-2))</f>
        <v>0.844796730266138</v>
      </c>
      <c r="T104" s="32" t="n">
        <f aca="false">S104/(1+(((G11/H11-1)/(5-3))+H104/10000)*(5-3))</f>
        <v>0.773581268677914</v>
      </c>
      <c r="U104" s="32" t="n">
        <f aca="false">T104/(1+(((H11/I11-1)/(10-5))+I104/10000)*(10-5))</f>
        <v>0.604176359650982</v>
      </c>
      <c r="V104" s="32" t="n">
        <f aca="false">U104/(1+(((I11/J11-1)/(20-10))+J104/10000)*(20-10))</f>
        <v>0.377819407093138</v>
      </c>
      <c r="W104" s="32" t="n">
        <f aca="false">V104/(1+(((J11/K11-1)/(30-20))+K104/10000)*(30-20))</f>
        <v>0.234057354741949</v>
      </c>
    </row>
    <row r="105" customFormat="false" ht="15" hidden="false" customHeight="true" outlineLevel="0" collapsed="false">
      <c r="A105" s="9" t="s">
        <v>40</v>
      </c>
      <c r="B105" s="30" t="s">
        <v>38</v>
      </c>
      <c r="C105" s="31" t="n">
        <v>139</v>
      </c>
      <c r="D105" s="31" t="n">
        <v>127.4</v>
      </c>
      <c r="E105" s="31" t="n">
        <v>103.5</v>
      </c>
      <c r="F105" s="31" t="n">
        <v>71.5</v>
      </c>
      <c r="G105" s="31" t="n">
        <v>-42.4</v>
      </c>
      <c r="H105" s="31" t="n">
        <v>-24.2</v>
      </c>
      <c r="I105" s="31" t="n">
        <v>12.9</v>
      </c>
      <c r="J105" s="31" t="n">
        <v>6.3</v>
      </c>
      <c r="K105" s="31" t="n">
        <v>4.8</v>
      </c>
      <c r="M105" s="4" t="s">
        <v>40</v>
      </c>
      <c r="N105" s="30" t="s">
        <v>38</v>
      </c>
      <c r="O105" s="32" t="n">
        <f aca="false">1/(1+(((1/C12-1)/(0.25-0))+C105/10000)*(0.25-0))</f>
        <v>0.988368668307364</v>
      </c>
      <c r="P105" s="32" t="n">
        <f aca="false">O105/(1+(((C12/D12-1)/(0.5-0.25))+D105/10000)*(0.5-0.25))</f>
        <v>0.977133242755414</v>
      </c>
      <c r="Q105" s="32" t="n">
        <f aca="false">P105/(1+(((D12/E12-1)/(1-0.5))+E105/10000)*(1-0.5))</f>
        <v>0.956168103382636</v>
      </c>
      <c r="R105" s="32" t="n">
        <f aca="false">Q105/(1+(((E12/F12-1)/(2-1))+F105/10000)*(2-1))</f>
        <v>0.91836307821385</v>
      </c>
      <c r="S105" s="32" t="n">
        <f aca="false">R105/(1+(((F12/G12-1)/(3-2))+G105/10000)*(3-2))</f>
        <v>0.891540762250943</v>
      </c>
      <c r="T105" s="32" t="n">
        <f aca="false">S105/(1+(((G12/H12-1)/(5-3))+H105/10000)*(5-3))</f>
        <v>0.836378369861739</v>
      </c>
      <c r="U105" s="32" t="n">
        <f aca="false">T105/(1+(((H12/I12-1)/(10-5))+I105/10000)*(10-5))</f>
        <v>0.697454663025784</v>
      </c>
      <c r="V105" s="32" t="n">
        <f aca="false">U105/(1+(((I12/J12-1)/(20-10))+J105/10000)*(20-10))</f>
        <v>0.491757647213817</v>
      </c>
      <c r="W105" s="32" t="n">
        <f aca="false">V105/(1+(((J12/K12-1)/(30-20))+K105/10000)*(30-20))</f>
        <v>0.347092523969173</v>
      </c>
    </row>
    <row r="106" customFormat="false" ht="15" hidden="false" customHeight="true" outlineLevel="0" collapsed="false">
      <c r="A106" s="9" t="s">
        <v>49</v>
      </c>
      <c r="B106" s="30" t="s">
        <v>50</v>
      </c>
      <c r="C106" s="31" t="n">
        <v>60.7</v>
      </c>
      <c r="D106" s="31" t="n">
        <v>55.6</v>
      </c>
      <c r="E106" s="31" t="n">
        <v>49</v>
      </c>
      <c r="F106" s="31" t="n">
        <v>34.5</v>
      </c>
      <c r="G106" s="31" t="n">
        <v>23.9</v>
      </c>
      <c r="H106" s="31" t="n">
        <v>13.3</v>
      </c>
      <c r="I106" s="31" t="n">
        <v>7.3</v>
      </c>
      <c r="J106" s="31" t="n">
        <v>4.6</v>
      </c>
      <c r="K106" s="31" t="n">
        <v>-3</v>
      </c>
      <c r="M106" s="4" t="s">
        <v>49</v>
      </c>
      <c r="N106" s="30" t="s">
        <v>50</v>
      </c>
      <c r="O106" s="32" t="n">
        <f aca="false">1/(1+(((1/C13-1)/(0.25-0))+C106/10000)*(0.25-0))</f>
        <v>0.98855580639269</v>
      </c>
      <c r="P106" s="32" t="n">
        <f aca="false">O106/(1+(((C13/D13-1)/(0.5-0.25))+D106/10000)*(0.5-0.25))</f>
        <v>0.977346670079891</v>
      </c>
      <c r="Q106" s="32" t="n">
        <f aca="false">P106/(1+(((D13/E13-1)/(1-0.5))+E106/10000)*(1-0.5))</f>
        <v>0.955591148630945</v>
      </c>
      <c r="R106" s="32" t="n">
        <f aca="false">Q106/(1+(((E13/F13-1)/(2-1))+F106/10000)*(2-1))</f>
        <v>0.914678947959125</v>
      </c>
      <c r="S106" s="32" t="n">
        <f aca="false">R106/(1+(((F13/G13-1)/(3-2))+G106/10000)*(3-2))</f>
        <v>0.876144397331037</v>
      </c>
      <c r="T106" s="32" t="n">
        <f aca="false">S106/(1+(((G13/H13-1)/(5-3))+H106/10000)*(5-3))</f>
        <v>0.804872496430588</v>
      </c>
      <c r="U106" s="32" t="n">
        <f aca="false">T106/(1+(((H13/I13-1)/(10-5))+I106/10000)*(10-5))</f>
        <v>0.649682117211096</v>
      </c>
      <c r="V106" s="32" t="n">
        <f aca="false">U106/(1+(((I13/J13-1)/(20-10))+J106/10000)*(20-10))</f>
        <v>0.427711969584312</v>
      </c>
      <c r="W106" s="32" t="n">
        <f aca="false">V106/(1+(((J13/K13-1)/(30-20))+K106/10000)*(30-20))</f>
        <v>0.282996339818064</v>
      </c>
    </row>
    <row r="108" customFormat="false" ht="15" hidden="false" customHeight="true" outlineLevel="0" collapsed="false">
      <c r="A108" s="29" t="s">
        <v>126</v>
      </c>
      <c r="B108" s="29"/>
      <c r="C108" s="12" t="s">
        <v>74</v>
      </c>
      <c r="D108" s="12" t="s">
        <v>75</v>
      </c>
      <c r="E108" s="12" t="s">
        <v>30</v>
      </c>
      <c r="F108" s="12" t="s">
        <v>76</v>
      </c>
      <c r="G108" s="12" t="s">
        <v>77</v>
      </c>
      <c r="H108" s="12" t="s">
        <v>78</v>
      </c>
      <c r="I108" s="12" t="s">
        <v>79</v>
      </c>
      <c r="J108" s="12" t="s">
        <v>80</v>
      </c>
      <c r="K108" s="12" t="s">
        <v>81</v>
      </c>
      <c r="M108" s="29" t="s">
        <v>126</v>
      </c>
      <c r="N108" s="29"/>
      <c r="O108" s="12" t="s">
        <v>74</v>
      </c>
      <c r="P108" s="12" t="s">
        <v>75</v>
      </c>
      <c r="Q108" s="12" t="s">
        <v>30</v>
      </c>
      <c r="R108" s="12" t="s">
        <v>76</v>
      </c>
      <c r="S108" s="12" t="s">
        <v>77</v>
      </c>
      <c r="T108" s="12" t="s">
        <v>78</v>
      </c>
      <c r="U108" s="12" t="s">
        <v>79</v>
      </c>
      <c r="V108" s="12" t="s">
        <v>80</v>
      </c>
      <c r="W108" s="12" t="s">
        <v>81</v>
      </c>
    </row>
    <row r="109" customFormat="false" ht="15" hidden="false" customHeight="true" outlineLevel="0" collapsed="false">
      <c r="A109" s="9" t="s">
        <v>42</v>
      </c>
      <c r="B109" s="30" t="s">
        <v>43</v>
      </c>
      <c r="C109" s="31" t="n">
        <v>102.1</v>
      </c>
      <c r="D109" s="31" t="n">
        <v>89</v>
      </c>
      <c r="E109" s="31" t="n">
        <v>71.7</v>
      </c>
      <c r="F109" s="31" t="n">
        <v>48.6</v>
      </c>
      <c r="G109" s="31" t="n">
        <v>31.7</v>
      </c>
      <c r="H109" s="31" t="n">
        <v>15.9</v>
      </c>
      <c r="I109" s="31" t="n">
        <v>8.4</v>
      </c>
      <c r="J109" s="31" t="n">
        <v>5.2</v>
      </c>
      <c r="K109" s="31" t="n">
        <v>3.4</v>
      </c>
      <c r="M109" s="4" t="s">
        <v>42</v>
      </c>
      <c r="N109" s="30" t="s">
        <v>43</v>
      </c>
      <c r="O109" s="32" t="n">
        <f aca="false">1/(1+(((1/C8-1)/(0.25-0))+C109/10000)*(0.25-0))</f>
        <v>0.986806133783587</v>
      </c>
      <c r="P109" s="32" t="n">
        <f aca="false">O109/(1+(((C8/D8-1)/(0.5-0.25))+D109/10000)*(0.5-0.25))</f>
        <v>0.974083742814031</v>
      </c>
      <c r="Q109" s="32" t="n">
        <f aca="false">P109/(1+(((D8/E8-1)/(1-0.5))+E109/10000)*(1-0.5))</f>
        <v>0.949924622570429</v>
      </c>
      <c r="R109" s="32" t="n">
        <f aca="false">Q109/(1+(((E8/F8-1)/(2-1))+F109/10000)*(2-1))</f>
        <v>0.905321339612534</v>
      </c>
      <c r="S109" s="32" t="n">
        <f aca="false">R109/(1+(((F8/G8-1)/(3-2))+G109/10000)*(3-2))</f>
        <v>0.863945681129153</v>
      </c>
      <c r="T109" s="32" t="n">
        <f aca="false">S109/(1+(((G8/H8-1)/(5-3))+H109/10000)*(5-3))</f>
        <v>0.788556352865421</v>
      </c>
      <c r="U109" s="32" t="n">
        <f aca="false">T109/(1+(((H8/I8-1)/(10-5))+I109/10000)*(10-5))</f>
        <v>0.626788355752388</v>
      </c>
      <c r="V109" s="32" t="n">
        <f aca="false">U109/(1+(((I8/J8-1)/(20-10))+J109/10000)*(20-10))</f>
        <v>0.400327601612456</v>
      </c>
      <c r="W109" s="32" t="n">
        <f aca="false">V109/(1+(((J8/K8-1)/(30-20))+K109/10000)*(30-20))</f>
        <v>0.255981587353917</v>
      </c>
    </row>
    <row r="110" customFormat="false" ht="15" hidden="false" customHeight="true" outlineLevel="0" collapsed="false">
      <c r="A110" s="9" t="s">
        <v>52</v>
      </c>
      <c r="B110" s="30" t="s">
        <v>43</v>
      </c>
      <c r="C110" s="31" t="n">
        <v>-81.8</v>
      </c>
      <c r="D110" s="31" t="n">
        <v>74.2</v>
      </c>
      <c r="E110" s="31" t="n">
        <v>-65.4</v>
      </c>
      <c r="F110" s="31" t="n">
        <v>40.7</v>
      </c>
      <c r="G110" s="31" t="n">
        <v>25.8</v>
      </c>
      <c r="H110" s="31" t="n">
        <v>12.7</v>
      </c>
      <c r="I110" s="31" t="n">
        <v>6.6</v>
      </c>
      <c r="J110" s="31" t="n">
        <v>3.3</v>
      </c>
      <c r="K110" s="31" t="n">
        <v>-1.6</v>
      </c>
      <c r="M110" s="4" t="s">
        <v>52</v>
      </c>
      <c r="N110" s="30" t="s">
        <v>43</v>
      </c>
      <c r="O110" s="32" t="n">
        <f aca="false">1/(1+(((1/C9-1)/(0.25-0))+C110/10000)*(0.25-0))</f>
        <v>0.99428860466474</v>
      </c>
      <c r="P110" s="32" t="n">
        <f aca="false">O110/(1+(((C9/D9-1)/(0.5-0.25))+D110/10000)*(0.5-0.25))</f>
        <v>0.984772373214066</v>
      </c>
      <c r="Q110" s="32" t="n">
        <f aca="false">P110/(1+(((D9/E9-1)/(1-0.5))+E110/10000)*(1-0.5))</f>
        <v>0.972647724846082</v>
      </c>
      <c r="R110" s="32" t="n">
        <f aca="false">Q110/(1+(((E9/F9-1)/(2-1))+F110/10000)*(2-1))</f>
        <v>0.938831264618829</v>
      </c>
      <c r="S110" s="32" t="n">
        <f aca="false">R110/(1+(((F9/G9-1)/(3-2))+G110/10000)*(3-2))</f>
        <v>0.90722401717951</v>
      </c>
      <c r="T110" s="32" t="n">
        <f aca="false">S110/(1+(((G9/H9-1)/(5-3))+H110/10000)*(5-3))</f>
        <v>0.848619851226901</v>
      </c>
      <c r="U110" s="32" t="n">
        <f aca="false">T110/(1+(((H9/I9-1)/(10-5))+I110/10000)*(10-5))</f>
        <v>0.716637227745561</v>
      </c>
      <c r="V110" s="32" t="n">
        <f aca="false">U110/(1+(((I9/J9-1)/(20-10))+J110/10000)*(20-10))</f>
        <v>0.516558821409125</v>
      </c>
      <c r="W110" s="32" t="n">
        <f aca="false">V110/(1+(((J9/K9-1)/(30-20))+K110/10000)*(30-20))</f>
        <v>0.37365933474026</v>
      </c>
    </row>
    <row r="111" customFormat="false" ht="15" hidden="false" customHeight="true" outlineLevel="0" collapsed="false">
      <c r="A111" s="9" t="s">
        <v>45</v>
      </c>
      <c r="B111" s="30" t="s">
        <v>38</v>
      </c>
      <c r="C111" s="31" t="n">
        <v>119.4</v>
      </c>
      <c r="D111" s="31" t="n">
        <v>108.9</v>
      </c>
      <c r="E111" s="31" t="n">
        <v>-83.3</v>
      </c>
      <c r="F111" s="31" t="n">
        <v>59.4</v>
      </c>
      <c r="G111" s="31" t="n">
        <v>35</v>
      </c>
      <c r="H111" s="31" t="n">
        <v>19</v>
      </c>
      <c r="I111" s="31" t="n">
        <v>9.6</v>
      </c>
      <c r="J111" s="31" t="n">
        <v>5.1</v>
      </c>
      <c r="K111" s="31" t="n">
        <v>3.2</v>
      </c>
      <c r="M111" s="4" t="s">
        <v>45</v>
      </c>
      <c r="N111" s="30" t="s">
        <v>38</v>
      </c>
      <c r="O111" s="32" t="n">
        <f aca="false">1/(1+(((1/C10-1)/(0.25-0))+C111/10000)*(0.25-0))</f>
        <v>0.986631692427526</v>
      </c>
      <c r="P111" s="32" t="n">
        <f aca="false">O111/(1+(((C10/D10-1)/(0.5-0.25))+D111/10000)*(0.5-0.25))</f>
        <v>0.973675148254546</v>
      </c>
      <c r="Q111" s="32" t="n">
        <f aca="false">P111/(1+(((D10/E10-1)/(1-0.5))+E111/10000)*(1-0.5))</f>
        <v>0.957237796944819</v>
      </c>
      <c r="R111" s="32" t="n">
        <f aca="false">Q111/(1+(((E10/F10-1)/(2-1))+F111/10000)*(2-1))</f>
        <v>0.912260038096439</v>
      </c>
      <c r="S111" s="32" t="n">
        <f aca="false">R111/(1+(((F10/G10-1)/(3-2))+G111/10000)*(3-2))</f>
        <v>0.871160623226204</v>
      </c>
      <c r="T111" s="32" t="n">
        <f aca="false">S111/(1+(((G10/H10-1)/(5-3))+H111/10000)*(5-3))</f>
        <v>0.796277063717706</v>
      </c>
      <c r="U111" s="32" t="n">
        <f aca="false">T111/(1+(((H10/I10-1)/(10-5))+I111/10000)*(10-5))</f>
        <v>0.635783512666307</v>
      </c>
      <c r="V111" s="32" t="n">
        <f aca="false">U111/(1+(((I10/J10-1)/(20-10))+J111/10000)*(20-10))</f>
        <v>0.410166454097721</v>
      </c>
      <c r="W111" s="32" t="n">
        <f aca="false">V111/(1+(((J10/K10-1)/(30-20))+K111/10000)*(30-20))</f>
        <v>0.264937671234537</v>
      </c>
    </row>
    <row r="112" customFormat="false" ht="15" hidden="false" customHeight="true" outlineLevel="0" collapsed="false">
      <c r="A112" s="9" t="s">
        <v>37</v>
      </c>
      <c r="B112" s="30" t="s">
        <v>38</v>
      </c>
      <c r="C112" s="31" t="n">
        <v>172.7</v>
      </c>
      <c r="D112" s="31" t="n">
        <v>-159.3</v>
      </c>
      <c r="E112" s="31" t="n">
        <v>136.9</v>
      </c>
      <c r="F112" s="31" t="n">
        <v>-100.5</v>
      </c>
      <c r="G112" s="31" t="n">
        <v>62.9</v>
      </c>
      <c r="H112" s="31" t="n">
        <v>35.4</v>
      </c>
      <c r="I112" s="31" t="n">
        <v>-16</v>
      </c>
      <c r="J112" s="31" t="n">
        <v>10.1</v>
      </c>
      <c r="K112" s="31" t="n">
        <v>6.8</v>
      </c>
      <c r="M112" s="4" t="s">
        <v>37</v>
      </c>
      <c r="N112" s="30" t="s">
        <v>38</v>
      </c>
      <c r="O112" s="32" t="n">
        <f aca="false">1/(1+(((1/C11-1)/(0.25-0))+C112/10000)*(0.25-0))</f>
        <v>0.98435567660856</v>
      </c>
      <c r="P112" s="32" t="n">
        <f aca="false">O112/(1+(((C11/D11-1)/(0.5-0.25))+D112/10000)*(0.5-0.25))</f>
        <v>0.976918817599865</v>
      </c>
      <c r="Q112" s="32" t="n">
        <f aca="false">P112/(1+(((D11/E11-1)/(1-0.5))+E112/10000)*(1-0.5))</f>
        <v>0.94825631913984</v>
      </c>
      <c r="R112" s="32" t="n">
        <f aca="false">Q112/(1+(((E11/F11-1)/(2-1))+F112/10000)*(2-1))</f>
        <v>0.913985456945558</v>
      </c>
      <c r="S112" s="32" t="n">
        <f aca="false">R112/(1+(((F11/G11-1)/(3-2))+G112/10000)*(3-2))</f>
        <v>0.867036017376749</v>
      </c>
      <c r="T112" s="32" t="n">
        <f aca="false">S112/(1+(((G11/H11-1)/(5-3))+H112/10000)*(5-3))</f>
        <v>0.783882226519735</v>
      </c>
      <c r="U112" s="32" t="n">
        <f aca="false">T112/(1+(((H11/I11-1)/(10-5))+I112/10000)*(10-5))</f>
        <v>0.61974821286839</v>
      </c>
      <c r="V112" s="32" t="n">
        <f aca="false">U112/(1+(((I11/J11-1)/(20-10))+J112/10000)*(20-10))</f>
        <v>0.383006485203668</v>
      </c>
      <c r="W112" s="32" t="n">
        <f aca="false">V112/(1+(((J11/K11-1)/(30-20))+K112/10000)*(30-20))</f>
        <v>0.237182565265635</v>
      </c>
    </row>
    <row r="113" customFormat="false" ht="15" hidden="false" customHeight="true" outlineLevel="0" collapsed="false">
      <c r="A113" s="9" t="s">
        <v>40</v>
      </c>
      <c r="B113" s="30" t="s">
        <v>38</v>
      </c>
      <c r="C113" s="31" t="n">
        <v>152.5</v>
      </c>
      <c r="D113" s="31" t="n">
        <v>127</v>
      </c>
      <c r="E113" s="31" t="n">
        <v>-111.9</v>
      </c>
      <c r="F113" s="31" t="n">
        <v>76.3</v>
      </c>
      <c r="G113" s="31" t="n">
        <v>46.3</v>
      </c>
      <c r="H113" s="31" t="n">
        <v>-25.9</v>
      </c>
      <c r="I113" s="31" t="n">
        <v>13.2</v>
      </c>
      <c r="J113" s="31" t="n">
        <v>6.7</v>
      </c>
      <c r="K113" s="31" t="n">
        <v>-5.1</v>
      </c>
      <c r="M113" s="4" t="s">
        <v>40</v>
      </c>
      <c r="N113" s="30" t="s">
        <v>38</v>
      </c>
      <c r="O113" s="32" t="n">
        <f aca="false">1/(1+(((1/C12-1)/(0.25-0))+C113/10000)*(0.25-0))</f>
        <v>0.988039083737581</v>
      </c>
      <c r="P113" s="32" t="n">
        <f aca="false">O113/(1+(((C12/D12-1)/(0.5-0.25))+D113/10000)*(0.5-0.25))</f>
        <v>0.976817061915995</v>
      </c>
      <c r="Q113" s="32" t="n">
        <f aca="false">P113/(1+(((D12/E12-1)/(1-0.5))+E113/10000)*(1-0.5))</f>
        <v>0.966039723186702</v>
      </c>
      <c r="R113" s="32" t="n">
        <f aca="false">Q113/(1+(((E12/F12-1)/(2-1))+F113/10000)*(2-1))</f>
        <v>0.927416834073202</v>
      </c>
      <c r="S113" s="32" t="n">
        <f aca="false">R113/(1+(((F12/G12-1)/(3-2))+G113/10000)*(3-2))</f>
        <v>0.892643590489013</v>
      </c>
      <c r="T113" s="32" t="n">
        <f aca="false">S113/(1+(((G12/H12-1)/(5-3))+H113/10000)*(5-3))</f>
        <v>0.837680151791938</v>
      </c>
      <c r="U113" s="32" t="n">
        <f aca="false">T113/(1+(((H12/I12-1)/(10-5))+I113/10000)*(10-5))</f>
        <v>0.698452851199759</v>
      </c>
      <c r="V113" s="32" t="n">
        <f aca="false">U113/(1+(((I12/J12-1)/(20-10))+J113/10000)*(20-10))</f>
        <v>0.492322594770195</v>
      </c>
      <c r="W113" s="32" t="n">
        <f aca="false">V113/(1+(((J12/K12-1)/(30-20))+K113/10000)*(30-20))</f>
        <v>0.349936498991319</v>
      </c>
    </row>
    <row r="114" customFormat="false" ht="15" hidden="false" customHeight="true" outlineLevel="0" collapsed="false">
      <c r="A114" s="9" t="s">
        <v>49</v>
      </c>
      <c r="B114" s="30" t="s">
        <v>50</v>
      </c>
      <c r="C114" s="31" t="n">
        <v>63.3</v>
      </c>
      <c r="D114" s="31" t="n">
        <v>60.1</v>
      </c>
      <c r="E114" s="31" t="n">
        <v>53.5</v>
      </c>
      <c r="F114" s="31" t="n">
        <v>35.7</v>
      </c>
      <c r="G114" s="31" t="n">
        <v>24.8</v>
      </c>
      <c r="H114" s="31" t="n">
        <v>-15</v>
      </c>
      <c r="I114" s="31" t="n">
        <v>8.4</v>
      </c>
      <c r="J114" s="31" t="n">
        <v>5</v>
      </c>
      <c r="K114" s="31" t="n">
        <v>3.4</v>
      </c>
      <c r="M114" s="4" t="s">
        <v>49</v>
      </c>
      <c r="N114" s="30" t="s">
        <v>50</v>
      </c>
      <c r="O114" s="32" t="n">
        <f aca="false">1/(1+(((1/C13-1)/(0.25-0))+C114/10000)*(0.25-0))</f>
        <v>0.988492289706173</v>
      </c>
      <c r="P114" s="32" t="n">
        <f aca="false">O114/(1+(((C13/D13-1)/(0.5-0.25))+D114/10000)*(0.5-0.25))</f>
        <v>0.977175187904567</v>
      </c>
      <c r="Q114" s="32" t="n">
        <f aca="false">P114/(1+(((D13/E13-1)/(1-0.5))+E114/10000)*(1-0.5))</f>
        <v>0.955213344747142</v>
      </c>
      <c r="R114" s="32" t="n">
        <f aca="false">Q114/(1+(((E13/F13-1)/(2-1))+F114/10000)*(2-1))</f>
        <v>0.914212310579586</v>
      </c>
      <c r="S114" s="32" t="n">
        <f aca="false">R114/(1+(((F13/G13-1)/(3-2))+G114/10000)*(3-2))</f>
        <v>0.875621932985156</v>
      </c>
      <c r="T114" s="32" t="n">
        <f aca="false">S114/(1+(((G13/H13-1)/(5-3))+H114/10000)*(5-3))</f>
        <v>0.808596893129875</v>
      </c>
      <c r="U114" s="32" t="n">
        <f aca="false">T114/(1+(((H13/I13-1)/(10-5))+I114/10000)*(10-5))</f>
        <v>0.6523987654336</v>
      </c>
      <c r="V114" s="32" t="n">
        <f aca="false">U114/(1+(((I13/J13-1)/(20-10))+J114/10000)*(20-10))</f>
        <v>0.429387375579075</v>
      </c>
      <c r="W114" s="32" t="n">
        <f aca="false">V114/(1+(((J13/K13-1)/(30-20))+K114/10000)*(30-20))</f>
        <v>0.282906885786171</v>
      </c>
    </row>
    <row r="116" customFormat="false" ht="27.75" hidden="false" customHeight="true" outlineLevel="0" collapsed="false">
      <c r="A116" s="15" t="s">
        <v>127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</sheetData>
  <mergeCells count="26">
    <mergeCell ref="A3:K3"/>
    <mergeCell ref="A17:I17"/>
    <mergeCell ref="A18:I18"/>
    <mergeCell ref="A34:K34"/>
    <mergeCell ref="M34:W34"/>
    <mergeCell ref="A36:B36"/>
    <mergeCell ref="M36:N36"/>
    <mergeCell ref="A44:B44"/>
    <mergeCell ref="M44:N44"/>
    <mergeCell ref="A52:B52"/>
    <mergeCell ref="M52:N52"/>
    <mergeCell ref="A60:B60"/>
    <mergeCell ref="M60:N60"/>
    <mergeCell ref="A68:B68"/>
    <mergeCell ref="M68:N68"/>
    <mergeCell ref="A76:B76"/>
    <mergeCell ref="M76:N76"/>
    <mergeCell ref="A84:B84"/>
    <mergeCell ref="M84:N84"/>
    <mergeCell ref="A92:B92"/>
    <mergeCell ref="M92:N92"/>
    <mergeCell ref="A100:B100"/>
    <mergeCell ref="M100:N100"/>
    <mergeCell ref="A108:B108"/>
    <mergeCell ref="M108:N108"/>
    <mergeCell ref="A116:W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12" min="3" style="1" width="9"/>
    <col collapsed="false" customWidth="true" hidden="false" outlineLevel="0" max="13" min="13" style="1" width="3"/>
    <col collapsed="false" customWidth="true" hidden="false" outlineLevel="0" max="14" min="14" style="1" width="15"/>
    <col collapsed="false" customWidth="true" hidden="false" outlineLevel="0" max="24" min="15" style="1" width="9"/>
    <col collapsed="false" customWidth="true" hidden="false" outlineLevel="0" max="25" min="25" style="1" width="3"/>
    <col collapsed="false" customWidth="true" hidden="false" outlineLevel="0" max="26" min="26" style="1" width="15"/>
    <col collapsed="false" customWidth="true" hidden="false" outlineLevel="0" max="36" min="27" style="1" width="9"/>
    <col collapsed="false" customWidth="true" hidden="false" outlineLevel="0" max="37" min="37" style="1" width="3"/>
    <col collapsed="false" customWidth="true" hidden="false" outlineLevel="0" max="38" min="38" style="1" width="15"/>
    <col collapsed="false" customWidth="true" hidden="false" outlineLevel="0" max="48" min="39" style="1" width="9"/>
  </cols>
  <sheetData>
    <row r="1" customFormat="false" ht="17.25" hidden="false" customHeight="true" outlineLevel="0" collapsed="false">
      <c r="A1" s="6" t="s">
        <v>128</v>
      </c>
    </row>
    <row r="2" customFormat="false" ht="15" hidden="false" customHeight="true" outlineLevel="0" collapsed="false">
      <c r="A2" s="16" t="s">
        <v>129</v>
      </c>
    </row>
    <row r="3" customFormat="false" ht="19.5" hidden="false" customHeight="true" outlineLevel="0" collapsed="false">
      <c r="A3" s="17" t="s">
        <v>130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</row>
    <row r="5" customFormat="false" ht="15" hidden="false" customHeight="true" outlineLevel="0" collapsed="false">
      <c r="B5" s="29" t="s">
        <v>131</v>
      </c>
      <c r="C5" s="29"/>
      <c r="D5" s="29"/>
      <c r="E5" s="29"/>
      <c r="F5" s="29"/>
      <c r="G5" s="29"/>
      <c r="H5" s="29"/>
      <c r="I5" s="29"/>
      <c r="J5" s="29"/>
      <c r="K5" s="29"/>
      <c r="L5" s="29"/>
      <c r="N5" s="29" t="s">
        <v>132</v>
      </c>
      <c r="O5" s="29"/>
      <c r="P5" s="29"/>
      <c r="Q5" s="29"/>
      <c r="R5" s="29"/>
      <c r="S5" s="29"/>
      <c r="T5" s="29"/>
      <c r="U5" s="29"/>
      <c r="V5" s="29"/>
      <c r="W5" s="29"/>
      <c r="X5" s="29"/>
      <c r="Z5" s="29" t="s">
        <v>133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L5" s="33" t="s">
        <v>134</v>
      </c>
      <c r="AM5" s="33"/>
      <c r="AN5" s="33"/>
      <c r="AO5" s="33"/>
      <c r="AP5" s="33"/>
      <c r="AQ5" s="33"/>
      <c r="AR5" s="33"/>
      <c r="AS5" s="33"/>
      <c r="AT5" s="33"/>
      <c r="AU5" s="33"/>
      <c r="AV5" s="33"/>
    </row>
    <row r="6" customFormat="false" ht="15" hidden="false" customHeight="true" outlineLevel="0" collapsed="false">
      <c r="B6" s="18" t="s">
        <v>135</v>
      </c>
      <c r="C6" s="12" t="s">
        <v>136</v>
      </c>
      <c r="D6" s="12" t="s">
        <v>74</v>
      </c>
      <c r="E6" s="12" t="s">
        <v>75</v>
      </c>
      <c r="F6" s="12" t="s">
        <v>30</v>
      </c>
      <c r="G6" s="12" t="s">
        <v>76</v>
      </c>
      <c r="H6" s="12" t="s">
        <v>77</v>
      </c>
      <c r="I6" s="12" t="s">
        <v>78</v>
      </c>
      <c r="J6" s="12" t="s">
        <v>79</v>
      </c>
      <c r="K6" s="12" t="s">
        <v>80</v>
      </c>
      <c r="L6" s="12" t="s">
        <v>81</v>
      </c>
      <c r="N6" s="18" t="s">
        <v>135</v>
      </c>
      <c r="O6" s="12" t="s">
        <v>136</v>
      </c>
      <c r="P6" s="12" t="s">
        <v>74</v>
      </c>
      <c r="Q6" s="12" t="s">
        <v>75</v>
      </c>
      <c r="R6" s="12" t="s">
        <v>30</v>
      </c>
      <c r="S6" s="12" t="s">
        <v>76</v>
      </c>
      <c r="T6" s="12" t="s">
        <v>77</v>
      </c>
      <c r="U6" s="12" t="s">
        <v>78</v>
      </c>
      <c r="V6" s="12" t="s">
        <v>79</v>
      </c>
      <c r="W6" s="12" t="s">
        <v>80</v>
      </c>
      <c r="X6" s="12" t="s">
        <v>81</v>
      </c>
      <c r="Z6" s="18" t="s">
        <v>135</v>
      </c>
      <c r="AA6" s="12" t="s">
        <v>136</v>
      </c>
      <c r="AB6" s="12" t="s">
        <v>74</v>
      </c>
      <c r="AC6" s="12" t="s">
        <v>75</v>
      </c>
      <c r="AD6" s="12" t="s">
        <v>30</v>
      </c>
      <c r="AE6" s="12" t="s">
        <v>76</v>
      </c>
      <c r="AF6" s="12" t="s">
        <v>77</v>
      </c>
      <c r="AG6" s="12" t="s">
        <v>78</v>
      </c>
      <c r="AH6" s="12" t="s">
        <v>79</v>
      </c>
      <c r="AI6" s="12" t="s">
        <v>80</v>
      </c>
      <c r="AJ6" s="12" t="s">
        <v>81</v>
      </c>
      <c r="AL6" s="18" t="s">
        <v>135</v>
      </c>
      <c r="AM6" s="12" t="s">
        <v>136</v>
      </c>
      <c r="AN6" s="12" t="s">
        <v>74</v>
      </c>
      <c r="AO6" s="12" t="s">
        <v>75</v>
      </c>
      <c r="AP6" s="12" t="s">
        <v>30</v>
      </c>
      <c r="AQ6" s="12" t="s">
        <v>76</v>
      </c>
      <c r="AR6" s="12" t="s">
        <v>77</v>
      </c>
      <c r="AS6" s="12" t="s">
        <v>78</v>
      </c>
      <c r="AT6" s="12" t="s">
        <v>79</v>
      </c>
      <c r="AU6" s="12" t="s">
        <v>80</v>
      </c>
      <c r="AV6" s="12" t="s">
        <v>81</v>
      </c>
    </row>
    <row r="7" customFormat="false" ht="15" hidden="false" customHeight="true" outlineLevel="0" collapsed="false">
      <c r="B7" s="34" t="s">
        <v>136</v>
      </c>
      <c r="C7" s="35" t="n">
        <v>0.5465</v>
      </c>
      <c r="D7" s="35" t="n">
        <v>0.5264</v>
      </c>
      <c r="E7" s="35" t="n">
        <v>0.5197</v>
      </c>
      <c r="F7" s="35" t="n">
        <v>0.4914</v>
      </c>
      <c r="G7" s="35" t="n">
        <v>0.4841</v>
      </c>
      <c r="H7" s="35" t="n">
        <v>0.464</v>
      </c>
      <c r="I7" s="35" t="n">
        <v>0.4412</v>
      </c>
      <c r="J7" s="35" t="n">
        <v>0.4335</v>
      </c>
      <c r="K7" s="35" t="n">
        <v>0.4074</v>
      </c>
      <c r="L7" s="35" t="n">
        <v>0.3987</v>
      </c>
      <c r="N7" s="34" t="s">
        <v>136</v>
      </c>
      <c r="O7" s="35" t="n">
        <v>-0.3586</v>
      </c>
      <c r="P7" s="35" t="n">
        <v>-0.3387</v>
      </c>
      <c r="Q7" s="35" t="n">
        <v>-0.3126</v>
      </c>
      <c r="R7" s="35" t="n">
        <v>-0.2851</v>
      </c>
      <c r="S7" s="35" t="n">
        <v>-0.2797</v>
      </c>
      <c r="T7" s="35" t="n">
        <v>-0.2583</v>
      </c>
      <c r="U7" s="35" t="n">
        <v>-0.2308</v>
      </c>
      <c r="V7" s="35" t="n">
        <v>-0.2049</v>
      </c>
      <c r="W7" s="35" t="n">
        <v>-0.1929</v>
      </c>
      <c r="X7" s="35" t="n">
        <v>-0.1771</v>
      </c>
      <c r="Z7" s="34" t="s">
        <v>136</v>
      </c>
      <c r="AA7" s="35" t="n">
        <v>0.8595</v>
      </c>
      <c r="AB7" s="35" t="n">
        <v>0.8187</v>
      </c>
      <c r="AC7" s="35" t="n">
        <v>0.8127</v>
      </c>
      <c r="AD7" s="35" t="n">
        <v>0.7791</v>
      </c>
      <c r="AE7" s="35" t="n">
        <v>0.754</v>
      </c>
      <c r="AF7" s="35" t="n">
        <v>0.7312</v>
      </c>
      <c r="AG7" s="35" t="n">
        <v>0.7128</v>
      </c>
      <c r="AH7" s="35" t="n">
        <v>0.7008</v>
      </c>
      <c r="AI7" s="35" t="n">
        <v>0.6658</v>
      </c>
      <c r="AJ7" s="35" t="n">
        <v>0.6516</v>
      </c>
      <c r="AL7" s="34" t="s">
        <v>136</v>
      </c>
      <c r="AM7" s="36" t="n">
        <f aca="false">C7*(1+(((2-3*O7^2)/24*AA7^2)+(O7*AA7*C7/4))*0.0833333333333333)</f>
        <v>0.546845064157427</v>
      </c>
      <c r="AN7" s="36" t="n">
        <f aca="false">D7*(1+(((2-3*P7^2)/24*AB7^2)+(P7*AB7*D7/4))*0.0833333333333333)</f>
        <v>0.526827808968387</v>
      </c>
      <c r="AO7" s="36" t="n">
        <f aca="false">E7*(1+(((2-3*Q7^2)/24*AC7^2)+(Q7*AC7*E7/4))*0.0833333333333333)</f>
        <v>0.520304800098428</v>
      </c>
      <c r="AP7" s="36" t="n">
        <f aca="false">F7*(1+(((2-3*R7^2)/24*AD7^2)+(R7*AD7*F7/4))*0.0833333333333333)</f>
        <v>0.492101400288933</v>
      </c>
      <c r="AQ7" s="36" t="n">
        <f aca="false">G7*(1+(((2-3*S7^2)/24*AE7^2)+(S7*AE7*G7/4))*0.0833333333333333)</f>
        <v>0.484757302380308</v>
      </c>
      <c r="AR7" s="36" t="n">
        <f aca="false">H7*(1+(((2-3*T7^2)/24*AF7^2)+(T7*AF7*H7/4))*0.0833333333333333)</f>
        <v>0.46470321978072</v>
      </c>
      <c r="AS7" s="36" t="n">
        <f aca="false">I7*(1+(((2-3*U7^2)/24*AG7^2)+(U7*AG7*I7/4))*0.0833333333333333)</f>
        <v>0.441965161484107</v>
      </c>
      <c r="AT7" s="36" t="n">
        <f aca="false">J7*(1+(((2-3*V7^2)/24*AH7^2)+(V7*AH7*J7/4))*0.0833333333333333)</f>
        <v>0.434323192194644</v>
      </c>
      <c r="AU7" s="36" t="n">
        <f aca="false">K7*(1+(((2-3*W7^2)/24*AI7^2)+(W7*AI7*K7/4))*0.0833333333333333)</f>
        <v>0.408140043694281</v>
      </c>
      <c r="AV7" s="36" t="n">
        <f aca="false">L7*(1+(((2-3*X7^2)/24*AJ7^2)+(X7*AJ7*L7/4))*0.0833333333333333)</f>
        <v>0.399438091739688</v>
      </c>
    </row>
    <row r="8" customFormat="false" ht="15" hidden="false" customHeight="true" outlineLevel="0" collapsed="false">
      <c r="B8" s="34" t="s">
        <v>74</v>
      </c>
      <c r="C8" s="35" t="n">
        <v>0.5361</v>
      </c>
      <c r="D8" s="35" t="n">
        <v>0.5141</v>
      </c>
      <c r="E8" s="35" t="n">
        <v>0.501</v>
      </c>
      <c r="F8" s="35" t="n">
        <v>0.4746</v>
      </c>
      <c r="G8" s="35" t="n">
        <v>0.4579</v>
      </c>
      <c r="H8" s="35" t="n">
        <v>0.4441</v>
      </c>
      <c r="I8" s="35" t="n">
        <v>0.4369</v>
      </c>
      <c r="J8" s="35" t="n">
        <v>0.4152</v>
      </c>
      <c r="K8" s="35" t="n">
        <v>0.3963</v>
      </c>
      <c r="L8" s="35" t="n">
        <v>0.385</v>
      </c>
      <c r="N8" s="34" t="s">
        <v>74</v>
      </c>
      <c r="O8" s="35" t="n">
        <v>-0.3315</v>
      </c>
      <c r="P8" s="35" t="n">
        <v>-0.3151</v>
      </c>
      <c r="Q8" s="35" t="n">
        <v>-0.2858</v>
      </c>
      <c r="R8" s="35" t="n">
        <v>-0.2682</v>
      </c>
      <c r="S8" s="35" t="n">
        <v>-0.2579</v>
      </c>
      <c r="T8" s="35" t="n">
        <v>-0.2318</v>
      </c>
      <c r="U8" s="35" t="n">
        <v>-0.2134</v>
      </c>
      <c r="V8" s="35" t="n">
        <v>-0.1869</v>
      </c>
      <c r="W8" s="35" t="n">
        <v>-0.1704</v>
      </c>
      <c r="X8" s="35" t="n">
        <v>-0.1598</v>
      </c>
      <c r="Z8" s="34" t="s">
        <v>74</v>
      </c>
      <c r="AA8" s="35" t="n">
        <v>0.8374</v>
      </c>
      <c r="AB8" s="35" t="n">
        <v>0.7979</v>
      </c>
      <c r="AC8" s="35" t="n">
        <v>0.7817</v>
      </c>
      <c r="AD8" s="35" t="n">
        <v>0.7663</v>
      </c>
      <c r="AE8" s="35" t="n">
        <v>0.7319</v>
      </c>
      <c r="AF8" s="35" t="n">
        <v>0.7164</v>
      </c>
      <c r="AG8" s="35" t="n">
        <v>0.6852</v>
      </c>
      <c r="AH8" s="35" t="n">
        <v>0.6756</v>
      </c>
      <c r="AI8" s="35" t="n">
        <v>0.6553</v>
      </c>
      <c r="AJ8" s="35" t="n">
        <v>0.6292</v>
      </c>
      <c r="AL8" s="34" t="s">
        <v>74</v>
      </c>
      <c r="AM8" s="36" t="n">
        <f aca="false">C8*(1+(((2-3*O8^2)/24*AA8^2)+(O8*AA8*C8/4))*0.25)</f>
        <v>0.537654541210857</v>
      </c>
      <c r="AN8" s="36" t="n">
        <f aca="false">D8*(1+(((2-3*P8^2)/24*AB8^2)+(P8*AB8*D8/4))*0.25)</f>
        <v>0.515750102984009</v>
      </c>
      <c r="AO8" s="36" t="n">
        <f aca="false">E8*(1+(((2-3*Q8^2)/24*AC8^2)+(Q8*AC8*E8/4))*0.25)</f>
        <v>0.503091695061941</v>
      </c>
      <c r="AP8" s="36" t="n">
        <f aca="false">F8*(1+(((2-3*R8^2)/24*AD8^2)+(R8*AD8*F8/4))*0.25)</f>
        <v>0.476886338251575</v>
      </c>
      <c r="AQ8" s="36" t="n">
        <f aca="false">G8*(1+(((2-3*S8^2)/24*AE8^2)+(S8*AE8*G8/4))*0.25)</f>
        <v>0.460026738415935</v>
      </c>
      <c r="AR8" s="36" t="n">
        <f aca="false">H8*(1+(((2-3*T8^2)/24*AF8^2)+(T8*AF8*H8/4))*0.25)</f>
        <v>0.446418762253124</v>
      </c>
      <c r="AS8" s="36" t="n">
        <f aca="false">I8*(1+(((2-3*U8^2)/24*AG8^2)+(U8*AG8*I8/4))*0.25)</f>
        <v>0.439137065573174</v>
      </c>
      <c r="AT8" s="36" t="n">
        <f aca="false">J8*(1+(((2-3*V8^2)/24*AH8^2)+(V8*AH8*J8/4))*0.25)</f>
        <v>0.417580807518734</v>
      </c>
      <c r="AU8" s="36" t="n">
        <f aca="false">K8*(1+(((2-3*W8^2)/24*AI8^2)+(W8*AI8*K8/4))*0.25)</f>
        <v>0.398594897574334</v>
      </c>
      <c r="AV8" s="36" t="n">
        <f aca="false">L8*(1+(((2-3*X8^2)/24*AJ8^2)+(X8*AJ8*L8/4))*0.25)</f>
        <v>0.387122292686648</v>
      </c>
    </row>
    <row r="9" customFormat="false" ht="15" hidden="false" customHeight="true" outlineLevel="0" collapsed="false">
      <c r="B9" s="34" t="s">
        <v>75</v>
      </c>
      <c r="C9" s="35" t="n">
        <v>0.5242</v>
      </c>
      <c r="D9" s="35" t="n">
        <v>0.4963</v>
      </c>
      <c r="E9" s="35" t="n">
        <v>0.4872</v>
      </c>
      <c r="F9" s="35" t="n">
        <v>0.4686</v>
      </c>
      <c r="G9" s="35" t="n">
        <v>0.4516</v>
      </c>
      <c r="H9" s="35" t="n">
        <v>0.4325</v>
      </c>
      <c r="I9" s="35" t="n">
        <v>0.4235</v>
      </c>
      <c r="J9" s="35" t="n">
        <v>0.4089</v>
      </c>
      <c r="K9" s="35" t="n">
        <v>0.3828</v>
      </c>
      <c r="L9" s="35" t="n">
        <v>0.3699</v>
      </c>
      <c r="N9" s="34" t="s">
        <v>75</v>
      </c>
      <c r="O9" s="35" t="n">
        <v>-0.3199</v>
      </c>
      <c r="P9" s="35" t="n">
        <v>-0.2876</v>
      </c>
      <c r="Q9" s="35" t="n">
        <v>-0.2693</v>
      </c>
      <c r="R9" s="35" t="n">
        <v>-0.2429</v>
      </c>
      <c r="S9" s="35" t="n">
        <v>-0.2269</v>
      </c>
      <c r="T9" s="35" t="n">
        <v>-0.2182</v>
      </c>
      <c r="U9" s="35" t="n">
        <v>-0.1967</v>
      </c>
      <c r="V9" s="35" t="n">
        <v>-0.1716</v>
      </c>
      <c r="W9" s="35" t="n">
        <v>-0.1651</v>
      </c>
      <c r="X9" s="35" t="n">
        <v>-0.1369</v>
      </c>
      <c r="Z9" s="34" t="s">
        <v>75</v>
      </c>
      <c r="AA9" s="35" t="n">
        <v>0.7989</v>
      </c>
      <c r="AB9" s="35" t="n">
        <v>0.7757</v>
      </c>
      <c r="AC9" s="35" t="n">
        <v>0.7523</v>
      </c>
      <c r="AD9" s="35" t="n">
        <v>0.7443</v>
      </c>
      <c r="AE9" s="35" t="n">
        <v>0.7093</v>
      </c>
      <c r="AF9" s="35" t="n">
        <v>0.6894</v>
      </c>
      <c r="AG9" s="35" t="n">
        <v>0.67</v>
      </c>
      <c r="AH9" s="35" t="n">
        <v>0.6574</v>
      </c>
      <c r="AI9" s="35" t="n">
        <v>0.6194</v>
      </c>
      <c r="AJ9" s="35" t="n">
        <v>0.6045</v>
      </c>
      <c r="AL9" s="34" t="s">
        <v>75</v>
      </c>
      <c r="AM9" s="36" t="n">
        <f aca="false">C9*(1+(((2-3*O9^2)/24*AA9^2)+(O9*AA9*C9/4))*0.5)</f>
        <v>0.527222061312468</v>
      </c>
      <c r="AN9" s="36" t="n">
        <f aca="false">D9*(1+(((2-3*P9^2)/24*AB9^2)+(P9*AB9*D9/4))*0.5)</f>
        <v>0.500330270696861</v>
      </c>
      <c r="AO9" s="36" t="n">
        <f aca="false">E9*(1+(((2-3*Q9^2)/24*AC9^2)+(Q9*AC9*E9/4))*0.5)</f>
        <v>0.491428014965522</v>
      </c>
      <c r="AP9" s="36" t="n">
        <f aca="false">F9*(1+(((2-3*R9^2)/24*AD9^2)+(R9*AD9*F9/4))*0.5)</f>
        <v>0.473496859382496</v>
      </c>
      <c r="AQ9" s="36" t="n">
        <f aca="false">G9*(1+(((2-3*S9^2)/24*AE9^2)+(S9*AE9*G9/4))*0.5)</f>
        <v>0.456232891771516</v>
      </c>
      <c r="AR9" s="36" t="n">
        <f aca="false">H9*(1+(((2-3*T9^2)/24*AF9^2)+(T9*AF9*H9/4))*0.5)</f>
        <v>0.436935841894791</v>
      </c>
      <c r="AS9" s="36" t="n">
        <f aca="false">I9*(1+(((2-3*U9^2)/24*AG9^2)+(U9*AG9*I9/4))*0.5)</f>
        <v>0.428006914610762</v>
      </c>
      <c r="AT9" s="36" t="n">
        <f aca="false">J9*(1+(((2-3*V9^2)/24*AH9^2)+(V9*AH9*J9/4))*0.5)</f>
        <v>0.413580232586576</v>
      </c>
      <c r="AU9" s="36" t="n">
        <f aca="false">K9*(1+(((2-3*W9^2)/24*AI9^2)+(W9*AI9*K9/4))*0.5)</f>
        <v>0.386795970029907</v>
      </c>
      <c r="AV9" s="36" t="n">
        <f aca="false">L9*(1+(((2-3*X9^2)/24*AJ9^2)+(X9*AJ9*L9/4))*0.5)</f>
        <v>0.373958311852898</v>
      </c>
    </row>
    <row r="10" customFormat="false" ht="15" hidden="false" customHeight="true" outlineLevel="0" collapsed="false">
      <c r="B10" s="34" t="s">
        <v>30</v>
      </c>
      <c r="C10" s="35" t="n">
        <v>0.501</v>
      </c>
      <c r="D10" s="35" t="n">
        <v>0.491</v>
      </c>
      <c r="E10" s="35" t="n">
        <v>0.4731</v>
      </c>
      <c r="F10" s="35" t="n">
        <v>0.4573</v>
      </c>
      <c r="G10" s="35" t="n">
        <v>0.4289</v>
      </c>
      <c r="H10" s="35" t="n">
        <v>0.415</v>
      </c>
      <c r="I10" s="35" t="n">
        <v>0.3972</v>
      </c>
      <c r="J10" s="35" t="n">
        <v>0.391</v>
      </c>
      <c r="K10" s="35" t="n">
        <v>0.3758</v>
      </c>
      <c r="L10" s="35" t="n">
        <v>0.343</v>
      </c>
      <c r="N10" s="34" t="s">
        <v>30</v>
      </c>
      <c r="O10" s="35" t="n">
        <v>-0.2981</v>
      </c>
      <c r="P10" s="35" t="n">
        <v>-0.2776</v>
      </c>
      <c r="Q10" s="35" t="n">
        <v>-0.2581</v>
      </c>
      <c r="R10" s="35" t="n">
        <v>-0.2336</v>
      </c>
      <c r="S10" s="35" t="n">
        <v>-0.2121</v>
      </c>
      <c r="T10" s="35" t="n">
        <v>-0.1992</v>
      </c>
      <c r="U10" s="35" t="n">
        <v>-0.1849</v>
      </c>
      <c r="V10" s="35" t="n">
        <v>-0.1572</v>
      </c>
      <c r="W10" s="35" t="n">
        <v>-0.1387</v>
      </c>
      <c r="X10" s="35" t="n">
        <v>-0.1153</v>
      </c>
      <c r="Z10" s="34" t="s">
        <v>30</v>
      </c>
      <c r="AA10" s="35" t="n">
        <v>0.7924</v>
      </c>
      <c r="AB10" s="35" t="n">
        <v>0.7649</v>
      </c>
      <c r="AC10" s="35" t="n">
        <v>0.7392</v>
      </c>
      <c r="AD10" s="35" t="n">
        <v>0.719</v>
      </c>
      <c r="AE10" s="35" t="n">
        <v>0.698</v>
      </c>
      <c r="AF10" s="35" t="n">
        <v>0.6633</v>
      </c>
      <c r="AG10" s="35" t="n">
        <v>0.658</v>
      </c>
      <c r="AH10" s="35" t="n">
        <v>0.6334</v>
      </c>
      <c r="AI10" s="35" t="n">
        <v>0.613</v>
      </c>
      <c r="AJ10" s="35" t="n">
        <v>0.5893</v>
      </c>
      <c r="AL10" s="34" t="s">
        <v>30</v>
      </c>
      <c r="AM10" s="36" t="n">
        <f aca="false">C10*(1+(((2-3*O10^2)/24*AA10^2)+(O10*AA10*C10/4))*1)</f>
        <v>0.50889791280465</v>
      </c>
      <c r="AN10" s="36" t="n">
        <f aca="false">D10*(1+(((2-3*P10^2)/24*AB10^2)+(P10*AB10*D10/4))*1)</f>
        <v>0.499374443227893</v>
      </c>
      <c r="AO10" s="36" t="n">
        <f aca="false">E10*(1+(((2-3*Q10^2)/24*AC10^2)+(Q10*AC10*E10/4))*1)</f>
        <v>0.48181419039199</v>
      </c>
      <c r="AP10" s="36" t="n">
        <f aca="false">F10*(1+(((2-3*R10^2)/24*AD10^2)+(R10*AD10*F10/4))*1)</f>
        <v>0.466606963306186</v>
      </c>
      <c r="AQ10" s="36" t="n">
        <f aca="false">G10*(1+(((2-3*S10^2)/24*AE10^2)+(S10*AE10*G10/4))*1)</f>
        <v>0.438329978783113</v>
      </c>
      <c r="AR10" s="36" t="n">
        <f aca="false">H10*(1+(((2-3*T10^2)/24*AF10^2)+(T10*AF10*H10/4))*1)</f>
        <v>0.423620884402723</v>
      </c>
      <c r="AS10" s="36" t="n">
        <f aca="false">I10*(1+(((2-3*U10^2)/24*AG10^2)+(U10*AG10*I10/4))*1)</f>
        <v>0.405997505774233</v>
      </c>
      <c r="AT10" s="36" t="n">
        <f aca="false">J10*(1+(((2-3*V10^2)/24*AH10^2)+(V10*AH10*J10/4))*1)</f>
        <v>0.39978211956629</v>
      </c>
      <c r="AU10" s="36" t="n">
        <f aca="false">K10*(1+(((2-3*W10^2)/24*AI10^2)+(W10*AI10*K10/4))*1)</f>
        <v>0.384226393217704</v>
      </c>
      <c r="AV10" s="36" t="n">
        <f aca="false">L10*(1+(((2-3*X10^2)/24*AJ10^2)+(X10*AJ10*L10/4))*1)</f>
        <v>0.350729868297107</v>
      </c>
    </row>
    <row r="11" customFormat="false" ht="15" hidden="false" customHeight="true" outlineLevel="0" collapsed="false">
      <c r="B11" s="34" t="s">
        <v>76</v>
      </c>
      <c r="C11" s="35" t="n">
        <v>0.4812</v>
      </c>
      <c r="D11" s="35" t="n">
        <v>0.4646</v>
      </c>
      <c r="E11" s="35" t="n">
        <v>0.4421</v>
      </c>
      <c r="F11" s="35" t="n">
        <v>0.436</v>
      </c>
      <c r="G11" s="35" t="n">
        <v>0.4079</v>
      </c>
      <c r="H11" s="35" t="n">
        <v>0.3913</v>
      </c>
      <c r="I11" s="35" t="n">
        <v>0.3775</v>
      </c>
      <c r="J11" s="35" t="n">
        <v>0.3599</v>
      </c>
      <c r="K11" s="35" t="n">
        <v>0.3468</v>
      </c>
      <c r="L11" s="35" t="n">
        <v>0.3244</v>
      </c>
      <c r="N11" s="34" t="s">
        <v>76</v>
      </c>
      <c r="O11" s="35" t="n">
        <v>-0.2822</v>
      </c>
      <c r="P11" s="35" t="n">
        <v>-0.2598</v>
      </c>
      <c r="Q11" s="35" t="n">
        <v>-0.2413</v>
      </c>
      <c r="R11" s="35" t="n">
        <v>-0.2166</v>
      </c>
      <c r="S11" s="35" t="n">
        <v>-0.2039</v>
      </c>
      <c r="T11" s="35" t="n">
        <v>-0.1675</v>
      </c>
      <c r="U11" s="35" t="n">
        <v>-0.1533</v>
      </c>
      <c r="V11" s="35" t="n">
        <v>-0.1431</v>
      </c>
      <c r="W11" s="35" t="n">
        <v>-0.1216</v>
      </c>
      <c r="X11" s="35" t="n">
        <v>-0.1003</v>
      </c>
      <c r="Z11" s="34" t="s">
        <v>76</v>
      </c>
      <c r="AA11" s="35" t="n">
        <v>0.7584</v>
      </c>
      <c r="AB11" s="35" t="n">
        <v>0.7313</v>
      </c>
      <c r="AC11" s="35" t="n">
        <v>0.7236</v>
      </c>
      <c r="AD11" s="35" t="n">
        <v>0.7043</v>
      </c>
      <c r="AE11" s="35" t="n">
        <v>0.6715</v>
      </c>
      <c r="AF11" s="35" t="n">
        <v>0.6497</v>
      </c>
      <c r="AG11" s="35" t="n">
        <v>0.6195</v>
      </c>
      <c r="AH11" s="35" t="n">
        <v>0.5976</v>
      </c>
      <c r="AI11" s="35" t="n">
        <v>0.5802</v>
      </c>
      <c r="AJ11" s="35" t="n">
        <v>0.5564</v>
      </c>
      <c r="AL11" s="34" t="s">
        <v>76</v>
      </c>
      <c r="AM11" s="36" t="n">
        <f aca="false">C11*(1+(((2-3*O11^2)/24*AA11^2)+(O11*AA11*C11/4))*2)</f>
        <v>0.497039776391885</v>
      </c>
      <c r="AN11" s="36" t="n">
        <f aca="false">D11*(1+(((2-3*P11^2)/24*AB11^2)+(P11*AB11*D11/4))*2)</f>
        <v>0.48131351349958</v>
      </c>
      <c r="AO11" s="36" t="n">
        <f aca="false">E11*(1+(((2-3*Q11^2)/24*AC11^2)+(Q11*AC11*E11/4))*2)</f>
        <v>0.460247363646795</v>
      </c>
      <c r="AP11" s="36" t="n">
        <f aca="false">F11*(1+(((2-3*R11^2)/24*AD11^2)+(R11*AD11*F11/4))*2)</f>
        <v>0.455009120374577</v>
      </c>
      <c r="AQ11" s="36" t="n">
        <f aca="false">G11*(1+(((2-3*S11^2)/24*AE11^2)+(S11*AE11*G11/4))*2)</f>
        <v>0.425252371654903</v>
      </c>
      <c r="AR11" s="36" t="n">
        <f aca="false">H11*(1+(((2-3*T11^2)/24*AF11^2)+(T11*AF11*H11/4))*2)</f>
        <v>0.409338700219259</v>
      </c>
      <c r="AS11" s="36" t="n">
        <f aca="false">I11*(1+(((2-3*U11^2)/24*AG11^2)+(U11*AG11*I11/4))*2)</f>
        <v>0.394028126224936</v>
      </c>
      <c r="AT11" s="36" t="n">
        <f aca="false">J11*(1+(((2-3*V11^2)/24*AH11^2)+(V11*AH11*J11/4))*2)</f>
        <v>0.375125204028547</v>
      </c>
      <c r="AU11" s="36" t="n">
        <f aca="false">K11*(1+(((2-3*W11^2)/24*AI11^2)+(W11*AI11*K11/4))*2)</f>
        <v>0.361583099173887</v>
      </c>
      <c r="AV11" s="36" t="n">
        <f aca="false">L11*(1+(((2-3*X11^2)/24*AJ11^2)+(X11*AJ11*L11/4))*2)</f>
        <v>0.337949001073178</v>
      </c>
    </row>
    <row r="12" customFormat="false" ht="15" hidden="false" customHeight="true" outlineLevel="0" collapsed="false">
      <c r="B12" s="34" t="s">
        <v>77</v>
      </c>
      <c r="C12" s="35" t="n">
        <v>0.4732</v>
      </c>
      <c r="D12" s="35" t="n">
        <v>0.4432</v>
      </c>
      <c r="E12" s="35" t="n">
        <v>0.4238</v>
      </c>
      <c r="F12" s="35" t="n">
        <v>0.4257</v>
      </c>
      <c r="G12" s="35" t="n">
        <v>0.4006</v>
      </c>
      <c r="H12" s="35" t="n">
        <v>0.3763</v>
      </c>
      <c r="I12" s="35" t="n">
        <v>0.3675</v>
      </c>
      <c r="J12" s="35" t="n">
        <v>0.3405</v>
      </c>
      <c r="K12" s="35" t="n">
        <v>0.3339</v>
      </c>
      <c r="L12" s="35" t="n">
        <v>0.3262</v>
      </c>
      <c r="N12" s="34" t="s">
        <v>77</v>
      </c>
      <c r="O12" s="35" t="n">
        <v>-0.2455</v>
      </c>
      <c r="P12" s="35" t="n">
        <v>-0.2294</v>
      </c>
      <c r="Q12" s="35" t="n">
        <v>-0.2187</v>
      </c>
      <c r="R12" s="35" t="n">
        <v>-0.1971</v>
      </c>
      <c r="S12" s="35" t="n">
        <v>-0.1817</v>
      </c>
      <c r="T12" s="35" t="n">
        <v>-0.1501</v>
      </c>
      <c r="U12" s="35" t="n">
        <v>-0.1355</v>
      </c>
      <c r="V12" s="35" t="n">
        <v>-0.1111</v>
      </c>
      <c r="W12" s="35" t="n">
        <v>-0.1006</v>
      </c>
      <c r="X12" s="35" t="n">
        <v>-0.0833</v>
      </c>
      <c r="Z12" s="34" t="s">
        <v>77</v>
      </c>
      <c r="AA12" s="35" t="n">
        <v>0.7451</v>
      </c>
      <c r="AB12" s="35" t="n">
        <v>0.7264</v>
      </c>
      <c r="AC12" s="35" t="n">
        <v>0.7015</v>
      </c>
      <c r="AD12" s="35" t="n">
        <v>0.6783</v>
      </c>
      <c r="AE12" s="35" t="n">
        <v>0.6564</v>
      </c>
      <c r="AF12" s="35" t="n">
        <v>0.6326</v>
      </c>
      <c r="AG12" s="35" t="n">
        <v>0.6001</v>
      </c>
      <c r="AH12" s="35" t="n">
        <v>0.5837</v>
      </c>
      <c r="AI12" s="35" t="n">
        <v>0.5582</v>
      </c>
      <c r="AJ12" s="35" t="n">
        <v>0.5295</v>
      </c>
      <c r="AL12" s="34" t="s">
        <v>77</v>
      </c>
      <c r="AM12" s="36" t="n">
        <f aca="false">C12*(1+(((2-3*O12^2)/24*AA12^2)+(O12*AA12*C12/4))*3)</f>
        <v>0.502219836230149</v>
      </c>
      <c r="AN12" s="36" t="n">
        <f aca="false">D12*(1+(((2-3*P12^2)/24*AB12^2)+(P12*AB12*D12/4))*3)</f>
        <v>0.472500628648363</v>
      </c>
      <c r="AO12" s="36" t="n">
        <f aca="false">E12*(1+(((2-3*Q12^2)/24*AC12^2)+(Q12*AC12*E12/4))*3)</f>
        <v>0.451531447733211</v>
      </c>
      <c r="AP12" s="36" t="n">
        <f aca="false">F12*(1+(((2-3*R12^2)/24*AD12^2)+(R12*AD12*F12/4))*3)</f>
        <v>0.453640920582361</v>
      </c>
      <c r="AQ12" s="36" t="n">
        <f aca="false">G12*(1+(((2-3*S12^2)/24*AE12^2)+(S12*AE12*G12/4))*3)</f>
        <v>0.427258686238798</v>
      </c>
      <c r="AR12" s="36" t="n">
        <f aca="false">H12*(1+(((2-3*T12^2)/24*AF12^2)+(T12*AF12*H12/4))*3)</f>
        <v>0.402590749124632</v>
      </c>
      <c r="AS12" s="36" t="n">
        <f aca="false">I12*(1+(((2-3*U12^2)/24*AG12^2)+(U12*AG12*I12/4))*3)</f>
        <v>0.391438397004797</v>
      </c>
      <c r="AT12" s="36" t="n">
        <f aca="false">J12*(1+(((2-3*V12^2)/24*AH12^2)+(V12*AH12*J12/4))*3)</f>
        <v>0.363326631567664</v>
      </c>
      <c r="AU12" s="36" t="n">
        <f aca="false">K12*(1+(((2-3*W12^2)/24*AI12^2)+(W12*AI12*K12/4))*3)</f>
        <v>0.354819402135468</v>
      </c>
      <c r="AV12" s="36" t="n">
        <f aca="false">L12*(1+(((2-3*X12^2)/24*AJ12^2)+(X12*AJ12*L12/4))*3)</f>
        <v>0.345306236129513</v>
      </c>
    </row>
    <row r="13" customFormat="false" ht="15" hidden="false" customHeight="true" outlineLevel="0" collapsed="false">
      <c r="B13" s="34" t="s">
        <v>78</v>
      </c>
      <c r="C13" s="35" t="n">
        <v>0.4406</v>
      </c>
      <c r="D13" s="35" t="n">
        <v>0.4289</v>
      </c>
      <c r="E13" s="35" t="n">
        <v>0.4119</v>
      </c>
      <c r="F13" s="35" t="n">
        <v>0.4039</v>
      </c>
      <c r="G13" s="35" t="n">
        <v>0.3925</v>
      </c>
      <c r="H13" s="35" t="n">
        <v>0.3656</v>
      </c>
      <c r="I13" s="35" t="n">
        <v>0.3587</v>
      </c>
      <c r="J13" s="35" t="n">
        <v>0.3431</v>
      </c>
      <c r="K13" s="35" t="n">
        <v>0.3258</v>
      </c>
      <c r="L13" s="35" t="n">
        <v>0.2973</v>
      </c>
      <c r="N13" s="34" t="s">
        <v>78</v>
      </c>
      <c r="O13" s="35" t="n">
        <v>-0.2389</v>
      </c>
      <c r="P13" s="35" t="n">
        <v>-0.2194</v>
      </c>
      <c r="Q13" s="35" t="n">
        <v>-0.2005</v>
      </c>
      <c r="R13" s="35" t="n">
        <v>-0.1809</v>
      </c>
      <c r="S13" s="35" t="n">
        <v>-0.1531</v>
      </c>
      <c r="T13" s="35" t="n">
        <v>-0.1281</v>
      </c>
      <c r="U13" s="35" t="n">
        <v>-0.1099</v>
      </c>
      <c r="V13" s="35" t="n">
        <v>-0.0976</v>
      </c>
      <c r="W13" s="35" t="n">
        <v>-0.0747</v>
      </c>
      <c r="X13" s="35" t="n">
        <v>-0.0523</v>
      </c>
      <c r="Z13" s="34" t="s">
        <v>78</v>
      </c>
      <c r="AA13" s="35" t="n">
        <v>0.7084</v>
      </c>
      <c r="AB13" s="35" t="n">
        <v>0.6977</v>
      </c>
      <c r="AC13" s="35" t="n">
        <v>0.6804</v>
      </c>
      <c r="AD13" s="35" t="n">
        <v>0.6556</v>
      </c>
      <c r="AE13" s="35" t="n">
        <v>0.6328</v>
      </c>
      <c r="AF13" s="35" t="n">
        <v>0.6051</v>
      </c>
      <c r="AG13" s="35" t="n">
        <v>0.5769</v>
      </c>
      <c r="AH13" s="35" t="n">
        <v>0.5669</v>
      </c>
      <c r="AI13" s="35" t="n">
        <v>0.5355</v>
      </c>
      <c r="AJ13" s="35" t="n">
        <v>0.5227</v>
      </c>
      <c r="AL13" s="34" t="s">
        <v>78</v>
      </c>
      <c r="AM13" s="36" t="n">
        <f aca="false">C13*(1+(((2-3*O13^2)/24*AA13^2)+(O13*AA13*C13/4))*5)</f>
        <v>0.483773620972634</v>
      </c>
      <c r="AN13" s="36" t="n">
        <f aca="false">D13*(1+(((2-3*P13^2)/24*AB13^2)+(P13*AB13*D13/4))*5)</f>
        <v>0.474412560984569</v>
      </c>
      <c r="AO13" s="36" t="n">
        <f aca="false">E13*(1+(((2-3*Q13^2)/24*AC13^2)+(Q13*AC13*E13/4))*5)</f>
        <v>0.457630169879513</v>
      </c>
      <c r="AP13" s="36" t="n">
        <f aca="false">F13*(1+(((2-3*R13^2)/24*AD13^2)+(R13*AD13*F13/4))*5)</f>
        <v>0.448498616508184</v>
      </c>
      <c r="AQ13" s="36" t="n">
        <f aca="false">G13*(1+(((2-3*S13^2)/24*AE13^2)+(S13*AE13*G13/4))*5)</f>
        <v>0.437028891449509</v>
      </c>
      <c r="AR13" s="36" t="n">
        <f aca="false">H13*(1+(((2-3*T13^2)/24*AF13^2)+(T13*AF13*H13/4))*5)</f>
        <v>0.407052480793443</v>
      </c>
      <c r="AS13" s="36" t="n">
        <f aca="false">I13*(1+(((2-3*U13^2)/24*AG13^2)+(U13*AG13*I13/4))*5)</f>
        <v>0.397343628491461</v>
      </c>
      <c r="AT13" s="36" t="n">
        <f aca="false">J13*(1+(((2-3*V13^2)/24*AH13^2)+(V13*AH13*J13/4))*5)</f>
        <v>0.380245292197831</v>
      </c>
      <c r="AU13" s="36" t="n">
        <f aca="false">K13*(1+(((2-3*W13^2)/24*AI13^2)+(W13*AI13*K13/4))*5)</f>
        <v>0.359094346338511</v>
      </c>
      <c r="AV13" s="36" t="n">
        <f aca="false">L13*(1+(((2-3*X13^2)/24*AJ13^2)+(X13*AJ13*L13/4))*5)</f>
        <v>0.327985354699337</v>
      </c>
    </row>
    <row r="14" customFormat="false" ht="15" hidden="false" customHeight="true" outlineLevel="0" collapsed="false">
      <c r="B14" s="34" t="s">
        <v>79</v>
      </c>
      <c r="C14" s="35" t="n">
        <v>0.4428</v>
      </c>
      <c r="D14" s="35" t="n">
        <v>0.4146</v>
      </c>
      <c r="E14" s="35" t="n">
        <v>0.398</v>
      </c>
      <c r="F14" s="35" t="n">
        <v>0.3923</v>
      </c>
      <c r="G14" s="35" t="n">
        <v>0.3712</v>
      </c>
      <c r="H14" s="35" t="n">
        <v>0.3434</v>
      </c>
      <c r="I14" s="35" t="n">
        <v>0.3259</v>
      </c>
      <c r="J14" s="35" t="n">
        <v>0.3097</v>
      </c>
      <c r="K14" s="35" t="n">
        <v>0.3081</v>
      </c>
      <c r="L14" s="35" t="n">
        <v>0.2895</v>
      </c>
      <c r="N14" s="34" t="s">
        <v>79</v>
      </c>
      <c r="O14" s="35" t="n">
        <v>-0.221</v>
      </c>
      <c r="P14" s="35" t="n">
        <v>-0.1879</v>
      </c>
      <c r="Q14" s="35" t="n">
        <v>-0.1654</v>
      </c>
      <c r="R14" s="35" t="n">
        <v>-0.1524</v>
      </c>
      <c r="S14" s="35" t="n">
        <v>-0.1391</v>
      </c>
      <c r="T14" s="35" t="n">
        <v>-0.1157</v>
      </c>
      <c r="U14" s="35" t="n">
        <v>-0.1046</v>
      </c>
      <c r="V14" s="35" t="n">
        <v>-0.0875</v>
      </c>
      <c r="W14" s="35" t="n">
        <v>-0.0489</v>
      </c>
      <c r="X14" s="35" t="n">
        <v>-0.0359</v>
      </c>
      <c r="Z14" s="34" t="s">
        <v>79</v>
      </c>
      <c r="AA14" s="35" t="n">
        <v>0.695</v>
      </c>
      <c r="AB14" s="35" t="n">
        <v>0.6809</v>
      </c>
      <c r="AC14" s="35" t="n">
        <v>0.6487</v>
      </c>
      <c r="AD14" s="35" t="n">
        <v>0.6352</v>
      </c>
      <c r="AE14" s="35" t="n">
        <v>0.6121</v>
      </c>
      <c r="AF14" s="35" t="n">
        <v>0.5776</v>
      </c>
      <c r="AG14" s="35" t="n">
        <v>0.5561</v>
      </c>
      <c r="AH14" s="35" t="n">
        <v>0.5347</v>
      </c>
      <c r="AI14" s="35" t="n">
        <v>0.5115</v>
      </c>
      <c r="AJ14" s="35" t="n">
        <v>0.4962</v>
      </c>
      <c r="AL14" s="34" t="s">
        <v>79</v>
      </c>
      <c r="AM14" s="36" t="n">
        <f aca="false">C14*(1+(((2-3*O14^2)/24*AA14^2)+(O14*AA14*C14/4))*10)</f>
        <v>0.532689236140163</v>
      </c>
      <c r="AN14" s="36" t="n">
        <f aca="false">D14*(1+(((2-3*P14^2)/24*AB14^2)+(P14*AB14*D14/4))*10)</f>
        <v>0.511318670882253</v>
      </c>
      <c r="AO14" s="36" t="n">
        <f aca="false">E14*(1+(((2-3*Q14^2)/24*AC14^2)+(Q14*AC14*E14/4))*10)</f>
        <v>0.4893519996521</v>
      </c>
      <c r="AP14" s="36" t="n">
        <f aca="false">F14*(1+(((2-3*R14^2)/24*AD14^2)+(R14*AD14*F14/4))*10)</f>
        <v>0.482363314208809</v>
      </c>
      <c r="AQ14" s="36" t="n">
        <f aca="false">G14*(1+(((2-3*S14^2)/24*AE14^2)+(S14*AE14*G14/4))*10)</f>
        <v>0.454403557856698</v>
      </c>
      <c r="AR14" s="36" t="n">
        <f aca="false">H14*(1+(((2-3*T14^2)/24*AF14^2)+(T14*AF14*H14/4))*10)</f>
        <v>0.417252802524655</v>
      </c>
      <c r="AS14" s="36" t="n">
        <f aca="false">I14*(1+(((2-3*U14^2)/24*AG14^2)+(U14*AG14*I14/4))*10)</f>
        <v>0.393062833428716</v>
      </c>
      <c r="AT14" s="36" t="n">
        <f aca="false">J14*(1+(((2-3*V14^2)/24*AH14^2)+(V14*AH14*J14/4))*10)</f>
        <v>0.371421030574361</v>
      </c>
      <c r="AU14" s="36" t="n">
        <f aca="false">K14*(1+(((2-3*W14^2)/24*AI14^2)+(W14*AI14*K14/4))*10)</f>
        <v>0.369097357735864</v>
      </c>
      <c r="AV14" s="36" t="n">
        <f aca="false">L14*(1+(((2-3*X14^2)/24*AJ14^2)+(X14*AJ14*L14/4))*10)</f>
        <v>0.345052000677532</v>
      </c>
    </row>
    <row r="15" customFormat="false" ht="15" hidden="false" customHeight="true" outlineLevel="0" collapsed="false">
      <c r="B15" s="34" t="s">
        <v>80</v>
      </c>
      <c r="C15" s="35" t="n">
        <v>0.4119</v>
      </c>
      <c r="D15" s="35" t="n">
        <v>0.3984</v>
      </c>
      <c r="E15" s="35" t="n">
        <v>0.376</v>
      </c>
      <c r="F15" s="35" t="n">
        <v>0.3749</v>
      </c>
      <c r="G15" s="35" t="n">
        <v>0.3471</v>
      </c>
      <c r="H15" s="35" t="n">
        <v>0.3325</v>
      </c>
      <c r="I15" s="35" t="n">
        <v>0.3183</v>
      </c>
      <c r="J15" s="35" t="n">
        <v>0.3081</v>
      </c>
      <c r="K15" s="35" t="n">
        <v>0.2817</v>
      </c>
      <c r="L15" s="35" t="n">
        <v>0.275</v>
      </c>
      <c r="N15" s="34" t="s">
        <v>80</v>
      </c>
      <c r="O15" s="35" t="n">
        <v>-0.1944</v>
      </c>
      <c r="P15" s="35" t="n">
        <v>-0.1744</v>
      </c>
      <c r="Q15" s="35" t="n">
        <v>-0.1551</v>
      </c>
      <c r="R15" s="35" t="n">
        <v>-0.1457</v>
      </c>
      <c r="S15" s="35" t="n">
        <v>-0.1179</v>
      </c>
      <c r="T15" s="35" t="n">
        <v>-0.1036</v>
      </c>
      <c r="U15" s="35" t="n">
        <v>-0.0877</v>
      </c>
      <c r="V15" s="35" t="n">
        <v>-0.0523</v>
      </c>
      <c r="W15" s="35" t="n">
        <v>-0.0454</v>
      </c>
      <c r="X15" s="35" t="n">
        <v>-0.02</v>
      </c>
      <c r="Z15" s="34" t="s">
        <v>80</v>
      </c>
      <c r="AA15" s="35" t="n">
        <v>0.6767</v>
      </c>
      <c r="AB15" s="35" t="n">
        <v>0.6511</v>
      </c>
      <c r="AC15" s="35" t="n">
        <v>0.6243</v>
      </c>
      <c r="AD15" s="35" t="n">
        <v>0.6059</v>
      </c>
      <c r="AE15" s="35" t="n">
        <v>0.5844</v>
      </c>
      <c r="AF15" s="35" t="n">
        <v>0.5668</v>
      </c>
      <c r="AG15" s="35" t="n">
        <v>0.531</v>
      </c>
      <c r="AH15" s="35" t="n">
        <v>0.5179</v>
      </c>
      <c r="AI15" s="35" t="n">
        <v>0.4894</v>
      </c>
      <c r="AJ15" s="35" t="n">
        <v>0.4678</v>
      </c>
      <c r="AL15" s="34" t="s">
        <v>80</v>
      </c>
      <c r="AM15" s="36" t="n">
        <f aca="false">C15*(1+(((2-3*O15^2)/24*AA15^2)+(O15*AA15*C15/4))*20)</f>
        <v>0.596848364549956</v>
      </c>
      <c r="AN15" s="36" t="n">
        <f aca="false">D15*(1+(((2-3*P15^2)/24*AB15^2)+(P15*AB15*D15/4))*20)</f>
        <v>0.576931685466532</v>
      </c>
      <c r="AO15" s="36" t="n">
        <f aca="false">E15*(1+(((2-3*Q15^2)/24*AC15^2)+(Q15*AC15*E15/4))*20)</f>
        <v>0.542983915177752</v>
      </c>
      <c r="AP15" s="36" t="n">
        <f aca="false">F15*(1+(((2-3*R15^2)/24*AD15^2)+(R15*AD15*F15/4))*20)</f>
        <v>0.534942792119242</v>
      </c>
      <c r="AQ15" s="36" t="n">
        <f aca="false">G15*(1+(((2-3*S15^2)/24*AE15^2)+(S15*AE15*G15/4))*20)</f>
        <v>0.499046511341319</v>
      </c>
      <c r="AR15" s="36" t="n">
        <f aca="false">H15*(1+(((2-3*T15^2)/24*AF15^2)+(T15*AF15*H15/4))*20)</f>
        <v>0.475207015552915</v>
      </c>
      <c r="AS15" s="36" t="n">
        <f aca="false">I15*(1+(((2-3*U15^2)/24*AG15^2)+(U15*AG15*I15/4))*20)</f>
        <v>0.442564098590767</v>
      </c>
      <c r="AT15" s="36" t="n">
        <f aca="false">J15*(1+(((2-3*V15^2)/24*AH15^2)+(V15*AH15*J15/4))*20)</f>
        <v>0.432410222404723</v>
      </c>
      <c r="AU15" s="36" t="n">
        <f aca="false">K15*(1+(((2-3*W15^2)/24*AI15^2)+(W15*AI15*K15/4))*20)</f>
        <v>0.384987547322654</v>
      </c>
      <c r="AV15" s="36" t="n">
        <f aca="false">L15*(1+(((2-3*X15^2)/24*AJ15^2)+(X15*AJ15*L15/4))*20)</f>
        <v>0.371702300702333</v>
      </c>
    </row>
    <row r="16" customFormat="false" ht="15" hidden="false" customHeight="true" outlineLevel="0" collapsed="false">
      <c r="B16" s="34" t="s">
        <v>81</v>
      </c>
      <c r="C16" s="35" t="n">
        <v>0.4054</v>
      </c>
      <c r="D16" s="35" t="n">
        <v>0.3835</v>
      </c>
      <c r="E16" s="35" t="n">
        <v>0.3679</v>
      </c>
      <c r="F16" s="35" t="n">
        <v>0.3552</v>
      </c>
      <c r="G16" s="35" t="n">
        <v>0.3416</v>
      </c>
      <c r="H16" s="35" t="n">
        <v>0.3155</v>
      </c>
      <c r="I16" s="35" t="n">
        <v>0.3023</v>
      </c>
      <c r="J16" s="35" t="n">
        <v>0.2834</v>
      </c>
      <c r="K16" s="35" t="n">
        <v>0.2669</v>
      </c>
      <c r="L16" s="35" t="n">
        <v>0.2539</v>
      </c>
      <c r="N16" s="34" t="s">
        <v>81</v>
      </c>
      <c r="O16" s="35" t="n">
        <v>-0.176</v>
      </c>
      <c r="P16" s="35" t="n">
        <v>-0.1549</v>
      </c>
      <c r="Q16" s="35" t="n">
        <v>-0.1366</v>
      </c>
      <c r="R16" s="35" t="n">
        <v>-0.1078</v>
      </c>
      <c r="S16" s="35" t="n">
        <v>-0.0932</v>
      </c>
      <c r="T16" s="35" t="n">
        <v>-0.0702</v>
      </c>
      <c r="U16" s="35" t="n">
        <v>-0.0495</v>
      </c>
      <c r="V16" s="35" t="n">
        <v>-0.0437</v>
      </c>
      <c r="W16" s="35" t="n">
        <v>-0.0183</v>
      </c>
      <c r="X16" s="35" t="n">
        <v>0.0089</v>
      </c>
      <c r="Z16" s="34" t="s">
        <v>81</v>
      </c>
      <c r="AA16" s="35" t="n">
        <v>0.6568</v>
      </c>
      <c r="AB16" s="35" t="n">
        <v>0.6205</v>
      </c>
      <c r="AC16" s="35" t="n">
        <v>0.598</v>
      </c>
      <c r="AD16" s="35" t="n">
        <v>0.5822</v>
      </c>
      <c r="AE16" s="35" t="n">
        <v>0.5526</v>
      </c>
      <c r="AF16" s="35" t="n">
        <v>0.5337</v>
      </c>
      <c r="AG16" s="35" t="n">
        <v>0.5081</v>
      </c>
      <c r="AH16" s="35" t="n">
        <v>0.4978</v>
      </c>
      <c r="AI16" s="35" t="n">
        <v>0.4779</v>
      </c>
      <c r="AJ16" s="35" t="n">
        <v>0.4579</v>
      </c>
      <c r="AL16" s="34" t="s">
        <v>81</v>
      </c>
      <c r="AM16" s="36" t="n">
        <f aca="false">C16*(1+(((2-3*O16^2)/24*AA16^2)+(O16*AA16*C16/4))*30)</f>
        <v>0.679808653586033</v>
      </c>
      <c r="AN16" s="36" t="n">
        <f aca="false">D16*(1+(((2-3*P16^2)/24*AB16^2)+(P16*AB16*D16/4))*30)</f>
        <v>0.633333141280691</v>
      </c>
      <c r="AO16" s="36" t="n">
        <f aca="false">E16*(1+(((2-3*Q16^2)/24*AC16^2)+(Q16*AC16*E16/4))*30)</f>
        <v>0.604677845292024</v>
      </c>
      <c r="AP16" s="36" t="n">
        <f aca="false">F16*(1+(((2-3*R16^2)/24*AD16^2)+(R16*AD16*F16/4))*30)</f>
        <v>0.591559051550297</v>
      </c>
      <c r="AQ16" s="36" t="n">
        <f aca="false">G16*(1+(((2-3*S16^2)/24*AE16^2)+(S16*AE16*G16/4))*30)</f>
        <v>0.553911615459601</v>
      </c>
      <c r="AR16" s="36" t="n">
        <f aca="false">H16*(1+(((2-3*T16^2)/24*AF16^2)+(T16*AF16*H16/4))*30)</f>
        <v>0.510533301161985</v>
      </c>
      <c r="AS16" s="36" t="n">
        <f aca="false">I16*(1+(((2-3*U16^2)/24*AG16^2)+(U16*AG16*I16/4))*30)</f>
        <v>0.479453360820703</v>
      </c>
      <c r="AT16" s="36" t="n">
        <f aca="false">J16*(1+(((2-3*V16^2)/24*AH16^2)+(V16*AH16*J16/4))*30)</f>
        <v>0.445363002645476</v>
      </c>
      <c r="AU16" s="36" t="n">
        <f aca="false">K16*(1+(((2-3*W16^2)/24*AI16^2)+(W16*AI16*K16/4))*30)</f>
        <v>0.414543144550397</v>
      </c>
      <c r="AV16" s="36" t="n">
        <f aca="false">L16*(1+(((2-3*X16^2)/24*AJ16^2)+(X16*AJ16*L16/4))*30)</f>
        <v>0.3889441170734</v>
      </c>
    </row>
    <row r="18" customFormat="false" ht="27.75" hidden="false" customHeight="true" outlineLevel="0" collapsed="false">
      <c r="A18" s="15" t="s">
        <v>137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20" customFormat="false" ht="19.5" hidden="false" customHeight="true" outlineLevel="0" collapsed="false">
      <c r="A20" s="17" t="s">
        <v>138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</row>
    <row r="21" customFormat="false" ht="27.75" hidden="false" customHeight="true" outlineLevel="0" collapsed="false">
      <c r="B21" s="15" t="s">
        <v>139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customFormat="false" ht="15" hidden="false" customHeight="true" outlineLevel="0" collapsed="false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4" customFormat="false" ht="15" hidden="false" customHeight="true" outlineLevel="0" collapsed="false">
      <c r="B24" s="29" t="s">
        <v>140</v>
      </c>
      <c r="C24" s="29"/>
      <c r="D24" s="29"/>
      <c r="E24" s="29"/>
    </row>
    <row r="25" customFormat="false" ht="15" hidden="false" customHeight="true" outlineLevel="0" collapsed="false">
      <c r="B25" s="18" t="s">
        <v>141</v>
      </c>
      <c r="C25" s="12" t="s">
        <v>142</v>
      </c>
      <c r="D25" s="12" t="s">
        <v>143</v>
      </c>
      <c r="E25" s="12" t="s">
        <v>144</v>
      </c>
    </row>
    <row r="26" customFormat="false" ht="15" hidden="false" customHeight="true" outlineLevel="0" collapsed="false">
      <c r="B26" s="9" t="s">
        <v>117</v>
      </c>
      <c r="C26" s="35" t="n">
        <v>0.0099</v>
      </c>
      <c r="D26" s="35" t="n">
        <v>0.0057</v>
      </c>
      <c r="E26" s="35" t="n">
        <v>0.0224</v>
      </c>
    </row>
    <row r="27" customFormat="false" ht="15" hidden="false" customHeight="true" outlineLevel="0" collapsed="false">
      <c r="B27" s="9" t="s">
        <v>118</v>
      </c>
      <c r="C27" s="35" t="n">
        <v>0.0125</v>
      </c>
      <c r="D27" s="35" t="n">
        <v>0.0065</v>
      </c>
      <c r="E27" s="35" t="n">
        <v>0.0206</v>
      </c>
    </row>
    <row r="28" customFormat="false" ht="15" hidden="false" customHeight="true" outlineLevel="0" collapsed="false">
      <c r="B28" s="9" t="s">
        <v>119</v>
      </c>
      <c r="C28" s="35" t="n">
        <v>0.012</v>
      </c>
      <c r="D28" s="35" t="n">
        <v>0.0077</v>
      </c>
      <c r="E28" s="35" t="n">
        <v>0.0249</v>
      </c>
    </row>
    <row r="29" customFormat="false" ht="15" hidden="false" customHeight="true" outlineLevel="0" collapsed="false">
      <c r="B29" s="9" t="s">
        <v>120</v>
      </c>
      <c r="C29" s="35" t="n">
        <v>0.0205</v>
      </c>
      <c r="D29" s="35" t="n">
        <v>0.0056</v>
      </c>
      <c r="E29" s="35" t="n">
        <v>0.0233</v>
      </c>
    </row>
    <row r="30" customFormat="false" ht="15" hidden="false" customHeight="true" outlineLevel="0" collapsed="false">
      <c r="B30" s="9" t="s">
        <v>121</v>
      </c>
      <c r="C30" s="35" t="n">
        <v>0.0159</v>
      </c>
      <c r="D30" s="35" t="n">
        <v>0.0125</v>
      </c>
      <c r="E30" s="35" t="n">
        <v>0.0331</v>
      </c>
    </row>
    <row r="31" customFormat="false" ht="15" hidden="false" customHeight="true" outlineLevel="0" collapsed="false">
      <c r="B31" s="9" t="s">
        <v>122</v>
      </c>
      <c r="C31" s="35" t="n">
        <v>0.0178</v>
      </c>
      <c r="D31" s="35" t="n">
        <v>0.0151</v>
      </c>
      <c r="E31" s="35" t="n">
        <v>0.041</v>
      </c>
    </row>
    <row r="32" customFormat="false" ht="15" hidden="false" customHeight="true" outlineLevel="0" collapsed="false">
      <c r="B32" s="9" t="s">
        <v>123</v>
      </c>
      <c r="C32" s="35" t="n">
        <v>0.0263</v>
      </c>
      <c r="D32" s="35" t="n">
        <v>0.0133</v>
      </c>
      <c r="E32" s="35" t="n">
        <v>0.0317</v>
      </c>
    </row>
    <row r="33" customFormat="false" ht="15" hidden="false" customHeight="true" outlineLevel="0" collapsed="false">
      <c r="B33" s="9" t="s">
        <v>124</v>
      </c>
      <c r="C33" s="35" t="n">
        <v>0.0224</v>
      </c>
      <c r="D33" s="35" t="n">
        <v>0.0138</v>
      </c>
      <c r="E33" s="35" t="n">
        <v>0.0338</v>
      </c>
    </row>
    <row r="34" customFormat="false" ht="15" hidden="false" customHeight="true" outlineLevel="0" collapsed="false">
      <c r="B34" s="9" t="s">
        <v>125</v>
      </c>
      <c r="C34" s="35" t="n">
        <v>0.0265</v>
      </c>
      <c r="D34" s="35" t="n">
        <v>0.0127</v>
      </c>
      <c r="E34" s="35" t="n">
        <v>0.0369</v>
      </c>
    </row>
    <row r="35" customFormat="false" ht="15" hidden="false" customHeight="true" outlineLevel="0" collapsed="false">
      <c r="B35" s="9" t="s">
        <v>126</v>
      </c>
      <c r="C35" s="35" t="n">
        <v>0.0316</v>
      </c>
      <c r="D35" s="35" t="n">
        <v>0.0155</v>
      </c>
      <c r="E35" s="35" t="n">
        <v>0.0535</v>
      </c>
    </row>
    <row r="38" customFormat="false" ht="15" hidden="false" customHeight="true" outlineLevel="0" collapsed="false">
      <c r="B38" s="29" t="s">
        <v>145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customFormat="false" ht="15" hidden="false" customHeight="true" outlineLevel="0" collapsed="false">
      <c r="B39" s="18" t="s">
        <v>135</v>
      </c>
      <c r="C39" s="12" t="s">
        <v>136</v>
      </c>
      <c r="D39" s="12" t="s">
        <v>74</v>
      </c>
      <c r="E39" s="12" t="s">
        <v>75</v>
      </c>
      <c r="F39" s="12" t="s">
        <v>30</v>
      </c>
      <c r="G39" s="12" t="s">
        <v>76</v>
      </c>
      <c r="H39" s="12" t="s">
        <v>77</v>
      </c>
      <c r="I39" s="12" t="s">
        <v>78</v>
      </c>
      <c r="J39" s="12" t="s">
        <v>79</v>
      </c>
      <c r="K39" s="12" t="s">
        <v>80</v>
      </c>
      <c r="L39" s="12" t="s">
        <v>81</v>
      </c>
    </row>
    <row r="40" customFormat="false" ht="15" hidden="false" customHeight="true" outlineLevel="0" collapsed="false">
      <c r="B40" s="34" t="s">
        <v>136</v>
      </c>
      <c r="C40" s="37" t="n">
        <v>1.601</v>
      </c>
      <c r="D40" s="37" t="n">
        <v>1.518</v>
      </c>
      <c r="E40" s="37" t="n">
        <v>1.42</v>
      </c>
      <c r="F40" s="37" t="n">
        <v>1.34</v>
      </c>
      <c r="G40" s="37" t="n">
        <v>1.237</v>
      </c>
      <c r="H40" s="37" t="n">
        <v>1.137</v>
      </c>
      <c r="I40" s="37" t="n">
        <v>1.09</v>
      </c>
      <c r="J40" s="37" t="n">
        <v>1</v>
      </c>
      <c r="K40" s="37" t="n">
        <v>0.9</v>
      </c>
      <c r="L40" s="37" t="n">
        <v>0.802</v>
      </c>
    </row>
    <row r="41" customFormat="false" ht="15" hidden="false" customHeight="true" outlineLevel="0" collapsed="false">
      <c r="B41" s="34" t="s">
        <v>74</v>
      </c>
      <c r="C41" s="37" t="n">
        <v>1.499</v>
      </c>
      <c r="D41" s="37" t="n">
        <v>1.404</v>
      </c>
      <c r="E41" s="37" t="n">
        <v>1.317</v>
      </c>
      <c r="F41" s="37" t="n">
        <v>1.214</v>
      </c>
      <c r="G41" s="37" t="n">
        <v>1.166</v>
      </c>
      <c r="H41" s="37" t="n">
        <v>1.054</v>
      </c>
      <c r="I41" s="37" t="n">
        <v>0.991</v>
      </c>
      <c r="J41" s="37" t="n">
        <v>0.873</v>
      </c>
      <c r="K41" s="37" t="n">
        <v>0.817</v>
      </c>
      <c r="L41" s="37" t="n">
        <v>0.721</v>
      </c>
    </row>
    <row r="42" customFormat="false" ht="15" hidden="false" customHeight="true" outlineLevel="0" collapsed="false">
      <c r="B42" s="34" t="s">
        <v>75</v>
      </c>
      <c r="C42" s="37" t="n">
        <v>1.39</v>
      </c>
      <c r="D42" s="37" t="n">
        <v>1.313</v>
      </c>
      <c r="E42" s="37" t="n">
        <v>1.265</v>
      </c>
      <c r="F42" s="37" t="n">
        <v>1.148</v>
      </c>
      <c r="G42" s="37" t="n">
        <v>1.089</v>
      </c>
      <c r="H42" s="37" t="n">
        <v>0.964</v>
      </c>
      <c r="I42" s="37" t="n">
        <v>0.854</v>
      </c>
      <c r="J42" s="37" t="n">
        <v>0.798</v>
      </c>
      <c r="K42" s="37" t="n">
        <v>0.717</v>
      </c>
      <c r="L42" s="37" t="n">
        <v>0.596</v>
      </c>
    </row>
    <row r="43" customFormat="false" ht="15" hidden="false" customHeight="true" outlineLevel="0" collapsed="false">
      <c r="B43" s="34" t="s">
        <v>30</v>
      </c>
      <c r="C43" s="37" t="n">
        <v>1.305</v>
      </c>
      <c r="D43" s="37" t="n">
        <v>1.23</v>
      </c>
      <c r="E43" s="37" t="n">
        <v>1.178</v>
      </c>
      <c r="F43" s="37" t="n">
        <v>1.075</v>
      </c>
      <c r="G43" s="37" t="n">
        <v>0.947</v>
      </c>
      <c r="H43" s="37" t="n">
        <v>0.865</v>
      </c>
      <c r="I43" s="37" t="n">
        <v>0.766</v>
      </c>
      <c r="J43" s="37" t="n">
        <v>0.674</v>
      </c>
      <c r="K43" s="37" t="n">
        <v>0.628</v>
      </c>
      <c r="L43" s="37" t="n">
        <v>0.501</v>
      </c>
    </row>
    <row r="44" customFormat="false" ht="15" hidden="false" customHeight="true" outlineLevel="0" collapsed="false">
      <c r="B44" s="34" t="s">
        <v>76</v>
      </c>
      <c r="C44" s="37" t="n">
        <v>1.244</v>
      </c>
      <c r="D44" s="37" t="n">
        <v>1.147</v>
      </c>
      <c r="E44" s="37" t="n">
        <v>1.041</v>
      </c>
      <c r="F44" s="37" t="n">
        <v>0.984</v>
      </c>
      <c r="G44" s="37" t="n">
        <v>0.858</v>
      </c>
      <c r="H44" s="37" t="n">
        <v>0.799</v>
      </c>
      <c r="I44" s="37" t="n">
        <v>0.677</v>
      </c>
      <c r="J44" s="37" t="n">
        <v>0.605</v>
      </c>
      <c r="K44" s="37" t="n">
        <v>0.503</v>
      </c>
      <c r="L44" s="37" t="n">
        <v>0.416</v>
      </c>
    </row>
    <row r="45" customFormat="false" ht="15" hidden="false" customHeight="true" outlineLevel="0" collapsed="false">
      <c r="B45" s="34" t="s">
        <v>77</v>
      </c>
      <c r="C45" s="37" t="n">
        <v>1.178</v>
      </c>
      <c r="D45" s="37" t="n">
        <v>1.078</v>
      </c>
      <c r="E45" s="37" t="n">
        <v>0.958</v>
      </c>
      <c r="F45" s="37" t="n">
        <v>0.903</v>
      </c>
      <c r="G45" s="37" t="n">
        <v>0.773</v>
      </c>
      <c r="H45" s="37" t="n">
        <v>0.694</v>
      </c>
      <c r="I45" s="37" t="n">
        <v>0.631</v>
      </c>
      <c r="J45" s="37" t="n">
        <v>0.529</v>
      </c>
      <c r="K45" s="37" t="n">
        <v>0.406</v>
      </c>
      <c r="L45" s="37" t="n">
        <v>0.369</v>
      </c>
    </row>
    <row r="46" customFormat="false" ht="15" hidden="false" customHeight="true" outlineLevel="0" collapsed="false">
      <c r="B46" s="34" t="s">
        <v>78</v>
      </c>
      <c r="C46" s="37" t="n">
        <v>1.043</v>
      </c>
      <c r="D46" s="37" t="n">
        <v>0.955</v>
      </c>
      <c r="E46" s="37" t="n">
        <v>0.896</v>
      </c>
      <c r="F46" s="37" t="n">
        <v>0.78</v>
      </c>
      <c r="G46" s="37" t="n">
        <v>0.688</v>
      </c>
      <c r="H46" s="37" t="n">
        <v>0.584</v>
      </c>
      <c r="I46" s="37" t="n">
        <v>0.495</v>
      </c>
      <c r="J46" s="37" t="n">
        <v>0.435</v>
      </c>
      <c r="K46" s="37" t="n">
        <v>0.325</v>
      </c>
      <c r="L46" s="37" t="n">
        <v>0.256</v>
      </c>
    </row>
    <row r="47" customFormat="false" ht="15" hidden="false" customHeight="true" outlineLevel="0" collapsed="false">
      <c r="B47" s="34" t="s">
        <v>79</v>
      </c>
      <c r="C47" s="37" t="n">
        <v>0.962</v>
      </c>
      <c r="D47" s="37" t="n">
        <v>0.877</v>
      </c>
      <c r="E47" s="37" t="n">
        <v>0.818</v>
      </c>
      <c r="F47" s="37" t="n">
        <v>0.699</v>
      </c>
      <c r="G47" s="37" t="n">
        <v>0.614</v>
      </c>
      <c r="H47" s="37" t="n">
        <v>0.542</v>
      </c>
      <c r="I47" s="37" t="n">
        <v>0.411</v>
      </c>
      <c r="J47" s="37" t="n">
        <v>0.319</v>
      </c>
      <c r="K47" s="37" t="n">
        <v>0.275</v>
      </c>
      <c r="L47" s="37" t="n">
        <v>0.179</v>
      </c>
    </row>
    <row r="48" customFormat="false" ht="15" hidden="false" customHeight="true" outlineLevel="0" collapsed="false">
      <c r="B48" s="34" t="s">
        <v>80</v>
      </c>
      <c r="C48" s="37" t="n">
        <v>0.865</v>
      </c>
      <c r="D48" s="37" t="n">
        <v>0.771</v>
      </c>
      <c r="E48" s="37" t="n">
        <v>0.714</v>
      </c>
      <c r="F48" s="37" t="n">
        <v>0.636</v>
      </c>
      <c r="G48" s="37" t="n">
        <v>0.502</v>
      </c>
      <c r="H48" s="37" t="n">
        <v>0.457</v>
      </c>
      <c r="I48" s="37" t="n">
        <v>0.363</v>
      </c>
      <c r="J48" s="37" t="n">
        <v>0.256</v>
      </c>
      <c r="K48" s="37" t="n">
        <v>0.155</v>
      </c>
      <c r="L48" s="37" t="n">
        <v>0.15</v>
      </c>
    </row>
    <row r="49" customFormat="false" ht="15" hidden="false" customHeight="true" outlineLevel="0" collapsed="false">
      <c r="B49" s="34" t="s">
        <v>81</v>
      </c>
      <c r="C49" s="37" t="n">
        <v>0.762</v>
      </c>
      <c r="D49" s="37" t="n">
        <v>0.728</v>
      </c>
      <c r="E49" s="37" t="n">
        <v>0.594</v>
      </c>
      <c r="F49" s="37" t="n">
        <v>0.532</v>
      </c>
      <c r="G49" s="37" t="n">
        <v>0.415</v>
      </c>
      <c r="H49" s="37" t="n">
        <v>0.359</v>
      </c>
      <c r="I49" s="37" t="n">
        <v>0.256</v>
      </c>
      <c r="J49" s="37" t="n">
        <v>0.15</v>
      </c>
      <c r="K49" s="37" t="n">
        <v>0.15</v>
      </c>
      <c r="L49" s="37" t="n">
        <v>0.15</v>
      </c>
    </row>
    <row r="51" customFormat="false" ht="19.5" hidden="false" customHeight="true" outlineLevel="0" collapsed="false">
      <c r="A51" s="17" t="s">
        <v>146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</row>
    <row r="52" customFormat="false" ht="15" hidden="false" customHeight="true" outlineLevel="0" collapsed="false">
      <c r="A52" s="16" t="s">
        <v>147</v>
      </c>
    </row>
    <row r="54" customFormat="false" ht="15" hidden="false" customHeight="true" outlineLevel="0" collapsed="false">
      <c r="A54" s="29" t="s">
        <v>148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customFormat="false" ht="15" hidden="false" customHeight="true" outlineLevel="0" collapsed="false">
      <c r="B55" s="29" t="s">
        <v>131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N55" s="29" t="s">
        <v>132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Z55" s="29" t="s">
        <v>133</v>
      </c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L55" s="33" t="s">
        <v>134</v>
      </c>
      <c r="AM55" s="33"/>
      <c r="AN55" s="33"/>
      <c r="AO55" s="33"/>
      <c r="AP55" s="33"/>
      <c r="AQ55" s="33"/>
      <c r="AR55" s="33"/>
      <c r="AS55" s="33"/>
      <c r="AT55" s="33"/>
      <c r="AU55" s="33"/>
      <c r="AV55" s="33"/>
    </row>
    <row r="56" customFormat="false" ht="15" hidden="false" customHeight="true" outlineLevel="0" collapsed="false">
      <c r="B56" s="18" t="s">
        <v>135</v>
      </c>
      <c r="C56" s="12" t="s">
        <v>136</v>
      </c>
      <c r="D56" s="12" t="s">
        <v>74</v>
      </c>
      <c r="E56" s="12" t="s">
        <v>75</v>
      </c>
      <c r="F56" s="12" t="s">
        <v>30</v>
      </c>
      <c r="G56" s="12" t="s">
        <v>76</v>
      </c>
      <c r="H56" s="12" t="s">
        <v>77</v>
      </c>
      <c r="I56" s="12" t="s">
        <v>78</v>
      </c>
      <c r="J56" s="12" t="s">
        <v>79</v>
      </c>
      <c r="K56" s="12" t="s">
        <v>80</v>
      </c>
      <c r="L56" s="12" t="s">
        <v>81</v>
      </c>
      <c r="N56" s="18" t="s">
        <v>135</v>
      </c>
      <c r="O56" s="12" t="s">
        <v>136</v>
      </c>
      <c r="P56" s="12" t="s">
        <v>74</v>
      </c>
      <c r="Q56" s="12" t="s">
        <v>75</v>
      </c>
      <c r="R56" s="12" t="s">
        <v>30</v>
      </c>
      <c r="S56" s="12" t="s">
        <v>76</v>
      </c>
      <c r="T56" s="12" t="s">
        <v>77</v>
      </c>
      <c r="U56" s="12" t="s">
        <v>78</v>
      </c>
      <c r="V56" s="12" t="s">
        <v>79</v>
      </c>
      <c r="W56" s="12" t="s">
        <v>80</v>
      </c>
      <c r="X56" s="12" t="s">
        <v>81</v>
      </c>
      <c r="Z56" s="18" t="s">
        <v>135</v>
      </c>
      <c r="AA56" s="12" t="s">
        <v>136</v>
      </c>
      <c r="AB56" s="12" t="s">
        <v>74</v>
      </c>
      <c r="AC56" s="12" t="s">
        <v>75</v>
      </c>
      <c r="AD56" s="12" t="s">
        <v>30</v>
      </c>
      <c r="AE56" s="12" t="s">
        <v>76</v>
      </c>
      <c r="AF56" s="12" t="s">
        <v>77</v>
      </c>
      <c r="AG56" s="12" t="s">
        <v>78</v>
      </c>
      <c r="AH56" s="12" t="s">
        <v>79</v>
      </c>
      <c r="AI56" s="12" t="s">
        <v>80</v>
      </c>
      <c r="AJ56" s="12" t="s">
        <v>81</v>
      </c>
      <c r="AL56" s="18" t="s">
        <v>135</v>
      </c>
      <c r="AM56" s="12" t="s">
        <v>136</v>
      </c>
      <c r="AN56" s="12" t="s">
        <v>74</v>
      </c>
      <c r="AO56" s="12" t="s">
        <v>75</v>
      </c>
      <c r="AP56" s="12" t="s">
        <v>30</v>
      </c>
      <c r="AQ56" s="12" t="s">
        <v>76</v>
      </c>
      <c r="AR56" s="12" t="s">
        <v>77</v>
      </c>
      <c r="AS56" s="12" t="s">
        <v>78</v>
      </c>
      <c r="AT56" s="12" t="s">
        <v>79</v>
      </c>
      <c r="AU56" s="12" t="s">
        <v>80</v>
      </c>
      <c r="AV56" s="12" t="s">
        <v>81</v>
      </c>
    </row>
    <row r="57" customFormat="false" ht="15" hidden="false" customHeight="true" outlineLevel="0" collapsed="false">
      <c r="B57" s="34" t="s">
        <v>136</v>
      </c>
      <c r="C57" s="25" t="n">
        <f aca="false">C7+$C$26*C40</f>
        <v>0.5623499</v>
      </c>
      <c r="D57" s="25" t="n">
        <f aca="false">D7+$C$26*D40</f>
        <v>0.5414282</v>
      </c>
      <c r="E57" s="25" t="n">
        <f aca="false">E7+$C$26*E40</f>
        <v>0.533758</v>
      </c>
      <c r="F57" s="25" t="n">
        <f aca="false">F7+$C$26*F40</f>
        <v>0.504666</v>
      </c>
      <c r="G57" s="25" t="n">
        <f aca="false">G7+$C$26*G40</f>
        <v>0.4963463</v>
      </c>
      <c r="H57" s="25" t="n">
        <f aca="false">H7+$C$26*H40</f>
        <v>0.4752563</v>
      </c>
      <c r="I57" s="25" t="n">
        <f aca="false">I7+$C$26*I40</f>
        <v>0.451991</v>
      </c>
      <c r="J57" s="25" t="n">
        <f aca="false">J7+$C$26*J40</f>
        <v>0.4434</v>
      </c>
      <c r="K57" s="25" t="n">
        <f aca="false">K7+$C$26*K40</f>
        <v>0.41631</v>
      </c>
      <c r="L57" s="25" t="n">
        <f aca="false">L7+$C$26*L40</f>
        <v>0.4066398</v>
      </c>
      <c r="N57" s="34" t="s">
        <v>136</v>
      </c>
      <c r="O57" s="25" t="n">
        <f aca="false">O7+$D$26*O40</f>
        <v>-0.3586</v>
      </c>
      <c r="P57" s="25" t="n">
        <f aca="false">P7+$D$26*P40</f>
        <v>-0.3387</v>
      </c>
      <c r="Q57" s="25" t="n">
        <f aca="false">Q7+$D$26*Q40</f>
        <v>-0.3126</v>
      </c>
      <c r="R57" s="25" t="n">
        <f aca="false">R7+$D$26*R40</f>
        <v>-0.2851</v>
      </c>
      <c r="S57" s="25" t="n">
        <f aca="false">S7+$D$26*S40</f>
        <v>-0.2797</v>
      </c>
      <c r="T57" s="25" t="n">
        <f aca="false">T7+$D$26*T40</f>
        <v>-0.2583</v>
      </c>
      <c r="U57" s="25" t="n">
        <f aca="false">U7+$D$26*U40</f>
        <v>-0.2308</v>
      </c>
      <c r="V57" s="25" t="n">
        <f aca="false">V7+$D$26*V40</f>
        <v>-0.2049</v>
      </c>
      <c r="W57" s="25" t="n">
        <f aca="false">W7+$D$26*W40</f>
        <v>-0.1929</v>
      </c>
      <c r="X57" s="25" t="n">
        <f aca="false">X7+$D$26*X40</f>
        <v>-0.1771</v>
      </c>
      <c r="Z57" s="34" t="s">
        <v>136</v>
      </c>
      <c r="AA57" s="25" t="n">
        <f aca="false">AA7+$E$26*AA40</f>
        <v>0.8595</v>
      </c>
      <c r="AB57" s="25" t="n">
        <f aca="false">AB7+$E$26*AB40</f>
        <v>0.8187</v>
      </c>
      <c r="AC57" s="25" t="n">
        <f aca="false">AC7+$E$26*AC40</f>
        <v>0.8127</v>
      </c>
      <c r="AD57" s="25" t="n">
        <f aca="false">AD7+$E$26*AD40</f>
        <v>0.7791</v>
      </c>
      <c r="AE57" s="25" t="n">
        <f aca="false">AE7+$E$26*AE40</f>
        <v>0.754</v>
      </c>
      <c r="AF57" s="25" t="n">
        <f aca="false">AF7+$E$26*AF40</f>
        <v>0.7312</v>
      </c>
      <c r="AG57" s="25" t="n">
        <f aca="false">AG7+$E$26*AG40</f>
        <v>0.7128</v>
      </c>
      <c r="AH57" s="25" t="n">
        <f aca="false">AH7+$E$26*AH40</f>
        <v>0.7008</v>
      </c>
      <c r="AI57" s="25" t="n">
        <f aca="false">AI7+$E$26*AI40</f>
        <v>0.6658</v>
      </c>
      <c r="AJ57" s="25" t="n">
        <f aca="false">AJ7+$E$26*AJ40</f>
        <v>0.6516</v>
      </c>
      <c r="AL57" s="34" t="s">
        <v>136</v>
      </c>
      <c r="AM57" s="36" t="n">
        <f aca="false">C57*(1+(((2-3*O57^2)/24*AA57^2)+(O57*AA57*C57/4))*0.0833333333333333)</f>
        <v>0.562647738695512</v>
      </c>
      <c r="AN57" s="36" t="n">
        <f aca="false">D57*(1+(((2-3*P57^2)/24*AB57^2)+(P57*AB57*D57/4))*0.0833333333333333)</f>
        <v>0.541821217217908</v>
      </c>
      <c r="AO57" s="36" t="n">
        <f aca="false">E57*(1+(((2-3*Q57^2)/24*AC57^2)+(Q57*AC57*E57/4))*0.0833333333333333)</f>
        <v>0.534339445864516</v>
      </c>
      <c r="AP57" s="36" t="n">
        <f aca="false">F57*(1+(((2-3*R57^2)/24*AD57^2)+(R57*AD57*F57/4))*0.0833333333333333)</f>
        <v>0.505355354684995</v>
      </c>
      <c r="AQ57" s="36" t="n">
        <f aca="false">G57*(1+(((2-3*S57^2)/24*AE57^2)+(S57*AE57*G57/4))*0.0833333333333333)</f>
        <v>0.496993523979011</v>
      </c>
      <c r="AR57" s="36" t="n">
        <f aca="false">H57*(1+(((2-3*T57^2)/24*AF57^2)+(T57*AF57*H57/4))*0.0833333333333333)</f>
        <v>0.475955529823552</v>
      </c>
      <c r="AS57" s="36" t="n">
        <f aca="false">I57*(1+(((2-3*U57^2)/24*AG57^2)+(U57*AG57*I57/4))*0.0833333333333333)</f>
        <v>0.452758159207072</v>
      </c>
      <c r="AT57" s="36" t="n">
        <f aca="false">J57*(1+(((2-3*V57^2)/24*AH57^2)+(V57*AH57*J57/4))*0.0833333333333333)</f>
        <v>0.444228859896097</v>
      </c>
      <c r="AU57" s="36" t="n">
        <f aca="false">K57*(1+(((2-3*W57^2)/24*AI57^2)+(W57*AI57*K57/4))*0.0833333333333333)</f>
        <v>0.417056303771283</v>
      </c>
      <c r="AV57" s="36" t="n">
        <f aca="false">L57*(1+(((2-3*X57^2)/24*AJ57^2)+(X57*AJ57*L57/4))*0.0833333333333333)</f>
        <v>0.407384828186681</v>
      </c>
    </row>
    <row r="58" customFormat="false" ht="15" hidden="false" customHeight="true" outlineLevel="0" collapsed="false">
      <c r="B58" s="34" t="s">
        <v>74</v>
      </c>
      <c r="C58" s="25" t="n">
        <f aca="false">C8+$C$26*C41</f>
        <v>0.5509401</v>
      </c>
      <c r="D58" s="25" t="n">
        <f aca="false">D8+$C$26*D41</f>
        <v>0.5279996</v>
      </c>
      <c r="E58" s="25" t="n">
        <f aca="false">E8+$C$26*E41</f>
        <v>0.5140383</v>
      </c>
      <c r="F58" s="25" t="n">
        <f aca="false">F8+$C$26*F41</f>
        <v>0.4866186</v>
      </c>
      <c r="G58" s="25" t="n">
        <f aca="false">G8+$C$26*G41</f>
        <v>0.4694434</v>
      </c>
      <c r="H58" s="25" t="n">
        <f aca="false">H8+$C$26*H41</f>
        <v>0.4545346</v>
      </c>
      <c r="I58" s="25" t="n">
        <f aca="false">I8+$C$26*I41</f>
        <v>0.4467109</v>
      </c>
      <c r="J58" s="25" t="n">
        <f aca="false">J8+$C$26*J41</f>
        <v>0.4238427</v>
      </c>
      <c r="K58" s="25" t="n">
        <f aca="false">K8+$C$26*K41</f>
        <v>0.4043883</v>
      </c>
      <c r="L58" s="25" t="n">
        <f aca="false">L8+$C$26*L41</f>
        <v>0.3921379</v>
      </c>
      <c r="N58" s="34" t="s">
        <v>74</v>
      </c>
      <c r="O58" s="25" t="n">
        <f aca="false">O8+$D$26*O41</f>
        <v>-0.3315</v>
      </c>
      <c r="P58" s="25" t="n">
        <f aca="false">P8+$D$26*P41</f>
        <v>-0.3151</v>
      </c>
      <c r="Q58" s="25" t="n">
        <f aca="false">Q8+$D$26*Q41</f>
        <v>-0.2858</v>
      </c>
      <c r="R58" s="25" t="n">
        <f aca="false">R8+$D$26*R41</f>
        <v>-0.2682</v>
      </c>
      <c r="S58" s="25" t="n">
        <f aca="false">S8+$D$26*S41</f>
        <v>-0.2579</v>
      </c>
      <c r="T58" s="25" t="n">
        <f aca="false">T8+$D$26*T41</f>
        <v>-0.2318</v>
      </c>
      <c r="U58" s="25" t="n">
        <f aca="false">U8+$D$26*U41</f>
        <v>-0.2134</v>
      </c>
      <c r="V58" s="25" t="n">
        <f aca="false">V8+$D$26*V41</f>
        <v>-0.1869</v>
      </c>
      <c r="W58" s="25" t="n">
        <f aca="false">W8+$D$26*W41</f>
        <v>-0.1704</v>
      </c>
      <c r="X58" s="25" t="n">
        <f aca="false">X8+$D$26*X41</f>
        <v>-0.1598</v>
      </c>
      <c r="Z58" s="34" t="s">
        <v>74</v>
      </c>
      <c r="AA58" s="25" t="n">
        <f aca="false">AA8+$E$26*AA41</f>
        <v>0.8374</v>
      </c>
      <c r="AB58" s="25" t="n">
        <f aca="false">AB8+$E$26*AB41</f>
        <v>0.7979</v>
      </c>
      <c r="AC58" s="25" t="n">
        <f aca="false">AC8+$E$26*AC41</f>
        <v>0.7817</v>
      </c>
      <c r="AD58" s="25" t="n">
        <f aca="false">AD8+$E$26*AD41</f>
        <v>0.7663</v>
      </c>
      <c r="AE58" s="25" t="n">
        <f aca="false">AE8+$E$26*AE41</f>
        <v>0.7319</v>
      </c>
      <c r="AF58" s="25" t="n">
        <f aca="false">AF8+$E$26*AF41</f>
        <v>0.7164</v>
      </c>
      <c r="AG58" s="25" t="n">
        <f aca="false">AG8+$E$26*AG41</f>
        <v>0.6852</v>
      </c>
      <c r="AH58" s="25" t="n">
        <f aca="false">AH8+$E$26*AH41</f>
        <v>0.6756</v>
      </c>
      <c r="AI58" s="25" t="n">
        <f aca="false">AI8+$E$26*AI41</f>
        <v>0.6553</v>
      </c>
      <c r="AJ58" s="25" t="n">
        <f aca="false">AJ8+$E$26*AJ41</f>
        <v>0.6292</v>
      </c>
      <c r="AL58" s="34" t="s">
        <v>74</v>
      </c>
      <c r="AM58" s="36" t="n">
        <f aca="false">C58*(1+(((2-3*O58^2)/24*AA58^2)+(O58*AA58*C58/4))*0.25)</f>
        <v>0.55239582064585</v>
      </c>
      <c r="AN58" s="36" t="n">
        <f aca="false">D58*(1+(((2-3*P58^2)/24*AB58^2)+(P58*AB58*D58/4))*0.25)</f>
        <v>0.529578994264232</v>
      </c>
      <c r="AO58" s="36" t="n">
        <f aca="false">E58*(1+(((2-3*Q58^2)/24*AC58^2)+(Q58*AC58*E58/4))*0.25)</f>
        <v>0.516090847090345</v>
      </c>
      <c r="AP58" s="36" t="n">
        <f aca="false">F58*(1+(((2-3*R58^2)/24*AD58^2)+(R58*AD58*F58/4))*0.25)</f>
        <v>0.488887712401334</v>
      </c>
      <c r="AQ58" s="36" t="n">
        <f aca="false">G58*(1+(((2-3*S58^2)/24*AE58^2)+(S58*AE58*G58/4))*0.25)</f>
        <v>0.471559822967831</v>
      </c>
      <c r="AR58" s="36" t="n">
        <f aca="false">H58*(1+(((2-3*T58^2)/24*AF58^2)+(T58*AF58*H58/4))*0.25)</f>
        <v>0.456858618342567</v>
      </c>
      <c r="AS58" s="36" t="n">
        <f aca="false">I58*(1+(((2-3*U58^2)/24*AG58^2)+(U58*AG58*I58/4))*0.25)</f>
        <v>0.448958148195841</v>
      </c>
      <c r="AT58" s="36" t="n">
        <f aca="false">J58*(1+(((2-3*V58^2)/24*AH58^2)+(V58*AH58*J58/4))*0.25)</f>
        <v>0.426244156813863</v>
      </c>
      <c r="AU58" s="36" t="n">
        <f aca="false">K58*(1+(((2-3*W58^2)/24*AI58^2)+(W58*AI58*K58/4))*0.25)</f>
        <v>0.406707208543886</v>
      </c>
      <c r="AV58" s="36" t="n">
        <f aca="false">L58*(1+(((2-3*X58^2)/24*AJ58^2)+(X58*AJ58*L58/4))*0.25)</f>
        <v>0.394281950440812</v>
      </c>
    </row>
    <row r="59" customFormat="false" ht="15" hidden="false" customHeight="true" outlineLevel="0" collapsed="false">
      <c r="B59" s="34" t="s">
        <v>75</v>
      </c>
      <c r="C59" s="25" t="n">
        <f aca="false">C9+$C$26*C42</f>
        <v>0.537961</v>
      </c>
      <c r="D59" s="25" t="n">
        <f aca="false">D9+$C$26*D42</f>
        <v>0.5092987</v>
      </c>
      <c r="E59" s="25" t="n">
        <f aca="false">E9+$C$26*E42</f>
        <v>0.4997235</v>
      </c>
      <c r="F59" s="25" t="n">
        <f aca="false">F9+$C$26*F42</f>
        <v>0.4799652</v>
      </c>
      <c r="G59" s="25" t="n">
        <f aca="false">G9+$C$26*G42</f>
        <v>0.4623811</v>
      </c>
      <c r="H59" s="25" t="n">
        <f aca="false">H9+$C$26*H42</f>
        <v>0.4420436</v>
      </c>
      <c r="I59" s="25" t="n">
        <f aca="false">I9+$C$26*I42</f>
        <v>0.4319546</v>
      </c>
      <c r="J59" s="25" t="n">
        <f aca="false">J9+$C$26*J42</f>
        <v>0.4168002</v>
      </c>
      <c r="K59" s="25" t="n">
        <f aca="false">K9+$C$26*K42</f>
        <v>0.3898983</v>
      </c>
      <c r="L59" s="25" t="n">
        <f aca="false">L9+$C$26*L42</f>
        <v>0.3758004</v>
      </c>
      <c r="N59" s="34" t="s">
        <v>75</v>
      </c>
      <c r="O59" s="25" t="n">
        <f aca="false">O9+$D$26*O42</f>
        <v>-0.3199</v>
      </c>
      <c r="P59" s="25" t="n">
        <f aca="false">P9+$D$26*P42</f>
        <v>-0.2876</v>
      </c>
      <c r="Q59" s="25" t="n">
        <f aca="false">Q9+$D$26*Q42</f>
        <v>-0.2693</v>
      </c>
      <c r="R59" s="25" t="n">
        <f aca="false">R9+$D$26*R42</f>
        <v>-0.2429</v>
      </c>
      <c r="S59" s="25" t="n">
        <f aca="false">S9+$D$26*S42</f>
        <v>-0.2269</v>
      </c>
      <c r="T59" s="25" t="n">
        <f aca="false">T9+$D$26*T42</f>
        <v>-0.2182</v>
      </c>
      <c r="U59" s="25" t="n">
        <f aca="false">U9+$D$26*U42</f>
        <v>-0.1967</v>
      </c>
      <c r="V59" s="25" t="n">
        <f aca="false">V9+$D$26*V42</f>
        <v>-0.1716</v>
      </c>
      <c r="W59" s="25" t="n">
        <f aca="false">W9+$D$26*W42</f>
        <v>-0.1651</v>
      </c>
      <c r="X59" s="25" t="n">
        <f aca="false">X9+$D$26*X42</f>
        <v>-0.1369</v>
      </c>
      <c r="Z59" s="34" t="s">
        <v>75</v>
      </c>
      <c r="AA59" s="25" t="n">
        <f aca="false">AA9+$E$26*AA42</f>
        <v>0.7989</v>
      </c>
      <c r="AB59" s="25" t="n">
        <f aca="false">AB9+$E$26*AB42</f>
        <v>0.7757</v>
      </c>
      <c r="AC59" s="25" t="n">
        <f aca="false">AC9+$E$26*AC42</f>
        <v>0.7523</v>
      </c>
      <c r="AD59" s="25" t="n">
        <f aca="false">AD9+$E$26*AD42</f>
        <v>0.7443</v>
      </c>
      <c r="AE59" s="25" t="n">
        <f aca="false">AE9+$E$26*AE42</f>
        <v>0.7093</v>
      </c>
      <c r="AF59" s="25" t="n">
        <f aca="false">AF9+$E$26*AF42</f>
        <v>0.6894</v>
      </c>
      <c r="AG59" s="25" t="n">
        <f aca="false">AG9+$E$26*AG42</f>
        <v>0.67</v>
      </c>
      <c r="AH59" s="25" t="n">
        <f aca="false">AH9+$E$26*AH42</f>
        <v>0.6574</v>
      </c>
      <c r="AI59" s="25" t="n">
        <f aca="false">AI9+$E$26*AI42</f>
        <v>0.6194</v>
      </c>
      <c r="AJ59" s="25" t="n">
        <f aca="false">AJ9+$E$26*AJ42</f>
        <v>0.6045</v>
      </c>
      <c r="AL59" s="34" t="s">
        <v>75</v>
      </c>
      <c r="AM59" s="36" t="n">
        <f aca="false">C59*(1+(((2-3*O59^2)/24*AA59^2)+(O59*AA59*C59/4))*0.5)</f>
        <v>0.540825902197269</v>
      </c>
      <c r="AN59" s="36" t="n">
        <f aca="false">D59*(1+(((2-3*P59^2)/24*AB59^2)+(P59*AB59*D59/4))*0.5)</f>
        <v>0.51324991415263</v>
      </c>
      <c r="AO59" s="36" t="n">
        <f aca="false">E59*(1+(((2-3*Q59^2)/24*AC59^2)+(Q59*AC59*E59/4))*0.5)</f>
        <v>0.503901709562448</v>
      </c>
      <c r="AP59" s="36" t="n">
        <f aca="false">F59*(1+(((2-3*R59^2)/24*AD59^2)+(R59*AD59*F59/4))*0.5)</f>
        <v>0.484857551212037</v>
      </c>
      <c r="AQ59" s="36" t="n">
        <f aca="false">G59*(1+(((2-3*S59^2)/24*AE59^2)+(S59*AE59*G59/4))*0.5)</f>
        <v>0.467024307964289</v>
      </c>
      <c r="AR59" s="36" t="n">
        <f aca="false">H59*(1+(((2-3*T59^2)/24*AF59^2)+(T59*AF59*H59/4))*0.5)</f>
        <v>0.446497998144622</v>
      </c>
      <c r="AS59" s="36" t="n">
        <f aca="false">I59*(1+(((2-3*U59^2)/24*AG59^2)+(U59*AG59*I59/4))*0.5)</f>
        <v>0.436491327281303</v>
      </c>
      <c r="AT59" s="36" t="n">
        <f aca="false">J59*(1+(((2-3*V59^2)/24*AH59^2)+(V59*AH59*J59/4))*0.5)</f>
        <v>0.421524424964713</v>
      </c>
      <c r="AU59" s="36" t="n">
        <f aca="false">K59*(1+(((2-3*W59^2)/24*AI59^2)+(W59*AI59*K59/4))*0.5)</f>
        <v>0.393932989658397</v>
      </c>
      <c r="AV59" s="36" t="n">
        <f aca="false">L59*(1+(((2-3*X59^2)/24*AJ59^2)+(X59*AJ59*L59/4))*0.5)</f>
        <v>0.379900509732234</v>
      </c>
    </row>
    <row r="60" customFormat="false" ht="15" hidden="false" customHeight="true" outlineLevel="0" collapsed="false">
      <c r="B60" s="34" t="s">
        <v>30</v>
      </c>
      <c r="C60" s="25" t="n">
        <f aca="false">C10+$C$26*C43</f>
        <v>0.5139195</v>
      </c>
      <c r="D60" s="25" t="n">
        <f aca="false">D10+$C$26*D43</f>
        <v>0.503177</v>
      </c>
      <c r="E60" s="25" t="n">
        <f aca="false">E10+$C$26*E43</f>
        <v>0.4847622</v>
      </c>
      <c r="F60" s="25" t="n">
        <f aca="false">F10+$C$26*F43</f>
        <v>0.4679425</v>
      </c>
      <c r="G60" s="25" t="n">
        <f aca="false">G10+$C$26*G43</f>
        <v>0.4382753</v>
      </c>
      <c r="H60" s="25" t="n">
        <f aca="false">H10+$C$26*H43</f>
        <v>0.4235635</v>
      </c>
      <c r="I60" s="25" t="n">
        <f aca="false">I10+$C$26*I43</f>
        <v>0.4047834</v>
      </c>
      <c r="J60" s="25" t="n">
        <f aca="false">J10+$C$26*J43</f>
        <v>0.3976726</v>
      </c>
      <c r="K60" s="25" t="n">
        <f aca="false">K10+$C$26*K43</f>
        <v>0.3820172</v>
      </c>
      <c r="L60" s="25" t="n">
        <f aca="false">L10+$C$26*L43</f>
        <v>0.3479599</v>
      </c>
      <c r="N60" s="34" t="s">
        <v>30</v>
      </c>
      <c r="O60" s="25" t="n">
        <f aca="false">O10+$D$26*O43</f>
        <v>-0.2981</v>
      </c>
      <c r="P60" s="25" t="n">
        <f aca="false">P10+$D$26*P43</f>
        <v>-0.2776</v>
      </c>
      <c r="Q60" s="25" t="n">
        <f aca="false">Q10+$D$26*Q43</f>
        <v>-0.2581</v>
      </c>
      <c r="R60" s="25" t="n">
        <f aca="false">R10+$D$26*R43</f>
        <v>-0.2336</v>
      </c>
      <c r="S60" s="25" t="n">
        <f aca="false">S10+$D$26*S43</f>
        <v>-0.2121</v>
      </c>
      <c r="T60" s="25" t="n">
        <f aca="false">T10+$D$26*T43</f>
        <v>-0.1992</v>
      </c>
      <c r="U60" s="25" t="n">
        <f aca="false">U10+$D$26*U43</f>
        <v>-0.1849</v>
      </c>
      <c r="V60" s="25" t="n">
        <f aca="false">V10+$D$26*V43</f>
        <v>-0.1572</v>
      </c>
      <c r="W60" s="25" t="n">
        <f aca="false">W10+$D$26*W43</f>
        <v>-0.1387</v>
      </c>
      <c r="X60" s="25" t="n">
        <f aca="false">X10+$D$26*X43</f>
        <v>-0.1153</v>
      </c>
      <c r="Z60" s="34" t="s">
        <v>30</v>
      </c>
      <c r="AA60" s="25" t="n">
        <f aca="false">AA10+$E$26*AA43</f>
        <v>0.7924</v>
      </c>
      <c r="AB60" s="25" t="n">
        <f aca="false">AB10+$E$26*AB43</f>
        <v>0.7649</v>
      </c>
      <c r="AC60" s="25" t="n">
        <f aca="false">AC10+$E$26*AC43</f>
        <v>0.7392</v>
      </c>
      <c r="AD60" s="25" t="n">
        <f aca="false">AD10+$E$26*AD43</f>
        <v>0.719</v>
      </c>
      <c r="AE60" s="25" t="n">
        <f aca="false">AE10+$E$26*AE43</f>
        <v>0.698</v>
      </c>
      <c r="AF60" s="25" t="n">
        <f aca="false">AF10+$E$26*AF43</f>
        <v>0.6633</v>
      </c>
      <c r="AG60" s="25" t="n">
        <f aca="false">AG10+$E$26*AG43</f>
        <v>0.658</v>
      </c>
      <c r="AH60" s="25" t="n">
        <f aca="false">AH10+$E$26*AH43</f>
        <v>0.6334</v>
      </c>
      <c r="AI60" s="25" t="n">
        <f aca="false">AI10+$E$26*AI43</f>
        <v>0.613</v>
      </c>
      <c r="AJ60" s="25" t="n">
        <f aca="false">AJ10+$E$26*AJ43</f>
        <v>0.5893</v>
      </c>
      <c r="AL60" s="34" t="s">
        <v>30</v>
      </c>
      <c r="AM60" s="36" t="n">
        <f aca="false">C60*(1+(((2-3*O60^2)/24*AA60^2)+(O60*AA60*C60/4))*1)</f>
        <v>0.52162898829606</v>
      </c>
      <c r="AN60" s="36" t="n">
        <f aca="false">D60*(1+(((2-3*P60^2)/24*AB60^2)+(P60*AB60*D60/4))*1)</f>
        <v>0.511433876904403</v>
      </c>
      <c r="AO60" s="36" t="n">
        <f aca="false">E60*(1+(((2-3*Q60^2)/24*AC60^2)+(Q60*AC60*E60/4))*1)</f>
        <v>0.493421551192388</v>
      </c>
      <c r="AP60" s="36" t="n">
        <f aca="false">F60*(1+(((2-3*R60^2)/24*AD60^2)+(R60*AD60*F60/4))*1)</f>
        <v>0.477256947834163</v>
      </c>
      <c r="AQ60" s="36" t="n">
        <f aca="false">G60*(1+(((2-3*S60^2)/24*AE60^2)+(S60*AE60*G60/4))*1)</f>
        <v>0.44775932948031</v>
      </c>
      <c r="AR60" s="36" t="n">
        <f aca="false">H60*(1+(((2-3*T60^2)/24*AF60^2)+(T60*AF60*H60/4))*1)</f>
        <v>0.432242461390783</v>
      </c>
      <c r="AS60" s="36" t="n">
        <f aca="false">I60*(1+(((2-3*U60^2)/24*AG60^2)+(U60*AG60*I60/4))*1)</f>
        <v>0.413655502875772</v>
      </c>
      <c r="AT60" s="36" t="n">
        <f aca="false">J60*(1+(((2-3*V60^2)/24*AH60^2)+(V60*AH60*J60/4))*1)</f>
        <v>0.406538537771067</v>
      </c>
      <c r="AU60" s="36" t="n">
        <f aca="false">K60*(1+(((2-3*W60^2)/24*AI60^2)+(W60*AI60*K60/4))*1)</f>
        <v>0.390532514568366</v>
      </c>
      <c r="AV60" s="36" t="n">
        <f aca="false">L60*(1+(((2-3*X60^2)/24*AJ60^2)+(X60*AJ60*L60/4))*1)</f>
        <v>0.355772228683575</v>
      </c>
    </row>
    <row r="61" customFormat="false" ht="15" hidden="false" customHeight="true" outlineLevel="0" collapsed="false">
      <c r="B61" s="34" t="s">
        <v>76</v>
      </c>
      <c r="C61" s="25" t="n">
        <f aca="false">C11+$C$26*C44</f>
        <v>0.4935156</v>
      </c>
      <c r="D61" s="25" t="n">
        <f aca="false">D11+$C$26*D44</f>
        <v>0.4759553</v>
      </c>
      <c r="E61" s="25" t="n">
        <f aca="false">E11+$C$26*E44</f>
        <v>0.4524059</v>
      </c>
      <c r="F61" s="25" t="n">
        <f aca="false">F11+$C$26*F44</f>
        <v>0.4457416</v>
      </c>
      <c r="G61" s="25" t="n">
        <f aca="false">G11+$C$26*G44</f>
        <v>0.4163942</v>
      </c>
      <c r="H61" s="25" t="n">
        <f aca="false">H11+$C$26*H44</f>
        <v>0.3992101</v>
      </c>
      <c r="I61" s="25" t="n">
        <f aca="false">I11+$C$26*I44</f>
        <v>0.3842023</v>
      </c>
      <c r="J61" s="25" t="n">
        <f aca="false">J11+$C$26*J44</f>
        <v>0.3658895</v>
      </c>
      <c r="K61" s="25" t="n">
        <f aca="false">K11+$C$26*K44</f>
        <v>0.3517797</v>
      </c>
      <c r="L61" s="25" t="n">
        <f aca="false">L11+$C$26*L44</f>
        <v>0.3285184</v>
      </c>
      <c r="N61" s="34" t="s">
        <v>76</v>
      </c>
      <c r="O61" s="25" t="n">
        <f aca="false">O11+$D$26*O44</f>
        <v>-0.2822</v>
      </c>
      <c r="P61" s="25" t="n">
        <f aca="false">P11+$D$26*P44</f>
        <v>-0.2598</v>
      </c>
      <c r="Q61" s="25" t="n">
        <f aca="false">Q11+$D$26*Q44</f>
        <v>-0.2413</v>
      </c>
      <c r="R61" s="25" t="n">
        <f aca="false">R11+$D$26*R44</f>
        <v>-0.2166</v>
      </c>
      <c r="S61" s="25" t="n">
        <f aca="false">S11+$D$26*S44</f>
        <v>-0.2039</v>
      </c>
      <c r="T61" s="25" t="n">
        <f aca="false">T11+$D$26*T44</f>
        <v>-0.1675</v>
      </c>
      <c r="U61" s="25" t="n">
        <f aca="false">U11+$D$26*U44</f>
        <v>-0.1533</v>
      </c>
      <c r="V61" s="25" t="n">
        <f aca="false">V11+$D$26*V44</f>
        <v>-0.1431</v>
      </c>
      <c r="W61" s="25" t="n">
        <f aca="false">W11+$D$26*W44</f>
        <v>-0.1216</v>
      </c>
      <c r="X61" s="25" t="n">
        <f aca="false">X11+$D$26*X44</f>
        <v>-0.1003</v>
      </c>
      <c r="Z61" s="34" t="s">
        <v>76</v>
      </c>
      <c r="AA61" s="25" t="n">
        <f aca="false">AA11+$E$26*AA44</f>
        <v>0.7584</v>
      </c>
      <c r="AB61" s="25" t="n">
        <f aca="false">AB11+$E$26*AB44</f>
        <v>0.7313</v>
      </c>
      <c r="AC61" s="25" t="n">
        <f aca="false">AC11+$E$26*AC44</f>
        <v>0.7236</v>
      </c>
      <c r="AD61" s="25" t="n">
        <f aca="false">AD11+$E$26*AD44</f>
        <v>0.7043</v>
      </c>
      <c r="AE61" s="25" t="n">
        <f aca="false">AE11+$E$26*AE44</f>
        <v>0.6715</v>
      </c>
      <c r="AF61" s="25" t="n">
        <f aca="false">AF11+$E$26*AF44</f>
        <v>0.6497</v>
      </c>
      <c r="AG61" s="25" t="n">
        <f aca="false">AG11+$E$26*AG44</f>
        <v>0.6195</v>
      </c>
      <c r="AH61" s="25" t="n">
        <f aca="false">AH11+$E$26*AH44</f>
        <v>0.5976</v>
      </c>
      <c r="AI61" s="25" t="n">
        <f aca="false">AI11+$E$26*AI44</f>
        <v>0.5802</v>
      </c>
      <c r="AJ61" s="25" t="n">
        <f aca="false">AJ11+$E$26*AJ44</f>
        <v>0.5564</v>
      </c>
      <c r="AL61" s="34" t="s">
        <v>76</v>
      </c>
      <c r="AM61" s="36" t="n">
        <f aca="false">C61*(1+(((2-3*O61^2)/24*AA61^2)+(O61*AA61*C61/4))*2)</f>
        <v>0.509110370070213</v>
      </c>
      <c r="AN61" s="36" t="n">
        <f aca="false">D61*(1+(((2-3*P61^2)/24*AB61^2)+(P61*AB61*D61/4))*2)</f>
        <v>0.492563892768468</v>
      </c>
      <c r="AO61" s="36" t="n">
        <f aca="false">E61*(1+(((2-3*Q61^2)/24*AC61^2)+(Q61*AC61*E61/4))*2)</f>
        <v>0.470569258436747</v>
      </c>
      <c r="AP61" s="36" t="n">
        <f aca="false">F61*(1+(((2-3*R61^2)/24*AD61^2)+(R61*AD61*F61/4))*2)</f>
        <v>0.464844236342942</v>
      </c>
      <c r="AQ61" s="36" t="n">
        <f aca="false">G61*(1+(((2-3*S61^2)/24*AE61^2)+(S61*AE61*G61/4))*2)</f>
        <v>0.433865784709557</v>
      </c>
      <c r="AR61" s="36" t="n">
        <f aca="false">H61*(1+(((2-3*T61^2)/24*AF61^2)+(T61*AF61*H61/4))*2)</f>
        <v>0.417441628232012</v>
      </c>
      <c r="AS61" s="36" t="n">
        <f aca="false">I61*(1+(((2-3*U61^2)/24*AG61^2)+(U61*AG61*I61/4))*2)</f>
        <v>0.400901598908545</v>
      </c>
      <c r="AT61" s="36" t="n">
        <f aca="false">J61*(1+(((2-3*V61^2)/24*AH61^2)+(V61*AH61*J61/4))*2)</f>
        <v>0.381274379180146</v>
      </c>
      <c r="AU61" s="36" t="n">
        <f aca="false">K61*(1+(((2-3*W61^2)/24*AI61^2)+(W61*AI61*K61/4))*2)</f>
        <v>0.366713274370433</v>
      </c>
      <c r="AV61" s="36" t="n">
        <f aca="false">L61*(1+(((2-3*X61^2)/24*AJ61^2)+(X61*AJ61*L61/4))*2)</f>
        <v>0.342201659023364</v>
      </c>
    </row>
    <row r="62" customFormat="false" ht="15" hidden="false" customHeight="true" outlineLevel="0" collapsed="false">
      <c r="B62" s="34" t="s">
        <v>77</v>
      </c>
      <c r="C62" s="25" t="n">
        <f aca="false">C12+$C$26*C45</f>
        <v>0.4848622</v>
      </c>
      <c r="D62" s="25" t="n">
        <f aca="false">D12+$C$26*D45</f>
        <v>0.4538722</v>
      </c>
      <c r="E62" s="25" t="n">
        <f aca="false">E12+$C$26*E45</f>
        <v>0.4332842</v>
      </c>
      <c r="F62" s="25" t="n">
        <f aca="false">F12+$C$26*F45</f>
        <v>0.4346397</v>
      </c>
      <c r="G62" s="25" t="n">
        <f aca="false">G12+$C$26*G45</f>
        <v>0.4082527</v>
      </c>
      <c r="H62" s="25" t="n">
        <f aca="false">H12+$C$26*H45</f>
        <v>0.3831706</v>
      </c>
      <c r="I62" s="25" t="n">
        <f aca="false">I12+$C$26*I45</f>
        <v>0.3737469</v>
      </c>
      <c r="J62" s="25" t="n">
        <f aca="false">J12+$C$26*J45</f>
        <v>0.3457371</v>
      </c>
      <c r="K62" s="25" t="n">
        <f aca="false">K12+$C$26*K45</f>
        <v>0.3379194</v>
      </c>
      <c r="L62" s="25" t="n">
        <f aca="false">L12+$C$26*L45</f>
        <v>0.3298531</v>
      </c>
      <c r="N62" s="34" t="s">
        <v>77</v>
      </c>
      <c r="O62" s="25" t="n">
        <f aca="false">O12+$D$26*O45</f>
        <v>-0.2455</v>
      </c>
      <c r="P62" s="25" t="n">
        <f aca="false">P12+$D$26*P45</f>
        <v>-0.2294</v>
      </c>
      <c r="Q62" s="25" t="n">
        <f aca="false">Q12+$D$26*Q45</f>
        <v>-0.2187</v>
      </c>
      <c r="R62" s="25" t="n">
        <f aca="false">R12+$D$26*R45</f>
        <v>-0.1971</v>
      </c>
      <c r="S62" s="25" t="n">
        <f aca="false">S12+$D$26*S45</f>
        <v>-0.1817</v>
      </c>
      <c r="T62" s="25" t="n">
        <f aca="false">T12+$D$26*T45</f>
        <v>-0.1501</v>
      </c>
      <c r="U62" s="25" t="n">
        <f aca="false">U12+$D$26*U45</f>
        <v>-0.1355</v>
      </c>
      <c r="V62" s="25" t="n">
        <f aca="false">V12+$D$26*V45</f>
        <v>-0.1111</v>
      </c>
      <c r="W62" s="25" t="n">
        <f aca="false">W12+$D$26*W45</f>
        <v>-0.1006</v>
      </c>
      <c r="X62" s="25" t="n">
        <f aca="false">X12+$D$26*X45</f>
        <v>-0.0833</v>
      </c>
      <c r="Z62" s="34" t="s">
        <v>77</v>
      </c>
      <c r="AA62" s="25" t="n">
        <f aca="false">AA12+$E$26*AA45</f>
        <v>0.7451</v>
      </c>
      <c r="AB62" s="25" t="n">
        <f aca="false">AB12+$E$26*AB45</f>
        <v>0.7264</v>
      </c>
      <c r="AC62" s="25" t="n">
        <f aca="false">AC12+$E$26*AC45</f>
        <v>0.7015</v>
      </c>
      <c r="AD62" s="25" t="n">
        <f aca="false">AD12+$E$26*AD45</f>
        <v>0.6783</v>
      </c>
      <c r="AE62" s="25" t="n">
        <f aca="false">AE12+$E$26*AE45</f>
        <v>0.6564</v>
      </c>
      <c r="AF62" s="25" t="n">
        <f aca="false">AF12+$E$26*AF45</f>
        <v>0.6326</v>
      </c>
      <c r="AG62" s="25" t="n">
        <f aca="false">AG12+$E$26*AG45</f>
        <v>0.6001</v>
      </c>
      <c r="AH62" s="25" t="n">
        <f aca="false">AH12+$E$26*AH45</f>
        <v>0.5837</v>
      </c>
      <c r="AI62" s="25" t="n">
        <f aca="false">AI12+$E$26*AI45</f>
        <v>0.5582</v>
      </c>
      <c r="AJ62" s="25" t="n">
        <f aca="false">AJ12+$E$26*AJ45</f>
        <v>0.5295</v>
      </c>
      <c r="AL62" s="34" t="s">
        <v>77</v>
      </c>
      <c r="AM62" s="36" t="n">
        <f aca="false">C62*(1+(((2-3*O62^2)/24*AA62^2)+(O62*AA62*C62/4))*3)</f>
        <v>0.513821483727556</v>
      </c>
      <c r="AN62" s="36" t="n">
        <f aca="false">D62*(1+(((2-3*P62^2)/24*AB62^2)+(P62*AB62*D62/4))*3)</f>
        <v>0.48327301804885</v>
      </c>
      <c r="AO62" s="36" t="n">
        <f aca="false">E62*(1+(((2-3*Q62^2)/24*AC62^2)+(Q62*AC62*E62/4))*3)</f>
        <v>0.461163411671052</v>
      </c>
      <c r="AP62" s="36" t="n">
        <f aca="false">F62*(1+(((2-3*R62^2)/24*AD62^2)+(R62*AD62*F62/4))*3)</f>
        <v>0.462777777139258</v>
      </c>
      <c r="AQ62" s="36" t="n">
        <f aca="false">G62*(1+(((2-3*S62^2)/24*AE62^2)+(S62*AE62*G62/4))*3)</f>
        <v>0.43514118396119</v>
      </c>
      <c r="AR62" s="36" t="n">
        <f aca="false">H62*(1+(((2-3*T62^2)/24*AF62^2)+(T62*AF62*H62/4))*3)</f>
        <v>0.409753892315447</v>
      </c>
      <c r="AS62" s="36" t="n">
        <f aca="false">I62*(1+(((2-3*U62^2)/24*AG62^2)+(U62*AG62*I62/4))*3)</f>
        <v>0.39794982498269</v>
      </c>
      <c r="AT62" s="36" t="n">
        <f aca="false">J62*(1+(((2-3*V62^2)/24*AH62^2)+(V62*AH62*J62/4))*3)</f>
        <v>0.36882675453782</v>
      </c>
      <c r="AU62" s="36" t="n">
        <f aca="false">K62*(1+(((2-3*W62^2)/24*AI62^2)+(W62*AI62*K62/4))*3)</f>
        <v>0.359033420763448</v>
      </c>
      <c r="AV62" s="36" t="n">
        <f aca="false">L62*(1+(((2-3*X62^2)/24*AJ62^2)+(X62*AJ62*L62/4))*3)</f>
        <v>0.349133444493301</v>
      </c>
    </row>
    <row r="63" customFormat="false" ht="15" hidden="false" customHeight="true" outlineLevel="0" collapsed="false">
      <c r="B63" s="34" t="s">
        <v>78</v>
      </c>
      <c r="C63" s="25" t="n">
        <f aca="false">C13+$C$26*C46</f>
        <v>0.4509257</v>
      </c>
      <c r="D63" s="25" t="n">
        <f aca="false">D13+$C$26*D46</f>
        <v>0.4383545</v>
      </c>
      <c r="E63" s="25" t="n">
        <f aca="false">E13+$C$26*E46</f>
        <v>0.4207704</v>
      </c>
      <c r="F63" s="25" t="n">
        <f aca="false">F13+$C$26*F46</f>
        <v>0.411622</v>
      </c>
      <c r="G63" s="25" t="n">
        <f aca="false">G13+$C$26*G46</f>
        <v>0.3993112</v>
      </c>
      <c r="H63" s="25" t="n">
        <f aca="false">H13+$C$26*H46</f>
        <v>0.3713816</v>
      </c>
      <c r="I63" s="25" t="n">
        <f aca="false">I13+$C$26*I46</f>
        <v>0.3636005</v>
      </c>
      <c r="J63" s="25" t="n">
        <f aca="false">J13+$C$26*J46</f>
        <v>0.3474065</v>
      </c>
      <c r="K63" s="25" t="n">
        <f aca="false">K13+$C$26*K46</f>
        <v>0.3290175</v>
      </c>
      <c r="L63" s="25" t="n">
        <f aca="false">L13+$C$26*L46</f>
        <v>0.2998344</v>
      </c>
      <c r="N63" s="34" t="s">
        <v>78</v>
      </c>
      <c r="O63" s="25" t="n">
        <f aca="false">O13+$D$26*O46</f>
        <v>-0.2389</v>
      </c>
      <c r="P63" s="25" t="n">
        <f aca="false">P13+$D$26*P46</f>
        <v>-0.2194</v>
      </c>
      <c r="Q63" s="25" t="n">
        <f aca="false">Q13+$D$26*Q46</f>
        <v>-0.2005</v>
      </c>
      <c r="R63" s="25" t="n">
        <f aca="false">R13+$D$26*R46</f>
        <v>-0.1809</v>
      </c>
      <c r="S63" s="25" t="n">
        <f aca="false">S13+$D$26*S46</f>
        <v>-0.1531</v>
      </c>
      <c r="T63" s="25" t="n">
        <f aca="false">T13+$D$26*T46</f>
        <v>-0.1281</v>
      </c>
      <c r="U63" s="25" t="n">
        <f aca="false">U13+$D$26*U46</f>
        <v>-0.1099</v>
      </c>
      <c r="V63" s="25" t="n">
        <f aca="false">V13+$D$26*V46</f>
        <v>-0.0976</v>
      </c>
      <c r="W63" s="25" t="n">
        <f aca="false">W13+$D$26*W46</f>
        <v>-0.0747</v>
      </c>
      <c r="X63" s="25" t="n">
        <f aca="false">X13+$D$26*X46</f>
        <v>-0.0523</v>
      </c>
      <c r="Z63" s="34" t="s">
        <v>78</v>
      </c>
      <c r="AA63" s="25" t="n">
        <f aca="false">AA13+$E$26*AA46</f>
        <v>0.7084</v>
      </c>
      <c r="AB63" s="25" t="n">
        <f aca="false">AB13+$E$26*AB46</f>
        <v>0.6977</v>
      </c>
      <c r="AC63" s="25" t="n">
        <f aca="false">AC13+$E$26*AC46</f>
        <v>0.6804</v>
      </c>
      <c r="AD63" s="25" t="n">
        <f aca="false">AD13+$E$26*AD46</f>
        <v>0.6556</v>
      </c>
      <c r="AE63" s="25" t="n">
        <f aca="false">AE13+$E$26*AE46</f>
        <v>0.6328</v>
      </c>
      <c r="AF63" s="25" t="n">
        <f aca="false">AF13+$E$26*AF46</f>
        <v>0.6051</v>
      </c>
      <c r="AG63" s="25" t="n">
        <f aca="false">AG13+$E$26*AG46</f>
        <v>0.5769</v>
      </c>
      <c r="AH63" s="25" t="n">
        <f aca="false">AH13+$E$26*AH46</f>
        <v>0.5669</v>
      </c>
      <c r="AI63" s="25" t="n">
        <f aca="false">AI13+$E$26*AI46</f>
        <v>0.5355</v>
      </c>
      <c r="AJ63" s="25" t="n">
        <f aca="false">AJ13+$E$26*AJ46</f>
        <v>0.5227</v>
      </c>
      <c r="AL63" s="34" t="s">
        <v>78</v>
      </c>
      <c r="AM63" s="36" t="n">
        <f aca="false">C63*(1+(((2-3*O63^2)/24*AA63^2)+(O63*AA63*C63/4))*5)</f>
        <v>0.49412613413009</v>
      </c>
      <c r="AN63" s="36" t="n">
        <f aca="false">D63*(1+(((2-3*P63^2)/24*AB63^2)+(P63*AB63*D63/4))*5)</f>
        <v>0.484077310335299</v>
      </c>
      <c r="AO63" s="36" t="n">
        <f aca="false">E63*(1+(((2-3*Q63^2)/24*AC63^2)+(Q63*AC63*E63/4))*5)</f>
        <v>0.466848915166803</v>
      </c>
      <c r="AP63" s="36" t="n">
        <f aca="false">F63*(1+(((2-3*R63^2)/24*AD63^2)+(R63*AD63*F63/4))*5)</f>
        <v>0.456602067816024</v>
      </c>
      <c r="AQ63" s="36" t="n">
        <f aca="false">G63*(1+(((2-3*S63^2)/24*AE63^2)+(S63*AE63*G63/4))*5)</f>
        <v>0.444283445944321</v>
      </c>
      <c r="AR63" s="36" t="n">
        <f aca="false">H63*(1+(((2-3*T63^2)/24*AF63^2)+(T63*AF63*H63/4))*5)</f>
        <v>0.413281566733619</v>
      </c>
      <c r="AS63" s="36" t="n">
        <f aca="false">I63*(1+(((2-3*U63^2)/24*AG63^2)+(U63*AG63*I63/4))*5)</f>
        <v>0.402630858855034</v>
      </c>
      <c r="AT63" s="36" t="n">
        <f aca="false">J63*(1+(((2-3*V63^2)/24*AH63^2)+(V63*AH63*J63/4))*5)</f>
        <v>0.384914556641513</v>
      </c>
      <c r="AU63" s="36" t="n">
        <f aca="false">K63*(1+(((2-3*W63^2)/24*AI63^2)+(W63*AI63*K63/4))*5)</f>
        <v>0.36258771786358</v>
      </c>
      <c r="AV63" s="36" t="n">
        <f aca="false">L63*(1+(((2-3*X63^2)/24*AJ63^2)+(X63*AJ63*L63/4))*5)</f>
        <v>0.330755371890326</v>
      </c>
    </row>
    <row r="64" customFormat="false" ht="15" hidden="false" customHeight="true" outlineLevel="0" collapsed="false">
      <c r="B64" s="34" t="s">
        <v>79</v>
      </c>
      <c r="C64" s="25" t="n">
        <f aca="false">C14+$C$26*C47</f>
        <v>0.4523238</v>
      </c>
      <c r="D64" s="25" t="n">
        <f aca="false">D14+$C$26*D47</f>
        <v>0.4232823</v>
      </c>
      <c r="E64" s="25" t="n">
        <f aca="false">E14+$C$26*E47</f>
        <v>0.4060982</v>
      </c>
      <c r="F64" s="25" t="n">
        <f aca="false">F14+$C$26*F47</f>
        <v>0.3992201</v>
      </c>
      <c r="G64" s="25" t="n">
        <f aca="false">G14+$C$26*G47</f>
        <v>0.3772786</v>
      </c>
      <c r="H64" s="25" t="n">
        <f aca="false">H14+$C$26*H47</f>
        <v>0.3487658</v>
      </c>
      <c r="I64" s="25" t="n">
        <f aca="false">I14+$C$26*I47</f>
        <v>0.3299689</v>
      </c>
      <c r="J64" s="25" t="n">
        <f aca="false">J14+$C$26*J47</f>
        <v>0.3128581</v>
      </c>
      <c r="K64" s="25" t="n">
        <f aca="false">K14+$C$26*K47</f>
        <v>0.3108225</v>
      </c>
      <c r="L64" s="25" t="n">
        <f aca="false">L14+$C$26*L47</f>
        <v>0.2912721</v>
      </c>
      <c r="N64" s="34" t="s">
        <v>79</v>
      </c>
      <c r="O64" s="25" t="n">
        <f aca="false">O14+$D$26*O47</f>
        <v>-0.221</v>
      </c>
      <c r="P64" s="25" t="n">
        <f aca="false">P14+$D$26*P47</f>
        <v>-0.1879</v>
      </c>
      <c r="Q64" s="25" t="n">
        <f aca="false">Q14+$D$26*Q47</f>
        <v>-0.1654</v>
      </c>
      <c r="R64" s="25" t="n">
        <f aca="false">R14+$D$26*R47</f>
        <v>-0.1524</v>
      </c>
      <c r="S64" s="25" t="n">
        <f aca="false">S14+$D$26*S47</f>
        <v>-0.1391</v>
      </c>
      <c r="T64" s="25" t="n">
        <f aca="false">T14+$D$26*T47</f>
        <v>-0.1157</v>
      </c>
      <c r="U64" s="25" t="n">
        <f aca="false">U14+$D$26*U47</f>
        <v>-0.1046</v>
      </c>
      <c r="V64" s="25" t="n">
        <f aca="false">V14+$D$26*V47</f>
        <v>-0.0875</v>
      </c>
      <c r="W64" s="25" t="n">
        <f aca="false">W14+$D$26*W47</f>
        <v>-0.0489</v>
      </c>
      <c r="X64" s="25" t="n">
        <f aca="false">X14+$D$26*X47</f>
        <v>-0.0359</v>
      </c>
      <c r="Z64" s="34" t="s">
        <v>79</v>
      </c>
      <c r="AA64" s="25" t="n">
        <f aca="false">AA14+$E$26*AA47</f>
        <v>0.695</v>
      </c>
      <c r="AB64" s="25" t="n">
        <f aca="false">AB14+$E$26*AB47</f>
        <v>0.6809</v>
      </c>
      <c r="AC64" s="25" t="n">
        <f aca="false">AC14+$E$26*AC47</f>
        <v>0.6487</v>
      </c>
      <c r="AD64" s="25" t="n">
        <f aca="false">AD14+$E$26*AD47</f>
        <v>0.6352</v>
      </c>
      <c r="AE64" s="25" t="n">
        <f aca="false">AE14+$E$26*AE47</f>
        <v>0.6121</v>
      </c>
      <c r="AF64" s="25" t="n">
        <f aca="false">AF14+$E$26*AF47</f>
        <v>0.5776</v>
      </c>
      <c r="AG64" s="25" t="n">
        <f aca="false">AG14+$E$26*AG47</f>
        <v>0.5561</v>
      </c>
      <c r="AH64" s="25" t="n">
        <f aca="false">AH14+$E$26*AH47</f>
        <v>0.5347</v>
      </c>
      <c r="AI64" s="25" t="n">
        <f aca="false">AI14+$E$26*AI47</f>
        <v>0.5115</v>
      </c>
      <c r="AJ64" s="25" t="n">
        <f aca="false">AJ14+$E$26*AJ47</f>
        <v>0.4962</v>
      </c>
      <c r="AL64" s="34" t="s">
        <v>79</v>
      </c>
      <c r="AM64" s="36" t="n">
        <f aca="false">C64*(1+(((2-3*O64^2)/24*AA64^2)+(O64*AA64*C64/4))*10)</f>
        <v>0.542492228271919</v>
      </c>
      <c r="AN64" s="36" t="n">
        <f aca="false">D64*(1+(((2-3*P64^2)/24*AB64^2)+(P64*AB64*D64/4))*10)</f>
        <v>0.520850914829927</v>
      </c>
      <c r="AO64" s="36" t="n">
        <f aca="false">E64*(1+(((2-3*Q64^2)/24*AC64^2)+(Q64*AC64*E64/4))*10)</f>
        <v>0.498426817400458</v>
      </c>
      <c r="AP64" s="36" t="n">
        <f aca="false">F64*(1+(((2-3*R64^2)/24*AD64^2)+(R64*AD64*F64/4))*10)</f>
        <v>0.490203523990869</v>
      </c>
      <c r="AQ64" s="36" t="n">
        <f aca="false">G64*(1+(((2-3*S64^2)/24*AE64^2)+(S64*AE64*G64/4))*10)</f>
        <v>0.461356508740687</v>
      </c>
      <c r="AR64" s="36" t="n">
        <f aca="false">H64*(1+(((2-3*T64^2)/24*AF64^2)+(T64*AF64*H64/4))*10)</f>
        <v>0.42345993264711</v>
      </c>
      <c r="AS64" s="36" t="n">
        <f aca="false">I64*(1+(((2-3*U64^2)/24*AG64^2)+(U64*AG64*I64/4))*10)</f>
        <v>0.397775026724235</v>
      </c>
      <c r="AT64" s="36" t="n">
        <f aca="false">J64*(1+(((2-3*V64^2)/24*AH64^2)+(V64*AH64*J64/4))*10)</f>
        <v>0.375092951295532</v>
      </c>
      <c r="AU64" s="36" t="n">
        <f aca="false">K64*(1+(((2-3*W64^2)/24*AI64^2)+(W64*AI64*K64/4))*10)</f>
        <v>0.372305941291452</v>
      </c>
      <c r="AV64" s="36" t="n">
        <f aca="false">L64*(1+(((2-3*X64^2)/24*AJ64^2)+(X64*AJ64*L64/4))*10)</f>
        <v>0.347141161211809</v>
      </c>
    </row>
    <row r="65" customFormat="false" ht="15" hidden="false" customHeight="true" outlineLevel="0" collapsed="false">
      <c r="B65" s="34" t="s">
        <v>80</v>
      </c>
      <c r="C65" s="25" t="n">
        <f aca="false">C15+$C$26*C48</f>
        <v>0.4204635</v>
      </c>
      <c r="D65" s="25" t="n">
        <f aca="false">D15+$C$26*D48</f>
        <v>0.4060329</v>
      </c>
      <c r="E65" s="25" t="n">
        <f aca="false">E15+$C$26*E48</f>
        <v>0.3830686</v>
      </c>
      <c r="F65" s="25" t="n">
        <f aca="false">F15+$C$26*F48</f>
        <v>0.3811964</v>
      </c>
      <c r="G65" s="25" t="n">
        <f aca="false">G15+$C$26*G48</f>
        <v>0.3520698</v>
      </c>
      <c r="H65" s="25" t="n">
        <f aca="false">H15+$C$26*H48</f>
        <v>0.3370243</v>
      </c>
      <c r="I65" s="25" t="n">
        <f aca="false">I15+$C$26*I48</f>
        <v>0.3218937</v>
      </c>
      <c r="J65" s="25" t="n">
        <f aca="false">J15+$C$26*J48</f>
        <v>0.3106344</v>
      </c>
      <c r="K65" s="25" t="n">
        <f aca="false">K15+$C$26*K48</f>
        <v>0.2832345</v>
      </c>
      <c r="L65" s="25" t="n">
        <f aca="false">L15+$C$26*L48</f>
        <v>0.276485</v>
      </c>
      <c r="N65" s="34" t="s">
        <v>80</v>
      </c>
      <c r="O65" s="25" t="n">
        <f aca="false">O15+$D$26*O48</f>
        <v>-0.1944</v>
      </c>
      <c r="P65" s="25" t="n">
        <f aca="false">P15+$D$26*P48</f>
        <v>-0.1744</v>
      </c>
      <c r="Q65" s="25" t="n">
        <f aca="false">Q15+$D$26*Q48</f>
        <v>-0.1551</v>
      </c>
      <c r="R65" s="25" t="n">
        <f aca="false">R15+$D$26*R48</f>
        <v>-0.1457</v>
      </c>
      <c r="S65" s="25" t="n">
        <f aca="false">S15+$D$26*S48</f>
        <v>-0.1179</v>
      </c>
      <c r="T65" s="25" t="n">
        <f aca="false">T15+$D$26*T48</f>
        <v>-0.1036</v>
      </c>
      <c r="U65" s="25" t="n">
        <f aca="false">U15+$D$26*U48</f>
        <v>-0.0877</v>
      </c>
      <c r="V65" s="25" t="n">
        <f aca="false">V15+$D$26*V48</f>
        <v>-0.0523</v>
      </c>
      <c r="W65" s="25" t="n">
        <f aca="false">W15+$D$26*W48</f>
        <v>-0.0454</v>
      </c>
      <c r="X65" s="25" t="n">
        <f aca="false">X15+$D$26*X48</f>
        <v>-0.02</v>
      </c>
      <c r="Z65" s="34" t="s">
        <v>80</v>
      </c>
      <c r="AA65" s="25" t="n">
        <f aca="false">AA15+$E$26*AA48</f>
        <v>0.6767</v>
      </c>
      <c r="AB65" s="25" t="n">
        <f aca="false">AB15+$E$26*AB48</f>
        <v>0.6511</v>
      </c>
      <c r="AC65" s="25" t="n">
        <f aca="false">AC15+$E$26*AC48</f>
        <v>0.6243</v>
      </c>
      <c r="AD65" s="25" t="n">
        <f aca="false">AD15+$E$26*AD48</f>
        <v>0.6059</v>
      </c>
      <c r="AE65" s="25" t="n">
        <f aca="false">AE15+$E$26*AE48</f>
        <v>0.5844</v>
      </c>
      <c r="AF65" s="25" t="n">
        <f aca="false">AF15+$E$26*AF48</f>
        <v>0.5668</v>
      </c>
      <c r="AG65" s="25" t="n">
        <f aca="false">AG15+$E$26*AG48</f>
        <v>0.531</v>
      </c>
      <c r="AH65" s="25" t="n">
        <f aca="false">AH15+$E$26*AH48</f>
        <v>0.5179</v>
      </c>
      <c r="AI65" s="25" t="n">
        <f aca="false">AI15+$E$26*AI48</f>
        <v>0.4894</v>
      </c>
      <c r="AJ65" s="25" t="n">
        <f aca="false">AJ15+$E$26*AJ48</f>
        <v>0.4678</v>
      </c>
      <c r="AL65" s="34" t="s">
        <v>80</v>
      </c>
      <c r="AM65" s="36" t="n">
        <f aca="false">C65*(1+(((2-3*O65^2)/24*AA65^2)+(O65*AA65*C65/4))*20)</f>
        <v>0.606888656437556</v>
      </c>
      <c r="AN65" s="36" t="n">
        <f aca="false">D65*(1+(((2-3*P65^2)/24*AB65^2)+(P65*AB65*D65/4))*20)</f>
        <v>0.586225449442719</v>
      </c>
      <c r="AO65" s="36" t="n">
        <f aca="false">E65*(1+(((2-3*Q65^2)/24*AC65^2)+(Q65*AC65*E65/4))*20)</f>
        <v>0.551880777070881</v>
      </c>
      <c r="AP65" s="36" t="n">
        <f aca="false">F65*(1+(((2-3*R65^2)/24*AD65^2)+(R65*AD65*F65/4))*20)</f>
        <v>0.542867662992764</v>
      </c>
      <c r="AQ65" s="36" t="n">
        <f aca="false">G65*(1+(((2-3*S65^2)/24*AE65^2)+(S65*AE65*G65/4))*20)</f>
        <v>0.505589107228546</v>
      </c>
      <c r="AR65" s="36" t="n">
        <f aca="false">H65*(1+(((2-3*T65^2)/24*AF65^2)+(T65*AF65*H65/4))*20)</f>
        <v>0.481225433452902</v>
      </c>
      <c r="AS65" s="36" t="n">
        <f aca="false">I65*(1+(((2-3*U65^2)/24*AG65^2)+(U65*AG65*I65/4))*20)</f>
        <v>0.447291425680734</v>
      </c>
      <c r="AT65" s="36" t="n">
        <f aca="false">J65*(1+(((2-3*V65^2)/24*AH65^2)+(V65*AH65*J65/4))*20)</f>
        <v>0.435860565055713</v>
      </c>
      <c r="AU65" s="36" t="n">
        <f aca="false">K65*(1+(((2-3*W65^2)/24*AI65^2)+(W65*AI65*K65/4))*20)</f>
        <v>0.387036400003786</v>
      </c>
      <c r="AV65" s="36" t="n">
        <f aca="false">L65*(1+(((2-3*X65^2)/24*AJ65^2)+(X65*AJ65*L65/4))*20)</f>
        <v>0.3736902861832</v>
      </c>
    </row>
    <row r="66" customFormat="false" ht="15" hidden="false" customHeight="true" outlineLevel="0" collapsed="false">
      <c r="B66" s="34" t="s">
        <v>81</v>
      </c>
      <c r="C66" s="25" t="n">
        <f aca="false">C16+$C$26*C49</f>
        <v>0.4129438</v>
      </c>
      <c r="D66" s="25" t="n">
        <f aca="false">D16+$C$26*D49</f>
        <v>0.3907072</v>
      </c>
      <c r="E66" s="25" t="n">
        <f aca="false">E16+$C$26*E49</f>
        <v>0.3737806</v>
      </c>
      <c r="F66" s="25" t="n">
        <f aca="false">F16+$C$26*F49</f>
        <v>0.3604668</v>
      </c>
      <c r="G66" s="25" t="n">
        <f aca="false">G16+$C$26*G49</f>
        <v>0.3457085</v>
      </c>
      <c r="H66" s="25" t="n">
        <f aca="false">H16+$C$26*H49</f>
        <v>0.3190541</v>
      </c>
      <c r="I66" s="25" t="n">
        <f aca="false">I16+$C$26*I49</f>
        <v>0.3048344</v>
      </c>
      <c r="J66" s="25" t="n">
        <f aca="false">J16+$C$26*J49</f>
        <v>0.284885</v>
      </c>
      <c r="K66" s="25" t="n">
        <f aca="false">K16+$C$26*K49</f>
        <v>0.268385</v>
      </c>
      <c r="L66" s="25" t="n">
        <f aca="false">L16+$C$26*L49</f>
        <v>0.255385</v>
      </c>
      <c r="N66" s="34" t="s">
        <v>81</v>
      </c>
      <c r="O66" s="25" t="n">
        <f aca="false">O16+$D$26*O49</f>
        <v>-0.176</v>
      </c>
      <c r="P66" s="25" t="n">
        <f aca="false">P16+$D$26*P49</f>
        <v>-0.1549</v>
      </c>
      <c r="Q66" s="25" t="n">
        <f aca="false">Q16+$D$26*Q49</f>
        <v>-0.1366</v>
      </c>
      <c r="R66" s="25" t="n">
        <f aca="false">R16+$D$26*R49</f>
        <v>-0.1078</v>
      </c>
      <c r="S66" s="25" t="n">
        <f aca="false">S16+$D$26*S49</f>
        <v>-0.0932</v>
      </c>
      <c r="T66" s="25" t="n">
        <f aca="false">T16+$D$26*T49</f>
        <v>-0.0702</v>
      </c>
      <c r="U66" s="25" t="n">
        <f aca="false">U16+$D$26*U49</f>
        <v>-0.0495</v>
      </c>
      <c r="V66" s="25" t="n">
        <f aca="false">V16+$D$26*V49</f>
        <v>-0.0437</v>
      </c>
      <c r="W66" s="25" t="n">
        <f aca="false">W16+$D$26*W49</f>
        <v>-0.0183</v>
      </c>
      <c r="X66" s="25" t="n">
        <f aca="false">X16+$D$26*X49</f>
        <v>0.0089</v>
      </c>
      <c r="Z66" s="34" t="s">
        <v>81</v>
      </c>
      <c r="AA66" s="25" t="n">
        <f aca="false">AA16+$E$26*AA49</f>
        <v>0.6568</v>
      </c>
      <c r="AB66" s="25" t="n">
        <f aca="false">AB16+$E$26*AB49</f>
        <v>0.6205</v>
      </c>
      <c r="AC66" s="25" t="n">
        <f aca="false">AC16+$E$26*AC49</f>
        <v>0.598</v>
      </c>
      <c r="AD66" s="25" t="n">
        <f aca="false">AD16+$E$26*AD49</f>
        <v>0.5822</v>
      </c>
      <c r="AE66" s="25" t="n">
        <f aca="false">AE16+$E$26*AE49</f>
        <v>0.5526</v>
      </c>
      <c r="AF66" s="25" t="n">
        <f aca="false">AF16+$E$26*AF49</f>
        <v>0.5337</v>
      </c>
      <c r="AG66" s="25" t="n">
        <f aca="false">AG16+$E$26*AG49</f>
        <v>0.5081</v>
      </c>
      <c r="AH66" s="25" t="n">
        <f aca="false">AH16+$E$26*AH49</f>
        <v>0.4978</v>
      </c>
      <c r="AI66" s="25" t="n">
        <f aca="false">AI16+$E$26*AI49</f>
        <v>0.4779</v>
      </c>
      <c r="AJ66" s="25" t="n">
        <f aca="false">AJ16+$E$26*AJ49</f>
        <v>0.4579</v>
      </c>
      <c r="AL66" s="34" t="s">
        <v>81</v>
      </c>
      <c r="AM66" s="36" t="n">
        <f aca="false">C66*(1+(((2-3*O66^2)/24*AA66^2)+(O66*AA66*C66/4))*30)</f>
        <v>0.689757955200821</v>
      </c>
      <c r="AN66" s="36" t="n">
        <f aca="false">D66*(1+(((2-3*P66^2)/24*AB66^2)+(P66*AB66*D66/4))*30)</f>
        <v>0.643205620780152</v>
      </c>
      <c r="AO66" s="36" t="n">
        <f aca="false">E66*(1+(((2-3*Q66^2)/24*AC66^2)+(Q66*AC66*E66/4))*30)</f>
        <v>0.612996517876148</v>
      </c>
      <c r="AP66" s="36" t="n">
        <f aca="false">F66*(1+(((2-3*R66^2)/24*AD66^2)+(R66*AD66*F66/4))*30)</f>
        <v>0.599436869751339</v>
      </c>
      <c r="AQ66" s="36" t="n">
        <f aca="false">G66*(1+(((2-3*S66^2)/24*AE66^2)+(S66*AE66*G66/4))*30)</f>
        <v>0.56002500265005</v>
      </c>
      <c r="AR66" s="36" t="n">
        <f aca="false">H66*(1+(((2-3*T66^2)/24*AF66^2)+(T66*AF66*H66/4))*30)</f>
        <v>0.515965814544554</v>
      </c>
      <c r="AS66" s="36" t="n">
        <f aca="false">I66*(1+(((2-3*U66^2)/24*AG66^2)+(U66*AG66*I66/4))*30)</f>
        <v>0.483327233885794</v>
      </c>
      <c r="AT66" s="36" t="n">
        <f aca="false">J66*(1+(((2-3*V66^2)/24*AH66^2)+(V66*AH66*J66/4))*30)</f>
        <v>0.447627656667471</v>
      </c>
      <c r="AU66" s="36" t="n">
        <f aca="false">K66*(1+(((2-3*W66^2)/24*AI66^2)+(W66*AI66*K66/4))*30)</f>
        <v>0.416823471811186</v>
      </c>
      <c r="AV66" s="36" t="n">
        <f aca="false">L66*(1+(((2-3*X66^2)/24*AJ66^2)+(X66*AJ66*L66/4))*30)</f>
        <v>0.391230549226127</v>
      </c>
    </row>
    <row r="68" customFormat="false" ht="15" hidden="false" customHeight="true" outlineLevel="0" collapsed="false">
      <c r="A68" s="29" t="s">
        <v>149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customFormat="false" ht="15" hidden="false" customHeight="true" outlineLevel="0" collapsed="false">
      <c r="B69" s="29" t="s">
        <v>131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N69" s="29" t="s">
        <v>132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133</v>
      </c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L69" s="33" t="s">
        <v>134</v>
      </c>
      <c r="AM69" s="33"/>
      <c r="AN69" s="33"/>
      <c r="AO69" s="33"/>
      <c r="AP69" s="33"/>
      <c r="AQ69" s="33"/>
      <c r="AR69" s="33"/>
      <c r="AS69" s="33"/>
      <c r="AT69" s="33"/>
      <c r="AU69" s="33"/>
      <c r="AV69" s="33"/>
    </row>
    <row r="70" customFormat="false" ht="15" hidden="false" customHeight="true" outlineLevel="0" collapsed="false">
      <c r="B70" s="18" t="s">
        <v>135</v>
      </c>
      <c r="C70" s="12" t="s">
        <v>136</v>
      </c>
      <c r="D70" s="12" t="s">
        <v>74</v>
      </c>
      <c r="E70" s="12" t="s">
        <v>75</v>
      </c>
      <c r="F70" s="12" t="s">
        <v>30</v>
      </c>
      <c r="G70" s="12" t="s">
        <v>76</v>
      </c>
      <c r="H70" s="12" t="s">
        <v>77</v>
      </c>
      <c r="I70" s="12" t="s">
        <v>78</v>
      </c>
      <c r="J70" s="12" t="s">
        <v>79</v>
      </c>
      <c r="K70" s="12" t="s">
        <v>80</v>
      </c>
      <c r="L70" s="12" t="s">
        <v>81</v>
      </c>
      <c r="N70" s="18" t="s">
        <v>135</v>
      </c>
      <c r="O70" s="12" t="s">
        <v>136</v>
      </c>
      <c r="P70" s="12" t="s">
        <v>74</v>
      </c>
      <c r="Q70" s="12" t="s">
        <v>75</v>
      </c>
      <c r="R70" s="12" t="s">
        <v>30</v>
      </c>
      <c r="S70" s="12" t="s">
        <v>76</v>
      </c>
      <c r="T70" s="12" t="s">
        <v>77</v>
      </c>
      <c r="U70" s="12" t="s">
        <v>78</v>
      </c>
      <c r="V70" s="12" t="s">
        <v>79</v>
      </c>
      <c r="W70" s="12" t="s">
        <v>80</v>
      </c>
      <c r="X70" s="12" t="s">
        <v>81</v>
      </c>
      <c r="Z70" s="18" t="s">
        <v>135</v>
      </c>
      <c r="AA70" s="12" t="s">
        <v>136</v>
      </c>
      <c r="AB70" s="12" t="s">
        <v>74</v>
      </c>
      <c r="AC70" s="12" t="s">
        <v>75</v>
      </c>
      <c r="AD70" s="12" t="s">
        <v>30</v>
      </c>
      <c r="AE70" s="12" t="s">
        <v>76</v>
      </c>
      <c r="AF70" s="12" t="s">
        <v>77</v>
      </c>
      <c r="AG70" s="12" t="s">
        <v>78</v>
      </c>
      <c r="AH70" s="12" t="s">
        <v>79</v>
      </c>
      <c r="AI70" s="12" t="s">
        <v>80</v>
      </c>
      <c r="AJ70" s="12" t="s">
        <v>81</v>
      </c>
      <c r="AL70" s="18" t="s">
        <v>135</v>
      </c>
      <c r="AM70" s="12" t="s">
        <v>136</v>
      </c>
      <c r="AN70" s="12" t="s">
        <v>74</v>
      </c>
      <c r="AO70" s="12" t="s">
        <v>75</v>
      </c>
      <c r="AP70" s="12" t="s">
        <v>30</v>
      </c>
      <c r="AQ70" s="12" t="s">
        <v>76</v>
      </c>
      <c r="AR70" s="12" t="s">
        <v>77</v>
      </c>
      <c r="AS70" s="12" t="s">
        <v>78</v>
      </c>
      <c r="AT70" s="12" t="s">
        <v>79</v>
      </c>
      <c r="AU70" s="12" t="s">
        <v>80</v>
      </c>
      <c r="AV70" s="12" t="s">
        <v>81</v>
      </c>
    </row>
    <row r="71" customFormat="false" ht="15" hidden="false" customHeight="true" outlineLevel="0" collapsed="false">
      <c r="B71" s="34" t="s">
        <v>136</v>
      </c>
      <c r="C71" s="25" t="n">
        <f aca="false">C7+$C$27*C40</f>
        <v>0.5665125</v>
      </c>
      <c r="D71" s="25" t="n">
        <f aca="false">D7+$C$27*D40</f>
        <v>0.545375</v>
      </c>
      <c r="E71" s="25" t="n">
        <f aca="false">E7+$C$27*E40</f>
        <v>0.53745</v>
      </c>
      <c r="F71" s="25" t="n">
        <f aca="false">F7+$C$27*F40</f>
        <v>0.50815</v>
      </c>
      <c r="G71" s="25" t="n">
        <f aca="false">G7+$C$27*G40</f>
        <v>0.4995625</v>
      </c>
      <c r="H71" s="25" t="n">
        <f aca="false">H7+$C$27*H40</f>
        <v>0.4782125</v>
      </c>
      <c r="I71" s="25" t="n">
        <f aca="false">I7+$C$27*I40</f>
        <v>0.454825</v>
      </c>
      <c r="J71" s="25" t="n">
        <f aca="false">J7+$C$27*J40</f>
        <v>0.446</v>
      </c>
      <c r="K71" s="25" t="n">
        <f aca="false">K7+$C$27*K40</f>
        <v>0.41865</v>
      </c>
      <c r="L71" s="25" t="n">
        <f aca="false">L7+$C$27*L40</f>
        <v>0.408725</v>
      </c>
      <c r="N71" s="34" t="s">
        <v>136</v>
      </c>
      <c r="O71" s="25" t="n">
        <f aca="false">O7+$D$27*O40</f>
        <v>-0.3586</v>
      </c>
      <c r="P71" s="25" t="n">
        <f aca="false">P7+$D$27*P40</f>
        <v>-0.3387</v>
      </c>
      <c r="Q71" s="25" t="n">
        <f aca="false">Q7+$D$27*Q40</f>
        <v>-0.3126</v>
      </c>
      <c r="R71" s="25" t="n">
        <f aca="false">R7+$D$27*R40</f>
        <v>-0.2851</v>
      </c>
      <c r="S71" s="25" t="n">
        <f aca="false">S7+$D$27*S40</f>
        <v>-0.2797</v>
      </c>
      <c r="T71" s="25" t="n">
        <f aca="false">T7+$D$27*T40</f>
        <v>-0.2583</v>
      </c>
      <c r="U71" s="25" t="n">
        <f aca="false">U7+$D$27*U40</f>
        <v>-0.2308</v>
      </c>
      <c r="V71" s="25" t="n">
        <f aca="false">V7+$D$27*V40</f>
        <v>-0.2049</v>
      </c>
      <c r="W71" s="25" t="n">
        <f aca="false">W7+$D$27*W40</f>
        <v>-0.1929</v>
      </c>
      <c r="X71" s="25" t="n">
        <f aca="false">X7+$D$27*X40</f>
        <v>-0.1771</v>
      </c>
      <c r="Z71" s="34" t="s">
        <v>136</v>
      </c>
      <c r="AA71" s="25" t="n">
        <f aca="false">AA7+$E$27*AA40</f>
        <v>0.8595</v>
      </c>
      <c r="AB71" s="25" t="n">
        <f aca="false">AB7+$E$27*AB40</f>
        <v>0.8187</v>
      </c>
      <c r="AC71" s="25" t="n">
        <f aca="false">AC7+$E$27*AC40</f>
        <v>0.8127</v>
      </c>
      <c r="AD71" s="25" t="n">
        <f aca="false">AD7+$E$27*AD40</f>
        <v>0.7791</v>
      </c>
      <c r="AE71" s="25" t="n">
        <f aca="false">AE7+$E$27*AE40</f>
        <v>0.754</v>
      </c>
      <c r="AF71" s="25" t="n">
        <f aca="false">AF7+$E$27*AF40</f>
        <v>0.7312</v>
      </c>
      <c r="AG71" s="25" t="n">
        <f aca="false">AG7+$E$27*AG40</f>
        <v>0.7128</v>
      </c>
      <c r="AH71" s="25" t="n">
        <f aca="false">AH7+$E$27*AH40</f>
        <v>0.7008</v>
      </c>
      <c r="AI71" s="25" t="n">
        <f aca="false">AI7+$E$27*AI40</f>
        <v>0.6658</v>
      </c>
      <c r="AJ71" s="25" t="n">
        <f aca="false">AJ7+$E$27*AJ40</f>
        <v>0.6516</v>
      </c>
      <c r="AL71" s="34" t="s">
        <v>136</v>
      </c>
      <c r="AM71" s="36" t="n">
        <f aca="false">C71*(1+(((2-3*O71^2)/24*AA71^2)+(O71*AA71*C71/4))*0.0833333333333333)</f>
        <v>0.566797401138657</v>
      </c>
      <c r="AN71" s="36" t="n">
        <f aca="false">D71*(1+(((2-3*P71^2)/24*AB71^2)+(P71*AB71*D71/4))*0.0833333333333333)</f>
        <v>0.545758447351522</v>
      </c>
      <c r="AO71" s="36" t="n">
        <f aca="false">E71*(1+(((2-3*Q71^2)/24*AC71^2)+(Q71*AC71*E71/4))*0.0833333333333333)</f>
        <v>0.538024965582265</v>
      </c>
      <c r="AP71" s="36" t="n">
        <f aca="false">F71*(1+(((2-3*R71^2)/24*AD71^2)+(R71*AD71*F71/4))*0.0833333333333333)</f>
        <v>0.50883592114432</v>
      </c>
      <c r="AQ71" s="36" t="n">
        <f aca="false">G71*(1+(((2-3*S71^2)/24*AE71^2)+(S71*AE71*G71/4))*0.0833333333333333)</f>
        <v>0.500206858629218</v>
      </c>
      <c r="AR71" s="36" t="n">
        <f aca="false">H71*(1+(((2-3*T71^2)/24*AF71^2)+(T71*AF71*H71/4))*0.0833333333333333)</f>
        <v>0.478910516636681</v>
      </c>
      <c r="AS71" s="36" t="n">
        <f aca="false">I71*(1+(((2-3*U71^2)/24*AG71^2)+(U71*AG71*I71/4))*0.0833333333333333)</f>
        <v>0.455592551519308</v>
      </c>
      <c r="AT71" s="36" t="n">
        <f aca="false">J71*(1+(((2-3*V71^2)/24*AH71^2)+(V71*AH71*J71/4))*0.0833333333333333)</f>
        <v>0.446830251158298</v>
      </c>
      <c r="AU71" s="36" t="n">
        <f aca="false">K71*(1+(((2-3*W71^2)/24*AI71^2)+(W71*AI71*K71/4))*0.0833333333333333)</f>
        <v>0.419397877394534</v>
      </c>
      <c r="AV71" s="36" t="n">
        <f aca="false">L71*(1+(((2-3*X71^2)/24*AJ71^2)+(X71*AJ71*L71/4))*0.0833333333333333)</f>
        <v>0.409471799623532</v>
      </c>
    </row>
    <row r="72" customFormat="false" ht="15" hidden="false" customHeight="true" outlineLevel="0" collapsed="false">
      <c r="B72" s="34" t="s">
        <v>74</v>
      </c>
      <c r="C72" s="25" t="n">
        <f aca="false">C8+$C$27*C41</f>
        <v>0.5548375</v>
      </c>
      <c r="D72" s="25" t="n">
        <f aca="false">D8+$C$27*D41</f>
        <v>0.53165</v>
      </c>
      <c r="E72" s="25" t="n">
        <f aca="false">E8+$C$27*E41</f>
        <v>0.5174625</v>
      </c>
      <c r="F72" s="25" t="n">
        <f aca="false">F8+$C$27*F41</f>
        <v>0.489775</v>
      </c>
      <c r="G72" s="25" t="n">
        <f aca="false">G8+$C$27*G41</f>
        <v>0.472475</v>
      </c>
      <c r="H72" s="25" t="n">
        <f aca="false">H8+$C$27*H41</f>
        <v>0.457275</v>
      </c>
      <c r="I72" s="25" t="n">
        <f aca="false">I8+$C$27*I41</f>
        <v>0.4492875</v>
      </c>
      <c r="J72" s="25" t="n">
        <f aca="false">J8+$C$27*J41</f>
        <v>0.4261125</v>
      </c>
      <c r="K72" s="25" t="n">
        <f aca="false">K8+$C$27*K41</f>
        <v>0.4065125</v>
      </c>
      <c r="L72" s="25" t="n">
        <f aca="false">L8+$C$27*L41</f>
        <v>0.3940125</v>
      </c>
      <c r="N72" s="34" t="s">
        <v>74</v>
      </c>
      <c r="O72" s="25" t="n">
        <f aca="false">O8+$D$27*O41</f>
        <v>-0.3315</v>
      </c>
      <c r="P72" s="25" t="n">
        <f aca="false">P8+$D$27*P41</f>
        <v>-0.3151</v>
      </c>
      <c r="Q72" s="25" t="n">
        <f aca="false">Q8+$D$27*Q41</f>
        <v>-0.2858</v>
      </c>
      <c r="R72" s="25" t="n">
        <f aca="false">R8+$D$27*R41</f>
        <v>-0.2682</v>
      </c>
      <c r="S72" s="25" t="n">
        <f aca="false">S8+$D$27*S41</f>
        <v>-0.2579</v>
      </c>
      <c r="T72" s="25" t="n">
        <f aca="false">T8+$D$27*T41</f>
        <v>-0.2318</v>
      </c>
      <c r="U72" s="25" t="n">
        <f aca="false">U8+$D$27*U41</f>
        <v>-0.2134</v>
      </c>
      <c r="V72" s="25" t="n">
        <f aca="false">V8+$D$27*V41</f>
        <v>-0.1869</v>
      </c>
      <c r="W72" s="25" t="n">
        <f aca="false">W8+$D$27*W41</f>
        <v>-0.1704</v>
      </c>
      <c r="X72" s="25" t="n">
        <f aca="false">X8+$D$27*X41</f>
        <v>-0.1598</v>
      </c>
      <c r="Z72" s="34" t="s">
        <v>74</v>
      </c>
      <c r="AA72" s="25" t="n">
        <f aca="false">AA8+$E$27*AA41</f>
        <v>0.8374</v>
      </c>
      <c r="AB72" s="25" t="n">
        <f aca="false">AB8+$E$27*AB41</f>
        <v>0.7979</v>
      </c>
      <c r="AC72" s="25" t="n">
        <f aca="false">AC8+$E$27*AC41</f>
        <v>0.7817</v>
      </c>
      <c r="AD72" s="25" t="n">
        <f aca="false">AD8+$E$27*AD41</f>
        <v>0.7663</v>
      </c>
      <c r="AE72" s="25" t="n">
        <f aca="false">AE8+$E$27*AE41</f>
        <v>0.7319</v>
      </c>
      <c r="AF72" s="25" t="n">
        <f aca="false">AF8+$E$27*AF41</f>
        <v>0.7164</v>
      </c>
      <c r="AG72" s="25" t="n">
        <f aca="false">AG8+$E$27*AG41</f>
        <v>0.6852</v>
      </c>
      <c r="AH72" s="25" t="n">
        <f aca="false">AH8+$E$27*AH41</f>
        <v>0.6756</v>
      </c>
      <c r="AI72" s="25" t="n">
        <f aca="false">AI8+$E$27*AI41</f>
        <v>0.6553</v>
      </c>
      <c r="AJ72" s="25" t="n">
        <f aca="false">AJ8+$E$27*AJ41</f>
        <v>0.6292</v>
      </c>
      <c r="AL72" s="34" t="s">
        <v>74</v>
      </c>
      <c r="AM72" s="36" t="n">
        <f aca="false">C72*(1+(((2-3*O72^2)/24*AA72^2)+(O72*AA72*C72/4))*0.25)</f>
        <v>0.556266000751174</v>
      </c>
      <c r="AN72" s="36" t="n">
        <f aca="false">D72*(1+(((2-3*P72^2)/24*AB72^2)+(P72*AB72*D72/4))*0.25)</f>
        <v>0.533209817610418</v>
      </c>
      <c r="AO72" s="36" t="n">
        <f aca="false">E72*(1+(((2-3*Q72^2)/24*AC72^2)+(Q72*AC72*E72/4))*0.25)</f>
        <v>0.51950397869155</v>
      </c>
      <c r="AP72" s="36" t="n">
        <f aca="false">F72*(1+(((2-3*R72^2)/24*AD72^2)+(R72*AD72*F72/4))*0.25)</f>
        <v>0.492038973181132</v>
      </c>
      <c r="AQ72" s="36" t="n">
        <f aca="false">G72*(1+(((2-3*S72^2)/24*AE72^2)+(S72*AE72*G72/4))*0.25)</f>
        <v>0.474588192589244</v>
      </c>
      <c r="AR72" s="36" t="n">
        <f aca="false">H72*(1+(((2-3*T72^2)/24*AF72^2)+(T72*AF72*H72/4))*0.25)</f>
        <v>0.459600024003882</v>
      </c>
      <c r="AS72" s="36" t="n">
        <f aca="false">I72*(1+(((2-3*U72^2)/24*AG72^2)+(U72*AG72*I72/4))*0.25)</f>
        <v>0.45153713072936</v>
      </c>
      <c r="AT72" s="36" t="n">
        <f aca="false">J72*(1+(((2-3*V72^2)/24*AH72^2)+(V72*AH72*J72/4))*0.25)</f>
        <v>0.428519184386254</v>
      </c>
      <c r="AU72" s="36" t="n">
        <f aca="false">K72*(1+(((2-3*W72^2)/24*AI72^2)+(W72*AI72*K72/4))*0.25)</f>
        <v>0.408837563058089</v>
      </c>
      <c r="AV72" s="36" t="n">
        <f aca="false">L72*(1+(((2-3*X72^2)/24*AJ72^2)+(X72*AJ72*L72/4))*0.25)</f>
        <v>0.396162158429063</v>
      </c>
    </row>
    <row r="73" customFormat="false" ht="15" hidden="false" customHeight="true" outlineLevel="0" collapsed="false">
      <c r="B73" s="34" t="s">
        <v>75</v>
      </c>
      <c r="C73" s="25" t="n">
        <f aca="false">C9+$C$27*C42</f>
        <v>0.541575</v>
      </c>
      <c r="D73" s="25" t="n">
        <f aca="false">D9+$C$27*D42</f>
        <v>0.5127125</v>
      </c>
      <c r="E73" s="25" t="n">
        <f aca="false">E9+$C$27*E42</f>
        <v>0.5030125</v>
      </c>
      <c r="F73" s="25" t="n">
        <f aca="false">F9+$C$27*F42</f>
        <v>0.48295</v>
      </c>
      <c r="G73" s="25" t="n">
        <f aca="false">G9+$C$27*G42</f>
        <v>0.4652125</v>
      </c>
      <c r="H73" s="25" t="n">
        <f aca="false">H9+$C$27*H42</f>
        <v>0.44455</v>
      </c>
      <c r="I73" s="25" t="n">
        <f aca="false">I9+$C$27*I42</f>
        <v>0.434175</v>
      </c>
      <c r="J73" s="25" t="n">
        <f aca="false">J9+$C$27*J42</f>
        <v>0.418875</v>
      </c>
      <c r="K73" s="25" t="n">
        <f aca="false">K9+$C$27*K42</f>
        <v>0.3917625</v>
      </c>
      <c r="L73" s="25" t="n">
        <f aca="false">L9+$C$27*L42</f>
        <v>0.37735</v>
      </c>
      <c r="N73" s="34" t="s">
        <v>75</v>
      </c>
      <c r="O73" s="25" t="n">
        <f aca="false">O9+$D$27*O42</f>
        <v>-0.3199</v>
      </c>
      <c r="P73" s="25" t="n">
        <f aca="false">P9+$D$27*P42</f>
        <v>-0.2876</v>
      </c>
      <c r="Q73" s="25" t="n">
        <f aca="false">Q9+$D$27*Q42</f>
        <v>-0.2693</v>
      </c>
      <c r="R73" s="25" t="n">
        <f aca="false">R9+$D$27*R42</f>
        <v>-0.2429</v>
      </c>
      <c r="S73" s="25" t="n">
        <f aca="false">S9+$D$27*S42</f>
        <v>-0.2269</v>
      </c>
      <c r="T73" s="25" t="n">
        <f aca="false">T9+$D$27*T42</f>
        <v>-0.2182</v>
      </c>
      <c r="U73" s="25" t="n">
        <f aca="false">U9+$D$27*U42</f>
        <v>-0.1967</v>
      </c>
      <c r="V73" s="25" t="n">
        <f aca="false">V9+$D$27*V42</f>
        <v>-0.1716</v>
      </c>
      <c r="W73" s="25" t="n">
        <f aca="false">W9+$D$27*W42</f>
        <v>-0.1651</v>
      </c>
      <c r="X73" s="25" t="n">
        <f aca="false">X9+$D$27*X42</f>
        <v>-0.1369</v>
      </c>
      <c r="Z73" s="34" t="s">
        <v>75</v>
      </c>
      <c r="AA73" s="25" t="n">
        <f aca="false">AA9+$E$27*AA42</f>
        <v>0.7989</v>
      </c>
      <c r="AB73" s="25" t="n">
        <f aca="false">AB9+$E$27*AB42</f>
        <v>0.7757</v>
      </c>
      <c r="AC73" s="25" t="n">
        <f aca="false">AC9+$E$27*AC42</f>
        <v>0.7523</v>
      </c>
      <c r="AD73" s="25" t="n">
        <f aca="false">AD9+$E$27*AD42</f>
        <v>0.7443</v>
      </c>
      <c r="AE73" s="25" t="n">
        <f aca="false">AE9+$E$27*AE42</f>
        <v>0.7093</v>
      </c>
      <c r="AF73" s="25" t="n">
        <f aca="false">AF9+$E$27*AF42</f>
        <v>0.6894</v>
      </c>
      <c r="AG73" s="25" t="n">
        <f aca="false">AG9+$E$27*AG42</f>
        <v>0.67</v>
      </c>
      <c r="AH73" s="25" t="n">
        <f aca="false">AH9+$E$27*AH42</f>
        <v>0.6574</v>
      </c>
      <c r="AI73" s="25" t="n">
        <f aca="false">AI9+$E$27*AI42</f>
        <v>0.6194</v>
      </c>
      <c r="AJ73" s="25" t="n">
        <f aca="false">AJ9+$E$27*AJ42</f>
        <v>0.6045</v>
      </c>
      <c r="AL73" s="34" t="s">
        <v>75</v>
      </c>
      <c r="AM73" s="36" t="n">
        <f aca="false">C73*(1+(((2-3*O73^2)/24*AA73^2)+(O73*AA73*C73/4))*0.5)</f>
        <v>0.544396622092179</v>
      </c>
      <c r="AN73" s="36" t="n">
        <f aca="false">D73*(1+(((2-3*P73^2)/24*AB73^2)+(P73*AB73*D73/4))*0.5)</f>
        <v>0.516641389380146</v>
      </c>
      <c r="AO73" s="36" t="n">
        <f aca="false">E73*(1+(((2-3*Q73^2)/24*AC73^2)+(Q73*AC73*E73/4))*0.5)</f>
        <v>0.507176312306861</v>
      </c>
      <c r="AP73" s="36" t="n">
        <f aca="false">F73*(1+(((2-3*R73^2)/24*AD73^2)+(R73*AD73*F73/4))*0.5)</f>
        <v>0.487840199298613</v>
      </c>
      <c r="AQ73" s="36" t="n">
        <f aca="false">G73*(1+(((2-3*S73^2)/24*AE73^2)+(S73*AE73*G73/4))*0.5)</f>
        <v>0.469857641889237</v>
      </c>
      <c r="AR73" s="36" t="n">
        <f aca="false">H73*(1+(((2-3*T73^2)/24*AF73^2)+(T73*AF73*H73/4))*0.5)</f>
        <v>0.449008703601074</v>
      </c>
      <c r="AS73" s="36" t="n">
        <f aca="false">I73*(1+(((2-3*U73^2)/24*AG73^2)+(U73*AG73*I73/4))*0.5)</f>
        <v>0.438719166401001</v>
      </c>
      <c r="AT73" s="36" t="n">
        <f aca="false">J73*(1+(((2-3*V73^2)/24*AH73^2)+(V73*AH73*J73/4))*0.5)</f>
        <v>0.423610486677678</v>
      </c>
      <c r="AU73" s="36" t="n">
        <f aca="false">K73*(1+(((2-3*W73^2)/24*AI73^2)+(W73*AI73*K73/4))*0.5)</f>
        <v>0.395807144874941</v>
      </c>
      <c r="AV73" s="36" t="n">
        <f aca="false">L73*(1+(((2-3*X73^2)/24*AJ73^2)+(X73*AJ73*L73/4))*0.5)</f>
        <v>0.381460967530711</v>
      </c>
    </row>
    <row r="74" customFormat="false" ht="15" hidden="false" customHeight="true" outlineLevel="0" collapsed="false">
      <c r="B74" s="34" t="s">
        <v>30</v>
      </c>
      <c r="C74" s="25" t="n">
        <f aca="false">C10+$C$27*C43</f>
        <v>0.5173125</v>
      </c>
      <c r="D74" s="25" t="n">
        <f aca="false">D10+$C$27*D43</f>
        <v>0.506375</v>
      </c>
      <c r="E74" s="25" t="n">
        <f aca="false">E10+$C$27*E43</f>
        <v>0.487825</v>
      </c>
      <c r="F74" s="25" t="n">
        <f aca="false">F10+$C$27*F43</f>
        <v>0.4707375</v>
      </c>
      <c r="G74" s="25" t="n">
        <f aca="false">G10+$C$27*G43</f>
        <v>0.4407375</v>
      </c>
      <c r="H74" s="25" t="n">
        <f aca="false">H10+$C$27*H43</f>
        <v>0.4258125</v>
      </c>
      <c r="I74" s="25" t="n">
        <f aca="false">I10+$C$27*I43</f>
        <v>0.406775</v>
      </c>
      <c r="J74" s="25" t="n">
        <f aca="false">J10+$C$27*J43</f>
        <v>0.399425</v>
      </c>
      <c r="K74" s="25" t="n">
        <f aca="false">K10+$C$27*K43</f>
        <v>0.38365</v>
      </c>
      <c r="L74" s="25" t="n">
        <f aca="false">L10+$C$27*L43</f>
        <v>0.3492625</v>
      </c>
      <c r="N74" s="34" t="s">
        <v>30</v>
      </c>
      <c r="O74" s="25" t="n">
        <f aca="false">O10+$D$27*O43</f>
        <v>-0.2981</v>
      </c>
      <c r="P74" s="25" t="n">
        <f aca="false">P10+$D$27*P43</f>
        <v>-0.2776</v>
      </c>
      <c r="Q74" s="25" t="n">
        <f aca="false">Q10+$D$27*Q43</f>
        <v>-0.2581</v>
      </c>
      <c r="R74" s="25" t="n">
        <f aca="false">R10+$D$27*R43</f>
        <v>-0.2336</v>
      </c>
      <c r="S74" s="25" t="n">
        <f aca="false">S10+$D$27*S43</f>
        <v>-0.2121</v>
      </c>
      <c r="T74" s="25" t="n">
        <f aca="false">T10+$D$27*T43</f>
        <v>-0.1992</v>
      </c>
      <c r="U74" s="25" t="n">
        <f aca="false">U10+$D$27*U43</f>
        <v>-0.1849</v>
      </c>
      <c r="V74" s="25" t="n">
        <f aca="false">V10+$D$27*V43</f>
        <v>-0.1572</v>
      </c>
      <c r="W74" s="25" t="n">
        <f aca="false">W10+$D$27*W43</f>
        <v>-0.1387</v>
      </c>
      <c r="X74" s="25" t="n">
        <f aca="false">X10+$D$27*X43</f>
        <v>-0.1153</v>
      </c>
      <c r="Z74" s="34" t="s">
        <v>30</v>
      </c>
      <c r="AA74" s="25" t="n">
        <f aca="false">AA10+$E$27*AA43</f>
        <v>0.7924</v>
      </c>
      <c r="AB74" s="25" t="n">
        <f aca="false">AB10+$E$27*AB43</f>
        <v>0.7649</v>
      </c>
      <c r="AC74" s="25" t="n">
        <f aca="false">AC10+$E$27*AC43</f>
        <v>0.7392</v>
      </c>
      <c r="AD74" s="25" t="n">
        <f aca="false">AD10+$E$27*AD43</f>
        <v>0.719</v>
      </c>
      <c r="AE74" s="25" t="n">
        <f aca="false">AE10+$E$27*AE43</f>
        <v>0.698</v>
      </c>
      <c r="AF74" s="25" t="n">
        <f aca="false">AF10+$E$27*AF43</f>
        <v>0.6633</v>
      </c>
      <c r="AG74" s="25" t="n">
        <f aca="false">AG10+$E$27*AG43</f>
        <v>0.658</v>
      </c>
      <c r="AH74" s="25" t="n">
        <f aca="false">AH10+$E$27*AH43</f>
        <v>0.6334</v>
      </c>
      <c r="AI74" s="25" t="n">
        <f aca="false">AI10+$E$27*AI43</f>
        <v>0.613</v>
      </c>
      <c r="AJ74" s="25" t="n">
        <f aca="false">AJ10+$E$27*AJ43</f>
        <v>0.5893</v>
      </c>
      <c r="AL74" s="34" t="s">
        <v>30</v>
      </c>
      <c r="AM74" s="36" t="n">
        <f aca="false">C74*(1+(((2-3*O74^2)/24*AA74^2)+(O74*AA74*C74/4))*1)</f>
        <v>0.524969234553922</v>
      </c>
      <c r="AN74" s="36" t="n">
        <f aca="false">D74*(1+(((2-3*P74^2)/24*AB74^2)+(P74*AB74*D74/4))*1)</f>
        <v>0.514598390796837</v>
      </c>
      <c r="AO74" s="36" t="n">
        <f aca="false">E74*(1+(((2-3*Q74^2)/24*AC74^2)+(Q74*AC74*E74/4))*1)</f>
        <v>0.496467797861941</v>
      </c>
      <c r="AP74" s="36" t="n">
        <f aca="false">F74*(1+(((2-3*R74^2)/24*AD74^2)+(R74*AD74*F74/4))*1)</f>
        <v>0.480052336430249</v>
      </c>
      <c r="AQ74" s="36" t="n">
        <f aca="false">G74*(1+(((2-3*S74^2)/24*AE74^2)+(S74*AE74*G74/4))*1)</f>
        <v>0.45023464586636</v>
      </c>
      <c r="AR74" s="36" t="n">
        <f aca="false">H74*(1+(((2-3*T74^2)/24*AF74^2)+(T74*AF74*H74/4))*1)</f>
        <v>0.434505910675367</v>
      </c>
      <c r="AS74" s="36" t="n">
        <f aca="false">I74*(1+(((2-3*U74^2)/24*AG74^2)+(U74*AG74*I74/4))*1)</f>
        <v>0.415666114012757</v>
      </c>
      <c r="AT74" s="36" t="n">
        <f aca="false">J74*(1+(((2-3*V74^2)/24*AH74^2)+(V74*AH74*J74/4))*1)</f>
        <v>0.408312583119033</v>
      </c>
      <c r="AU74" s="36" t="n">
        <f aca="false">K74*(1+(((2-3*W74^2)/24*AI74^2)+(W74*AI74*K74/4))*1)</f>
        <v>0.392188395204887</v>
      </c>
      <c r="AV74" s="36" t="n">
        <f aca="false">L74*(1+(((2-3*X74^2)/24*AJ74^2)+(X74*AJ74*L74/4))*1)</f>
        <v>0.357096346378171</v>
      </c>
    </row>
    <row r="75" customFormat="false" ht="15" hidden="false" customHeight="true" outlineLevel="0" collapsed="false">
      <c r="B75" s="34" t="s">
        <v>76</v>
      </c>
      <c r="C75" s="25" t="n">
        <f aca="false">C11+$C$27*C44</f>
        <v>0.49675</v>
      </c>
      <c r="D75" s="25" t="n">
        <f aca="false">D11+$C$27*D44</f>
        <v>0.4789375</v>
      </c>
      <c r="E75" s="25" t="n">
        <f aca="false">E11+$C$27*E44</f>
        <v>0.4551125</v>
      </c>
      <c r="F75" s="25" t="n">
        <f aca="false">F11+$C$27*F44</f>
        <v>0.4483</v>
      </c>
      <c r="G75" s="25" t="n">
        <f aca="false">G11+$C$27*G44</f>
        <v>0.418625</v>
      </c>
      <c r="H75" s="25" t="n">
        <f aca="false">H11+$C$27*H44</f>
        <v>0.4012875</v>
      </c>
      <c r="I75" s="25" t="n">
        <f aca="false">I11+$C$27*I44</f>
        <v>0.3859625</v>
      </c>
      <c r="J75" s="25" t="n">
        <f aca="false">J11+$C$27*J44</f>
        <v>0.3674625</v>
      </c>
      <c r="K75" s="25" t="n">
        <f aca="false">K11+$C$27*K44</f>
        <v>0.3530875</v>
      </c>
      <c r="L75" s="25" t="n">
        <f aca="false">L11+$C$27*L44</f>
        <v>0.3296</v>
      </c>
      <c r="N75" s="34" t="s">
        <v>76</v>
      </c>
      <c r="O75" s="25" t="n">
        <f aca="false">O11+$D$27*O44</f>
        <v>-0.2822</v>
      </c>
      <c r="P75" s="25" t="n">
        <f aca="false">P11+$D$27*P44</f>
        <v>-0.2598</v>
      </c>
      <c r="Q75" s="25" t="n">
        <f aca="false">Q11+$D$27*Q44</f>
        <v>-0.2413</v>
      </c>
      <c r="R75" s="25" t="n">
        <f aca="false">R11+$D$27*R44</f>
        <v>-0.2166</v>
      </c>
      <c r="S75" s="25" t="n">
        <f aca="false">S11+$D$27*S44</f>
        <v>-0.2039</v>
      </c>
      <c r="T75" s="25" t="n">
        <f aca="false">T11+$D$27*T44</f>
        <v>-0.1675</v>
      </c>
      <c r="U75" s="25" t="n">
        <f aca="false">U11+$D$27*U44</f>
        <v>-0.1533</v>
      </c>
      <c r="V75" s="25" t="n">
        <f aca="false">V11+$D$27*V44</f>
        <v>-0.1431</v>
      </c>
      <c r="W75" s="25" t="n">
        <f aca="false">W11+$D$27*W44</f>
        <v>-0.1216</v>
      </c>
      <c r="X75" s="25" t="n">
        <f aca="false">X11+$D$27*X44</f>
        <v>-0.1003</v>
      </c>
      <c r="Z75" s="34" t="s">
        <v>76</v>
      </c>
      <c r="AA75" s="25" t="n">
        <f aca="false">AA11+$E$27*AA44</f>
        <v>0.7584</v>
      </c>
      <c r="AB75" s="25" t="n">
        <f aca="false">AB11+$E$27*AB44</f>
        <v>0.7313</v>
      </c>
      <c r="AC75" s="25" t="n">
        <f aca="false">AC11+$E$27*AC44</f>
        <v>0.7236</v>
      </c>
      <c r="AD75" s="25" t="n">
        <f aca="false">AD11+$E$27*AD44</f>
        <v>0.7043</v>
      </c>
      <c r="AE75" s="25" t="n">
        <f aca="false">AE11+$E$27*AE44</f>
        <v>0.6715</v>
      </c>
      <c r="AF75" s="25" t="n">
        <f aca="false">AF11+$E$27*AF44</f>
        <v>0.6497</v>
      </c>
      <c r="AG75" s="25" t="n">
        <f aca="false">AG11+$E$27*AG44</f>
        <v>0.6195</v>
      </c>
      <c r="AH75" s="25" t="n">
        <f aca="false">AH11+$E$27*AH44</f>
        <v>0.5976</v>
      </c>
      <c r="AI75" s="25" t="n">
        <f aca="false">AI11+$E$27*AI44</f>
        <v>0.5802</v>
      </c>
      <c r="AJ75" s="25" t="n">
        <f aca="false">AJ11+$E$27*AJ44</f>
        <v>0.5564</v>
      </c>
      <c r="AL75" s="34" t="s">
        <v>76</v>
      </c>
      <c r="AM75" s="36" t="n">
        <f aca="false">C75*(1+(((2-3*O75^2)/24*AA75^2)+(O75*AA75*C75/4))*2)</f>
        <v>0.512275042904172</v>
      </c>
      <c r="AN75" s="36" t="n">
        <f aca="false">D75*(1+(((2-3*P75^2)/24*AB75^2)+(P75*AB75*D75/4))*2)</f>
        <v>0.495514476062785</v>
      </c>
      <c r="AO75" s="36" t="n">
        <f aca="false">E75*(1+(((2-3*Q75^2)/24*AC75^2)+(Q75*AC75*E75/4))*2)</f>
        <v>0.473276984332322</v>
      </c>
      <c r="AP75" s="36" t="n">
        <f aca="false">F75*(1+(((2-3*R75^2)/24*AD75^2)+(R75*AD75*F75/4))*2)</f>
        <v>0.467424795824388</v>
      </c>
      <c r="AQ75" s="36" t="n">
        <f aca="false">G75*(1+(((2-3*S75^2)/24*AE75^2)+(S75*AE75*G75/4))*2)</f>
        <v>0.436126255274222</v>
      </c>
      <c r="AR75" s="36" t="n">
        <f aca="false">H75*(1+(((2-3*T75^2)/24*AF75^2)+(T75*AF75*H75/4))*2)</f>
        <v>0.419568540982606</v>
      </c>
      <c r="AS75" s="36" t="n">
        <f aca="false">I75*(1+(((2-3*U75^2)/24*AG75^2)+(U75*AG75*I75/4))*2)</f>
        <v>0.402706046033588</v>
      </c>
      <c r="AT75" s="36" t="n">
        <f aca="false">J75*(1+(((2-3*V75^2)/24*AH75^2)+(V75*AH75*J75/4))*2)</f>
        <v>0.382888805423963</v>
      </c>
      <c r="AU75" s="36" t="n">
        <f aca="false">K75*(1+(((2-3*W75^2)/24*AI75^2)+(W75*AI75*K75/4))*2)</f>
        <v>0.368060303040376</v>
      </c>
      <c r="AV75" s="36" t="n">
        <f aca="false">L75*(1+(((2-3*X75^2)/24*AJ75^2)+(X75*AJ75*L75/4))*2)</f>
        <v>0.343318361749061</v>
      </c>
    </row>
    <row r="76" customFormat="false" ht="15" hidden="false" customHeight="true" outlineLevel="0" collapsed="false">
      <c r="B76" s="34" t="s">
        <v>77</v>
      </c>
      <c r="C76" s="25" t="n">
        <f aca="false">C12+$C$27*C45</f>
        <v>0.487925</v>
      </c>
      <c r="D76" s="25" t="n">
        <f aca="false">D12+$C$27*D45</f>
        <v>0.456675</v>
      </c>
      <c r="E76" s="25" t="n">
        <f aca="false">E12+$C$27*E45</f>
        <v>0.435775</v>
      </c>
      <c r="F76" s="25" t="n">
        <f aca="false">F12+$C$27*F45</f>
        <v>0.4369875</v>
      </c>
      <c r="G76" s="25" t="n">
        <f aca="false">G12+$C$27*G45</f>
        <v>0.4102625</v>
      </c>
      <c r="H76" s="25" t="n">
        <f aca="false">H12+$C$27*H45</f>
        <v>0.384975</v>
      </c>
      <c r="I76" s="25" t="n">
        <f aca="false">I12+$C$27*I45</f>
        <v>0.3753875</v>
      </c>
      <c r="J76" s="25" t="n">
        <f aca="false">J12+$C$27*J45</f>
        <v>0.3471125</v>
      </c>
      <c r="K76" s="25" t="n">
        <f aca="false">K12+$C$27*K45</f>
        <v>0.338975</v>
      </c>
      <c r="L76" s="25" t="n">
        <f aca="false">L12+$C$27*L45</f>
        <v>0.3308125</v>
      </c>
      <c r="N76" s="34" t="s">
        <v>77</v>
      </c>
      <c r="O76" s="25" t="n">
        <f aca="false">O12+$D$27*O45</f>
        <v>-0.2455</v>
      </c>
      <c r="P76" s="25" t="n">
        <f aca="false">P12+$D$27*P45</f>
        <v>-0.2294</v>
      </c>
      <c r="Q76" s="25" t="n">
        <f aca="false">Q12+$D$27*Q45</f>
        <v>-0.2187</v>
      </c>
      <c r="R76" s="25" t="n">
        <f aca="false">R12+$D$27*R45</f>
        <v>-0.1971</v>
      </c>
      <c r="S76" s="25" t="n">
        <f aca="false">S12+$D$27*S45</f>
        <v>-0.1817</v>
      </c>
      <c r="T76" s="25" t="n">
        <f aca="false">T12+$D$27*T45</f>
        <v>-0.1501</v>
      </c>
      <c r="U76" s="25" t="n">
        <f aca="false">U12+$D$27*U45</f>
        <v>-0.1355</v>
      </c>
      <c r="V76" s="25" t="n">
        <f aca="false">V12+$D$27*V45</f>
        <v>-0.1111</v>
      </c>
      <c r="W76" s="25" t="n">
        <f aca="false">W12+$D$27*W45</f>
        <v>-0.1006</v>
      </c>
      <c r="X76" s="25" t="n">
        <f aca="false">X12+$D$27*X45</f>
        <v>-0.0833</v>
      </c>
      <c r="Z76" s="34" t="s">
        <v>77</v>
      </c>
      <c r="AA76" s="25" t="n">
        <f aca="false">AA12+$E$27*AA45</f>
        <v>0.7451</v>
      </c>
      <c r="AB76" s="25" t="n">
        <f aca="false">AB12+$E$27*AB45</f>
        <v>0.7264</v>
      </c>
      <c r="AC76" s="25" t="n">
        <f aca="false">AC12+$E$27*AC45</f>
        <v>0.7015</v>
      </c>
      <c r="AD76" s="25" t="n">
        <f aca="false">AD12+$E$27*AD45</f>
        <v>0.6783</v>
      </c>
      <c r="AE76" s="25" t="n">
        <f aca="false">AE12+$E$27*AE45</f>
        <v>0.6564</v>
      </c>
      <c r="AF76" s="25" t="n">
        <f aca="false">AF12+$E$27*AF45</f>
        <v>0.6326</v>
      </c>
      <c r="AG76" s="25" t="n">
        <f aca="false">AG12+$E$27*AG45</f>
        <v>0.6001</v>
      </c>
      <c r="AH76" s="25" t="n">
        <f aca="false">AH12+$E$27*AH45</f>
        <v>0.5837</v>
      </c>
      <c r="AI76" s="25" t="n">
        <f aca="false">AI12+$E$27*AI45</f>
        <v>0.5582</v>
      </c>
      <c r="AJ76" s="25" t="n">
        <f aca="false">AJ12+$E$27*AJ45</f>
        <v>0.5295</v>
      </c>
      <c r="AL76" s="34" t="s">
        <v>77</v>
      </c>
      <c r="AM76" s="36" t="n">
        <f aca="false">C76*(1+(((2-3*O76^2)/24*AA76^2)+(O76*AA76*C76/4))*3)</f>
        <v>0.516862193748808</v>
      </c>
      <c r="AN76" s="36" t="n">
        <f aca="false">D76*(1+(((2-3*P76^2)/24*AB76^2)+(P76*AB76*D76/4))*3)</f>
        <v>0.48609741031453</v>
      </c>
      <c r="AO76" s="36" t="n">
        <f aca="false">E76*(1+(((2-3*Q76^2)/24*AC76^2)+(Q76*AC76*E76/4))*3)</f>
        <v>0.463689586323694</v>
      </c>
      <c r="AP76" s="36" t="n">
        <f aca="false">F76*(1+(((2-3*R76^2)/24*AD76^2)+(R76*AD76*F76/4))*3)</f>
        <v>0.465174698402501</v>
      </c>
      <c r="AQ76" s="36" t="n">
        <f aca="false">G76*(1+(((2-3*S76^2)/24*AE76^2)+(S76*AE76*G76/4))*3)</f>
        <v>0.437209597769015</v>
      </c>
      <c r="AR76" s="36" t="n">
        <f aca="false">H76*(1+(((2-3*T76^2)/24*AF76^2)+(T76*AF76*H76/4))*3)</f>
        <v>0.411634007100666</v>
      </c>
      <c r="AS76" s="36" t="n">
        <f aca="false">I76*(1+(((2-3*U76^2)/24*AG76^2)+(U76*AG76*I76/4))*3)</f>
        <v>0.399659107814702</v>
      </c>
      <c r="AT76" s="36" t="n">
        <f aca="false">J76*(1+(((2-3*V76^2)/24*AH76^2)+(V76*AH76*J76/4))*3)</f>
        <v>0.370270788933885</v>
      </c>
      <c r="AU76" s="36" t="n">
        <f aca="false">K76*(1+(((2-3*W76^2)/24*AI76^2)+(W76*AI76*K76/4))*3)</f>
        <v>0.360139907102763</v>
      </c>
      <c r="AV76" s="36" t="n">
        <f aca="false">L76*(1+(((2-3*X76^2)/24*AJ76^2)+(X76*AJ76*L76/4))*3)</f>
        <v>0.350138423533215</v>
      </c>
    </row>
    <row r="77" customFormat="false" ht="15" hidden="false" customHeight="true" outlineLevel="0" collapsed="false">
      <c r="B77" s="34" t="s">
        <v>78</v>
      </c>
      <c r="C77" s="25" t="n">
        <f aca="false">C13+$C$27*C46</f>
        <v>0.4536375</v>
      </c>
      <c r="D77" s="25" t="n">
        <f aca="false">D13+$C$27*D46</f>
        <v>0.4408375</v>
      </c>
      <c r="E77" s="25" t="n">
        <f aca="false">E13+$C$27*E46</f>
        <v>0.4231</v>
      </c>
      <c r="F77" s="25" t="n">
        <f aca="false">F13+$C$27*F46</f>
        <v>0.41365</v>
      </c>
      <c r="G77" s="25" t="n">
        <f aca="false">G13+$C$27*G46</f>
        <v>0.4011</v>
      </c>
      <c r="H77" s="25" t="n">
        <f aca="false">H13+$C$27*H46</f>
        <v>0.3729</v>
      </c>
      <c r="I77" s="25" t="n">
        <f aca="false">I13+$C$27*I46</f>
        <v>0.3648875</v>
      </c>
      <c r="J77" s="25" t="n">
        <f aca="false">J13+$C$27*J46</f>
        <v>0.3485375</v>
      </c>
      <c r="K77" s="25" t="n">
        <f aca="false">K13+$C$27*K46</f>
        <v>0.3298625</v>
      </c>
      <c r="L77" s="25" t="n">
        <f aca="false">L13+$C$27*L46</f>
        <v>0.3005</v>
      </c>
      <c r="N77" s="34" t="s">
        <v>78</v>
      </c>
      <c r="O77" s="25" t="n">
        <f aca="false">O13+$D$27*O46</f>
        <v>-0.2389</v>
      </c>
      <c r="P77" s="25" t="n">
        <f aca="false">P13+$D$27*P46</f>
        <v>-0.2194</v>
      </c>
      <c r="Q77" s="25" t="n">
        <f aca="false">Q13+$D$27*Q46</f>
        <v>-0.2005</v>
      </c>
      <c r="R77" s="25" t="n">
        <f aca="false">R13+$D$27*R46</f>
        <v>-0.1809</v>
      </c>
      <c r="S77" s="25" t="n">
        <f aca="false">S13+$D$27*S46</f>
        <v>-0.1531</v>
      </c>
      <c r="T77" s="25" t="n">
        <f aca="false">T13+$D$27*T46</f>
        <v>-0.1281</v>
      </c>
      <c r="U77" s="25" t="n">
        <f aca="false">U13+$D$27*U46</f>
        <v>-0.1099</v>
      </c>
      <c r="V77" s="25" t="n">
        <f aca="false">V13+$D$27*V46</f>
        <v>-0.0976</v>
      </c>
      <c r="W77" s="25" t="n">
        <f aca="false">W13+$D$27*W46</f>
        <v>-0.0747</v>
      </c>
      <c r="X77" s="25" t="n">
        <f aca="false">X13+$D$27*X46</f>
        <v>-0.0523</v>
      </c>
      <c r="Z77" s="34" t="s">
        <v>78</v>
      </c>
      <c r="AA77" s="25" t="n">
        <f aca="false">AA13+$E$27*AA46</f>
        <v>0.7084</v>
      </c>
      <c r="AB77" s="25" t="n">
        <f aca="false">AB13+$E$27*AB46</f>
        <v>0.6977</v>
      </c>
      <c r="AC77" s="25" t="n">
        <f aca="false">AC13+$E$27*AC46</f>
        <v>0.6804</v>
      </c>
      <c r="AD77" s="25" t="n">
        <f aca="false">AD13+$E$27*AD46</f>
        <v>0.6556</v>
      </c>
      <c r="AE77" s="25" t="n">
        <f aca="false">AE13+$E$27*AE46</f>
        <v>0.6328</v>
      </c>
      <c r="AF77" s="25" t="n">
        <f aca="false">AF13+$E$27*AF46</f>
        <v>0.6051</v>
      </c>
      <c r="AG77" s="25" t="n">
        <f aca="false">AG13+$E$27*AG46</f>
        <v>0.5769</v>
      </c>
      <c r="AH77" s="25" t="n">
        <f aca="false">AH13+$E$27*AH46</f>
        <v>0.5669</v>
      </c>
      <c r="AI77" s="25" t="n">
        <f aca="false">AI13+$E$27*AI46</f>
        <v>0.5355</v>
      </c>
      <c r="AJ77" s="25" t="n">
        <f aca="false">AJ13+$E$27*AJ46</f>
        <v>0.5227</v>
      </c>
      <c r="AL77" s="34" t="s">
        <v>78</v>
      </c>
      <c r="AM77" s="36" t="n">
        <f aca="false">C77*(1+(((2-3*O77^2)/24*AA77^2)+(O77*AA77*C77/4))*5)</f>
        <v>0.496837496742791</v>
      </c>
      <c r="AN77" s="36" t="n">
        <f aca="false">D77*(1+(((2-3*P77^2)/24*AB77^2)+(P77*AB77*D77/4))*5)</f>
        <v>0.486609855738205</v>
      </c>
      <c r="AO77" s="36" t="n">
        <f aca="false">E77*(1+(((2-3*Q77^2)/24*AC77^2)+(Q77*AC77*E77/4))*5)</f>
        <v>0.469265550524736</v>
      </c>
      <c r="AP77" s="36" t="n">
        <f aca="false">F77*(1+(((2-3*R77^2)/24*AD77^2)+(R77*AD77*F77/4))*5)</f>
        <v>0.458727315648569</v>
      </c>
      <c r="AQ77" s="36" t="n">
        <f aca="false">G77*(1+(((2-3*S77^2)/24*AE77^2)+(S77*AE77*G77/4))*5)</f>
        <v>0.446186819482359</v>
      </c>
      <c r="AR77" s="36" t="n">
        <f aca="false">H77*(1+(((2-3*T77^2)/24*AF77^2)+(T77*AF77*H77/4))*5)</f>
        <v>0.41491641431575</v>
      </c>
      <c r="AS77" s="36" t="n">
        <f aca="false">I77*(1+(((2-3*U77^2)/24*AG77^2)+(U77*AG77*I77/4))*5)</f>
        <v>0.404018793299508</v>
      </c>
      <c r="AT77" s="36" t="n">
        <f aca="false">J77*(1+(((2-3*V77^2)/24*AH77^2)+(V77*AH77*J77/4))*5)</f>
        <v>0.386140402779469</v>
      </c>
      <c r="AU77" s="36" t="n">
        <f aca="false">K77*(1+(((2-3*W77^2)/24*AI77^2)+(W77*AI77*K77/4))*5)</f>
        <v>0.36350499732261</v>
      </c>
      <c r="AV77" s="36" t="n">
        <f aca="false">L77*(1+(((2-3*X77^2)/24*AJ77^2)+(X77*AJ77*L77/4))*5)</f>
        <v>0.331482778370017</v>
      </c>
    </row>
    <row r="78" customFormat="false" ht="15" hidden="false" customHeight="true" outlineLevel="0" collapsed="false">
      <c r="B78" s="34" t="s">
        <v>79</v>
      </c>
      <c r="C78" s="25" t="n">
        <f aca="false">C14+$C$27*C47</f>
        <v>0.454825</v>
      </c>
      <c r="D78" s="25" t="n">
        <f aca="false">D14+$C$27*D47</f>
        <v>0.4255625</v>
      </c>
      <c r="E78" s="25" t="n">
        <f aca="false">E14+$C$27*E47</f>
        <v>0.408225</v>
      </c>
      <c r="F78" s="25" t="n">
        <f aca="false">F14+$C$27*F47</f>
        <v>0.4010375</v>
      </c>
      <c r="G78" s="25" t="n">
        <f aca="false">G14+$C$27*G47</f>
        <v>0.378875</v>
      </c>
      <c r="H78" s="25" t="n">
        <f aca="false">H14+$C$27*H47</f>
        <v>0.350175</v>
      </c>
      <c r="I78" s="25" t="n">
        <f aca="false">I14+$C$27*I47</f>
        <v>0.3310375</v>
      </c>
      <c r="J78" s="25" t="n">
        <f aca="false">J14+$C$27*J47</f>
        <v>0.3136875</v>
      </c>
      <c r="K78" s="25" t="n">
        <f aca="false">K14+$C$27*K47</f>
        <v>0.3115375</v>
      </c>
      <c r="L78" s="25" t="n">
        <f aca="false">L14+$C$27*L47</f>
        <v>0.2917375</v>
      </c>
      <c r="N78" s="34" t="s">
        <v>79</v>
      </c>
      <c r="O78" s="25" t="n">
        <f aca="false">O14+$D$27*O47</f>
        <v>-0.221</v>
      </c>
      <c r="P78" s="25" t="n">
        <f aca="false">P14+$D$27*P47</f>
        <v>-0.1879</v>
      </c>
      <c r="Q78" s="25" t="n">
        <f aca="false">Q14+$D$27*Q47</f>
        <v>-0.1654</v>
      </c>
      <c r="R78" s="25" t="n">
        <f aca="false">R14+$D$27*R47</f>
        <v>-0.1524</v>
      </c>
      <c r="S78" s="25" t="n">
        <f aca="false">S14+$D$27*S47</f>
        <v>-0.1391</v>
      </c>
      <c r="T78" s="25" t="n">
        <f aca="false">T14+$D$27*T47</f>
        <v>-0.1157</v>
      </c>
      <c r="U78" s="25" t="n">
        <f aca="false">U14+$D$27*U47</f>
        <v>-0.1046</v>
      </c>
      <c r="V78" s="25" t="n">
        <f aca="false">V14+$D$27*V47</f>
        <v>-0.0875</v>
      </c>
      <c r="W78" s="25" t="n">
        <f aca="false">W14+$D$27*W47</f>
        <v>-0.0489</v>
      </c>
      <c r="X78" s="25" t="n">
        <f aca="false">X14+$D$27*X47</f>
        <v>-0.0359</v>
      </c>
      <c r="Z78" s="34" t="s">
        <v>79</v>
      </c>
      <c r="AA78" s="25" t="n">
        <f aca="false">AA14+$E$27*AA47</f>
        <v>0.695</v>
      </c>
      <c r="AB78" s="25" t="n">
        <f aca="false">AB14+$E$27*AB47</f>
        <v>0.6809</v>
      </c>
      <c r="AC78" s="25" t="n">
        <f aca="false">AC14+$E$27*AC47</f>
        <v>0.6487</v>
      </c>
      <c r="AD78" s="25" t="n">
        <f aca="false">AD14+$E$27*AD47</f>
        <v>0.6352</v>
      </c>
      <c r="AE78" s="25" t="n">
        <f aca="false">AE14+$E$27*AE47</f>
        <v>0.6121</v>
      </c>
      <c r="AF78" s="25" t="n">
        <f aca="false">AF14+$E$27*AF47</f>
        <v>0.5776</v>
      </c>
      <c r="AG78" s="25" t="n">
        <f aca="false">AG14+$E$27*AG47</f>
        <v>0.5561</v>
      </c>
      <c r="AH78" s="25" t="n">
        <f aca="false">AH14+$E$27*AH47</f>
        <v>0.5347</v>
      </c>
      <c r="AI78" s="25" t="n">
        <f aca="false">AI14+$E$27*AI47</f>
        <v>0.5115</v>
      </c>
      <c r="AJ78" s="25" t="n">
        <f aca="false">AJ14+$E$27*AJ47</f>
        <v>0.4962</v>
      </c>
      <c r="AL78" s="34" t="s">
        <v>79</v>
      </c>
      <c r="AM78" s="36" t="n">
        <f aca="false">C78*(1+(((2-3*O78^2)/24*AA78^2)+(O78*AA78*C78/4))*10)</f>
        <v>0.545055202292878</v>
      </c>
      <c r="AN78" s="36" t="n">
        <f aca="false">D78*(1+(((2-3*P78^2)/24*AB78^2)+(P78*AB78*D78/4))*10)</f>
        <v>0.523346337170885</v>
      </c>
      <c r="AO78" s="36" t="n">
        <f aca="false">E78*(1+(((2-3*Q78^2)/24*AC78^2)+(Q78*AC78*E78/4))*10)</f>
        <v>0.500804269635971</v>
      </c>
      <c r="AP78" s="36" t="n">
        <f aca="false">F78*(1+(((2-3*R78^2)/24*AD78^2)+(R78*AD78*F78/4))*10)</f>
        <v>0.492258725959421</v>
      </c>
      <c r="AQ78" s="36" t="n">
        <f aca="false">G78*(1+(((2-3*S78^2)/24*AE78^2)+(S78*AE78*G78/4))*10)</f>
        <v>0.463179928233356</v>
      </c>
      <c r="AR78" s="36" t="n">
        <f aca="false">H78*(1+(((2-3*T78^2)/24*AF78^2)+(T78*AF78*H78/4))*10)</f>
        <v>0.425088492952744</v>
      </c>
      <c r="AS78" s="36" t="n">
        <f aca="false">I78*(1+(((2-3*U78^2)/24*AG78^2)+(U78*AG78*I78/4))*10)</f>
        <v>0.399011774091402</v>
      </c>
      <c r="AT78" s="36" t="n">
        <f aca="false">J78*(1+(((2-3*V78^2)/24*AH78^2)+(V78*AH78*J78/4))*10)</f>
        <v>0.376056907278677</v>
      </c>
      <c r="AU78" s="36" t="n">
        <f aca="false">K78*(1+(((2-3*W78^2)/24*AI78^2)+(W78*AI78*K78/4))*10)</f>
        <v>0.373148445909814</v>
      </c>
      <c r="AV78" s="36" t="n">
        <f aca="false">L78*(1+(((2-3*X78^2)/24*AJ78^2)+(X78*AJ78*L78/4))*10)</f>
        <v>0.347689783260302</v>
      </c>
    </row>
    <row r="79" customFormat="false" ht="15" hidden="false" customHeight="true" outlineLevel="0" collapsed="false">
      <c r="B79" s="34" t="s">
        <v>80</v>
      </c>
      <c r="C79" s="25" t="n">
        <f aca="false">C15+$C$27*C48</f>
        <v>0.4227125</v>
      </c>
      <c r="D79" s="25" t="n">
        <f aca="false">D15+$C$27*D48</f>
        <v>0.4080375</v>
      </c>
      <c r="E79" s="25" t="n">
        <f aca="false">E15+$C$27*E48</f>
        <v>0.384925</v>
      </c>
      <c r="F79" s="25" t="n">
        <f aca="false">F15+$C$27*F48</f>
        <v>0.38285</v>
      </c>
      <c r="G79" s="25" t="n">
        <f aca="false">G15+$C$27*G48</f>
        <v>0.353375</v>
      </c>
      <c r="H79" s="25" t="n">
        <f aca="false">H15+$C$27*H48</f>
        <v>0.3382125</v>
      </c>
      <c r="I79" s="25" t="n">
        <f aca="false">I15+$C$27*I48</f>
        <v>0.3228375</v>
      </c>
      <c r="J79" s="25" t="n">
        <f aca="false">J15+$C$27*J48</f>
        <v>0.3113</v>
      </c>
      <c r="K79" s="25" t="n">
        <f aca="false">K15+$C$27*K48</f>
        <v>0.2836375</v>
      </c>
      <c r="L79" s="25" t="n">
        <f aca="false">L15+$C$27*L48</f>
        <v>0.276875</v>
      </c>
      <c r="N79" s="34" t="s">
        <v>80</v>
      </c>
      <c r="O79" s="25" t="n">
        <f aca="false">O15+$D$27*O48</f>
        <v>-0.1944</v>
      </c>
      <c r="P79" s="25" t="n">
        <f aca="false">P15+$D$27*P48</f>
        <v>-0.1744</v>
      </c>
      <c r="Q79" s="25" t="n">
        <f aca="false">Q15+$D$27*Q48</f>
        <v>-0.1551</v>
      </c>
      <c r="R79" s="25" t="n">
        <f aca="false">R15+$D$27*R48</f>
        <v>-0.1457</v>
      </c>
      <c r="S79" s="25" t="n">
        <f aca="false">S15+$D$27*S48</f>
        <v>-0.1179</v>
      </c>
      <c r="T79" s="25" t="n">
        <f aca="false">T15+$D$27*T48</f>
        <v>-0.1036</v>
      </c>
      <c r="U79" s="25" t="n">
        <f aca="false">U15+$D$27*U48</f>
        <v>-0.0877</v>
      </c>
      <c r="V79" s="25" t="n">
        <f aca="false">V15+$D$27*V48</f>
        <v>-0.0523</v>
      </c>
      <c r="W79" s="25" t="n">
        <f aca="false">W15+$D$27*W48</f>
        <v>-0.0454</v>
      </c>
      <c r="X79" s="25" t="n">
        <f aca="false">X15+$D$27*X48</f>
        <v>-0.02</v>
      </c>
      <c r="Z79" s="34" t="s">
        <v>80</v>
      </c>
      <c r="AA79" s="25" t="n">
        <f aca="false">AA15+$E$27*AA48</f>
        <v>0.6767</v>
      </c>
      <c r="AB79" s="25" t="n">
        <f aca="false">AB15+$E$27*AB48</f>
        <v>0.6511</v>
      </c>
      <c r="AC79" s="25" t="n">
        <f aca="false">AC15+$E$27*AC48</f>
        <v>0.6243</v>
      </c>
      <c r="AD79" s="25" t="n">
        <f aca="false">AD15+$E$27*AD48</f>
        <v>0.6059</v>
      </c>
      <c r="AE79" s="25" t="n">
        <f aca="false">AE15+$E$27*AE48</f>
        <v>0.5844</v>
      </c>
      <c r="AF79" s="25" t="n">
        <f aca="false">AF15+$E$27*AF48</f>
        <v>0.5668</v>
      </c>
      <c r="AG79" s="25" t="n">
        <f aca="false">AG15+$E$27*AG48</f>
        <v>0.531</v>
      </c>
      <c r="AH79" s="25" t="n">
        <f aca="false">AH15+$E$27*AH48</f>
        <v>0.5179</v>
      </c>
      <c r="AI79" s="25" t="n">
        <f aca="false">AI15+$E$27*AI48</f>
        <v>0.4894</v>
      </c>
      <c r="AJ79" s="25" t="n">
        <f aca="false">AJ15+$E$27*AJ48</f>
        <v>0.4678</v>
      </c>
      <c r="AL79" s="34" t="s">
        <v>80</v>
      </c>
      <c r="AM79" s="36" t="n">
        <f aca="false">C79*(1+(((2-3*O79^2)/24*AA79^2)+(O79*AA79*C79/4))*20)</f>
        <v>0.609509506001014</v>
      </c>
      <c r="AN79" s="36" t="n">
        <f aca="false">D79*(1+(((2-3*P79^2)/24*AB79^2)+(P79*AB79*D79/4))*20)</f>
        <v>0.588655267212751</v>
      </c>
      <c r="AO79" s="36" t="n">
        <f aca="false">E79*(1+(((2-3*Q79^2)/24*AC79^2)+(Q79*AC79*E79/4))*20)</f>
        <v>0.55420930517128</v>
      </c>
      <c r="AP79" s="36" t="n">
        <f aca="false">F79*(1+(((2-3*R79^2)/24*AD79^2)+(R79*AD79*F79/4))*20)</f>
        <v>0.544943139539025</v>
      </c>
      <c r="AQ79" s="36" t="n">
        <f aca="false">G79*(1+(((2-3*S79^2)/24*AE79^2)+(S79*AE79*G79/4))*20)</f>
        <v>0.507304543203375</v>
      </c>
      <c r="AR79" s="36" t="n">
        <f aca="false">H79*(1+(((2-3*T79^2)/24*AF79^2)+(T79*AF79*H79/4))*20)</f>
        <v>0.482804035199451</v>
      </c>
      <c r="AS79" s="36" t="n">
        <f aca="false">I79*(1+(((2-3*U79^2)/24*AG79^2)+(U79*AG79*I79/4))*20)</f>
        <v>0.448531948776041</v>
      </c>
      <c r="AT79" s="36" t="n">
        <f aca="false">J79*(1+(((2-3*V79^2)/24*AH79^2)+(V79*AH79*J79/4))*20)</f>
        <v>0.436766427194046</v>
      </c>
      <c r="AU79" s="36" t="n">
        <f aca="false">K79*(1+(((2-3*W79^2)/24*AI79^2)+(W79*AI79*K79/4))*20)</f>
        <v>0.387574395782676</v>
      </c>
      <c r="AV79" s="36" t="n">
        <f aca="false">L79*(1+(((2-3*X79^2)/24*AJ79^2)+(X79*AJ79*L79/4))*20)</f>
        <v>0.374212349172321</v>
      </c>
    </row>
    <row r="80" customFormat="false" ht="15" hidden="false" customHeight="true" outlineLevel="0" collapsed="false">
      <c r="B80" s="34" t="s">
        <v>81</v>
      </c>
      <c r="C80" s="25" t="n">
        <f aca="false">C16+$C$27*C49</f>
        <v>0.414925</v>
      </c>
      <c r="D80" s="25" t="n">
        <f aca="false">D16+$C$27*D49</f>
        <v>0.3926</v>
      </c>
      <c r="E80" s="25" t="n">
        <f aca="false">E16+$C$27*E49</f>
        <v>0.375325</v>
      </c>
      <c r="F80" s="25" t="n">
        <f aca="false">F16+$C$27*F49</f>
        <v>0.36185</v>
      </c>
      <c r="G80" s="25" t="n">
        <f aca="false">G16+$C$27*G49</f>
        <v>0.3467875</v>
      </c>
      <c r="H80" s="25" t="n">
        <f aca="false">H16+$C$27*H49</f>
        <v>0.3199875</v>
      </c>
      <c r="I80" s="25" t="n">
        <f aca="false">I16+$C$27*I49</f>
        <v>0.3055</v>
      </c>
      <c r="J80" s="25" t="n">
        <f aca="false">J16+$C$27*J49</f>
        <v>0.285275</v>
      </c>
      <c r="K80" s="25" t="n">
        <f aca="false">K16+$C$27*K49</f>
        <v>0.268775</v>
      </c>
      <c r="L80" s="25" t="n">
        <f aca="false">L16+$C$27*L49</f>
        <v>0.255775</v>
      </c>
      <c r="N80" s="34" t="s">
        <v>81</v>
      </c>
      <c r="O80" s="25" t="n">
        <f aca="false">O16+$D$27*O49</f>
        <v>-0.176</v>
      </c>
      <c r="P80" s="25" t="n">
        <f aca="false">P16+$D$27*P49</f>
        <v>-0.1549</v>
      </c>
      <c r="Q80" s="25" t="n">
        <f aca="false">Q16+$D$27*Q49</f>
        <v>-0.1366</v>
      </c>
      <c r="R80" s="25" t="n">
        <f aca="false">R16+$D$27*R49</f>
        <v>-0.1078</v>
      </c>
      <c r="S80" s="25" t="n">
        <f aca="false">S16+$D$27*S49</f>
        <v>-0.0932</v>
      </c>
      <c r="T80" s="25" t="n">
        <f aca="false">T16+$D$27*T49</f>
        <v>-0.0702</v>
      </c>
      <c r="U80" s="25" t="n">
        <f aca="false">U16+$D$27*U49</f>
        <v>-0.0495</v>
      </c>
      <c r="V80" s="25" t="n">
        <f aca="false">V16+$D$27*V49</f>
        <v>-0.0437</v>
      </c>
      <c r="W80" s="25" t="n">
        <f aca="false">W16+$D$27*W49</f>
        <v>-0.0183</v>
      </c>
      <c r="X80" s="25" t="n">
        <f aca="false">X16+$D$27*X49</f>
        <v>0.0089</v>
      </c>
      <c r="Z80" s="34" t="s">
        <v>81</v>
      </c>
      <c r="AA80" s="25" t="n">
        <f aca="false">AA16+$E$27*AA49</f>
        <v>0.6568</v>
      </c>
      <c r="AB80" s="25" t="n">
        <f aca="false">AB16+$E$27*AB49</f>
        <v>0.6205</v>
      </c>
      <c r="AC80" s="25" t="n">
        <f aca="false">AC16+$E$27*AC49</f>
        <v>0.598</v>
      </c>
      <c r="AD80" s="25" t="n">
        <f aca="false">AD16+$E$27*AD49</f>
        <v>0.5822</v>
      </c>
      <c r="AE80" s="25" t="n">
        <f aca="false">AE16+$E$27*AE49</f>
        <v>0.5526</v>
      </c>
      <c r="AF80" s="25" t="n">
        <f aca="false">AF16+$E$27*AF49</f>
        <v>0.5337</v>
      </c>
      <c r="AG80" s="25" t="n">
        <f aca="false">AG16+$E$27*AG49</f>
        <v>0.5081</v>
      </c>
      <c r="AH80" s="25" t="n">
        <f aca="false">AH16+$E$27*AH49</f>
        <v>0.4978</v>
      </c>
      <c r="AI80" s="25" t="n">
        <f aca="false">AI16+$E$27*AI49</f>
        <v>0.4779</v>
      </c>
      <c r="AJ80" s="25" t="n">
        <f aca="false">AJ16+$E$27*AJ49</f>
        <v>0.4579</v>
      </c>
      <c r="AL80" s="34" t="s">
        <v>81</v>
      </c>
      <c r="AM80" s="36" t="n">
        <f aca="false">C80*(1+(((2-3*O80^2)/24*AA80^2)+(O80*AA80*C80/4))*30)</f>
        <v>0.692354542456247</v>
      </c>
      <c r="AN80" s="36" t="n">
        <f aca="false">D80*(1+(((2-3*P80^2)/24*AB80^2)+(P80*AB80*D80/4))*30)</f>
        <v>0.645785976634103</v>
      </c>
      <c r="AO80" s="36" t="n">
        <f aca="false">E80*(1+(((2-3*Q80^2)/24*AC80^2)+(Q80*AC80*E80/4))*30)</f>
        <v>0.615174194393761</v>
      </c>
      <c r="AP80" s="36" t="n">
        <f aca="false">F80*(1+(((2-3*R80^2)/24*AD80^2)+(R80*AD80*F80/4))*30)</f>
        <v>0.601501461992706</v>
      </c>
      <c r="AQ80" s="36" t="n">
        <f aca="false">G80*(1+(((2-3*S80^2)/24*AE80^2)+(S80*AE80*G80/4))*30)</f>
        <v>0.561628376620518</v>
      </c>
      <c r="AR80" s="36" t="n">
        <f aca="false">H80*(1+(((2-3*T80^2)/24*AF80^2)+(T80*AF80*H80/4))*30)</f>
        <v>0.517391358254264</v>
      </c>
      <c r="AS80" s="36" t="n">
        <f aca="false">I80*(1+(((2-3*U80^2)/24*AG80^2)+(U80*AG80*I80/4))*30)</f>
        <v>0.484344212919432</v>
      </c>
      <c r="AT80" s="36" t="n">
        <f aca="false">J80*(1+(((2-3*V80^2)/24*AH80^2)+(V80*AH80*J80/4))*30)</f>
        <v>0.448222294983083</v>
      </c>
      <c r="AU80" s="36" t="n">
        <f aca="false">K80*(1+(((2-3*W80^2)/24*AI80^2)+(W80*AI80*K80/4))*30)</f>
        <v>0.417422297673267</v>
      </c>
      <c r="AV80" s="36" t="n">
        <f aca="false">L80*(1+(((2-3*X80^2)/24*AJ80^2)+(X80*AJ80*L80/4))*30)</f>
        <v>0.391831048707675</v>
      </c>
    </row>
    <row r="82" customFormat="false" ht="15" hidden="false" customHeight="true" outlineLevel="0" collapsed="false">
      <c r="A82" s="29" t="s">
        <v>150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customFormat="false" ht="15" hidden="false" customHeight="true" outlineLevel="0" collapsed="false">
      <c r="B83" s="29" t="s">
        <v>131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N83" s="29" t="s">
        <v>132</v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133</v>
      </c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L83" s="33" t="s">
        <v>134</v>
      </c>
      <c r="AM83" s="33"/>
      <c r="AN83" s="33"/>
      <c r="AO83" s="33"/>
      <c r="AP83" s="33"/>
      <c r="AQ83" s="33"/>
      <c r="AR83" s="33"/>
      <c r="AS83" s="33"/>
      <c r="AT83" s="33"/>
      <c r="AU83" s="33"/>
      <c r="AV83" s="33"/>
    </row>
    <row r="84" customFormat="false" ht="15" hidden="false" customHeight="true" outlineLevel="0" collapsed="false">
      <c r="B84" s="18" t="s">
        <v>135</v>
      </c>
      <c r="C84" s="12" t="s">
        <v>136</v>
      </c>
      <c r="D84" s="12" t="s">
        <v>74</v>
      </c>
      <c r="E84" s="12" t="s">
        <v>75</v>
      </c>
      <c r="F84" s="12" t="s">
        <v>30</v>
      </c>
      <c r="G84" s="12" t="s">
        <v>76</v>
      </c>
      <c r="H84" s="12" t="s">
        <v>77</v>
      </c>
      <c r="I84" s="12" t="s">
        <v>78</v>
      </c>
      <c r="J84" s="12" t="s">
        <v>79</v>
      </c>
      <c r="K84" s="12" t="s">
        <v>80</v>
      </c>
      <c r="L84" s="12" t="s">
        <v>81</v>
      </c>
      <c r="N84" s="18" t="s">
        <v>135</v>
      </c>
      <c r="O84" s="12" t="s">
        <v>136</v>
      </c>
      <c r="P84" s="12" t="s">
        <v>74</v>
      </c>
      <c r="Q84" s="12" t="s">
        <v>75</v>
      </c>
      <c r="R84" s="12" t="s">
        <v>30</v>
      </c>
      <c r="S84" s="12" t="s">
        <v>76</v>
      </c>
      <c r="T84" s="12" t="s">
        <v>77</v>
      </c>
      <c r="U84" s="12" t="s">
        <v>78</v>
      </c>
      <c r="V84" s="12" t="s">
        <v>79</v>
      </c>
      <c r="W84" s="12" t="s">
        <v>80</v>
      </c>
      <c r="X84" s="12" t="s">
        <v>81</v>
      </c>
      <c r="Z84" s="18" t="s">
        <v>135</v>
      </c>
      <c r="AA84" s="12" t="s">
        <v>136</v>
      </c>
      <c r="AB84" s="12" t="s">
        <v>74</v>
      </c>
      <c r="AC84" s="12" t="s">
        <v>75</v>
      </c>
      <c r="AD84" s="12" t="s">
        <v>30</v>
      </c>
      <c r="AE84" s="12" t="s">
        <v>76</v>
      </c>
      <c r="AF84" s="12" t="s">
        <v>77</v>
      </c>
      <c r="AG84" s="12" t="s">
        <v>78</v>
      </c>
      <c r="AH84" s="12" t="s">
        <v>79</v>
      </c>
      <c r="AI84" s="12" t="s">
        <v>80</v>
      </c>
      <c r="AJ84" s="12" t="s">
        <v>81</v>
      </c>
      <c r="AL84" s="18" t="s">
        <v>135</v>
      </c>
      <c r="AM84" s="12" t="s">
        <v>136</v>
      </c>
      <c r="AN84" s="12" t="s">
        <v>74</v>
      </c>
      <c r="AO84" s="12" t="s">
        <v>75</v>
      </c>
      <c r="AP84" s="12" t="s">
        <v>30</v>
      </c>
      <c r="AQ84" s="12" t="s">
        <v>76</v>
      </c>
      <c r="AR84" s="12" t="s">
        <v>77</v>
      </c>
      <c r="AS84" s="12" t="s">
        <v>78</v>
      </c>
      <c r="AT84" s="12" t="s">
        <v>79</v>
      </c>
      <c r="AU84" s="12" t="s">
        <v>80</v>
      </c>
      <c r="AV84" s="12" t="s">
        <v>81</v>
      </c>
    </row>
    <row r="85" customFormat="false" ht="15" hidden="false" customHeight="true" outlineLevel="0" collapsed="false">
      <c r="B85" s="34" t="s">
        <v>136</v>
      </c>
      <c r="C85" s="25" t="n">
        <f aca="false">C7+$C$28*C40</f>
        <v>0.565712</v>
      </c>
      <c r="D85" s="25" t="n">
        <f aca="false">D7+$C$28*D40</f>
        <v>0.544616</v>
      </c>
      <c r="E85" s="25" t="n">
        <f aca="false">E7+$C$28*E40</f>
        <v>0.53674</v>
      </c>
      <c r="F85" s="25" t="n">
        <f aca="false">F7+$C$28*F40</f>
        <v>0.50748</v>
      </c>
      <c r="G85" s="25" t="n">
        <f aca="false">G7+$C$28*G40</f>
        <v>0.498944</v>
      </c>
      <c r="H85" s="25" t="n">
        <f aca="false">H7+$C$28*H40</f>
        <v>0.477644</v>
      </c>
      <c r="I85" s="25" t="n">
        <f aca="false">I7+$C$28*I40</f>
        <v>0.45428</v>
      </c>
      <c r="J85" s="25" t="n">
        <f aca="false">J7+$C$28*J40</f>
        <v>0.4455</v>
      </c>
      <c r="K85" s="25" t="n">
        <f aca="false">K7+$C$28*K40</f>
        <v>0.4182</v>
      </c>
      <c r="L85" s="25" t="n">
        <f aca="false">L7+$C$28*L40</f>
        <v>0.408324</v>
      </c>
      <c r="N85" s="34" t="s">
        <v>136</v>
      </c>
      <c r="O85" s="25" t="n">
        <f aca="false">O7+$D$28*O40</f>
        <v>-0.3586</v>
      </c>
      <c r="P85" s="25" t="n">
        <f aca="false">P7+$D$28*P40</f>
        <v>-0.3387</v>
      </c>
      <c r="Q85" s="25" t="n">
        <f aca="false">Q7+$D$28*Q40</f>
        <v>-0.3126</v>
      </c>
      <c r="R85" s="25" t="n">
        <f aca="false">R7+$D$28*R40</f>
        <v>-0.2851</v>
      </c>
      <c r="S85" s="25" t="n">
        <f aca="false">S7+$D$28*S40</f>
        <v>-0.2797</v>
      </c>
      <c r="T85" s="25" t="n">
        <f aca="false">T7+$D$28*T40</f>
        <v>-0.2583</v>
      </c>
      <c r="U85" s="25" t="n">
        <f aca="false">U7+$D$28*U40</f>
        <v>-0.2308</v>
      </c>
      <c r="V85" s="25" t="n">
        <f aca="false">V7+$D$28*V40</f>
        <v>-0.2049</v>
      </c>
      <c r="W85" s="25" t="n">
        <f aca="false">W7+$D$28*W40</f>
        <v>-0.1929</v>
      </c>
      <c r="X85" s="25" t="n">
        <f aca="false">X7+$D$28*X40</f>
        <v>-0.1771</v>
      </c>
      <c r="Z85" s="34" t="s">
        <v>136</v>
      </c>
      <c r="AA85" s="25" t="n">
        <f aca="false">AA7+$E$28*AA40</f>
        <v>0.8595</v>
      </c>
      <c r="AB85" s="25" t="n">
        <f aca="false">AB7+$E$28*AB40</f>
        <v>0.8187</v>
      </c>
      <c r="AC85" s="25" t="n">
        <f aca="false">AC7+$E$28*AC40</f>
        <v>0.8127</v>
      </c>
      <c r="AD85" s="25" t="n">
        <f aca="false">AD7+$E$28*AD40</f>
        <v>0.7791</v>
      </c>
      <c r="AE85" s="25" t="n">
        <f aca="false">AE7+$E$28*AE40</f>
        <v>0.754</v>
      </c>
      <c r="AF85" s="25" t="n">
        <f aca="false">AF7+$E$28*AF40</f>
        <v>0.7312</v>
      </c>
      <c r="AG85" s="25" t="n">
        <f aca="false">AG7+$E$28*AG40</f>
        <v>0.7128</v>
      </c>
      <c r="AH85" s="25" t="n">
        <f aca="false">AH7+$E$28*AH40</f>
        <v>0.7008</v>
      </c>
      <c r="AI85" s="25" t="n">
        <f aca="false">AI7+$E$28*AI40</f>
        <v>0.6658</v>
      </c>
      <c r="AJ85" s="25" t="n">
        <f aca="false">AJ7+$E$28*AJ40</f>
        <v>0.6516</v>
      </c>
      <c r="AL85" s="34" t="s">
        <v>136</v>
      </c>
      <c r="AM85" s="36" t="n">
        <f aca="false">C85*(1+(((2-3*O85^2)/24*AA85^2)+(O85*AA85*C85/4))*0.0833333333333333)</f>
        <v>0.565999406412077</v>
      </c>
      <c r="AN85" s="36" t="n">
        <f aca="false">D85*(1+(((2-3*P85^2)/24*AB85^2)+(P85*AB85*D85/4))*0.0833333333333333)</f>
        <v>0.54500130168801</v>
      </c>
      <c r="AO85" s="36" t="n">
        <f aca="false">E85*(1+(((2-3*Q85^2)/24*AC85^2)+(Q85*AC85*E85/4))*0.0833333333333333)</f>
        <v>0.537316222996219</v>
      </c>
      <c r="AP85" s="36" t="n">
        <f aca="false">F85*(1+(((2-3*R85^2)/24*AD85^2)+(R85*AD85*F85/4))*0.0833333333333333)</f>
        <v>0.508166590165255</v>
      </c>
      <c r="AQ85" s="36" t="n">
        <f aca="false">G85*(1+(((2-3*S85^2)/24*AE85^2)+(S85*AE85*G85/4))*0.0833333333333333)</f>
        <v>0.499588916717156</v>
      </c>
      <c r="AR85" s="36" t="n">
        <f aca="false">H85*(1+(((2-3*T85^2)/24*AF85^2)+(T85*AF85*H85/4))*0.0833333333333333)</f>
        <v>0.478342255282935</v>
      </c>
      <c r="AS85" s="36" t="n">
        <f aca="false">I85*(1+(((2-3*U85^2)/24*AG85^2)+(U85*AG85*I85/4))*0.0833333333333333)</f>
        <v>0.455047480350321</v>
      </c>
      <c r="AT85" s="36" t="n">
        <f aca="false">J85*(1+(((2-3*V85^2)/24*AH85^2)+(V85*AH85*J85/4))*0.0833333333333333)</f>
        <v>0.446329986748992</v>
      </c>
      <c r="AU85" s="36" t="n">
        <f aca="false">K85*(1+(((2-3*W85^2)/24*AI85^2)+(W85*AI85*K85/4))*0.0833333333333333)</f>
        <v>0.418947577050347</v>
      </c>
      <c r="AV85" s="36" t="n">
        <f aca="false">L85*(1+(((2-3*X85^2)/24*AJ85^2)+(X85*AJ85*L85/4))*0.0833333333333333)</f>
        <v>0.409070460586264</v>
      </c>
    </row>
    <row r="86" customFormat="false" ht="15" hidden="false" customHeight="true" outlineLevel="0" collapsed="false">
      <c r="B86" s="34" t="s">
        <v>74</v>
      </c>
      <c r="C86" s="25" t="n">
        <f aca="false">C8+$C$28*C41</f>
        <v>0.554088</v>
      </c>
      <c r="D86" s="25" t="n">
        <f aca="false">D8+$C$28*D41</f>
        <v>0.530948</v>
      </c>
      <c r="E86" s="25" t="n">
        <f aca="false">E8+$C$28*E41</f>
        <v>0.516804</v>
      </c>
      <c r="F86" s="25" t="n">
        <f aca="false">F8+$C$28*F41</f>
        <v>0.489168</v>
      </c>
      <c r="G86" s="25" t="n">
        <f aca="false">G8+$C$28*G41</f>
        <v>0.471892</v>
      </c>
      <c r="H86" s="25" t="n">
        <f aca="false">H8+$C$28*H41</f>
        <v>0.456748</v>
      </c>
      <c r="I86" s="25" t="n">
        <f aca="false">I8+$C$28*I41</f>
        <v>0.448792</v>
      </c>
      <c r="J86" s="25" t="n">
        <f aca="false">J8+$C$28*J41</f>
        <v>0.425676</v>
      </c>
      <c r="K86" s="25" t="n">
        <f aca="false">K8+$C$28*K41</f>
        <v>0.406104</v>
      </c>
      <c r="L86" s="25" t="n">
        <f aca="false">L8+$C$28*L41</f>
        <v>0.393652</v>
      </c>
      <c r="N86" s="34" t="s">
        <v>74</v>
      </c>
      <c r="O86" s="25" t="n">
        <f aca="false">O8+$D$28*O41</f>
        <v>-0.3315</v>
      </c>
      <c r="P86" s="25" t="n">
        <f aca="false">P8+$D$28*P41</f>
        <v>-0.3151</v>
      </c>
      <c r="Q86" s="25" t="n">
        <f aca="false">Q8+$D$28*Q41</f>
        <v>-0.2858</v>
      </c>
      <c r="R86" s="25" t="n">
        <f aca="false">R8+$D$28*R41</f>
        <v>-0.2682</v>
      </c>
      <c r="S86" s="25" t="n">
        <f aca="false">S8+$D$28*S41</f>
        <v>-0.2579</v>
      </c>
      <c r="T86" s="25" t="n">
        <f aca="false">T8+$D$28*T41</f>
        <v>-0.2318</v>
      </c>
      <c r="U86" s="25" t="n">
        <f aca="false">U8+$D$28*U41</f>
        <v>-0.2134</v>
      </c>
      <c r="V86" s="25" t="n">
        <f aca="false">V8+$D$28*V41</f>
        <v>-0.1869</v>
      </c>
      <c r="W86" s="25" t="n">
        <f aca="false">W8+$D$28*W41</f>
        <v>-0.1704</v>
      </c>
      <c r="X86" s="25" t="n">
        <f aca="false">X8+$D$28*X41</f>
        <v>-0.1598</v>
      </c>
      <c r="Z86" s="34" t="s">
        <v>74</v>
      </c>
      <c r="AA86" s="25" t="n">
        <f aca="false">AA8+$E$28*AA41</f>
        <v>0.8374</v>
      </c>
      <c r="AB86" s="25" t="n">
        <f aca="false">AB8+$E$28*AB41</f>
        <v>0.7979</v>
      </c>
      <c r="AC86" s="25" t="n">
        <f aca="false">AC8+$E$28*AC41</f>
        <v>0.7817</v>
      </c>
      <c r="AD86" s="25" t="n">
        <f aca="false">AD8+$E$28*AD41</f>
        <v>0.7663</v>
      </c>
      <c r="AE86" s="25" t="n">
        <f aca="false">AE8+$E$28*AE41</f>
        <v>0.7319</v>
      </c>
      <c r="AF86" s="25" t="n">
        <f aca="false">AF8+$E$28*AF41</f>
        <v>0.7164</v>
      </c>
      <c r="AG86" s="25" t="n">
        <f aca="false">AG8+$E$28*AG41</f>
        <v>0.6852</v>
      </c>
      <c r="AH86" s="25" t="n">
        <f aca="false">AH8+$E$28*AH41</f>
        <v>0.6756</v>
      </c>
      <c r="AI86" s="25" t="n">
        <f aca="false">AI8+$E$28*AI41</f>
        <v>0.6553</v>
      </c>
      <c r="AJ86" s="25" t="n">
        <f aca="false">AJ8+$E$28*AJ41</f>
        <v>0.6292</v>
      </c>
      <c r="AL86" s="34" t="s">
        <v>74</v>
      </c>
      <c r="AM86" s="36" t="n">
        <f aca="false">C86*(1+(((2-3*O86^2)/24*AA86^2)+(O86*AA86*C86/4))*0.25)</f>
        <v>0.555521776280765</v>
      </c>
      <c r="AN86" s="36" t="n">
        <f aca="false">D86*(1+(((2-3*P86^2)/24*AB86^2)+(P86*AB86*D86/4))*0.25)</f>
        <v>0.53251161487527</v>
      </c>
      <c r="AO86" s="36" t="n">
        <f aca="false">E86*(1+(((2-3*Q86^2)/24*AC86^2)+(Q86*AC86*E86/4))*0.25)</f>
        <v>0.518847632659595</v>
      </c>
      <c r="AP86" s="36" t="n">
        <f aca="false">F86*(1+(((2-3*R86^2)/24*AD86^2)+(R86*AD86*F86/4))*0.25)</f>
        <v>0.491432981370325</v>
      </c>
      <c r="AQ86" s="36" t="n">
        <f aca="false">G86*(1+(((2-3*S86^2)/24*AE86^2)+(S86*AE86*G86/4))*0.25)</f>
        <v>0.474005830656958</v>
      </c>
      <c r="AR86" s="36" t="n">
        <f aca="false">H86*(1+(((2-3*T86^2)/24*AF86^2)+(T86*AF86*H86/4))*0.25)</f>
        <v>0.459072842714001</v>
      </c>
      <c r="AS86" s="36" t="n">
        <f aca="false">I86*(1+(((2-3*U86^2)/24*AG86^2)+(U86*AG86*I86/4))*0.25)</f>
        <v>0.451041181973688</v>
      </c>
      <c r="AT86" s="36" t="n">
        <f aca="false">J86*(1+(((2-3*V86^2)/24*AH86^2)+(V86*AH86*J86/4))*0.25)</f>
        <v>0.428081685399211</v>
      </c>
      <c r="AU86" s="36" t="n">
        <f aca="false">K86*(1+(((2-3*W86^2)/24*AI86^2)+(W86*AI86*K86/4))*0.25)</f>
        <v>0.408427884388952</v>
      </c>
      <c r="AV86" s="36" t="n">
        <f aca="false">L86*(1+(((2-3*X86^2)/24*AJ86^2)+(X86*AJ86*L86/4))*0.25)</f>
        <v>0.395800583399873</v>
      </c>
    </row>
    <row r="87" customFormat="false" ht="15" hidden="false" customHeight="true" outlineLevel="0" collapsed="false">
      <c r="B87" s="34" t="s">
        <v>75</v>
      </c>
      <c r="C87" s="25" t="n">
        <f aca="false">C9+$C$28*C42</f>
        <v>0.54088</v>
      </c>
      <c r="D87" s="25" t="n">
        <f aca="false">D9+$C$28*D42</f>
        <v>0.512056</v>
      </c>
      <c r="E87" s="25" t="n">
        <f aca="false">E9+$C$28*E42</f>
        <v>0.50238</v>
      </c>
      <c r="F87" s="25" t="n">
        <f aca="false">F9+$C$28*F42</f>
        <v>0.482376</v>
      </c>
      <c r="G87" s="25" t="n">
        <f aca="false">G9+$C$28*G42</f>
        <v>0.464668</v>
      </c>
      <c r="H87" s="25" t="n">
        <f aca="false">H9+$C$28*H42</f>
        <v>0.444068</v>
      </c>
      <c r="I87" s="25" t="n">
        <f aca="false">I9+$C$28*I42</f>
        <v>0.433748</v>
      </c>
      <c r="J87" s="25" t="n">
        <f aca="false">J9+$C$28*J42</f>
        <v>0.418476</v>
      </c>
      <c r="K87" s="25" t="n">
        <f aca="false">K9+$C$28*K42</f>
        <v>0.391404</v>
      </c>
      <c r="L87" s="25" t="n">
        <f aca="false">L9+$C$28*L42</f>
        <v>0.377052</v>
      </c>
      <c r="N87" s="34" t="s">
        <v>75</v>
      </c>
      <c r="O87" s="25" t="n">
        <f aca="false">O9+$D$28*O42</f>
        <v>-0.3199</v>
      </c>
      <c r="P87" s="25" t="n">
        <f aca="false">P9+$D$28*P42</f>
        <v>-0.2876</v>
      </c>
      <c r="Q87" s="25" t="n">
        <f aca="false">Q9+$D$28*Q42</f>
        <v>-0.2693</v>
      </c>
      <c r="R87" s="25" t="n">
        <f aca="false">R9+$D$28*R42</f>
        <v>-0.2429</v>
      </c>
      <c r="S87" s="25" t="n">
        <f aca="false">S9+$D$28*S42</f>
        <v>-0.2269</v>
      </c>
      <c r="T87" s="25" t="n">
        <f aca="false">T9+$D$28*T42</f>
        <v>-0.2182</v>
      </c>
      <c r="U87" s="25" t="n">
        <f aca="false">U9+$D$28*U42</f>
        <v>-0.1967</v>
      </c>
      <c r="V87" s="25" t="n">
        <f aca="false">V9+$D$28*V42</f>
        <v>-0.1716</v>
      </c>
      <c r="W87" s="25" t="n">
        <f aca="false">W9+$D$28*W42</f>
        <v>-0.1651</v>
      </c>
      <c r="X87" s="25" t="n">
        <f aca="false">X9+$D$28*X42</f>
        <v>-0.1369</v>
      </c>
      <c r="Z87" s="34" t="s">
        <v>75</v>
      </c>
      <c r="AA87" s="25" t="n">
        <f aca="false">AA9+$E$28*AA42</f>
        <v>0.7989</v>
      </c>
      <c r="AB87" s="25" t="n">
        <f aca="false">AB9+$E$28*AB42</f>
        <v>0.7757</v>
      </c>
      <c r="AC87" s="25" t="n">
        <f aca="false">AC9+$E$28*AC42</f>
        <v>0.7523</v>
      </c>
      <c r="AD87" s="25" t="n">
        <f aca="false">AD9+$E$28*AD42</f>
        <v>0.7443</v>
      </c>
      <c r="AE87" s="25" t="n">
        <f aca="false">AE9+$E$28*AE42</f>
        <v>0.7093</v>
      </c>
      <c r="AF87" s="25" t="n">
        <f aca="false">AF9+$E$28*AF42</f>
        <v>0.6894</v>
      </c>
      <c r="AG87" s="25" t="n">
        <f aca="false">AG9+$E$28*AG42</f>
        <v>0.67</v>
      </c>
      <c r="AH87" s="25" t="n">
        <f aca="false">AH9+$E$28*AH42</f>
        <v>0.6574</v>
      </c>
      <c r="AI87" s="25" t="n">
        <f aca="false">AI9+$E$28*AI42</f>
        <v>0.6194</v>
      </c>
      <c r="AJ87" s="25" t="n">
        <f aca="false">AJ9+$E$28*AJ42</f>
        <v>0.6045</v>
      </c>
      <c r="AL87" s="34" t="s">
        <v>75</v>
      </c>
      <c r="AM87" s="36" t="n">
        <f aca="false">C87*(1+(((2-3*O87^2)/24*AA87^2)+(O87*AA87*C87/4))*0.5)</f>
        <v>0.54371000999835</v>
      </c>
      <c r="AN87" s="36" t="n">
        <f aca="false">D87*(1+(((2-3*P87^2)/24*AB87^2)+(P87*AB87*D87/4))*0.5)</f>
        <v>0.515989233084705</v>
      </c>
      <c r="AO87" s="36" t="n">
        <f aca="false">E87*(1+(((2-3*Q87^2)/24*AC87^2)+(Q87*AC87*E87/4))*0.5)</f>
        <v>0.506546623560663</v>
      </c>
      <c r="AP87" s="36" t="n">
        <f aca="false">F87*(1+(((2-3*R87^2)/24*AD87^2)+(R87*AD87*F87/4))*0.5)</f>
        <v>0.487266644400331</v>
      </c>
      <c r="AQ87" s="36" t="n">
        <f aca="false">G87*(1+(((2-3*S87^2)/24*AE87^2)+(S87*AE87*G87/4))*0.5)</f>
        <v>0.469312795031274</v>
      </c>
      <c r="AR87" s="36" t="n">
        <f aca="false">H87*(1+(((2-3*T87^2)/24*AF87^2)+(T87*AF87*H87/4))*0.5)</f>
        <v>0.448525893976285</v>
      </c>
      <c r="AS87" s="36" t="n">
        <f aca="false">I87*(1+(((2-3*U87^2)/24*AG87^2)+(U87*AG87*I87/4))*0.5)</f>
        <v>0.438290748416261</v>
      </c>
      <c r="AT87" s="36" t="n">
        <f aca="false">J87*(1+(((2-3*V87^2)/24*AH87^2)+(V87*AH87*J87/4))*0.5)</f>
        <v>0.423209330392352</v>
      </c>
      <c r="AU87" s="36" t="n">
        <f aca="false">K87*(1+(((2-3*W87^2)/24*AI87^2)+(W87*AI87*K87/4))*0.5)</f>
        <v>0.39544673731033</v>
      </c>
      <c r="AV87" s="36" t="n">
        <f aca="false">L87*(1+(((2-3*X87^2)/24*AJ87^2)+(X87*AJ87*L87/4))*0.5)</f>
        <v>0.381160883350803</v>
      </c>
    </row>
    <row r="88" customFormat="false" ht="15" hidden="false" customHeight="true" outlineLevel="0" collapsed="false">
      <c r="B88" s="34" t="s">
        <v>30</v>
      </c>
      <c r="C88" s="25" t="n">
        <f aca="false">C10+$C$28*C43</f>
        <v>0.51666</v>
      </c>
      <c r="D88" s="25" t="n">
        <f aca="false">D10+$C$28*D43</f>
        <v>0.50576</v>
      </c>
      <c r="E88" s="25" t="n">
        <f aca="false">E10+$C$28*E43</f>
        <v>0.487236</v>
      </c>
      <c r="F88" s="25" t="n">
        <f aca="false">F10+$C$28*F43</f>
        <v>0.4702</v>
      </c>
      <c r="G88" s="25" t="n">
        <f aca="false">G10+$C$28*G43</f>
        <v>0.440264</v>
      </c>
      <c r="H88" s="25" t="n">
        <f aca="false">H10+$C$28*H43</f>
        <v>0.42538</v>
      </c>
      <c r="I88" s="25" t="n">
        <f aca="false">I10+$C$28*I43</f>
        <v>0.406392</v>
      </c>
      <c r="J88" s="25" t="n">
        <f aca="false">J10+$C$28*J43</f>
        <v>0.399088</v>
      </c>
      <c r="K88" s="25" t="n">
        <f aca="false">K10+$C$28*K43</f>
        <v>0.383336</v>
      </c>
      <c r="L88" s="25" t="n">
        <f aca="false">L10+$C$28*L43</f>
        <v>0.349012</v>
      </c>
      <c r="N88" s="34" t="s">
        <v>30</v>
      </c>
      <c r="O88" s="25" t="n">
        <f aca="false">O10+$D$28*O43</f>
        <v>-0.2981</v>
      </c>
      <c r="P88" s="25" t="n">
        <f aca="false">P10+$D$28*P43</f>
        <v>-0.2776</v>
      </c>
      <c r="Q88" s="25" t="n">
        <f aca="false">Q10+$D$28*Q43</f>
        <v>-0.2581</v>
      </c>
      <c r="R88" s="25" t="n">
        <f aca="false">R10+$D$28*R43</f>
        <v>-0.2336</v>
      </c>
      <c r="S88" s="25" t="n">
        <f aca="false">S10+$D$28*S43</f>
        <v>-0.2121</v>
      </c>
      <c r="T88" s="25" t="n">
        <f aca="false">T10+$D$28*T43</f>
        <v>-0.1992</v>
      </c>
      <c r="U88" s="25" t="n">
        <f aca="false">U10+$D$28*U43</f>
        <v>-0.1849</v>
      </c>
      <c r="V88" s="25" t="n">
        <f aca="false">V10+$D$28*V43</f>
        <v>-0.1572</v>
      </c>
      <c r="W88" s="25" t="n">
        <f aca="false">W10+$D$28*W43</f>
        <v>-0.1387</v>
      </c>
      <c r="X88" s="25" t="n">
        <f aca="false">X10+$D$28*X43</f>
        <v>-0.1153</v>
      </c>
      <c r="Z88" s="34" t="s">
        <v>30</v>
      </c>
      <c r="AA88" s="25" t="n">
        <f aca="false">AA10+$E$28*AA43</f>
        <v>0.7924</v>
      </c>
      <c r="AB88" s="25" t="n">
        <f aca="false">AB10+$E$28*AB43</f>
        <v>0.7649</v>
      </c>
      <c r="AC88" s="25" t="n">
        <f aca="false">AC10+$E$28*AC43</f>
        <v>0.7392</v>
      </c>
      <c r="AD88" s="25" t="n">
        <f aca="false">AD10+$E$28*AD43</f>
        <v>0.719</v>
      </c>
      <c r="AE88" s="25" t="n">
        <f aca="false">AE10+$E$28*AE43</f>
        <v>0.698</v>
      </c>
      <c r="AF88" s="25" t="n">
        <f aca="false">AF10+$E$28*AF43</f>
        <v>0.6633</v>
      </c>
      <c r="AG88" s="25" t="n">
        <f aca="false">AG10+$E$28*AG43</f>
        <v>0.658</v>
      </c>
      <c r="AH88" s="25" t="n">
        <f aca="false">AH10+$E$28*AH43</f>
        <v>0.6334</v>
      </c>
      <c r="AI88" s="25" t="n">
        <f aca="false">AI10+$E$28*AI43</f>
        <v>0.613</v>
      </c>
      <c r="AJ88" s="25" t="n">
        <f aca="false">AJ10+$E$28*AJ43</f>
        <v>0.5893</v>
      </c>
      <c r="AL88" s="34" t="s">
        <v>30</v>
      </c>
      <c r="AM88" s="36" t="n">
        <f aca="false">C88*(1+(((2-3*O88^2)/24*AA88^2)+(O88*AA88*C88/4))*1)</f>
        <v>0.524326985102596</v>
      </c>
      <c r="AN88" s="36" t="n">
        <f aca="false">D88*(1+(((2-3*P88^2)/24*AB88^2)+(P88*AB88*D88/4))*1)</f>
        <v>0.513989914759326</v>
      </c>
      <c r="AO88" s="36" t="n">
        <f aca="false">E88*(1+(((2-3*Q88^2)/24*AC88^2)+(Q88*AC88*E88/4))*1)</f>
        <v>0.495882050692326</v>
      </c>
      <c r="AP88" s="36" t="n">
        <f aca="false">F88*(1+(((2-3*R88^2)/24*AD88^2)+(R88*AD88*F88/4))*1)</f>
        <v>0.479514812650676</v>
      </c>
      <c r="AQ88" s="36" t="n">
        <f aca="false">G88*(1+(((2-3*S88^2)/24*AE88^2)+(S88*AE88*G88/4))*1)</f>
        <v>0.449758658336239</v>
      </c>
      <c r="AR88" s="36" t="n">
        <f aca="false">H88*(1+(((2-3*T88^2)/24*AF88^2)+(T88*AF88*H88/4))*1)</f>
        <v>0.434070657918197</v>
      </c>
      <c r="AS88" s="36" t="n">
        <f aca="false">I88*(1+(((2-3*U88^2)/24*AG88^2)+(U88*AG88*I88/4))*1)</f>
        <v>0.415279476764015</v>
      </c>
      <c r="AT88" s="36" t="n">
        <f aca="false">J88*(1+(((2-3*V88^2)/24*AH88^2)+(V88*AH88*J88/4))*1)</f>
        <v>0.407971432425642</v>
      </c>
      <c r="AU88" s="36" t="n">
        <f aca="false">K88*(1+(((2-3*W88^2)/24*AI88^2)+(W88*AI88*K88/4))*1)</f>
        <v>0.391869965423025</v>
      </c>
      <c r="AV88" s="36" t="n">
        <f aca="false">L88*(1+(((2-3*X88^2)/24*AJ88^2)+(X88*AJ88*L88/4))*1)</f>
        <v>0.356841712836808</v>
      </c>
    </row>
    <row r="89" customFormat="false" ht="15" hidden="false" customHeight="true" outlineLevel="0" collapsed="false">
      <c r="B89" s="34" t="s">
        <v>76</v>
      </c>
      <c r="C89" s="25" t="n">
        <f aca="false">C11+$C$28*C44</f>
        <v>0.496128</v>
      </c>
      <c r="D89" s="25" t="n">
        <f aca="false">D11+$C$28*D44</f>
        <v>0.478364</v>
      </c>
      <c r="E89" s="25" t="n">
        <f aca="false">E11+$C$28*E44</f>
        <v>0.454592</v>
      </c>
      <c r="F89" s="25" t="n">
        <f aca="false">F11+$C$28*F44</f>
        <v>0.447808</v>
      </c>
      <c r="G89" s="25" t="n">
        <f aca="false">G11+$C$28*G44</f>
        <v>0.418196</v>
      </c>
      <c r="H89" s="25" t="n">
        <f aca="false">H11+$C$28*H44</f>
        <v>0.400888</v>
      </c>
      <c r="I89" s="25" t="n">
        <f aca="false">I11+$C$28*I44</f>
        <v>0.385624</v>
      </c>
      <c r="J89" s="25" t="n">
        <f aca="false">J11+$C$28*J44</f>
        <v>0.36716</v>
      </c>
      <c r="K89" s="25" t="n">
        <f aca="false">K11+$C$28*K44</f>
        <v>0.352836</v>
      </c>
      <c r="L89" s="25" t="n">
        <f aca="false">L11+$C$28*L44</f>
        <v>0.329392</v>
      </c>
      <c r="N89" s="34" t="s">
        <v>76</v>
      </c>
      <c r="O89" s="25" t="n">
        <f aca="false">O11+$D$28*O44</f>
        <v>-0.2822</v>
      </c>
      <c r="P89" s="25" t="n">
        <f aca="false">P11+$D$28*P44</f>
        <v>-0.2598</v>
      </c>
      <c r="Q89" s="25" t="n">
        <f aca="false">Q11+$D$28*Q44</f>
        <v>-0.2413</v>
      </c>
      <c r="R89" s="25" t="n">
        <f aca="false">R11+$D$28*R44</f>
        <v>-0.2166</v>
      </c>
      <c r="S89" s="25" t="n">
        <f aca="false">S11+$D$28*S44</f>
        <v>-0.2039</v>
      </c>
      <c r="T89" s="25" t="n">
        <f aca="false">T11+$D$28*T44</f>
        <v>-0.1675</v>
      </c>
      <c r="U89" s="25" t="n">
        <f aca="false">U11+$D$28*U44</f>
        <v>-0.1533</v>
      </c>
      <c r="V89" s="25" t="n">
        <f aca="false">V11+$D$28*V44</f>
        <v>-0.1431</v>
      </c>
      <c r="W89" s="25" t="n">
        <f aca="false">W11+$D$28*W44</f>
        <v>-0.1216</v>
      </c>
      <c r="X89" s="25" t="n">
        <f aca="false">X11+$D$28*X44</f>
        <v>-0.1003</v>
      </c>
      <c r="Z89" s="34" t="s">
        <v>76</v>
      </c>
      <c r="AA89" s="25" t="n">
        <f aca="false">AA11+$E$28*AA44</f>
        <v>0.7584</v>
      </c>
      <c r="AB89" s="25" t="n">
        <f aca="false">AB11+$E$28*AB44</f>
        <v>0.7313</v>
      </c>
      <c r="AC89" s="25" t="n">
        <f aca="false">AC11+$E$28*AC44</f>
        <v>0.7236</v>
      </c>
      <c r="AD89" s="25" t="n">
        <f aca="false">AD11+$E$28*AD44</f>
        <v>0.7043</v>
      </c>
      <c r="AE89" s="25" t="n">
        <f aca="false">AE11+$E$28*AE44</f>
        <v>0.6715</v>
      </c>
      <c r="AF89" s="25" t="n">
        <f aca="false">AF11+$E$28*AF44</f>
        <v>0.6497</v>
      </c>
      <c r="AG89" s="25" t="n">
        <f aca="false">AG11+$E$28*AG44</f>
        <v>0.6195</v>
      </c>
      <c r="AH89" s="25" t="n">
        <f aca="false">AH11+$E$28*AH44</f>
        <v>0.5976</v>
      </c>
      <c r="AI89" s="25" t="n">
        <f aca="false">AI11+$E$28*AI44</f>
        <v>0.5802</v>
      </c>
      <c r="AJ89" s="25" t="n">
        <f aca="false">AJ11+$E$28*AJ44</f>
        <v>0.5564</v>
      </c>
      <c r="AL89" s="34" t="s">
        <v>76</v>
      </c>
      <c r="AM89" s="36" t="n">
        <f aca="false">C89*(1+(((2-3*O89^2)/24*AA89^2)+(O89*AA89*C89/4))*2)</f>
        <v>0.511666625856873</v>
      </c>
      <c r="AN89" s="36" t="n">
        <f aca="false">D89*(1+(((2-3*P89^2)/24*AB89^2)+(P89*AB89*D89/4))*2)</f>
        <v>0.494947187424786</v>
      </c>
      <c r="AO89" s="36" t="n">
        <f aca="false">E89*(1+(((2-3*Q89^2)/24*AC89^2)+(Q89*AC89*E89/4))*2)</f>
        <v>0.472756367152223</v>
      </c>
      <c r="AP89" s="36" t="n">
        <f aca="false">F89*(1+(((2-3*R89^2)/24*AD89^2)+(R89*AD89*F89/4))*2)</f>
        <v>0.466928611932762</v>
      </c>
      <c r="AQ89" s="36" t="n">
        <f aca="false">G89*(1+(((2-3*S89^2)/24*AE89^2)+(S89*AE89*G89/4))*2)</f>
        <v>0.435691602313634</v>
      </c>
      <c r="AR89" s="36" t="n">
        <f aca="false">H89*(1+(((2-3*T89^2)/24*AF89^2)+(T89*AF89*H89/4))*2)</f>
        <v>0.419159555773559</v>
      </c>
      <c r="AS89" s="36" t="n">
        <f aca="false">I89*(1+(((2-3*U89^2)/24*AG89^2)+(U89*AG89*I89/4))*2)</f>
        <v>0.402359059822863</v>
      </c>
      <c r="AT89" s="36" t="n">
        <f aca="false">J89*(1+(((2-3*V89^2)/24*AH89^2)+(V89*AH89*J89/4))*2)</f>
        <v>0.382578355271743</v>
      </c>
      <c r="AU89" s="36" t="n">
        <f aca="false">K89*(1+(((2-3*W89^2)/24*AI89^2)+(W89*AI89*K89/4))*2)</f>
        <v>0.367801268436832</v>
      </c>
      <c r="AV89" s="36" t="n">
        <f aca="false">L89*(1+(((2-3*X89^2)/24*AJ89^2)+(X89*AJ89*L89/4))*2)</f>
        <v>0.343103616295193</v>
      </c>
    </row>
    <row r="90" customFormat="false" ht="15" hidden="false" customHeight="true" outlineLevel="0" collapsed="false">
      <c r="B90" s="34" t="s">
        <v>77</v>
      </c>
      <c r="C90" s="25" t="n">
        <f aca="false">C12+$C$28*C45</f>
        <v>0.487336</v>
      </c>
      <c r="D90" s="25" t="n">
        <f aca="false">D12+$C$28*D45</f>
        <v>0.456136</v>
      </c>
      <c r="E90" s="25" t="n">
        <f aca="false">E12+$C$28*E45</f>
        <v>0.435296</v>
      </c>
      <c r="F90" s="25" t="n">
        <f aca="false">F12+$C$28*F45</f>
        <v>0.436536</v>
      </c>
      <c r="G90" s="25" t="n">
        <f aca="false">G12+$C$28*G45</f>
        <v>0.409876</v>
      </c>
      <c r="H90" s="25" t="n">
        <f aca="false">H12+$C$28*H45</f>
        <v>0.384628</v>
      </c>
      <c r="I90" s="25" t="n">
        <f aca="false">I12+$C$28*I45</f>
        <v>0.375072</v>
      </c>
      <c r="J90" s="25" t="n">
        <f aca="false">J12+$C$28*J45</f>
        <v>0.346848</v>
      </c>
      <c r="K90" s="25" t="n">
        <f aca="false">K12+$C$28*K45</f>
        <v>0.338772</v>
      </c>
      <c r="L90" s="25" t="n">
        <f aca="false">L12+$C$28*L45</f>
        <v>0.330628</v>
      </c>
      <c r="N90" s="34" t="s">
        <v>77</v>
      </c>
      <c r="O90" s="25" t="n">
        <f aca="false">O12+$D$28*O45</f>
        <v>-0.2455</v>
      </c>
      <c r="P90" s="25" t="n">
        <f aca="false">P12+$D$28*P45</f>
        <v>-0.2294</v>
      </c>
      <c r="Q90" s="25" t="n">
        <f aca="false">Q12+$D$28*Q45</f>
        <v>-0.2187</v>
      </c>
      <c r="R90" s="25" t="n">
        <f aca="false">R12+$D$28*R45</f>
        <v>-0.1971</v>
      </c>
      <c r="S90" s="25" t="n">
        <f aca="false">S12+$D$28*S45</f>
        <v>-0.1817</v>
      </c>
      <c r="T90" s="25" t="n">
        <f aca="false">T12+$D$28*T45</f>
        <v>-0.1501</v>
      </c>
      <c r="U90" s="25" t="n">
        <f aca="false">U12+$D$28*U45</f>
        <v>-0.1355</v>
      </c>
      <c r="V90" s="25" t="n">
        <f aca="false">V12+$D$28*V45</f>
        <v>-0.1111</v>
      </c>
      <c r="W90" s="25" t="n">
        <f aca="false">W12+$D$28*W45</f>
        <v>-0.1006</v>
      </c>
      <c r="X90" s="25" t="n">
        <f aca="false">X12+$D$28*X45</f>
        <v>-0.0833</v>
      </c>
      <c r="Z90" s="34" t="s">
        <v>77</v>
      </c>
      <c r="AA90" s="25" t="n">
        <f aca="false">AA12+$E$28*AA45</f>
        <v>0.7451</v>
      </c>
      <c r="AB90" s="25" t="n">
        <f aca="false">AB12+$E$28*AB45</f>
        <v>0.7264</v>
      </c>
      <c r="AC90" s="25" t="n">
        <f aca="false">AC12+$E$28*AC45</f>
        <v>0.7015</v>
      </c>
      <c r="AD90" s="25" t="n">
        <f aca="false">AD12+$E$28*AD45</f>
        <v>0.6783</v>
      </c>
      <c r="AE90" s="25" t="n">
        <f aca="false">AE12+$E$28*AE45</f>
        <v>0.6564</v>
      </c>
      <c r="AF90" s="25" t="n">
        <f aca="false">AF12+$E$28*AF45</f>
        <v>0.6326</v>
      </c>
      <c r="AG90" s="25" t="n">
        <f aca="false">AG12+$E$28*AG45</f>
        <v>0.6001</v>
      </c>
      <c r="AH90" s="25" t="n">
        <f aca="false">AH12+$E$28*AH45</f>
        <v>0.5837</v>
      </c>
      <c r="AI90" s="25" t="n">
        <f aca="false">AI12+$E$28*AI45</f>
        <v>0.5582</v>
      </c>
      <c r="AJ90" s="25" t="n">
        <f aca="false">AJ12+$E$28*AJ45</f>
        <v>0.5295</v>
      </c>
      <c r="AL90" s="34" t="s">
        <v>77</v>
      </c>
      <c r="AM90" s="36" t="n">
        <f aca="false">C90*(1+(((2-3*O90^2)/24*AA90^2)+(O90*AA90*C90/4))*3)</f>
        <v>0.516277641719071</v>
      </c>
      <c r="AN90" s="36" t="n">
        <f aca="false">D90*(1+(((2-3*P90^2)/24*AB90^2)+(P90*AB90*D90/4))*3)</f>
        <v>0.485554410451352</v>
      </c>
      <c r="AO90" s="36" t="n">
        <f aca="false">E90*(1+(((2-3*Q90^2)/24*AC90^2)+(Q90*AC90*E90/4))*3)</f>
        <v>0.463203894387109</v>
      </c>
      <c r="AP90" s="36" t="n">
        <f aca="false">F90*(1+(((2-3*R90^2)/24*AD90^2)+(R90*AD90*F90/4))*3)</f>
        <v>0.464713837854578</v>
      </c>
      <c r="AQ90" s="36" t="n">
        <f aca="false">G90*(1+(((2-3*S90^2)/24*AE90^2)+(S90*AE90*G90/4))*3)</f>
        <v>0.436811882004883</v>
      </c>
      <c r="AR90" s="36" t="n">
        <f aca="false">H90*(1+(((2-3*T90^2)/24*AF90^2)+(T90*AF90*H90/4))*3)</f>
        <v>0.411272482579712</v>
      </c>
      <c r="AS90" s="36" t="n">
        <f aca="false">I90*(1+(((2-3*U90^2)/24*AG90^2)+(U90*AG90*I90/4))*3)</f>
        <v>0.399330425073785</v>
      </c>
      <c r="AT90" s="36" t="n">
        <f aca="false">J90*(1+(((2-3*V90^2)/24*AH90^2)+(V90*AH90*J90/4))*3)</f>
        <v>0.369993104302665</v>
      </c>
      <c r="AU90" s="36" t="n">
        <f aca="false">K90*(1+(((2-3*W90^2)/24*AI90^2)+(W90*AI90*K90/4))*3)</f>
        <v>0.359927128557657</v>
      </c>
      <c r="AV90" s="36" t="n">
        <f aca="false">L90*(1+(((2-3*X90^2)/24*AJ90^2)+(X90*AJ90*L90/4))*3)</f>
        <v>0.349945163062721</v>
      </c>
    </row>
    <row r="91" customFormat="false" ht="15" hidden="false" customHeight="true" outlineLevel="0" collapsed="false">
      <c r="B91" s="34" t="s">
        <v>78</v>
      </c>
      <c r="C91" s="25" t="n">
        <f aca="false">C13+$C$28*C46</f>
        <v>0.453116</v>
      </c>
      <c r="D91" s="25" t="n">
        <f aca="false">D13+$C$28*D46</f>
        <v>0.44036</v>
      </c>
      <c r="E91" s="25" t="n">
        <f aca="false">E13+$C$28*E46</f>
        <v>0.422652</v>
      </c>
      <c r="F91" s="25" t="n">
        <f aca="false">F13+$C$28*F46</f>
        <v>0.41326</v>
      </c>
      <c r="G91" s="25" t="n">
        <f aca="false">G13+$C$28*G46</f>
        <v>0.400756</v>
      </c>
      <c r="H91" s="25" t="n">
        <f aca="false">H13+$C$28*H46</f>
        <v>0.372608</v>
      </c>
      <c r="I91" s="25" t="n">
        <f aca="false">I13+$C$28*I46</f>
        <v>0.36464</v>
      </c>
      <c r="J91" s="25" t="n">
        <f aca="false">J13+$C$28*J46</f>
        <v>0.34832</v>
      </c>
      <c r="K91" s="25" t="n">
        <f aca="false">K13+$C$28*K46</f>
        <v>0.3297</v>
      </c>
      <c r="L91" s="25" t="n">
        <f aca="false">L13+$C$28*L46</f>
        <v>0.300372</v>
      </c>
      <c r="N91" s="34" t="s">
        <v>78</v>
      </c>
      <c r="O91" s="25" t="n">
        <f aca="false">O13+$D$28*O46</f>
        <v>-0.2389</v>
      </c>
      <c r="P91" s="25" t="n">
        <f aca="false">P13+$D$28*P46</f>
        <v>-0.2194</v>
      </c>
      <c r="Q91" s="25" t="n">
        <f aca="false">Q13+$D$28*Q46</f>
        <v>-0.2005</v>
      </c>
      <c r="R91" s="25" t="n">
        <f aca="false">R13+$D$28*R46</f>
        <v>-0.1809</v>
      </c>
      <c r="S91" s="25" t="n">
        <f aca="false">S13+$D$28*S46</f>
        <v>-0.1531</v>
      </c>
      <c r="T91" s="25" t="n">
        <f aca="false">T13+$D$28*T46</f>
        <v>-0.1281</v>
      </c>
      <c r="U91" s="25" t="n">
        <f aca="false">U13+$D$28*U46</f>
        <v>-0.1099</v>
      </c>
      <c r="V91" s="25" t="n">
        <f aca="false">V13+$D$28*V46</f>
        <v>-0.0976</v>
      </c>
      <c r="W91" s="25" t="n">
        <f aca="false">W13+$D$28*W46</f>
        <v>-0.0747</v>
      </c>
      <c r="X91" s="25" t="n">
        <f aca="false">X13+$D$28*X46</f>
        <v>-0.0523</v>
      </c>
      <c r="Z91" s="34" t="s">
        <v>78</v>
      </c>
      <c r="AA91" s="25" t="n">
        <f aca="false">AA13+$E$28*AA46</f>
        <v>0.7084</v>
      </c>
      <c r="AB91" s="25" t="n">
        <f aca="false">AB13+$E$28*AB46</f>
        <v>0.6977</v>
      </c>
      <c r="AC91" s="25" t="n">
        <f aca="false">AC13+$E$28*AC46</f>
        <v>0.6804</v>
      </c>
      <c r="AD91" s="25" t="n">
        <f aca="false">AD13+$E$28*AD46</f>
        <v>0.6556</v>
      </c>
      <c r="AE91" s="25" t="n">
        <f aca="false">AE13+$E$28*AE46</f>
        <v>0.6328</v>
      </c>
      <c r="AF91" s="25" t="n">
        <f aca="false">AF13+$E$28*AF46</f>
        <v>0.6051</v>
      </c>
      <c r="AG91" s="25" t="n">
        <f aca="false">AG13+$E$28*AG46</f>
        <v>0.5769</v>
      </c>
      <c r="AH91" s="25" t="n">
        <f aca="false">AH13+$E$28*AH46</f>
        <v>0.5669</v>
      </c>
      <c r="AI91" s="25" t="n">
        <f aca="false">AI13+$E$28*AI46</f>
        <v>0.5355</v>
      </c>
      <c r="AJ91" s="25" t="n">
        <f aca="false">AJ13+$E$28*AJ46</f>
        <v>0.5227</v>
      </c>
      <c r="AL91" s="34" t="s">
        <v>78</v>
      </c>
      <c r="AM91" s="36" t="n">
        <f aca="false">C91*(1+(((2-3*O91^2)/24*AA91^2)+(O91*AA91*C91/4))*5)</f>
        <v>0.496316322492286</v>
      </c>
      <c r="AN91" s="36" t="n">
        <f aca="false">D91*(1+(((2-3*P91^2)/24*AB91^2)+(P91*AB91*D91/4))*5)</f>
        <v>0.486123011012361</v>
      </c>
      <c r="AO91" s="36" t="n">
        <f aca="false">E91*(1+(((2-3*Q91^2)/24*AC91^2)+(Q91*AC91*E91/4))*5)</f>
        <v>0.468800956701322</v>
      </c>
      <c r="AP91" s="36" t="n">
        <f aca="false">F91*(1+(((2-3*R91^2)/24*AD91^2)+(R91*AD91*F91/4))*5)</f>
        <v>0.45831870884581</v>
      </c>
      <c r="AQ91" s="36" t="n">
        <f aca="false">G91*(1+(((2-3*S91^2)/24*AE91^2)+(S91*AE91*G91/4))*5)</f>
        <v>0.445820846298759</v>
      </c>
      <c r="AR91" s="36" t="n">
        <f aca="false">H91*(1+(((2-3*T91^2)/24*AF91^2)+(T91*AF91*H91/4))*5)</f>
        <v>0.414602055247703</v>
      </c>
      <c r="AS91" s="36" t="n">
        <f aca="false">I91*(1+(((2-3*U91^2)/24*AG91^2)+(U91*AG91*I91/4))*5)</f>
        <v>0.403751903218981</v>
      </c>
      <c r="AT91" s="36" t="n">
        <f aca="false">J91*(1+(((2-3*V91^2)/24*AH91^2)+(V91*AH91*J91/4))*5)</f>
        <v>0.385904676879053</v>
      </c>
      <c r="AU91" s="36" t="n">
        <f aca="false">K91*(1+(((2-3*W91^2)/24*AI91^2)+(W91*AI91*K91/4))*5)</f>
        <v>0.363328602972212</v>
      </c>
      <c r="AV91" s="36" t="n">
        <f aca="false">L91*(1+(((2-3*X91^2)/24*AJ91^2)+(X91*AJ91*L91/4))*5)</f>
        <v>0.331342894859976</v>
      </c>
    </row>
    <row r="92" customFormat="false" ht="15" hidden="false" customHeight="true" outlineLevel="0" collapsed="false">
      <c r="B92" s="34" t="s">
        <v>79</v>
      </c>
      <c r="C92" s="25" t="n">
        <f aca="false">C14+$C$28*C47</f>
        <v>0.454344</v>
      </c>
      <c r="D92" s="25" t="n">
        <f aca="false">D14+$C$28*D47</f>
        <v>0.425124</v>
      </c>
      <c r="E92" s="25" t="n">
        <f aca="false">E14+$C$28*E47</f>
        <v>0.407816</v>
      </c>
      <c r="F92" s="25" t="n">
        <f aca="false">F14+$C$28*F47</f>
        <v>0.400688</v>
      </c>
      <c r="G92" s="25" t="n">
        <f aca="false">G14+$C$28*G47</f>
        <v>0.378568</v>
      </c>
      <c r="H92" s="25" t="n">
        <f aca="false">H14+$C$28*H47</f>
        <v>0.349904</v>
      </c>
      <c r="I92" s="25" t="n">
        <f aca="false">I14+$C$28*I47</f>
        <v>0.330832</v>
      </c>
      <c r="J92" s="25" t="n">
        <f aca="false">J14+$C$28*J47</f>
        <v>0.313528</v>
      </c>
      <c r="K92" s="25" t="n">
        <f aca="false">K14+$C$28*K47</f>
        <v>0.3114</v>
      </c>
      <c r="L92" s="25" t="n">
        <f aca="false">L14+$C$28*L47</f>
        <v>0.291648</v>
      </c>
      <c r="N92" s="34" t="s">
        <v>79</v>
      </c>
      <c r="O92" s="25" t="n">
        <f aca="false">O14+$D$28*O47</f>
        <v>-0.221</v>
      </c>
      <c r="P92" s="25" t="n">
        <f aca="false">P14+$D$28*P47</f>
        <v>-0.1879</v>
      </c>
      <c r="Q92" s="25" t="n">
        <f aca="false">Q14+$D$28*Q47</f>
        <v>-0.1654</v>
      </c>
      <c r="R92" s="25" t="n">
        <f aca="false">R14+$D$28*R47</f>
        <v>-0.1524</v>
      </c>
      <c r="S92" s="25" t="n">
        <f aca="false">S14+$D$28*S47</f>
        <v>-0.1391</v>
      </c>
      <c r="T92" s="25" t="n">
        <f aca="false">T14+$D$28*T47</f>
        <v>-0.1157</v>
      </c>
      <c r="U92" s="25" t="n">
        <f aca="false">U14+$D$28*U47</f>
        <v>-0.1046</v>
      </c>
      <c r="V92" s="25" t="n">
        <f aca="false">V14+$D$28*V47</f>
        <v>-0.0875</v>
      </c>
      <c r="W92" s="25" t="n">
        <f aca="false">W14+$D$28*W47</f>
        <v>-0.0489</v>
      </c>
      <c r="X92" s="25" t="n">
        <f aca="false">X14+$D$28*X47</f>
        <v>-0.0359</v>
      </c>
      <c r="Z92" s="34" t="s">
        <v>79</v>
      </c>
      <c r="AA92" s="25" t="n">
        <f aca="false">AA14+$E$28*AA47</f>
        <v>0.695</v>
      </c>
      <c r="AB92" s="25" t="n">
        <f aca="false">AB14+$E$28*AB47</f>
        <v>0.6809</v>
      </c>
      <c r="AC92" s="25" t="n">
        <f aca="false">AC14+$E$28*AC47</f>
        <v>0.6487</v>
      </c>
      <c r="AD92" s="25" t="n">
        <f aca="false">AD14+$E$28*AD47</f>
        <v>0.6352</v>
      </c>
      <c r="AE92" s="25" t="n">
        <f aca="false">AE14+$E$28*AE47</f>
        <v>0.6121</v>
      </c>
      <c r="AF92" s="25" t="n">
        <f aca="false">AF14+$E$28*AF47</f>
        <v>0.5776</v>
      </c>
      <c r="AG92" s="25" t="n">
        <f aca="false">AG14+$E$28*AG47</f>
        <v>0.5561</v>
      </c>
      <c r="AH92" s="25" t="n">
        <f aca="false">AH14+$E$28*AH47</f>
        <v>0.5347</v>
      </c>
      <c r="AI92" s="25" t="n">
        <f aca="false">AI14+$E$28*AI47</f>
        <v>0.5115</v>
      </c>
      <c r="AJ92" s="25" t="n">
        <f aca="false">AJ14+$E$28*AJ47</f>
        <v>0.4962</v>
      </c>
      <c r="AL92" s="34" t="s">
        <v>79</v>
      </c>
      <c r="AM92" s="36" t="n">
        <f aca="false">C92*(1+(((2-3*O92^2)/24*AA92^2)+(O92*AA92*C92/4))*10)</f>
        <v>0.544562695800337</v>
      </c>
      <c r="AN92" s="36" t="n">
        <f aca="false">D92*(1+(((2-3*P92^2)/24*AB92^2)+(P92*AB92*D92/4))*10)</f>
        <v>0.522866706567609</v>
      </c>
      <c r="AO92" s="36" t="n">
        <f aca="false">E92*(1+(((2-3*Q92^2)/24*AC92^2)+(Q92*AC92*E92/4))*10)</f>
        <v>0.500347255741309</v>
      </c>
      <c r="AP92" s="36" t="n">
        <f aca="false">F92*(1+(((2-3*R92^2)/24*AD92^2)+(R92*AD92*F92/4))*10)</f>
        <v>0.491863618970883</v>
      </c>
      <c r="AQ92" s="36" t="n">
        <f aca="false">G92*(1+(((2-3*S92^2)/24*AE92^2)+(S92*AE92*G92/4))*10)</f>
        <v>0.462829354897468</v>
      </c>
      <c r="AR92" s="36" t="n">
        <f aca="false">H92*(1+(((2-3*T92^2)/24*AF92^2)+(T92*AF92*H92/4))*10)</f>
        <v>0.42477535981194</v>
      </c>
      <c r="AS92" s="36" t="n">
        <f aca="false">I92*(1+(((2-3*U92^2)/24*AG92^2)+(U92*AG92*I92/4))*10)</f>
        <v>0.398773963851998</v>
      </c>
      <c r="AT92" s="36" t="n">
        <f aca="false">J92*(1+(((2-3*V92^2)/24*AH92^2)+(V92*AH92*J92/4))*10)</f>
        <v>0.375871543625738</v>
      </c>
      <c r="AU92" s="36" t="n">
        <f aca="false">K92*(1+(((2-3*W92^2)/24*AI92^2)+(W92*AI92*K92/4))*10)</f>
        <v>0.372986430756241</v>
      </c>
      <c r="AV92" s="36" t="n">
        <f aca="false">L92*(1+(((2-3*X92^2)/24*AJ92^2)+(X92*AJ92*L92/4))*10)</f>
        <v>0.347584280518465</v>
      </c>
    </row>
    <row r="93" customFormat="false" ht="15" hidden="false" customHeight="true" outlineLevel="0" collapsed="false">
      <c r="B93" s="34" t="s">
        <v>80</v>
      </c>
      <c r="C93" s="25" t="n">
        <f aca="false">C15+$C$28*C48</f>
        <v>0.42228</v>
      </c>
      <c r="D93" s="25" t="n">
        <f aca="false">D15+$C$28*D48</f>
        <v>0.407652</v>
      </c>
      <c r="E93" s="25" t="n">
        <f aca="false">E15+$C$28*E48</f>
        <v>0.384568</v>
      </c>
      <c r="F93" s="25" t="n">
        <f aca="false">F15+$C$28*F48</f>
        <v>0.382532</v>
      </c>
      <c r="G93" s="25" t="n">
        <f aca="false">G15+$C$28*G48</f>
        <v>0.353124</v>
      </c>
      <c r="H93" s="25" t="n">
        <f aca="false">H15+$C$28*H48</f>
        <v>0.337984</v>
      </c>
      <c r="I93" s="25" t="n">
        <f aca="false">I15+$C$28*I48</f>
        <v>0.322656</v>
      </c>
      <c r="J93" s="25" t="n">
        <f aca="false">J15+$C$28*J48</f>
        <v>0.311172</v>
      </c>
      <c r="K93" s="25" t="n">
        <f aca="false">K15+$C$28*K48</f>
        <v>0.28356</v>
      </c>
      <c r="L93" s="25" t="n">
        <f aca="false">L15+$C$28*L48</f>
        <v>0.2768</v>
      </c>
      <c r="N93" s="34" t="s">
        <v>80</v>
      </c>
      <c r="O93" s="25" t="n">
        <f aca="false">O15+$D$28*O48</f>
        <v>-0.1944</v>
      </c>
      <c r="P93" s="25" t="n">
        <f aca="false">P15+$D$28*P48</f>
        <v>-0.1744</v>
      </c>
      <c r="Q93" s="25" t="n">
        <f aca="false">Q15+$D$28*Q48</f>
        <v>-0.1551</v>
      </c>
      <c r="R93" s="25" t="n">
        <f aca="false">R15+$D$28*R48</f>
        <v>-0.1457</v>
      </c>
      <c r="S93" s="25" t="n">
        <f aca="false">S15+$D$28*S48</f>
        <v>-0.1179</v>
      </c>
      <c r="T93" s="25" t="n">
        <f aca="false">T15+$D$28*T48</f>
        <v>-0.1036</v>
      </c>
      <c r="U93" s="25" t="n">
        <f aca="false">U15+$D$28*U48</f>
        <v>-0.0877</v>
      </c>
      <c r="V93" s="25" t="n">
        <f aca="false">V15+$D$28*V48</f>
        <v>-0.0523</v>
      </c>
      <c r="W93" s="25" t="n">
        <f aca="false">W15+$D$28*W48</f>
        <v>-0.0454</v>
      </c>
      <c r="X93" s="25" t="n">
        <f aca="false">X15+$D$28*X48</f>
        <v>-0.02</v>
      </c>
      <c r="Z93" s="34" t="s">
        <v>80</v>
      </c>
      <c r="AA93" s="25" t="n">
        <f aca="false">AA15+$E$28*AA48</f>
        <v>0.6767</v>
      </c>
      <c r="AB93" s="25" t="n">
        <f aca="false">AB15+$E$28*AB48</f>
        <v>0.6511</v>
      </c>
      <c r="AC93" s="25" t="n">
        <f aca="false">AC15+$E$28*AC48</f>
        <v>0.6243</v>
      </c>
      <c r="AD93" s="25" t="n">
        <f aca="false">AD15+$E$28*AD48</f>
        <v>0.6059</v>
      </c>
      <c r="AE93" s="25" t="n">
        <f aca="false">AE15+$E$28*AE48</f>
        <v>0.5844</v>
      </c>
      <c r="AF93" s="25" t="n">
        <f aca="false">AF15+$E$28*AF48</f>
        <v>0.5668</v>
      </c>
      <c r="AG93" s="25" t="n">
        <f aca="false">AG15+$E$28*AG48</f>
        <v>0.531</v>
      </c>
      <c r="AH93" s="25" t="n">
        <f aca="false">AH15+$E$28*AH48</f>
        <v>0.5179</v>
      </c>
      <c r="AI93" s="25" t="n">
        <f aca="false">AI15+$E$28*AI48</f>
        <v>0.4894</v>
      </c>
      <c r="AJ93" s="25" t="n">
        <f aca="false">AJ15+$E$28*AJ48</f>
        <v>0.4678</v>
      </c>
      <c r="AL93" s="34" t="s">
        <v>80</v>
      </c>
      <c r="AM93" s="36" t="n">
        <f aca="false">C93*(1+(((2-3*O93^2)/24*AA93^2)+(O93*AA93*C93/4))*20)</f>
        <v>0.609006013223709</v>
      </c>
      <c r="AN93" s="36" t="n">
        <f aca="false">D93*(1+(((2-3*P93^2)/24*AB93^2)+(P93*AB93*D93/4))*20)</f>
        <v>0.588188348938982</v>
      </c>
      <c r="AO93" s="36" t="n">
        <f aca="false">E93*(1+(((2-3*Q93^2)/24*AC93^2)+(Q93*AC93*E93/4))*20)</f>
        <v>0.553761770461575</v>
      </c>
      <c r="AP93" s="36" t="n">
        <f aca="false">F93*(1+(((2-3*R93^2)/24*AD93^2)+(R93*AD93*F93/4))*20)</f>
        <v>0.54454419690495</v>
      </c>
      <c r="AQ93" s="36" t="n">
        <f aca="false">G93*(1+(((2-3*S93^2)/24*AE93^2)+(S93*AE93*G93/4))*20)</f>
        <v>0.506974742826907</v>
      </c>
      <c r="AR93" s="36" t="n">
        <f aca="false">H93*(1+(((2-3*T93^2)/24*AF93^2)+(T93*AF93*H93/4))*20)</f>
        <v>0.482500522324995</v>
      </c>
      <c r="AS93" s="36" t="n">
        <f aca="false">I93*(1+(((2-3*U93^2)/24*AG93^2)+(U93*AG93*I93/4))*20)</f>
        <v>0.448293418857961</v>
      </c>
      <c r="AT93" s="36" t="n">
        <f aca="false">J93*(1+(((2-3*V93^2)/24*AH93^2)+(V93*AH93*J93/4))*20)</f>
        <v>0.436592232256051</v>
      </c>
      <c r="AU93" s="36" t="n">
        <f aca="false">K93*(1+(((2-3*W93^2)/24*AI93^2)+(W93*AI93*K93/4))*20)</f>
        <v>0.387470937858446</v>
      </c>
      <c r="AV93" s="36" t="n">
        <f aca="false">L93*(1+(((2-3*X93^2)/24*AJ93^2)+(X93*AJ93*L93/4))*20)</f>
        <v>0.374111953548821</v>
      </c>
    </row>
    <row r="94" customFormat="false" ht="15" hidden="false" customHeight="true" outlineLevel="0" collapsed="false">
      <c r="B94" s="34" t="s">
        <v>81</v>
      </c>
      <c r="C94" s="25" t="n">
        <f aca="false">C16+$C$28*C49</f>
        <v>0.414544</v>
      </c>
      <c r="D94" s="25" t="n">
        <f aca="false">D16+$C$28*D49</f>
        <v>0.392236</v>
      </c>
      <c r="E94" s="25" t="n">
        <f aca="false">E16+$C$28*E49</f>
        <v>0.375028</v>
      </c>
      <c r="F94" s="25" t="n">
        <f aca="false">F16+$C$28*F49</f>
        <v>0.361584</v>
      </c>
      <c r="G94" s="25" t="n">
        <f aca="false">G16+$C$28*G49</f>
        <v>0.34658</v>
      </c>
      <c r="H94" s="25" t="n">
        <f aca="false">H16+$C$28*H49</f>
        <v>0.319808</v>
      </c>
      <c r="I94" s="25" t="n">
        <f aca="false">I16+$C$28*I49</f>
        <v>0.305372</v>
      </c>
      <c r="J94" s="25" t="n">
        <f aca="false">J16+$C$28*J49</f>
        <v>0.2852</v>
      </c>
      <c r="K94" s="25" t="n">
        <f aca="false">K16+$C$28*K49</f>
        <v>0.2687</v>
      </c>
      <c r="L94" s="25" t="n">
        <f aca="false">L16+$C$28*L49</f>
        <v>0.2557</v>
      </c>
      <c r="N94" s="34" t="s">
        <v>81</v>
      </c>
      <c r="O94" s="25" t="n">
        <f aca="false">O16+$D$28*O49</f>
        <v>-0.176</v>
      </c>
      <c r="P94" s="25" t="n">
        <f aca="false">P16+$D$28*P49</f>
        <v>-0.1549</v>
      </c>
      <c r="Q94" s="25" t="n">
        <f aca="false">Q16+$D$28*Q49</f>
        <v>-0.1366</v>
      </c>
      <c r="R94" s="25" t="n">
        <f aca="false">R16+$D$28*R49</f>
        <v>-0.1078</v>
      </c>
      <c r="S94" s="25" t="n">
        <f aca="false">S16+$D$28*S49</f>
        <v>-0.0932</v>
      </c>
      <c r="T94" s="25" t="n">
        <f aca="false">T16+$D$28*T49</f>
        <v>-0.0702</v>
      </c>
      <c r="U94" s="25" t="n">
        <f aca="false">U16+$D$28*U49</f>
        <v>-0.0495</v>
      </c>
      <c r="V94" s="25" t="n">
        <f aca="false">V16+$D$28*V49</f>
        <v>-0.0437</v>
      </c>
      <c r="W94" s="25" t="n">
        <f aca="false">W16+$D$28*W49</f>
        <v>-0.0183</v>
      </c>
      <c r="X94" s="25" t="n">
        <f aca="false">X16+$D$28*X49</f>
        <v>0.0089</v>
      </c>
      <c r="Z94" s="34" t="s">
        <v>81</v>
      </c>
      <c r="AA94" s="25" t="n">
        <f aca="false">AA16+$E$28*AA49</f>
        <v>0.6568</v>
      </c>
      <c r="AB94" s="25" t="n">
        <f aca="false">AB16+$E$28*AB49</f>
        <v>0.6205</v>
      </c>
      <c r="AC94" s="25" t="n">
        <f aca="false">AC16+$E$28*AC49</f>
        <v>0.598</v>
      </c>
      <c r="AD94" s="25" t="n">
        <f aca="false">AD16+$E$28*AD49</f>
        <v>0.5822</v>
      </c>
      <c r="AE94" s="25" t="n">
        <f aca="false">AE16+$E$28*AE49</f>
        <v>0.5526</v>
      </c>
      <c r="AF94" s="25" t="n">
        <f aca="false">AF16+$E$28*AF49</f>
        <v>0.5337</v>
      </c>
      <c r="AG94" s="25" t="n">
        <f aca="false">AG16+$E$28*AG49</f>
        <v>0.5081</v>
      </c>
      <c r="AH94" s="25" t="n">
        <f aca="false">AH16+$E$28*AH49</f>
        <v>0.4978</v>
      </c>
      <c r="AI94" s="25" t="n">
        <f aca="false">AI16+$E$28*AI49</f>
        <v>0.4779</v>
      </c>
      <c r="AJ94" s="25" t="n">
        <f aca="false">AJ16+$E$28*AJ49</f>
        <v>0.4579</v>
      </c>
      <c r="AL94" s="34" t="s">
        <v>81</v>
      </c>
      <c r="AM94" s="36" t="n">
        <f aca="false">C94*(1+(((2-3*O94^2)/24*AA94^2)+(O94*AA94*C94/4))*30)</f>
        <v>0.691855727327914</v>
      </c>
      <c r="AN94" s="36" t="n">
        <f aca="false">D94*(1+(((2-3*P94^2)/24*AB94^2)+(P94*AB94*D94/4))*30)</f>
        <v>0.645290155504246</v>
      </c>
      <c r="AO94" s="36" t="n">
        <f aca="false">E94*(1+(((2-3*Q94^2)/24*AC94^2)+(Q94*AC94*E94/4))*30)</f>
        <v>0.614755637421661</v>
      </c>
      <c r="AP94" s="36" t="n">
        <f aca="false">F94*(1+(((2-3*R94^2)/24*AD94^2)+(R94*AD94*F94/4))*30)</f>
        <v>0.601104564906165</v>
      </c>
      <c r="AQ94" s="36" t="n">
        <f aca="false">G94*(1+(((2-3*S94^2)/24*AE94^2)+(S94*AE94*G94/4))*30)</f>
        <v>0.561320105323499</v>
      </c>
      <c r="AR94" s="36" t="n">
        <f aca="false">H94*(1+(((2-3*T94^2)/24*AF94^2)+(T94*AF94*H94/4))*30)</f>
        <v>0.517117253258564</v>
      </c>
      <c r="AS94" s="36" t="n">
        <f aca="false">I94*(1+(((2-3*U94^2)/24*AG94^2)+(U94*AG94*I94/4))*30)</f>
        <v>0.484148653008652</v>
      </c>
      <c r="AT94" s="36" t="n">
        <f aca="false">J94*(1+(((2-3*V94^2)/24*AH94^2)+(V94*AH94*J94/4))*30)</f>
        <v>0.448107945315362</v>
      </c>
      <c r="AU94" s="36" t="n">
        <f aca="false">K94*(1+(((2-3*W94^2)/24*AI94^2)+(W94*AI94*K94/4))*30)</f>
        <v>0.417307140403241</v>
      </c>
      <c r="AV94" s="36" t="n">
        <f aca="false">L94*(1+(((2-3*X94^2)/24*AJ94^2)+(X94*AJ94*L94/4))*30)</f>
        <v>0.391715567316053</v>
      </c>
    </row>
    <row r="96" customFormat="false" ht="15" hidden="false" customHeight="true" outlineLevel="0" collapsed="false">
      <c r="A96" s="29" t="s">
        <v>151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customFormat="false" ht="15" hidden="false" customHeight="true" outlineLevel="0" collapsed="false">
      <c r="B97" s="29" t="s">
        <v>131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N97" s="29" t="s">
        <v>132</v>
      </c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133</v>
      </c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L97" s="33" t="s">
        <v>134</v>
      </c>
      <c r="AM97" s="33"/>
      <c r="AN97" s="33"/>
      <c r="AO97" s="33"/>
      <c r="AP97" s="33"/>
      <c r="AQ97" s="33"/>
      <c r="AR97" s="33"/>
      <c r="AS97" s="33"/>
      <c r="AT97" s="33"/>
      <c r="AU97" s="33"/>
      <c r="AV97" s="33"/>
    </row>
    <row r="98" customFormat="false" ht="15" hidden="false" customHeight="true" outlineLevel="0" collapsed="false">
      <c r="B98" s="18" t="s">
        <v>135</v>
      </c>
      <c r="C98" s="12" t="s">
        <v>136</v>
      </c>
      <c r="D98" s="12" t="s">
        <v>74</v>
      </c>
      <c r="E98" s="12" t="s">
        <v>75</v>
      </c>
      <c r="F98" s="12" t="s">
        <v>30</v>
      </c>
      <c r="G98" s="12" t="s">
        <v>76</v>
      </c>
      <c r="H98" s="12" t="s">
        <v>77</v>
      </c>
      <c r="I98" s="12" t="s">
        <v>78</v>
      </c>
      <c r="J98" s="12" t="s">
        <v>79</v>
      </c>
      <c r="K98" s="12" t="s">
        <v>80</v>
      </c>
      <c r="L98" s="12" t="s">
        <v>81</v>
      </c>
      <c r="N98" s="18" t="s">
        <v>135</v>
      </c>
      <c r="O98" s="12" t="s">
        <v>136</v>
      </c>
      <c r="P98" s="12" t="s">
        <v>74</v>
      </c>
      <c r="Q98" s="12" t="s">
        <v>75</v>
      </c>
      <c r="R98" s="12" t="s">
        <v>30</v>
      </c>
      <c r="S98" s="12" t="s">
        <v>76</v>
      </c>
      <c r="T98" s="12" t="s">
        <v>77</v>
      </c>
      <c r="U98" s="12" t="s">
        <v>78</v>
      </c>
      <c r="V98" s="12" t="s">
        <v>79</v>
      </c>
      <c r="W98" s="12" t="s">
        <v>80</v>
      </c>
      <c r="X98" s="12" t="s">
        <v>81</v>
      </c>
      <c r="Z98" s="18" t="s">
        <v>135</v>
      </c>
      <c r="AA98" s="12" t="s">
        <v>136</v>
      </c>
      <c r="AB98" s="12" t="s">
        <v>74</v>
      </c>
      <c r="AC98" s="12" t="s">
        <v>75</v>
      </c>
      <c r="AD98" s="12" t="s">
        <v>30</v>
      </c>
      <c r="AE98" s="12" t="s">
        <v>76</v>
      </c>
      <c r="AF98" s="12" t="s">
        <v>77</v>
      </c>
      <c r="AG98" s="12" t="s">
        <v>78</v>
      </c>
      <c r="AH98" s="12" t="s">
        <v>79</v>
      </c>
      <c r="AI98" s="12" t="s">
        <v>80</v>
      </c>
      <c r="AJ98" s="12" t="s">
        <v>81</v>
      </c>
      <c r="AL98" s="18" t="s">
        <v>135</v>
      </c>
      <c r="AM98" s="12" t="s">
        <v>136</v>
      </c>
      <c r="AN98" s="12" t="s">
        <v>74</v>
      </c>
      <c r="AO98" s="12" t="s">
        <v>75</v>
      </c>
      <c r="AP98" s="12" t="s">
        <v>30</v>
      </c>
      <c r="AQ98" s="12" t="s">
        <v>76</v>
      </c>
      <c r="AR98" s="12" t="s">
        <v>77</v>
      </c>
      <c r="AS98" s="12" t="s">
        <v>78</v>
      </c>
      <c r="AT98" s="12" t="s">
        <v>79</v>
      </c>
      <c r="AU98" s="12" t="s">
        <v>80</v>
      </c>
      <c r="AV98" s="12" t="s">
        <v>81</v>
      </c>
    </row>
    <row r="99" customFormat="false" ht="15" hidden="false" customHeight="true" outlineLevel="0" collapsed="false">
      <c r="B99" s="34" t="s">
        <v>136</v>
      </c>
      <c r="C99" s="25" t="n">
        <f aca="false">C7+$C$29*C40</f>
        <v>0.5793205</v>
      </c>
      <c r="D99" s="25" t="n">
        <f aca="false">D7+$C$29*D40</f>
        <v>0.557519</v>
      </c>
      <c r="E99" s="25" t="n">
        <f aca="false">E7+$C$29*E40</f>
        <v>0.54881</v>
      </c>
      <c r="F99" s="25" t="n">
        <f aca="false">F7+$C$29*F40</f>
        <v>0.51887</v>
      </c>
      <c r="G99" s="25" t="n">
        <f aca="false">G7+$C$29*G40</f>
        <v>0.5094585</v>
      </c>
      <c r="H99" s="25" t="n">
        <f aca="false">H7+$C$29*H40</f>
        <v>0.4873085</v>
      </c>
      <c r="I99" s="25" t="n">
        <f aca="false">I7+$C$29*I40</f>
        <v>0.463545</v>
      </c>
      <c r="J99" s="25" t="n">
        <f aca="false">J7+$C$29*J40</f>
        <v>0.454</v>
      </c>
      <c r="K99" s="25" t="n">
        <f aca="false">K7+$C$29*K40</f>
        <v>0.42585</v>
      </c>
      <c r="L99" s="25" t="n">
        <f aca="false">L7+$C$29*L40</f>
        <v>0.415141</v>
      </c>
      <c r="N99" s="34" t="s">
        <v>136</v>
      </c>
      <c r="O99" s="25" t="n">
        <f aca="false">O7+$D$29*O40</f>
        <v>-0.3586</v>
      </c>
      <c r="P99" s="25" t="n">
        <f aca="false">P7+$D$29*P40</f>
        <v>-0.3387</v>
      </c>
      <c r="Q99" s="25" t="n">
        <f aca="false">Q7+$D$29*Q40</f>
        <v>-0.3126</v>
      </c>
      <c r="R99" s="25" t="n">
        <f aca="false">R7+$D$29*R40</f>
        <v>-0.2851</v>
      </c>
      <c r="S99" s="25" t="n">
        <f aca="false">S7+$D$29*S40</f>
        <v>-0.2797</v>
      </c>
      <c r="T99" s="25" t="n">
        <f aca="false">T7+$D$29*T40</f>
        <v>-0.2583</v>
      </c>
      <c r="U99" s="25" t="n">
        <f aca="false">U7+$D$29*U40</f>
        <v>-0.2308</v>
      </c>
      <c r="V99" s="25" t="n">
        <f aca="false">V7+$D$29*V40</f>
        <v>-0.2049</v>
      </c>
      <c r="W99" s="25" t="n">
        <f aca="false">W7+$D$29*W40</f>
        <v>-0.1929</v>
      </c>
      <c r="X99" s="25" t="n">
        <f aca="false">X7+$D$29*X40</f>
        <v>-0.1771</v>
      </c>
      <c r="Z99" s="34" t="s">
        <v>136</v>
      </c>
      <c r="AA99" s="25" t="n">
        <f aca="false">AA7+$E$29*AA40</f>
        <v>0.8595</v>
      </c>
      <c r="AB99" s="25" t="n">
        <f aca="false">AB7+$E$29*AB40</f>
        <v>0.8187</v>
      </c>
      <c r="AC99" s="25" t="n">
        <f aca="false">AC7+$E$29*AC40</f>
        <v>0.8127</v>
      </c>
      <c r="AD99" s="25" t="n">
        <f aca="false">AD7+$E$29*AD40</f>
        <v>0.7791</v>
      </c>
      <c r="AE99" s="25" t="n">
        <f aca="false">AE7+$E$29*AE40</f>
        <v>0.754</v>
      </c>
      <c r="AF99" s="25" t="n">
        <f aca="false">AF7+$E$29*AF40</f>
        <v>0.7312</v>
      </c>
      <c r="AG99" s="25" t="n">
        <f aca="false">AG7+$E$29*AG40</f>
        <v>0.7128</v>
      </c>
      <c r="AH99" s="25" t="n">
        <f aca="false">AH7+$E$29*AH40</f>
        <v>0.7008</v>
      </c>
      <c r="AI99" s="25" t="n">
        <f aca="false">AI7+$E$29*AI40</f>
        <v>0.6658</v>
      </c>
      <c r="AJ99" s="25" t="n">
        <f aca="false">AJ7+$E$29*AJ40</f>
        <v>0.6516</v>
      </c>
      <c r="AL99" s="34" t="s">
        <v>136</v>
      </c>
      <c r="AM99" s="36" t="n">
        <f aca="false">C99*(1+(((2-3*O99^2)/24*AA99^2)+(O99*AA99*C99/4))*0.0833333333333333)</f>
        <v>0.579564197567019</v>
      </c>
      <c r="AN99" s="36" t="n">
        <f aca="false">D99*(1+(((2-3*P99^2)/24*AB99^2)+(P99*AB99*D99/4))*0.0833333333333333)</f>
        <v>0.557871872753836</v>
      </c>
      <c r="AO99" s="36" t="n">
        <f aca="false">E99*(1+(((2-3*Q99^2)/24*AC99^2)+(Q99*AC99*E99/4))*0.0833333333333333)</f>
        <v>0.549364121248182</v>
      </c>
      <c r="AP99" s="36" t="n">
        <f aca="false">F99*(1+(((2-3*R99^2)/24*AD99^2)+(R99*AD99*F99/4))*0.0833333333333333)</f>
        <v>0.519544651784322</v>
      </c>
      <c r="AQ99" s="36" t="n">
        <f aca="false">G99*(1+(((2-3*S99^2)/24*AE99^2)+(S99*AE99*G99/4))*0.0833333333333333)</f>
        <v>0.510093472059407</v>
      </c>
      <c r="AR99" s="36" t="n">
        <f aca="false">H99*(1+(((2-3*T99^2)/24*AF99^2)+(T99*AF99*H99/4))*0.0833333333333333)</f>
        <v>0.488002352397713</v>
      </c>
      <c r="AS99" s="36" t="n">
        <f aca="false">I99*(1+(((2-3*U99^2)/24*AG99^2)+(U99*AG99*I99/4))*0.0833333333333333)</f>
        <v>0.464313413322327</v>
      </c>
      <c r="AT99" s="36" t="n">
        <f aca="false">J99*(1+(((2-3*V99^2)/24*AH99^2)+(V99*AH99*J99/4))*0.0833333333333333)</f>
        <v>0.454834278282476</v>
      </c>
      <c r="AU99" s="36" t="n">
        <f aca="false">K99*(1+(((2-3*W99^2)/24*AI99^2)+(W99*AI99*K99/4))*0.0833333333333333)</f>
        <v>0.426602535524867</v>
      </c>
      <c r="AV99" s="36" t="n">
        <f aca="false">L99*(1+(((2-3*X99^2)/24*AJ99^2)+(X99*AJ99*L99/4))*0.0833333333333333)</f>
        <v>0.415893119068179</v>
      </c>
    </row>
    <row r="100" customFormat="false" ht="15" hidden="false" customHeight="true" outlineLevel="0" collapsed="false">
      <c r="B100" s="34" t="s">
        <v>74</v>
      </c>
      <c r="C100" s="25" t="n">
        <f aca="false">C8+$C$29*C41</f>
        <v>0.5668295</v>
      </c>
      <c r="D100" s="25" t="n">
        <f aca="false">D8+$C$29*D41</f>
        <v>0.542882</v>
      </c>
      <c r="E100" s="25" t="n">
        <f aca="false">E8+$C$29*E41</f>
        <v>0.5279985</v>
      </c>
      <c r="F100" s="25" t="n">
        <f aca="false">F8+$C$29*F41</f>
        <v>0.499487</v>
      </c>
      <c r="G100" s="25" t="n">
        <f aca="false">G8+$C$29*G41</f>
        <v>0.481803</v>
      </c>
      <c r="H100" s="25" t="n">
        <f aca="false">H8+$C$29*H41</f>
        <v>0.465707</v>
      </c>
      <c r="I100" s="25" t="n">
        <f aca="false">I8+$C$29*I41</f>
        <v>0.4572155</v>
      </c>
      <c r="J100" s="25" t="n">
        <f aca="false">J8+$C$29*J41</f>
        <v>0.4330965</v>
      </c>
      <c r="K100" s="25" t="n">
        <f aca="false">K8+$C$29*K41</f>
        <v>0.4130485</v>
      </c>
      <c r="L100" s="25" t="n">
        <f aca="false">L8+$C$29*L41</f>
        <v>0.3997805</v>
      </c>
      <c r="N100" s="34" t="s">
        <v>74</v>
      </c>
      <c r="O100" s="25" t="n">
        <f aca="false">O8+$D$29*O41</f>
        <v>-0.3315</v>
      </c>
      <c r="P100" s="25" t="n">
        <f aca="false">P8+$D$29*P41</f>
        <v>-0.3151</v>
      </c>
      <c r="Q100" s="25" t="n">
        <f aca="false">Q8+$D$29*Q41</f>
        <v>-0.2858</v>
      </c>
      <c r="R100" s="25" t="n">
        <f aca="false">R8+$D$29*R41</f>
        <v>-0.2682</v>
      </c>
      <c r="S100" s="25" t="n">
        <f aca="false">S8+$D$29*S41</f>
        <v>-0.2579</v>
      </c>
      <c r="T100" s="25" t="n">
        <f aca="false">T8+$D$29*T41</f>
        <v>-0.2318</v>
      </c>
      <c r="U100" s="25" t="n">
        <f aca="false">U8+$D$29*U41</f>
        <v>-0.2134</v>
      </c>
      <c r="V100" s="25" t="n">
        <f aca="false">V8+$D$29*V41</f>
        <v>-0.1869</v>
      </c>
      <c r="W100" s="25" t="n">
        <f aca="false">W8+$D$29*W41</f>
        <v>-0.1704</v>
      </c>
      <c r="X100" s="25" t="n">
        <f aca="false">X8+$D$29*X41</f>
        <v>-0.1598</v>
      </c>
      <c r="Z100" s="34" t="s">
        <v>74</v>
      </c>
      <c r="AA100" s="25" t="n">
        <f aca="false">AA8+$E$29*AA41</f>
        <v>0.8374</v>
      </c>
      <c r="AB100" s="25" t="n">
        <f aca="false">AB8+$E$29*AB41</f>
        <v>0.7979</v>
      </c>
      <c r="AC100" s="25" t="n">
        <f aca="false">AC8+$E$29*AC41</f>
        <v>0.7817</v>
      </c>
      <c r="AD100" s="25" t="n">
        <f aca="false">AD8+$E$29*AD41</f>
        <v>0.7663</v>
      </c>
      <c r="AE100" s="25" t="n">
        <f aca="false">AE8+$E$29*AE41</f>
        <v>0.7319</v>
      </c>
      <c r="AF100" s="25" t="n">
        <f aca="false">AF8+$E$29*AF41</f>
        <v>0.7164</v>
      </c>
      <c r="AG100" s="25" t="n">
        <f aca="false">AG8+$E$29*AG41</f>
        <v>0.6852</v>
      </c>
      <c r="AH100" s="25" t="n">
        <f aca="false">AH8+$E$29*AH41</f>
        <v>0.6756</v>
      </c>
      <c r="AI100" s="25" t="n">
        <f aca="false">AI8+$E$29*AI41</f>
        <v>0.6553</v>
      </c>
      <c r="AJ100" s="25" t="n">
        <f aca="false">AJ8+$E$29*AJ41</f>
        <v>0.6292</v>
      </c>
      <c r="AL100" s="34" t="s">
        <v>74</v>
      </c>
      <c r="AM100" s="36" t="n">
        <f aca="false">C100*(1+(((2-3*O100^2)/24*AA100^2)+(O100*AA100*C100/4))*0.25)</f>
        <v>0.568170941284092</v>
      </c>
      <c r="AN100" s="36" t="n">
        <f aca="false">D100*(1+(((2-3*P100^2)/24*AB100^2)+(P100*AB100*D100/4))*0.25)</f>
        <v>0.544378955073821</v>
      </c>
      <c r="AO100" s="36" t="n">
        <f aca="false">E100*(1+(((2-3*Q100^2)/24*AC100^2)+(Q100*AC100*E100/4))*0.25)</f>
        <v>0.530003868319567</v>
      </c>
      <c r="AP100" s="36" t="n">
        <f aca="false">F100*(1+(((2-3*R100^2)/24*AD100^2)+(R100*AD100*F100/4))*0.25)</f>
        <v>0.501733554841795</v>
      </c>
      <c r="AQ100" s="36" t="n">
        <f aca="false">G100*(1+(((2-3*S100^2)/24*AE100^2)+(S100*AE100*G100/4))*0.25)</f>
        <v>0.483904892846475</v>
      </c>
      <c r="AR100" s="36" t="n">
        <f aca="false">H100*(1+(((2-3*T100^2)/24*AF100^2)+(T100*AF100*H100/4))*0.25)</f>
        <v>0.468034140600272</v>
      </c>
      <c r="AS100" s="36" t="n">
        <f aca="false">I100*(1+(((2-3*U100^2)/24*AG100^2)+(U100*AG100*I100/4))*0.25)</f>
        <v>0.459471700513599</v>
      </c>
      <c r="AT100" s="36" t="n">
        <f aca="false">J100*(1+(((2-3*V100^2)/24*AH100^2)+(V100*AH100*J100/4))*0.25)</f>
        <v>0.435518759185484</v>
      </c>
      <c r="AU100" s="36" t="n">
        <f aca="false">K100*(1+(((2-3*W100^2)/24*AI100^2)+(W100*AI100*K100/4))*0.25)</f>
        <v>0.415392104995172</v>
      </c>
      <c r="AV100" s="36" t="n">
        <f aca="false">L100*(1+(((2-3*X100^2)/24*AJ100^2)+(X100*AJ100*L100/4))*0.25)</f>
        <v>0.401947136757041</v>
      </c>
    </row>
    <row r="101" customFormat="false" ht="15" hidden="false" customHeight="true" outlineLevel="0" collapsed="false">
      <c r="B101" s="34" t="s">
        <v>75</v>
      </c>
      <c r="C101" s="25" t="n">
        <f aca="false">C9+$C$29*C42</f>
        <v>0.552695</v>
      </c>
      <c r="D101" s="25" t="n">
        <f aca="false">D9+$C$29*D42</f>
        <v>0.5232165</v>
      </c>
      <c r="E101" s="25" t="n">
        <f aca="false">E9+$C$29*E42</f>
        <v>0.5131325</v>
      </c>
      <c r="F101" s="25" t="n">
        <f aca="false">F9+$C$29*F42</f>
        <v>0.492134</v>
      </c>
      <c r="G101" s="25" t="n">
        <f aca="false">G9+$C$29*G42</f>
        <v>0.4739245</v>
      </c>
      <c r="H101" s="25" t="n">
        <f aca="false">H9+$C$29*H42</f>
        <v>0.452262</v>
      </c>
      <c r="I101" s="25" t="n">
        <f aca="false">I9+$C$29*I42</f>
        <v>0.441007</v>
      </c>
      <c r="J101" s="25" t="n">
        <f aca="false">J9+$C$29*J42</f>
        <v>0.425259</v>
      </c>
      <c r="K101" s="25" t="n">
        <f aca="false">K9+$C$29*K42</f>
        <v>0.3974985</v>
      </c>
      <c r="L101" s="25" t="n">
        <f aca="false">L9+$C$29*L42</f>
        <v>0.382118</v>
      </c>
      <c r="N101" s="34" t="s">
        <v>75</v>
      </c>
      <c r="O101" s="25" t="n">
        <f aca="false">O9+$D$29*O42</f>
        <v>-0.3199</v>
      </c>
      <c r="P101" s="25" t="n">
        <f aca="false">P9+$D$29*P42</f>
        <v>-0.2876</v>
      </c>
      <c r="Q101" s="25" t="n">
        <f aca="false">Q9+$D$29*Q42</f>
        <v>-0.2693</v>
      </c>
      <c r="R101" s="25" t="n">
        <f aca="false">R9+$D$29*R42</f>
        <v>-0.2429</v>
      </c>
      <c r="S101" s="25" t="n">
        <f aca="false">S9+$D$29*S42</f>
        <v>-0.2269</v>
      </c>
      <c r="T101" s="25" t="n">
        <f aca="false">T9+$D$29*T42</f>
        <v>-0.2182</v>
      </c>
      <c r="U101" s="25" t="n">
        <f aca="false">U9+$D$29*U42</f>
        <v>-0.1967</v>
      </c>
      <c r="V101" s="25" t="n">
        <f aca="false">V9+$D$29*V42</f>
        <v>-0.1716</v>
      </c>
      <c r="W101" s="25" t="n">
        <f aca="false">W9+$D$29*W42</f>
        <v>-0.1651</v>
      </c>
      <c r="X101" s="25" t="n">
        <f aca="false">X9+$D$29*X42</f>
        <v>-0.1369</v>
      </c>
      <c r="Z101" s="34" t="s">
        <v>75</v>
      </c>
      <c r="AA101" s="25" t="n">
        <f aca="false">AA9+$E$29*AA42</f>
        <v>0.7989</v>
      </c>
      <c r="AB101" s="25" t="n">
        <f aca="false">AB9+$E$29*AB42</f>
        <v>0.7757</v>
      </c>
      <c r="AC101" s="25" t="n">
        <f aca="false">AC9+$E$29*AC42</f>
        <v>0.7523</v>
      </c>
      <c r="AD101" s="25" t="n">
        <f aca="false">AD9+$E$29*AD42</f>
        <v>0.7443</v>
      </c>
      <c r="AE101" s="25" t="n">
        <f aca="false">AE9+$E$29*AE42</f>
        <v>0.7093</v>
      </c>
      <c r="AF101" s="25" t="n">
        <f aca="false">AF9+$E$29*AF42</f>
        <v>0.6894</v>
      </c>
      <c r="AG101" s="25" t="n">
        <f aca="false">AG9+$E$29*AG42</f>
        <v>0.67</v>
      </c>
      <c r="AH101" s="25" t="n">
        <f aca="false">AH9+$E$29*AH42</f>
        <v>0.6574</v>
      </c>
      <c r="AI101" s="25" t="n">
        <f aca="false">AI9+$E$29*AI42</f>
        <v>0.6194</v>
      </c>
      <c r="AJ101" s="25" t="n">
        <f aca="false">AJ9+$E$29*AJ42</f>
        <v>0.6045</v>
      </c>
      <c r="AL101" s="34" t="s">
        <v>75</v>
      </c>
      <c r="AM101" s="36" t="n">
        <f aca="false">C101*(1+(((2-3*O101^2)/24*AA101^2)+(O101*AA101*C101/4))*0.5)</f>
        <v>0.555378218436715</v>
      </c>
      <c r="AN101" s="36" t="n">
        <f aca="false">D101*(1+(((2-3*P101^2)/24*AB101^2)+(P101*AB101*D101/4))*0.5)</f>
        <v>0.527072620985792</v>
      </c>
      <c r="AO101" s="36" t="n">
        <f aca="false">E101*(1+(((2-3*Q101^2)/24*AC101^2)+(Q101*AC101*E101/4))*0.5)</f>
        <v>0.51724857657486</v>
      </c>
      <c r="AP101" s="36" t="n">
        <f aca="false">F101*(1+(((2-3*R101^2)/24*AD101^2)+(R101*AD101*F101/4))*0.5)</f>
        <v>0.497015052423015</v>
      </c>
      <c r="AQ101" s="36" t="n">
        <f aca="false">G101*(1+(((2-3*S101^2)/24*AE101^2)+(S101*AE101*G101/4))*0.5)</f>
        <v>0.478573569286868</v>
      </c>
      <c r="AR101" s="36" t="n">
        <f aca="false">H101*(1+(((2-3*T101^2)/24*AF101^2)+(T101*AF101*H101/4))*0.5)</f>
        <v>0.456732469371778</v>
      </c>
      <c r="AS101" s="36" t="n">
        <f aca="false">I101*(1+(((2-3*U101^2)/24*AG101^2)+(U101*AG101*I101/4))*0.5)</f>
        <v>0.445573037172315</v>
      </c>
      <c r="AT101" s="36" t="n">
        <f aca="false">J101*(1+(((2-3*V101^2)/24*AH101^2)+(V101*AH101*J101/4))*0.5)</f>
        <v>0.430028376621958</v>
      </c>
      <c r="AU101" s="36" t="n">
        <f aca="false">K101*(1+(((2-3*W101^2)/24*AI101^2)+(W101*AI101*K101/4))*0.5)</f>
        <v>0.401573219044586</v>
      </c>
      <c r="AV101" s="36" t="n">
        <f aca="false">L101*(1+(((2-3*X101^2)/24*AJ101^2)+(X101*AJ101*L101/4))*0.5)</f>
        <v>0.386262064540913</v>
      </c>
    </row>
    <row r="102" customFormat="false" ht="15" hidden="false" customHeight="true" outlineLevel="0" collapsed="false">
      <c r="B102" s="34" t="s">
        <v>30</v>
      </c>
      <c r="C102" s="25" t="n">
        <f aca="false">C10+$C$29*C43</f>
        <v>0.5277525</v>
      </c>
      <c r="D102" s="25" t="n">
        <f aca="false">D10+$C$29*D43</f>
        <v>0.516215</v>
      </c>
      <c r="E102" s="25" t="n">
        <f aca="false">E10+$C$29*E43</f>
        <v>0.497249</v>
      </c>
      <c r="F102" s="25" t="n">
        <f aca="false">F10+$C$29*F43</f>
        <v>0.4793375</v>
      </c>
      <c r="G102" s="25" t="n">
        <f aca="false">G10+$C$29*G43</f>
        <v>0.4483135</v>
      </c>
      <c r="H102" s="25" t="n">
        <f aca="false">H10+$C$29*H43</f>
        <v>0.4327325</v>
      </c>
      <c r="I102" s="25" t="n">
        <f aca="false">I10+$C$29*I43</f>
        <v>0.412903</v>
      </c>
      <c r="J102" s="25" t="n">
        <f aca="false">J10+$C$29*J43</f>
        <v>0.404817</v>
      </c>
      <c r="K102" s="25" t="n">
        <f aca="false">K10+$C$29*K43</f>
        <v>0.388674</v>
      </c>
      <c r="L102" s="25" t="n">
        <f aca="false">L10+$C$29*L43</f>
        <v>0.3532705</v>
      </c>
      <c r="N102" s="34" t="s">
        <v>30</v>
      </c>
      <c r="O102" s="25" t="n">
        <f aca="false">O10+$D$29*O43</f>
        <v>-0.2981</v>
      </c>
      <c r="P102" s="25" t="n">
        <f aca="false">P10+$D$29*P43</f>
        <v>-0.2776</v>
      </c>
      <c r="Q102" s="25" t="n">
        <f aca="false">Q10+$D$29*Q43</f>
        <v>-0.2581</v>
      </c>
      <c r="R102" s="25" t="n">
        <f aca="false">R10+$D$29*R43</f>
        <v>-0.2336</v>
      </c>
      <c r="S102" s="25" t="n">
        <f aca="false">S10+$D$29*S43</f>
        <v>-0.2121</v>
      </c>
      <c r="T102" s="25" t="n">
        <f aca="false">T10+$D$29*T43</f>
        <v>-0.1992</v>
      </c>
      <c r="U102" s="25" t="n">
        <f aca="false">U10+$D$29*U43</f>
        <v>-0.1849</v>
      </c>
      <c r="V102" s="25" t="n">
        <f aca="false">V10+$D$29*V43</f>
        <v>-0.1572</v>
      </c>
      <c r="W102" s="25" t="n">
        <f aca="false">W10+$D$29*W43</f>
        <v>-0.1387</v>
      </c>
      <c r="X102" s="25" t="n">
        <f aca="false">X10+$D$29*X43</f>
        <v>-0.1153</v>
      </c>
      <c r="Z102" s="34" t="s">
        <v>30</v>
      </c>
      <c r="AA102" s="25" t="n">
        <f aca="false">AA10+$E$29*AA43</f>
        <v>0.7924</v>
      </c>
      <c r="AB102" s="25" t="n">
        <f aca="false">AB10+$E$29*AB43</f>
        <v>0.7649</v>
      </c>
      <c r="AC102" s="25" t="n">
        <f aca="false">AC10+$E$29*AC43</f>
        <v>0.7392</v>
      </c>
      <c r="AD102" s="25" t="n">
        <f aca="false">AD10+$E$29*AD43</f>
        <v>0.719</v>
      </c>
      <c r="AE102" s="25" t="n">
        <f aca="false">AE10+$E$29*AE43</f>
        <v>0.698</v>
      </c>
      <c r="AF102" s="25" t="n">
        <f aca="false">AF10+$E$29*AF43</f>
        <v>0.6633</v>
      </c>
      <c r="AG102" s="25" t="n">
        <f aca="false">AG10+$E$29*AG43</f>
        <v>0.658</v>
      </c>
      <c r="AH102" s="25" t="n">
        <f aca="false">AH10+$E$29*AH43</f>
        <v>0.6334</v>
      </c>
      <c r="AI102" s="25" t="n">
        <f aca="false">AI10+$E$29*AI43</f>
        <v>0.613</v>
      </c>
      <c r="AJ102" s="25" t="n">
        <f aca="false">AJ10+$E$29*AJ43</f>
        <v>0.5893</v>
      </c>
      <c r="AL102" s="34" t="s">
        <v>30</v>
      </c>
      <c r="AM102" s="36" t="n">
        <f aca="false">C102*(1+(((2-3*O102^2)/24*AA102^2)+(O102*AA102*C102/4))*1)</f>
        <v>0.535238387030492</v>
      </c>
      <c r="AN102" s="36" t="n">
        <f aca="false">D102*(1+(((2-3*P102^2)/24*AB102^2)+(P102*AB102*D102/4))*1)</f>
        <v>0.524328546257564</v>
      </c>
      <c r="AO102" s="36" t="n">
        <f aca="false">E102*(1+(((2-3*Q102^2)/24*AC102^2)+(Q102*AC102*E102/4))*1)</f>
        <v>0.505835251778364</v>
      </c>
      <c r="AP102" s="36" t="n">
        <f aca="false">F102*(1+(((2-3*R102^2)/24*AD102^2)+(R102*AD102*F102/4))*1)</f>
        <v>0.488649417255684</v>
      </c>
      <c r="AQ102" s="36" t="n">
        <f aca="false">G102*(1+(((2-3*S102^2)/24*AE102^2)+(S102*AE102*G102/4))*1)</f>
        <v>0.457848189278598</v>
      </c>
      <c r="AR102" s="36" t="n">
        <f aca="false">H102*(1+(((2-3*T102^2)/24*AF102^2)+(T102*AF102*H102/4))*1)</f>
        <v>0.441468274127753</v>
      </c>
      <c r="AS102" s="36" t="n">
        <f aca="false">I102*(1+(((2-3*U102^2)/24*AG102^2)+(U102*AG102*I102/4))*1)</f>
        <v>0.42185109641024</v>
      </c>
      <c r="AT102" s="36" t="n">
        <f aca="false">J102*(1+(((2-3*V102^2)/24*AH102^2)+(V102*AH102*J102/4))*1)</f>
        <v>0.413770225261134</v>
      </c>
      <c r="AU102" s="36" t="n">
        <f aca="false">K102*(1+(((2-3*W102^2)/24*AI102^2)+(W102*AI102*K102/4))*1)</f>
        <v>0.397282701674923</v>
      </c>
      <c r="AV102" s="36" t="n">
        <f aca="false">L102*(1+(((2-3*X102^2)/24*AJ102^2)+(X102*AJ102*L102/4))*1)</f>
        <v>0.361170193111996</v>
      </c>
    </row>
    <row r="103" customFormat="false" ht="15" hidden="false" customHeight="true" outlineLevel="0" collapsed="false">
      <c r="B103" s="34" t="s">
        <v>76</v>
      </c>
      <c r="C103" s="25" t="n">
        <f aca="false">C11+$C$29*C44</f>
        <v>0.506702</v>
      </c>
      <c r="D103" s="25" t="n">
        <f aca="false">D11+$C$29*D44</f>
        <v>0.4881135</v>
      </c>
      <c r="E103" s="25" t="n">
        <f aca="false">E11+$C$29*E44</f>
        <v>0.4634405</v>
      </c>
      <c r="F103" s="25" t="n">
        <f aca="false">F11+$C$29*F44</f>
        <v>0.456172</v>
      </c>
      <c r="G103" s="25" t="n">
        <f aca="false">G11+$C$29*G44</f>
        <v>0.425489</v>
      </c>
      <c r="H103" s="25" t="n">
        <f aca="false">H11+$C$29*H44</f>
        <v>0.4076795</v>
      </c>
      <c r="I103" s="25" t="n">
        <f aca="false">I11+$C$29*I44</f>
        <v>0.3913785</v>
      </c>
      <c r="J103" s="25" t="n">
        <f aca="false">J11+$C$29*J44</f>
        <v>0.3723025</v>
      </c>
      <c r="K103" s="25" t="n">
        <f aca="false">K11+$C$29*K44</f>
        <v>0.3571115</v>
      </c>
      <c r="L103" s="25" t="n">
        <f aca="false">L11+$C$29*L44</f>
        <v>0.332928</v>
      </c>
      <c r="N103" s="34" t="s">
        <v>76</v>
      </c>
      <c r="O103" s="25" t="n">
        <f aca="false">O11+$D$29*O44</f>
        <v>-0.2822</v>
      </c>
      <c r="P103" s="25" t="n">
        <f aca="false">P11+$D$29*P44</f>
        <v>-0.2598</v>
      </c>
      <c r="Q103" s="25" t="n">
        <f aca="false">Q11+$D$29*Q44</f>
        <v>-0.2413</v>
      </c>
      <c r="R103" s="25" t="n">
        <f aca="false">R11+$D$29*R44</f>
        <v>-0.2166</v>
      </c>
      <c r="S103" s="25" t="n">
        <f aca="false">S11+$D$29*S44</f>
        <v>-0.2039</v>
      </c>
      <c r="T103" s="25" t="n">
        <f aca="false">T11+$D$29*T44</f>
        <v>-0.1675</v>
      </c>
      <c r="U103" s="25" t="n">
        <f aca="false">U11+$D$29*U44</f>
        <v>-0.1533</v>
      </c>
      <c r="V103" s="25" t="n">
        <f aca="false">V11+$D$29*V44</f>
        <v>-0.1431</v>
      </c>
      <c r="W103" s="25" t="n">
        <f aca="false">W11+$D$29*W44</f>
        <v>-0.1216</v>
      </c>
      <c r="X103" s="25" t="n">
        <f aca="false">X11+$D$29*X44</f>
        <v>-0.1003</v>
      </c>
      <c r="Z103" s="34" t="s">
        <v>76</v>
      </c>
      <c r="AA103" s="25" t="n">
        <f aca="false">AA11+$E$29*AA44</f>
        <v>0.7584</v>
      </c>
      <c r="AB103" s="25" t="n">
        <f aca="false">AB11+$E$29*AB44</f>
        <v>0.7313</v>
      </c>
      <c r="AC103" s="25" t="n">
        <f aca="false">AC11+$E$29*AC44</f>
        <v>0.7236</v>
      </c>
      <c r="AD103" s="25" t="n">
        <f aca="false">AD11+$E$29*AD44</f>
        <v>0.7043</v>
      </c>
      <c r="AE103" s="25" t="n">
        <f aca="false">AE11+$E$29*AE44</f>
        <v>0.6715</v>
      </c>
      <c r="AF103" s="25" t="n">
        <f aca="false">AF11+$E$29*AF44</f>
        <v>0.6497</v>
      </c>
      <c r="AG103" s="25" t="n">
        <f aca="false">AG11+$E$29*AG44</f>
        <v>0.6195</v>
      </c>
      <c r="AH103" s="25" t="n">
        <f aca="false">AH11+$E$29*AH44</f>
        <v>0.5976</v>
      </c>
      <c r="AI103" s="25" t="n">
        <f aca="false">AI11+$E$29*AI44</f>
        <v>0.5802</v>
      </c>
      <c r="AJ103" s="25" t="n">
        <f aca="false">AJ11+$E$29*AJ44</f>
        <v>0.5564</v>
      </c>
      <c r="AL103" s="34" t="s">
        <v>76</v>
      </c>
      <c r="AM103" s="36" t="n">
        <f aca="false">C103*(1+(((2-3*O103^2)/24*AA103^2)+(O103*AA103*C103/4))*2)</f>
        <v>0.521998454711438</v>
      </c>
      <c r="AN103" s="36" t="n">
        <f aca="false">D103*(1+(((2-3*P103^2)/24*AB103^2)+(P103*AB103*D103/4))*2)</f>
        <v>0.504582595806105</v>
      </c>
      <c r="AO103" s="36" t="n">
        <f aca="false">E103*(1+(((2-3*Q103^2)/24*AC103^2)+(Q103*AC103*E103/4))*2)</f>
        <v>0.481600425877572</v>
      </c>
      <c r="AP103" s="36" t="n">
        <f aca="false">F103*(1+(((2-3*R103^2)/24*AD103^2)+(R103*AD103*F103/4))*2)</f>
        <v>0.475358715991569</v>
      </c>
      <c r="AQ103" s="36" t="n">
        <f aca="false">G103*(1+(((2-3*S103^2)/24*AE103^2)+(S103*AE103*G103/4))*2)</f>
        <v>0.443077275622866</v>
      </c>
      <c r="AR103" s="36" t="n">
        <f aca="false">H103*(1+(((2-3*T103^2)/24*AF103^2)+(T103*AF103*H103/4))*2)</f>
        <v>0.426109942217151</v>
      </c>
      <c r="AS103" s="36" t="n">
        <f aca="false">I103*(1+(((2-3*U103^2)/24*AG103^2)+(U103*AG103*I103/4))*2)</f>
        <v>0.408256345480133</v>
      </c>
      <c r="AT103" s="36" t="n">
        <f aca="false">J103*(1+(((2-3*V103^2)/24*AH103^2)+(V103*AH103*J103/4))*2)</f>
        <v>0.387854943618721</v>
      </c>
      <c r="AU103" s="36" t="n">
        <f aca="false">K103*(1+(((2-3*W103^2)/24*AI103^2)+(W103*AI103*K103/4))*2)</f>
        <v>0.372204249784431</v>
      </c>
      <c r="AV103" s="36" t="n">
        <f aca="false">L103*(1+(((2-3*X103^2)/24*AJ103^2)+(X103*AJ103*L103/4))*2)</f>
        <v>0.346753960648394</v>
      </c>
    </row>
    <row r="104" customFormat="false" ht="15" hidden="false" customHeight="true" outlineLevel="0" collapsed="false">
      <c r="B104" s="34" t="s">
        <v>77</v>
      </c>
      <c r="C104" s="25" t="n">
        <f aca="false">C12+$C$29*C45</f>
        <v>0.497349</v>
      </c>
      <c r="D104" s="25" t="n">
        <f aca="false">D12+$C$29*D45</f>
        <v>0.465299</v>
      </c>
      <c r="E104" s="25" t="n">
        <f aca="false">E12+$C$29*E45</f>
        <v>0.443439</v>
      </c>
      <c r="F104" s="25" t="n">
        <f aca="false">F12+$C$29*F45</f>
        <v>0.4442115</v>
      </c>
      <c r="G104" s="25" t="n">
        <f aca="false">G12+$C$29*G45</f>
        <v>0.4164465</v>
      </c>
      <c r="H104" s="25" t="n">
        <f aca="false">H12+$C$29*H45</f>
        <v>0.390527</v>
      </c>
      <c r="I104" s="25" t="n">
        <f aca="false">I12+$C$29*I45</f>
        <v>0.3804355</v>
      </c>
      <c r="J104" s="25" t="n">
        <f aca="false">J12+$C$29*J45</f>
        <v>0.3513445</v>
      </c>
      <c r="K104" s="25" t="n">
        <f aca="false">K12+$C$29*K45</f>
        <v>0.342223</v>
      </c>
      <c r="L104" s="25" t="n">
        <f aca="false">L12+$C$29*L45</f>
        <v>0.3337645</v>
      </c>
      <c r="N104" s="34" t="s">
        <v>77</v>
      </c>
      <c r="O104" s="25" t="n">
        <f aca="false">O12+$D$29*O45</f>
        <v>-0.2455</v>
      </c>
      <c r="P104" s="25" t="n">
        <f aca="false">P12+$D$29*P45</f>
        <v>-0.2294</v>
      </c>
      <c r="Q104" s="25" t="n">
        <f aca="false">Q12+$D$29*Q45</f>
        <v>-0.2187</v>
      </c>
      <c r="R104" s="25" t="n">
        <f aca="false">R12+$D$29*R45</f>
        <v>-0.1971</v>
      </c>
      <c r="S104" s="25" t="n">
        <f aca="false">S12+$D$29*S45</f>
        <v>-0.1817</v>
      </c>
      <c r="T104" s="25" t="n">
        <f aca="false">T12+$D$29*T45</f>
        <v>-0.1501</v>
      </c>
      <c r="U104" s="25" t="n">
        <f aca="false">U12+$D$29*U45</f>
        <v>-0.1355</v>
      </c>
      <c r="V104" s="25" t="n">
        <f aca="false">V12+$D$29*V45</f>
        <v>-0.1111</v>
      </c>
      <c r="W104" s="25" t="n">
        <f aca="false">W12+$D$29*W45</f>
        <v>-0.1006</v>
      </c>
      <c r="X104" s="25" t="n">
        <f aca="false">X12+$D$29*X45</f>
        <v>-0.0833</v>
      </c>
      <c r="Z104" s="34" t="s">
        <v>77</v>
      </c>
      <c r="AA104" s="25" t="n">
        <f aca="false">AA12+$E$29*AA45</f>
        <v>0.7451</v>
      </c>
      <c r="AB104" s="25" t="n">
        <f aca="false">AB12+$E$29*AB45</f>
        <v>0.7264</v>
      </c>
      <c r="AC104" s="25" t="n">
        <f aca="false">AC12+$E$29*AC45</f>
        <v>0.7015</v>
      </c>
      <c r="AD104" s="25" t="n">
        <f aca="false">AD12+$E$29*AD45</f>
        <v>0.6783</v>
      </c>
      <c r="AE104" s="25" t="n">
        <f aca="false">AE12+$E$29*AE45</f>
        <v>0.6564</v>
      </c>
      <c r="AF104" s="25" t="n">
        <f aca="false">AF12+$E$29*AF45</f>
        <v>0.6326</v>
      </c>
      <c r="AG104" s="25" t="n">
        <f aca="false">AG12+$E$29*AG45</f>
        <v>0.6001</v>
      </c>
      <c r="AH104" s="25" t="n">
        <f aca="false">AH12+$E$29*AH45</f>
        <v>0.5837</v>
      </c>
      <c r="AI104" s="25" t="n">
        <f aca="false">AI12+$E$29*AI45</f>
        <v>0.5582</v>
      </c>
      <c r="AJ104" s="25" t="n">
        <f aca="false">AJ12+$E$29*AJ45</f>
        <v>0.5295</v>
      </c>
      <c r="AL104" s="34" t="s">
        <v>77</v>
      </c>
      <c r="AM104" s="36" t="n">
        <f aca="false">C104*(1+(((2-3*O104^2)/24*AA104^2)+(O104*AA104*C104/4))*3)</f>
        <v>0.5262020804865</v>
      </c>
      <c r="AN104" s="36" t="n">
        <f aca="false">D104*(1+(((2-3*P104^2)/24*AB104^2)+(P104*AB104*D104/4))*3)</f>
        <v>0.494775532219388</v>
      </c>
      <c r="AO104" s="36" t="n">
        <f aca="false">E104*(1+(((2-3*Q104^2)/24*AC104^2)+(Q104*AC104*E104/4))*3)</f>
        <v>0.471453476429325</v>
      </c>
      <c r="AP104" s="36" t="n">
        <f aca="false">F104*(1+(((2-3*R104^2)/24*AD104^2)+(R104*AD104*F104/4))*3)</f>
        <v>0.472542907433932</v>
      </c>
      <c r="AQ104" s="36" t="n">
        <f aca="false">G104*(1+(((2-3*S104^2)/24*AE104^2)+(S104*AE104*G104/4))*3)</f>
        <v>0.443569415428255</v>
      </c>
      <c r="AR104" s="36" t="n">
        <f aca="false">H104*(1+(((2-3*T104^2)/24*AF104^2)+(T104*AF104*H104/4))*3)</f>
        <v>0.417416067057603</v>
      </c>
      <c r="AS104" s="36" t="n">
        <f aca="false">I104*(1+(((2-3*U104^2)/24*AG104^2)+(U104*AG104*I104/4))*3)</f>
        <v>0.404916380499262</v>
      </c>
      <c r="AT104" s="36" t="n">
        <f aca="false">J104*(1+(((2-3*V104^2)/24*AH104^2)+(V104*AH104*J104/4))*3)</f>
        <v>0.374712817514549</v>
      </c>
      <c r="AU104" s="36" t="n">
        <f aca="false">K104*(1+(((2-3*W104^2)/24*AI104^2)+(W104*AI104*K104/4))*3)</f>
        <v>0.363543891750487</v>
      </c>
      <c r="AV104" s="36" t="n">
        <f aca="false">L104*(1+(((2-3*X104^2)/24*AJ104^2)+(X104*AJ104*L104/4))*3)</f>
        <v>0.353230284770376</v>
      </c>
    </row>
    <row r="105" customFormat="false" ht="15" hidden="false" customHeight="true" outlineLevel="0" collapsed="false">
      <c r="B105" s="34" t="s">
        <v>78</v>
      </c>
      <c r="C105" s="25" t="n">
        <f aca="false">C13+$C$29*C46</f>
        <v>0.4619815</v>
      </c>
      <c r="D105" s="25" t="n">
        <f aca="false">D13+$C$29*D46</f>
        <v>0.4484775</v>
      </c>
      <c r="E105" s="25" t="n">
        <f aca="false">E13+$C$29*E46</f>
        <v>0.430268</v>
      </c>
      <c r="F105" s="25" t="n">
        <f aca="false">F13+$C$29*F46</f>
        <v>0.41989</v>
      </c>
      <c r="G105" s="25" t="n">
        <f aca="false">G13+$C$29*G46</f>
        <v>0.406604</v>
      </c>
      <c r="H105" s="25" t="n">
        <f aca="false">H13+$C$29*H46</f>
        <v>0.377572</v>
      </c>
      <c r="I105" s="25" t="n">
        <f aca="false">I13+$C$29*I46</f>
        <v>0.3688475</v>
      </c>
      <c r="J105" s="25" t="n">
        <f aca="false">J13+$C$29*J46</f>
        <v>0.3520175</v>
      </c>
      <c r="K105" s="25" t="n">
        <f aca="false">K13+$C$29*K46</f>
        <v>0.3324625</v>
      </c>
      <c r="L105" s="25" t="n">
        <f aca="false">L13+$C$29*L46</f>
        <v>0.302548</v>
      </c>
      <c r="N105" s="34" t="s">
        <v>78</v>
      </c>
      <c r="O105" s="25" t="n">
        <f aca="false">O13+$D$29*O46</f>
        <v>-0.2389</v>
      </c>
      <c r="P105" s="25" t="n">
        <f aca="false">P13+$D$29*P46</f>
        <v>-0.2194</v>
      </c>
      <c r="Q105" s="25" t="n">
        <f aca="false">Q13+$D$29*Q46</f>
        <v>-0.2005</v>
      </c>
      <c r="R105" s="25" t="n">
        <f aca="false">R13+$D$29*R46</f>
        <v>-0.1809</v>
      </c>
      <c r="S105" s="25" t="n">
        <f aca="false">S13+$D$29*S46</f>
        <v>-0.1531</v>
      </c>
      <c r="T105" s="25" t="n">
        <f aca="false">T13+$D$29*T46</f>
        <v>-0.1281</v>
      </c>
      <c r="U105" s="25" t="n">
        <f aca="false">U13+$D$29*U46</f>
        <v>-0.1099</v>
      </c>
      <c r="V105" s="25" t="n">
        <f aca="false">V13+$D$29*V46</f>
        <v>-0.0976</v>
      </c>
      <c r="W105" s="25" t="n">
        <f aca="false">W13+$D$29*W46</f>
        <v>-0.0747</v>
      </c>
      <c r="X105" s="25" t="n">
        <f aca="false">X13+$D$29*X46</f>
        <v>-0.0523</v>
      </c>
      <c r="Z105" s="34" t="s">
        <v>78</v>
      </c>
      <c r="AA105" s="25" t="n">
        <f aca="false">AA13+$E$29*AA46</f>
        <v>0.7084</v>
      </c>
      <c r="AB105" s="25" t="n">
        <f aca="false">AB13+$E$29*AB46</f>
        <v>0.6977</v>
      </c>
      <c r="AC105" s="25" t="n">
        <f aca="false">AC13+$E$29*AC46</f>
        <v>0.6804</v>
      </c>
      <c r="AD105" s="25" t="n">
        <f aca="false">AD13+$E$29*AD46</f>
        <v>0.6556</v>
      </c>
      <c r="AE105" s="25" t="n">
        <f aca="false">AE13+$E$29*AE46</f>
        <v>0.6328</v>
      </c>
      <c r="AF105" s="25" t="n">
        <f aca="false">AF13+$E$29*AF46</f>
        <v>0.6051</v>
      </c>
      <c r="AG105" s="25" t="n">
        <f aca="false">AG13+$E$29*AG46</f>
        <v>0.5769</v>
      </c>
      <c r="AH105" s="25" t="n">
        <f aca="false">AH13+$E$29*AH46</f>
        <v>0.5669</v>
      </c>
      <c r="AI105" s="25" t="n">
        <f aca="false">AI13+$E$29*AI46</f>
        <v>0.5355</v>
      </c>
      <c r="AJ105" s="25" t="n">
        <f aca="false">AJ13+$E$29*AJ46</f>
        <v>0.5227</v>
      </c>
      <c r="AL105" s="34" t="s">
        <v>78</v>
      </c>
      <c r="AM105" s="36" t="n">
        <f aca="false">C105*(1+(((2-3*O105^2)/24*AA105^2)+(O105*AA105*C105/4))*5)</f>
        <v>0.505160635907466</v>
      </c>
      <c r="AN105" s="36" t="n">
        <f aca="false">D105*(1+(((2-3*P105^2)/24*AB105^2)+(P105*AB105*D105/4))*5)</f>
        <v>0.494387504622976</v>
      </c>
      <c r="AO105" s="36" t="n">
        <f aca="false">E105*(1+(((2-3*Q105^2)/24*AC105^2)+(Q105*AC105*E105/4))*5)</f>
        <v>0.476689742472227</v>
      </c>
      <c r="AP105" s="36" t="n">
        <f aca="false">F105*(1+(((2-3*R105^2)/24*AD105^2)+(R105*AD105*F105/4))*5)</f>
        <v>0.46525889131367</v>
      </c>
      <c r="AQ105" s="36" t="n">
        <f aca="false">G105*(1+(((2-3*S105^2)/24*AE105^2)+(S105*AE105*G105/4))*5)</f>
        <v>0.452038492459185</v>
      </c>
      <c r="AR105" s="36" t="n">
        <f aca="false">H105*(1+(((2-3*T105^2)/24*AF105^2)+(T105*AF105*H105/4))*5)</f>
        <v>0.419943912312237</v>
      </c>
      <c r="AS105" s="36" t="n">
        <f aca="false">I105*(1+(((2-3*U105^2)/24*AG105^2)+(U105*AG105*I105/4))*5)</f>
        <v>0.408287714120932</v>
      </c>
      <c r="AT105" s="36" t="n">
        <f aca="false">J105*(1+(((2-3*V105^2)/24*AH105^2)+(V105*AH105*J105/4))*5)</f>
        <v>0.389911127260494</v>
      </c>
      <c r="AU105" s="36" t="n">
        <f aca="false">K105*(1+(((2-3*W105^2)/24*AI105^2)+(W105*AI105*K105/4))*5)</f>
        <v>0.366326947787375</v>
      </c>
      <c r="AV105" s="36" t="n">
        <f aca="false">L105*(1+(((2-3*X105^2)/24*AJ105^2)+(X105*AJ105*L105/4))*5)</f>
        <v>0.333720762247117</v>
      </c>
    </row>
    <row r="106" customFormat="false" ht="15" hidden="false" customHeight="true" outlineLevel="0" collapsed="false">
      <c r="B106" s="34" t="s">
        <v>79</v>
      </c>
      <c r="C106" s="25" t="n">
        <f aca="false">C14+$C$29*C47</f>
        <v>0.462521</v>
      </c>
      <c r="D106" s="25" t="n">
        <f aca="false">D14+$C$29*D47</f>
        <v>0.4325785</v>
      </c>
      <c r="E106" s="25" t="n">
        <f aca="false">E14+$C$29*E47</f>
        <v>0.414769</v>
      </c>
      <c r="F106" s="25" t="n">
        <f aca="false">F14+$C$29*F47</f>
        <v>0.4066295</v>
      </c>
      <c r="G106" s="25" t="n">
        <f aca="false">G14+$C$29*G47</f>
        <v>0.383787</v>
      </c>
      <c r="H106" s="25" t="n">
        <f aca="false">H14+$C$29*H47</f>
        <v>0.354511</v>
      </c>
      <c r="I106" s="25" t="n">
        <f aca="false">I14+$C$29*I47</f>
        <v>0.3343255</v>
      </c>
      <c r="J106" s="25" t="n">
        <f aca="false">J14+$C$29*J47</f>
        <v>0.3162395</v>
      </c>
      <c r="K106" s="25" t="n">
        <f aca="false">K14+$C$29*K47</f>
        <v>0.3137375</v>
      </c>
      <c r="L106" s="25" t="n">
        <f aca="false">L14+$C$29*L47</f>
        <v>0.2931695</v>
      </c>
      <c r="N106" s="34" t="s">
        <v>79</v>
      </c>
      <c r="O106" s="25" t="n">
        <f aca="false">O14+$D$29*O47</f>
        <v>-0.221</v>
      </c>
      <c r="P106" s="25" t="n">
        <f aca="false">P14+$D$29*P47</f>
        <v>-0.1879</v>
      </c>
      <c r="Q106" s="25" t="n">
        <f aca="false">Q14+$D$29*Q47</f>
        <v>-0.1654</v>
      </c>
      <c r="R106" s="25" t="n">
        <f aca="false">R14+$D$29*R47</f>
        <v>-0.1524</v>
      </c>
      <c r="S106" s="25" t="n">
        <f aca="false">S14+$D$29*S47</f>
        <v>-0.1391</v>
      </c>
      <c r="T106" s="25" t="n">
        <f aca="false">T14+$D$29*T47</f>
        <v>-0.1157</v>
      </c>
      <c r="U106" s="25" t="n">
        <f aca="false">U14+$D$29*U47</f>
        <v>-0.1046</v>
      </c>
      <c r="V106" s="25" t="n">
        <f aca="false">V14+$D$29*V47</f>
        <v>-0.0875</v>
      </c>
      <c r="W106" s="25" t="n">
        <f aca="false">W14+$D$29*W47</f>
        <v>-0.0489</v>
      </c>
      <c r="X106" s="25" t="n">
        <f aca="false">X14+$D$29*X47</f>
        <v>-0.0359</v>
      </c>
      <c r="Z106" s="34" t="s">
        <v>79</v>
      </c>
      <c r="AA106" s="25" t="n">
        <f aca="false">AA14+$E$29*AA47</f>
        <v>0.695</v>
      </c>
      <c r="AB106" s="25" t="n">
        <f aca="false">AB14+$E$29*AB47</f>
        <v>0.6809</v>
      </c>
      <c r="AC106" s="25" t="n">
        <f aca="false">AC14+$E$29*AC47</f>
        <v>0.6487</v>
      </c>
      <c r="AD106" s="25" t="n">
        <f aca="false">AD14+$E$29*AD47</f>
        <v>0.6352</v>
      </c>
      <c r="AE106" s="25" t="n">
        <f aca="false">AE14+$E$29*AE47</f>
        <v>0.6121</v>
      </c>
      <c r="AF106" s="25" t="n">
        <f aca="false">AF14+$E$29*AF47</f>
        <v>0.5776</v>
      </c>
      <c r="AG106" s="25" t="n">
        <f aca="false">AG14+$E$29*AG47</f>
        <v>0.5561</v>
      </c>
      <c r="AH106" s="25" t="n">
        <f aca="false">AH14+$E$29*AH47</f>
        <v>0.5347</v>
      </c>
      <c r="AI106" s="25" t="n">
        <f aca="false">AI14+$E$29*AI47</f>
        <v>0.5115</v>
      </c>
      <c r="AJ106" s="25" t="n">
        <f aca="false">AJ14+$E$29*AJ47</f>
        <v>0.4962</v>
      </c>
      <c r="AL106" s="34" t="s">
        <v>79</v>
      </c>
      <c r="AM106" s="36" t="n">
        <f aca="false">C106*(1+(((2-3*O106^2)/24*AA106^2)+(O106*AA106*C106/4))*10)</f>
        <v>0.552911141766432</v>
      </c>
      <c r="AN106" s="36" t="n">
        <f aca="false">D106*(1+(((2-3*P106^2)/24*AB106^2)+(P106*AB106*D106/4))*10)</f>
        <v>0.531003698276232</v>
      </c>
      <c r="AO106" s="36" t="n">
        <f aca="false">E106*(1+(((2-3*Q106^2)/24*AC106^2)+(Q106*AC106*E106/4))*10)</f>
        <v>0.508104287030707</v>
      </c>
      <c r="AP106" s="36" t="n">
        <f aca="false">F106*(1+(((2-3*R106^2)/24*AD106^2)+(R106*AD106*F106/4))*10)</f>
        <v>0.498572396985863</v>
      </c>
      <c r="AQ106" s="36" t="n">
        <f aca="false">G106*(1+(((2-3*S106^2)/24*AE106^2)+(S106*AE106*G106/4))*10)</f>
        <v>0.468783644843539</v>
      </c>
      <c r="AR106" s="36" t="n">
        <f aca="false">H106*(1+(((2-3*T106^2)/24*AF106^2)+(T106*AF106*H106/4))*10)</f>
        <v>0.430095285807337</v>
      </c>
      <c r="AS106" s="36" t="n">
        <f aca="false">I106*(1+(((2-3*U106^2)/24*AG106^2)+(U106*AG106*I106/4))*10)</f>
        <v>0.402815067534708</v>
      </c>
      <c r="AT106" s="36" t="n">
        <f aca="false">J106*(1+(((2-3*V106^2)/24*AH106^2)+(V106*AH106*J106/4))*10)</f>
        <v>0.379021916353048</v>
      </c>
      <c r="AU106" s="36" t="n">
        <f aca="false">K106*(1+(((2-3*W106^2)/24*AI106^2)+(W106*AI106*K106/4))*10)</f>
        <v>0.375740366801965</v>
      </c>
      <c r="AV106" s="36" t="n">
        <f aca="false">L106*(1+(((2-3*X106^2)/24*AJ106^2)+(X106*AJ106*L106/4))*10)</f>
        <v>0.34937773009966</v>
      </c>
    </row>
    <row r="107" customFormat="false" ht="15" hidden="false" customHeight="true" outlineLevel="0" collapsed="false">
      <c r="B107" s="34" t="s">
        <v>80</v>
      </c>
      <c r="C107" s="25" t="n">
        <f aca="false">C15+$C$29*C48</f>
        <v>0.4296325</v>
      </c>
      <c r="D107" s="25" t="n">
        <f aca="false">D15+$C$29*D48</f>
        <v>0.4142055</v>
      </c>
      <c r="E107" s="25" t="n">
        <f aca="false">E15+$C$29*E48</f>
        <v>0.390637</v>
      </c>
      <c r="F107" s="25" t="n">
        <f aca="false">F15+$C$29*F48</f>
        <v>0.387938</v>
      </c>
      <c r="G107" s="25" t="n">
        <f aca="false">G15+$C$29*G48</f>
        <v>0.357391</v>
      </c>
      <c r="H107" s="25" t="n">
        <f aca="false">H15+$C$29*H48</f>
        <v>0.3418685</v>
      </c>
      <c r="I107" s="25" t="n">
        <f aca="false">I15+$C$29*I48</f>
        <v>0.3257415</v>
      </c>
      <c r="J107" s="25" t="n">
        <f aca="false">J15+$C$29*J48</f>
        <v>0.313348</v>
      </c>
      <c r="K107" s="25" t="n">
        <f aca="false">K15+$C$29*K48</f>
        <v>0.2848775</v>
      </c>
      <c r="L107" s="25" t="n">
        <f aca="false">L15+$C$29*L48</f>
        <v>0.278075</v>
      </c>
      <c r="N107" s="34" t="s">
        <v>80</v>
      </c>
      <c r="O107" s="25" t="n">
        <f aca="false">O15+$D$29*O48</f>
        <v>-0.1944</v>
      </c>
      <c r="P107" s="25" t="n">
        <f aca="false">P15+$D$29*P48</f>
        <v>-0.1744</v>
      </c>
      <c r="Q107" s="25" t="n">
        <f aca="false">Q15+$D$29*Q48</f>
        <v>-0.1551</v>
      </c>
      <c r="R107" s="25" t="n">
        <f aca="false">R15+$D$29*R48</f>
        <v>-0.1457</v>
      </c>
      <c r="S107" s="25" t="n">
        <f aca="false">S15+$D$29*S48</f>
        <v>-0.1179</v>
      </c>
      <c r="T107" s="25" t="n">
        <f aca="false">T15+$D$29*T48</f>
        <v>-0.1036</v>
      </c>
      <c r="U107" s="25" t="n">
        <f aca="false">U15+$D$29*U48</f>
        <v>-0.0877</v>
      </c>
      <c r="V107" s="25" t="n">
        <f aca="false">V15+$D$29*V48</f>
        <v>-0.0523</v>
      </c>
      <c r="W107" s="25" t="n">
        <f aca="false">W15+$D$29*W48</f>
        <v>-0.0454</v>
      </c>
      <c r="X107" s="25" t="n">
        <f aca="false">X15+$D$29*X48</f>
        <v>-0.02</v>
      </c>
      <c r="Z107" s="34" t="s">
        <v>80</v>
      </c>
      <c r="AA107" s="25" t="n">
        <f aca="false">AA15+$E$29*AA48</f>
        <v>0.6767</v>
      </c>
      <c r="AB107" s="25" t="n">
        <f aca="false">AB15+$E$29*AB48</f>
        <v>0.6511</v>
      </c>
      <c r="AC107" s="25" t="n">
        <f aca="false">AC15+$E$29*AC48</f>
        <v>0.6243</v>
      </c>
      <c r="AD107" s="25" t="n">
        <f aca="false">AD15+$E$29*AD48</f>
        <v>0.6059</v>
      </c>
      <c r="AE107" s="25" t="n">
        <f aca="false">AE15+$E$29*AE48</f>
        <v>0.5844</v>
      </c>
      <c r="AF107" s="25" t="n">
        <f aca="false">AF15+$E$29*AF48</f>
        <v>0.5668</v>
      </c>
      <c r="AG107" s="25" t="n">
        <f aca="false">AG15+$E$29*AG48</f>
        <v>0.531</v>
      </c>
      <c r="AH107" s="25" t="n">
        <f aca="false">AH15+$E$29*AH48</f>
        <v>0.5179</v>
      </c>
      <c r="AI107" s="25" t="n">
        <f aca="false">AI15+$E$29*AI48</f>
        <v>0.4894</v>
      </c>
      <c r="AJ107" s="25" t="n">
        <f aca="false">AJ15+$E$29*AJ48</f>
        <v>0.4678</v>
      </c>
      <c r="AL107" s="34" t="s">
        <v>80</v>
      </c>
      <c r="AM107" s="36" t="n">
        <f aca="false">C107*(1+(((2-3*O107^2)/24*AA107^2)+(O107*AA107*C107/4))*20)</f>
        <v>0.617531924456216</v>
      </c>
      <c r="AN107" s="36" t="n">
        <f aca="false">D107*(1+(((2-3*P107^2)/24*AB107^2)+(P107*AB107*D107/4))*20)</f>
        <v>0.596103009637487</v>
      </c>
      <c r="AO107" s="36" t="n">
        <f aca="false">E107*(1+(((2-3*Q107^2)/24*AC107^2)+(Q107*AC107*E107/4))*20)</f>
        <v>0.561353077106156</v>
      </c>
      <c r="AP107" s="36" t="n">
        <f aca="false">F107*(1+(((2-3*R107^2)/24*AD107^2)+(R107*AD107*F107/4))*20)</f>
        <v>0.551314080706769</v>
      </c>
      <c r="AQ107" s="36" t="n">
        <f aca="false">G107*(1+(((2-3*S107^2)/24*AE107^2)+(S107*AE107*G107/4))*20)</f>
        <v>0.512575445716051</v>
      </c>
      <c r="AR107" s="36" t="n">
        <f aca="false">H107*(1+(((2-3*T107^2)/24*AF107^2)+(T107*AF107*H107/4))*20)</f>
        <v>0.487656071528141</v>
      </c>
      <c r="AS107" s="36" t="n">
        <f aca="false">I107*(1+(((2-3*U107^2)/24*AG107^2)+(U107*AG107*I107/4))*20)</f>
        <v>0.452346341119572</v>
      </c>
      <c r="AT107" s="36" t="n">
        <f aca="false">J107*(1+(((2-3*V107^2)/24*AH107^2)+(V107*AH107*J107/4))*20)</f>
        <v>0.439552942661439</v>
      </c>
      <c r="AU107" s="36" t="n">
        <f aca="false">K107*(1+(((2-3*W107^2)/24*AI107^2)+(W107*AI107*K107/4))*20)</f>
        <v>0.389229541076408</v>
      </c>
      <c r="AV107" s="36" t="n">
        <f aca="false">L107*(1+(((2-3*X107^2)/24*AJ107^2)+(X107*AJ107*L107/4))*20)</f>
        <v>0.375818607574913</v>
      </c>
    </row>
    <row r="108" customFormat="false" ht="15" hidden="false" customHeight="true" outlineLevel="0" collapsed="false">
      <c r="B108" s="34" t="s">
        <v>81</v>
      </c>
      <c r="C108" s="25" t="n">
        <f aca="false">C16+$C$29*C49</f>
        <v>0.421021</v>
      </c>
      <c r="D108" s="25" t="n">
        <f aca="false">D16+$C$29*D49</f>
        <v>0.398424</v>
      </c>
      <c r="E108" s="25" t="n">
        <f aca="false">E16+$C$29*E49</f>
        <v>0.380077</v>
      </c>
      <c r="F108" s="25" t="n">
        <f aca="false">F16+$C$29*F49</f>
        <v>0.366106</v>
      </c>
      <c r="G108" s="25" t="n">
        <f aca="false">G16+$C$29*G49</f>
        <v>0.3501075</v>
      </c>
      <c r="H108" s="25" t="n">
        <f aca="false">H16+$C$29*H49</f>
        <v>0.3228595</v>
      </c>
      <c r="I108" s="25" t="n">
        <f aca="false">I16+$C$29*I49</f>
        <v>0.307548</v>
      </c>
      <c r="J108" s="25" t="n">
        <f aca="false">J16+$C$29*J49</f>
        <v>0.286475</v>
      </c>
      <c r="K108" s="25" t="n">
        <f aca="false">K16+$C$29*K49</f>
        <v>0.269975</v>
      </c>
      <c r="L108" s="25" t="n">
        <f aca="false">L16+$C$29*L49</f>
        <v>0.256975</v>
      </c>
      <c r="N108" s="34" t="s">
        <v>81</v>
      </c>
      <c r="O108" s="25" t="n">
        <f aca="false">O16+$D$29*O49</f>
        <v>-0.176</v>
      </c>
      <c r="P108" s="25" t="n">
        <f aca="false">P16+$D$29*P49</f>
        <v>-0.1549</v>
      </c>
      <c r="Q108" s="25" t="n">
        <f aca="false">Q16+$D$29*Q49</f>
        <v>-0.1366</v>
      </c>
      <c r="R108" s="25" t="n">
        <f aca="false">R16+$D$29*R49</f>
        <v>-0.1078</v>
      </c>
      <c r="S108" s="25" t="n">
        <f aca="false">S16+$D$29*S49</f>
        <v>-0.0932</v>
      </c>
      <c r="T108" s="25" t="n">
        <f aca="false">T16+$D$29*T49</f>
        <v>-0.0702</v>
      </c>
      <c r="U108" s="25" t="n">
        <f aca="false">U16+$D$29*U49</f>
        <v>-0.0495</v>
      </c>
      <c r="V108" s="25" t="n">
        <f aca="false">V16+$D$29*V49</f>
        <v>-0.0437</v>
      </c>
      <c r="W108" s="25" t="n">
        <f aca="false">W16+$D$29*W49</f>
        <v>-0.0183</v>
      </c>
      <c r="X108" s="25" t="n">
        <f aca="false">X16+$D$29*X49</f>
        <v>0.0089</v>
      </c>
      <c r="Z108" s="34" t="s">
        <v>81</v>
      </c>
      <c r="AA108" s="25" t="n">
        <f aca="false">AA16+$E$29*AA49</f>
        <v>0.6568</v>
      </c>
      <c r="AB108" s="25" t="n">
        <f aca="false">AB16+$E$29*AB49</f>
        <v>0.6205</v>
      </c>
      <c r="AC108" s="25" t="n">
        <f aca="false">AC16+$E$29*AC49</f>
        <v>0.598</v>
      </c>
      <c r="AD108" s="25" t="n">
        <f aca="false">AD16+$E$29*AD49</f>
        <v>0.5822</v>
      </c>
      <c r="AE108" s="25" t="n">
        <f aca="false">AE16+$E$29*AE49</f>
        <v>0.5526</v>
      </c>
      <c r="AF108" s="25" t="n">
        <f aca="false">AF16+$E$29*AF49</f>
        <v>0.5337</v>
      </c>
      <c r="AG108" s="25" t="n">
        <f aca="false">AG16+$E$29*AG49</f>
        <v>0.5081</v>
      </c>
      <c r="AH108" s="25" t="n">
        <f aca="false">AH16+$E$29*AH49</f>
        <v>0.4978</v>
      </c>
      <c r="AI108" s="25" t="n">
        <f aca="false">AI16+$E$29*AI49</f>
        <v>0.4779</v>
      </c>
      <c r="AJ108" s="25" t="n">
        <f aca="false">AJ16+$E$29*AJ49</f>
        <v>0.4579</v>
      </c>
      <c r="AL108" s="34" t="s">
        <v>81</v>
      </c>
      <c r="AM108" s="36" t="n">
        <f aca="false">C108*(1+(((2-3*O108^2)/24*AA108^2)+(O108*AA108*C108/4))*30)</f>
        <v>0.700301353009527</v>
      </c>
      <c r="AN108" s="36" t="n">
        <f aca="false">D108*(1+(((2-3*P108^2)/24*AB108^2)+(P108*AB108*D108/4))*30)</f>
        <v>0.653693135489983</v>
      </c>
      <c r="AO108" s="36" t="n">
        <f aca="false">E108*(1+(((2-3*Q108^2)/24*AC108^2)+(Q108*AC108*E108/4))*30)</f>
        <v>0.621856406705042</v>
      </c>
      <c r="AP108" s="36" t="n">
        <f aca="false">F108*(1+(((2-3*R108^2)/24*AD108^2)+(R108*AD108*F108/4))*30)</f>
        <v>0.607842756290954</v>
      </c>
      <c r="AQ108" s="36" t="n">
        <f aca="false">G108*(1+(((2-3*S108^2)/24*AE108^2)+(S108*AE108*G108/4))*30)</f>
        <v>0.566556193679419</v>
      </c>
      <c r="AR108" s="36" t="n">
        <f aca="false">H108*(1+(((2-3*T108^2)/24*AF108^2)+(T108*AF108*H108/4))*30)</f>
        <v>0.521774575588217</v>
      </c>
      <c r="AS108" s="36" t="n">
        <f aca="false">I108*(1+(((2-3*U108^2)/24*AG108^2)+(U108*AG108*I108/4))*30)</f>
        <v>0.487472330862647</v>
      </c>
      <c r="AT108" s="36" t="n">
        <f aca="false">J108*(1+(((2-3*V108^2)/24*AH108^2)+(V108*AH108*J108/4))*30)</f>
        <v>0.450051640041076</v>
      </c>
      <c r="AU108" s="36" t="n">
        <f aca="false">K108*(1+(((2-3*W108^2)/24*AI108^2)+(W108*AI108*K108/4))*30)</f>
        <v>0.419264713638253</v>
      </c>
      <c r="AV108" s="36" t="n">
        <f aca="false">L108*(1+(((2-3*X108^2)/24*AJ108^2)+(X108*AJ108*L108/4))*30)</f>
        <v>0.393678797737815</v>
      </c>
    </row>
    <row r="110" customFormat="false" ht="15" hidden="false" customHeight="true" outlineLevel="0" collapsed="false">
      <c r="A110" s="29" t="s">
        <v>152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customFormat="false" ht="15" hidden="false" customHeight="true" outlineLevel="0" collapsed="false">
      <c r="B111" s="29" t="s">
        <v>131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N111" s="29" t="s">
        <v>132</v>
      </c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 t="s">
        <v>133</v>
      </c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L111" s="33" t="s">
        <v>134</v>
      </c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</row>
    <row r="112" customFormat="false" ht="15" hidden="false" customHeight="true" outlineLevel="0" collapsed="false">
      <c r="B112" s="18" t="s">
        <v>135</v>
      </c>
      <c r="C112" s="12" t="s">
        <v>136</v>
      </c>
      <c r="D112" s="12" t="s">
        <v>74</v>
      </c>
      <c r="E112" s="12" t="s">
        <v>75</v>
      </c>
      <c r="F112" s="12" t="s">
        <v>30</v>
      </c>
      <c r="G112" s="12" t="s">
        <v>76</v>
      </c>
      <c r="H112" s="12" t="s">
        <v>77</v>
      </c>
      <c r="I112" s="12" t="s">
        <v>78</v>
      </c>
      <c r="J112" s="12" t="s">
        <v>79</v>
      </c>
      <c r="K112" s="12" t="s">
        <v>80</v>
      </c>
      <c r="L112" s="12" t="s">
        <v>81</v>
      </c>
      <c r="N112" s="18" t="s">
        <v>135</v>
      </c>
      <c r="O112" s="12" t="s">
        <v>136</v>
      </c>
      <c r="P112" s="12" t="s">
        <v>74</v>
      </c>
      <c r="Q112" s="12" t="s">
        <v>75</v>
      </c>
      <c r="R112" s="12" t="s">
        <v>30</v>
      </c>
      <c r="S112" s="12" t="s">
        <v>76</v>
      </c>
      <c r="T112" s="12" t="s">
        <v>77</v>
      </c>
      <c r="U112" s="12" t="s">
        <v>78</v>
      </c>
      <c r="V112" s="12" t="s">
        <v>79</v>
      </c>
      <c r="W112" s="12" t="s">
        <v>80</v>
      </c>
      <c r="X112" s="12" t="s">
        <v>81</v>
      </c>
      <c r="Z112" s="18" t="s">
        <v>135</v>
      </c>
      <c r="AA112" s="12" t="s">
        <v>136</v>
      </c>
      <c r="AB112" s="12" t="s">
        <v>74</v>
      </c>
      <c r="AC112" s="12" t="s">
        <v>75</v>
      </c>
      <c r="AD112" s="12" t="s">
        <v>30</v>
      </c>
      <c r="AE112" s="12" t="s">
        <v>76</v>
      </c>
      <c r="AF112" s="12" t="s">
        <v>77</v>
      </c>
      <c r="AG112" s="12" t="s">
        <v>78</v>
      </c>
      <c r="AH112" s="12" t="s">
        <v>79</v>
      </c>
      <c r="AI112" s="12" t="s">
        <v>80</v>
      </c>
      <c r="AJ112" s="12" t="s">
        <v>81</v>
      </c>
      <c r="AL112" s="18" t="s">
        <v>135</v>
      </c>
      <c r="AM112" s="12" t="s">
        <v>136</v>
      </c>
      <c r="AN112" s="12" t="s">
        <v>74</v>
      </c>
      <c r="AO112" s="12" t="s">
        <v>75</v>
      </c>
      <c r="AP112" s="12" t="s">
        <v>30</v>
      </c>
      <c r="AQ112" s="12" t="s">
        <v>76</v>
      </c>
      <c r="AR112" s="12" t="s">
        <v>77</v>
      </c>
      <c r="AS112" s="12" t="s">
        <v>78</v>
      </c>
      <c r="AT112" s="12" t="s">
        <v>79</v>
      </c>
      <c r="AU112" s="12" t="s">
        <v>80</v>
      </c>
      <c r="AV112" s="12" t="s">
        <v>81</v>
      </c>
    </row>
    <row r="113" customFormat="false" ht="15" hidden="false" customHeight="true" outlineLevel="0" collapsed="false">
      <c r="B113" s="34" t="s">
        <v>136</v>
      </c>
      <c r="C113" s="25" t="n">
        <f aca="false">C7+$C$30*C40</f>
        <v>0.5719559</v>
      </c>
      <c r="D113" s="25" t="n">
        <f aca="false">D7+$C$30*D40</f>
        <v>0.5505362</v>
      </c>
      <c r="E113" s="25" t="n">
        <f aca="false">E7+$C$30*E40</f>
        <v>0.542278</v>
      </c>
      <c r="F113" s="25" t="n">
        <f aca="false">F7+$C$30*F40</f>
        <v>0.512706</v>
      </c>
      <c r="G113" s="25" t="n">
        <f aca="false">G7+$C$30*G40</f>
        <v>0.5037683</v>
      </c>
      <c r="H113" s="25" t="n">
        <f aca="false">H7+$C$30*H40</f>
        <v>0.4820783</v>
      </c>
      <c r="I113" s="25" t="n">
        <f aca="false">I7+$C$30*I40</f>
        <v>0.458531</v>
      </c>
      <c r="J113" s="25" t="n">
        <f aca="false">J7+$C$30*J40</f>
        <v>0.4494</v>
      </c>
      <c r="K113" s="25" t="n">
        <f aca="false">K7+$C$30*K40</f>
        <v>0.42171</v>
      </c>
      <c r="L113" s="25" t="n">
        <f aca="false">L7+$C$30*L40</f>
        <v>0.4114518</v>
      </c>
      <c r="N113" s="34" t="s">
        <v>136</v>
      </c>
      <c r="O113" s="25" t="n">
        <f aca="false">O7+$D$30*O40</f>
        <v>-0.3586</v>
      </c>
      <c r="P113" s="25" t="n">
        <f aca="false">P7+$D$30*P40</f>
        <v>-0.3387</v>
      </c>
      <c r="Q113" s="25" t="n">
        <f aca="false">Q7+$D$30*Q40</f>
        <v>-0.3126</v>
      </c>
      <c r="R113" s="25" t="n">
        <f aca="false">R7+$D$30*R40</f>
        <v>-0.2851</v>
      </c>
      <c r="S113" s="25" t="n">
        <f aca="false">S7+$D$30*S40</f>
        <v>-0.2797</v>
      </c>
      <c r="T113" s="25" t="n">
        <f aca="false">T7+$D$30*T40</f>
        <v>-0.2583</v>
      </c>
      <c r="U113" s="25" t="n">
        <f aca="false">U7+$D$30*U40</f>
        <v>-0.2308</v>
      </c>
      <c r="V113" s="25" t="n">
        <f aca="false">V7+$D$30*V40</f>
        <v>-0.2049</v>
      </c>
      <c r="W113" s="25" t="n">
        <f aca="false">W7+$D$30*W40</f>
        <v>-0.1929</v>
      </c>
      <c r="X113" s="25" t="n">
        <f aca="false">X7+$D$30*X40</f>
        <v>-0.1771</v>
      </c>
      <c r="Z113" s="34" t="s">
        <v>136</v>
      </c>
      <c r="AA113" s="25" t="n">
        <f aca="false">AA7+$E$30*AA40</f>
        <v>0.8595</v>
      </c>
      <c r="AB113" s="25" t="n">
        <f aca="false">AB7+$E$30*AB40</f>
        <v>0.8187</v>
      </c>
      <c r="AC113" s="25" t="n">
        <f aca="false">AC7+$E$30*AC40</f>
        <v>0.8127</v>
      </c>
      <c r="AD113" s="25" t="n">
        <f aca="false">AD7+$E$30*AD40</f>
        <v>0.7791</v>
      </c>
      <c r="AE113" s="25" t="n">
        <f aca="false">AE7+$E$30*AE40</f>
        <v>0.754</v>
      </c>
      <c r="AF113" s="25" t="n">
        <f aca="false">AF7+$E$30*AF40</f>
        <v>0.7312</v>
      </c>
      <c r="AG113" s="25" t="n">
        <f aca="false">AG7+$E$30*AG40</f>
        <v>0.7128</v>
      </c>
      <c r="AH113" s="25" t="n">
        <f aca="false">AH7+$E$30*AH40</f>
        <v>0.7008</v>
      </c>
      <c r="AI113" s="25" t="n">
        <f aca="false">AI7+$E$30*AI40</f>
        <v>0.6658</v>
      </c>
      <c r="AJ113" s="25" t="n">
        <f aca="false">AJ7+$E$30*AJ40</f>
        <v>0.6516</v>
      </c>
      <c r="AL113" s="34" t="s">
        <v>136</v>
      </c>
      <c r="AM113" s="36" t="n">
        <f aca="false">C113*(1+(((2-3*O113^2)/24*AA113^2)+(O113*AA113*C113/4))*0.0833333333333333)</f>
        <v>0.572223547036002</v>
      </c>
      <c r="AN113" s="36" t="n">
        <f aca="false">D113*(1+(((2-3*P113^2)/24*AB113^2)+(P113*AB113*D113/4))*0.0833333333333333)</f>
        <v>0.550906861346698</v>
      </c>
      <c r="AO113" s="36" t="n">
        <f aca="false">E113*(1+(((2-3*Q113^2)/24*AC113^2)+(Q113*AC113*E113/4))*0.0833333333333333)</f>
        <v>0.542844273653768</v>
      </c>
      <c r="AP113" s="36" t="n">
        <f aca="false">F113*(1+(((2-3*R113^2)/24*AD113^2)+(R113*AD113*F113/4))*0.0833333333333333)</f>
        <v>0.51338726162208</v>
      </c>
      <c r="AQ113" s="36" t="n">
        <f aca="false">G113*(1+(((2-3*S113^2)/24*AE113^2)+(S113*AE113*G113/4))*0.0833333333333333)</f>
        <v>0.504408774484493</v>
      </c>
      <c r="AR113" s="36" t="n">
        <f aca="false">H113*(1+(((2-3*T113^2)/24*AF113^2)+(T113*AF113*H113/4))*0.0833333333333333)</f>
        <v>0.482774626391869</v>
      </c>
      <c r="AS113" s="36" t="n">
        <f aca="false">I113*(1+(((2-3*U113^2)/24*AG113^2)+(U113*AG113*I113/4))*0.0833333333333333)</f>
        <v>0.459298981472768</v>
      </c>
      <c r="AT113" s="36" t="n">
        <f aca="false">J113*(1+(((2-3*V113^2)/24*AH113^2)+(V113*AH113*J113/4))*0.0833333333333333)</f>
        <v>0.450232009473759</v>
      </c>
      <c r="AU113" s="36" t="n">
        <f aca="false">K113*(1+(((2-3*W113^2)/24*AI113^2)+(W113*AI113*K113/4))*0.0833333333333333)</f>
        <v>0.422459890996558</v>
      </c>
      <c r="AV113" s="36" t="n">
        <f aca="false">L113*(1+(((2-3*X113^2)/24*AJ113^2)+(X113*AJ113*L113/4))*0.0833333333333333)</f>
        <v>0.412200884572384</v>
      </c>
    </row>
    <row r="114" customFormat="false" ht="15" hidden="false" customHeight="true" outlineLevel="0" collapsed="false">
      <c r="B114" s="34" t="s">
        <v>74</v>
      </c>
      <c r="C114" s="25" t="n">
        <f aca="false">C8+$C$30*C41</f>
        <v>0.5599341</v>
      </c>
      <c r="D114" s="25" t="n">
        <f aca="false">D8+$C$30*D41</f>
        <v>0.5364236</v>
      </c>
      <c r="E114" s="25" t="n">
        <f aca="false">E8+$C$30*E41</f>
        <v>0.5219403</v>
      </c>
      <c r="F114" s="25" t="n">
        <f aca="false">F8+$C$30*F41</f>
        <v>0.4939026</v>
      </c>
      <c r="G114" s="25" t="n">
        <f aca="false">G8+$C$30*G41</f>
        <v>0.4764394</v>
      </c>
      <c r="H114" s="25" t="n">
        <f aca="false">H8+$C$30*H41</f>
        <v>0.4608586</v>
      </c>
      <c r="I114" s="25" t="n">
        <f aca="false">I8+$C$30*I41</f>
        <v>0.4526569</v>
      </c>
      <c r="J114" s="25" t="n">
        <f aca="false">J8+$C$30*J41</f>
        <v>0.4290807</v>
      </c>
      <c r="K114" s="25" t="n">
        <f aca="false">K8+$C$30*K41</f>
        <v>0.4092903</v>
      </c>
      <c r="L114" s="25" t="n">
        <f aca="false">L8+$C$30*L41</f>
        <v>0.3964639</v>
      </c>
      <c r="N114" s="34" t="s">
        <v>74</v>
      </c>
      <c r="O114" s="25" t="n">
        <f aca="false">O8+$D$30*O41</f>
        <v>-0.3315</v>
      </c>
      <c r="P114" s="25" t="n">
        <f aca="false">P8+$D$30*P41</f>
        <v>-0.3151</v>
      </c>
      <c r="Q114" s="25" t="n">
        <f aca="false">Q8+$D$30*Q41</f>
        <v>-0.2858</v>
      </c>
      <c r="R114" s="25" t="n">
        <f aca="false">R8+$D$30*R41</f>
        <v>-0.2682</v>
      </c>
      <c r="S114" s="25" t="n">
        <f aca="false">S8+$D$30*S41</f>
        <v>-0.2579</v>
      </c>
      <c r="T114" s="25" t="n">
        <f aca="false">T8+$D$30*T41</f>
        <v>-0.2318</v>
      </c>
      <c r="U114" s="25" t="n">
        <f aca="false">U8+$D$30*U41</f>
        <v>-0.2134</v>
      </c>
      <c r="V114" s="25" t="n">
        <f aca="false">V8+$D$30*V41</f>
        <v>-0.1869</v>
      </c>
      <c r="W114" s="25" t="n">
        <f aca="false">W8+$D$30*W41</f>
        <v>-0.1704</v>
      </c>
      <c r="X114" s="25" t="n">
        <f aca="false">X8+$D$30*X41</f>
        <v>-0.1598</v>
      </c>
      <c r="Z114" s="34" t="s">
        <v>74</v>
      </c>
      <c r="AA114" s="25" t="n">
        <f aca="false">AA8+$E$30*AA41</f>
        <v>0.8374</v>
      </c>
      <c r="AB114" s="25" t="n">
        <f aca="false">AB8+$E$30*AB41</f>
        <v>0.7979</v>
      </c>
      <c r="AC114" s="25" t="n">
        <f aca="false">AC8+$E$30*AC41</f>
        <v>0.7817</v>
      </c>
      <c r="AD114" s="25" t="n">
        <f aca="false">AD8+$E$30*AD41</f>
        <v>0.7663</v>
      </c>
      <c r="AE114" s="25" t="n">
        <f aca="false">AE8+$E$30*AE41</f>
        <v>0.7319</v>
      </c>
      <c r="AF114" s="25" t="n">
        <f aca="false">AF8+$E$30*AF41</f>
        <v>0.7164</v>
      </c>
      <c r="AG114" s="25" t="n">
        <f aca="false">AG8+$E$30*AG41</f>
        <v>0.6852</v>
      </c>
      <c r="AH114" s="25" t="n">
        <f aca="false">AH8+$E$30*AH41</f>
        <v>0.6756</v>
      </c>
      <c r="AI114" s="25" t="n">
        <f aca="false">AI8+$E$30*AI41</f>
        <v>0.6553</v>
      </c>
      <c r="AJ114" s="25" t="n">
        <f aca="false">AJ8+$E$30*AJ41</f>
        <v>0.6292</v>
      </c>
      <c r="AL114" s="34" t="s">
        <v>74</v>
      </c>
      <c r="AM114" s="36" t="n">
        <f aca="false">C114*(1+(((2-3*O114^2)/24*AA114^2)+(O114*AA114*C114/4))*0.25)</f>
        <v>0.5613262102062</v>
      </c>
      <c r="AN114" s="36" t="n">
        <f aca="false">D114*(1+(((2-3*P114^2)/24*AB114^2)+(P114*AB114*D114/4))*0.25)</f>
        <v>0.537957185481125</v>
      </c>
      <c r="AO114" s="36" t="n">
        <f aca="false">E114*(1+(((2-3*Q114^2)/24*AC114^2)+(Q114*AC114*E114/4))*0.25)</f>
        <v>0.523966810566608</v>
      </c>
      <c r="AP114" s="36" t="n">
        <f aca="false">F114*(1+(((2-3*R114^2)/24*AD114^2)+(R114*AD114*F114/4))*0.25)</f>
        <v>0.496159466468732</v>
      </c>
      <c r="AQ114" s="36" t="n">
        <f aca="false">G114*(1+(((2-3*S114^2)/24*AE114^2)+(S114*AE114*G114/4))*0.25)</f>
        <v>0.478548041050214</v>
      </c>
      <c r="AR114" s="36" t="n">
        <f aca="false">H114*(1+(((2-3*T114^2)/24*AF114^2)+(T114*AF114*H114/4))*0.25)</f>
        <v>0.463184703886938</v>
      </c>
      <c r="AS114" s="36" t="n">
        <f aca="false">I114*(1+(((2-3*U114^2)/24*AG114^2)+(U114*AG114*I114/4))*0.25)</f>
        <v>0.454909463258161</v>
      </c>
      <c r="AT114" s="36" t="n">
        <f aca="false">J114*(1+(((2-3*V114^2)/24*AH114^2)+(V114*AH114*J114/4))*0.25)</f>
        <v>0.431494097744422</v>
      </c>
      <c r="AU114" s="36" t="n">
        <f aca="false">K114*(1+(((2-3*W114^2)/24*AI114^2)+(W114*AI114*K114/4))*0.25)</f>
        <v>0.411623316238241</v>
      </c>
      <c r="AV114" s="36" t="n">
        <f aca="false">L114*(1+(((2-3*X114^2)/24*AJ114^2)+(X114*AJ114*L114/4))*0.25)</f>
        <v>0.39862082531044</v>
      </c>
    </row>
    <row r="115" customFormat="false" ht="15" hidden="false" customHeight="true" outlineLevel="0" collapsed="false">
      <c r="B115" s="34" t="s">
        <v>75</v>
      </c>
      <c r="C115" s="25" t="n">
        <f aca="false">C9+$C$30*C42</f>
        <v>0.546301</v>
      </c>
      <c r="D115" s="25" t="n">
        <f aca="false">D9+$C$30*D42</f>
        <v>0.5171767</v>
      </c>
      <c r="E115" s="25" t="n">
        <f aca="false">E9+$C$30*E42</f>
        <v>0.5073135</v>
      </c>
      <c r="F115" s="25" t="n">
        <f aca="false">F9+$C$30*F42</f>
        <v>0.4868532</v>
      </c>
      <c r="G115" s="25" t="n">
        <f aca="false">G9+$C$30*G42</f>
        <v>0.4689151</v>
      </c>
      <c r="H115" s="25" t="n">
        <f aca="false">H9+$C$30*H42</f>
        <v>0.4478276</v>
      </c>
      <c r="I115" s="25" t="n">
        <f aca="false">I9+$C$30*I42</f>
        <v>0.4370786</v>
      </c>
      <c r="J115" s="25" t="n">
        <f aca="false">J9+$C$30*J42</f>
        <v>0.4215882</v>
      </c>
      <c r="K115" s="25" t="n">
        <f aca="false">K9+$C$30*K42</f>
        <v>0.3942003</v>
      </c>
      <c r="L115" s="25" t="n">
        <f aca="false">L9+$C$30*L42</f>
        <v>0.3793764</v>
      </c>
      <c r="N115" s="34" t="s">
        <v>75</v>
      </c>
      <c r="O115" s="25" t="n">
        <f aca="false">O9+$D$30*O42</f>
        <v>-0.3199</v>
      </c>
      <c r="P115" s="25" t="n">
        <f aca="false">P9+$D$30*P42</f>
        <v>-0.2876</v>
      </c>
      <c r="Q115" s="25" t="n">
        <f aca="false">Q9+$D$30*Q42</f>
        <v>-0.2693</v>
      </c>
      <c r="R115" s="25" t="n">
        <f aca="false">R9+$D$30*R42</f>
        <v>-0.2429</v>
      </c>
      <c r="S115" s="25" t="n">
        <f aca="false">S9+$D$30*S42</f>
        <v>-0.2269</v>
      </c>
      <c r="T115" s="25" t="n">
        <f aca="false">T9+$D$30*T42</f>
        <v>-0.2182</v>
      </c>
      <c r="U115" s="25" t="n">
        <f aca="false">U9+$D$30*U42</f>
        <v>-0.1967</v>
      </c>
      <c r="V115" s="25" t="n">
        <f aca="false">V9+$D$30*V42</f>
        <v>-0.1716</v>
      </c>
      <c r="W115" s="25" t="n">
        <f aca="false">W9+$D$30*W42</f>
        <v>-0.1651</v>
      </c>
      <c r="X115" s="25" t="n">
        <f aca="false">X9+$D$30*X42</f>
        <v>-0.1369</v>
      </c>
      <c r="Z115" s="34" t="s">
        <v>75</v>
      </c>
      <c r="AA115" s="25" t="n">
        <f aca="false">AA9+$E$30*AA42</f>
        <v>0.7989</v>
      </c>
      <c r="AB115" s="25" t="n">
        <f aca="false">AB9+$E$30*AB42</f>
        <v>0.7757</v>
      </c>
      <c r="AC115" s="25" t="n">
        <f aca="false">AC9+$E$30*AC42</f>
        <v>0.7523</v>
      </c>
      <c r="AD115" s="25" t="n">
        <f aca="false">AD9+$E$30*AD42</f>
        <v>0.7443</v>
      </c>
      <c r="AE115" s="25" t="n">
        <f aca="false">AE9+$E$30*AE42</f>
        <v>0.7093</v>
      </c>
      <c r="AF115" s="25" t="n">
        <f aca="false">AF9+$E$30*AF42</f>
        <v>0.6894</v>
      </c>
      <c r="AG115" s="25" t="n">
        <f aca="false">AG9+$E$30*AG42</f>
        <v>0.67</v>
      </c>
      <c r="AH115" s="25" t="n">
        <f aca="false">AH9+$E$30*AH42</f>
        <v>0.6574</v>
      </c>
      <c r="AI115" s="25" t="n">
        <f aca="false">AI9+$E$30*AI42</f>
        <v>0.6194</v>
      </c>
      <c r="AJ115" s="25" t="n">
        <f aca="false">AJ9+$E$30*AJ42</f>
        <v>0.6045</v>
      </c>
      <c r="AL115" s="34" t="s">
        <v>75</v>
      </c>
      <c r="AM115" s="36" t="n">
        <f aca="false">C115*(1+(((2-3*O115^2)/24*AA115^2)+(O115*AA115*C115/4))*0.5)</f>
        <v>0.549064765884656</v>
      </c>
      <c r="AN115" s="36" t="n">
        <f aca="false">D115*(1+(((2-3*P115^2)/24*AB115^2)+(P115*AB115*D115/4))*0.5)</f>
        <v>0.521075414710472</v>
      </c>
      <c r="AO115" s="36" t="n">
        <f aca="false">E115*(1+(((2-3*Q115^2)/24*AC115^2)+(Q115*AC115*E115/4))*0.5)</f>
        <v>0.511457658425129</v>
      </c>
      <c r="AP115" s="36" t="n">
        <f aca="false">F115*(1+(((2-3*R115^2)/24*AD115^2)+(R115*AD115*F115/4))*0.5)</f>
        <v>0.491739977683549</v>
      </c>
      <c r="AQ115" s="36" t="n">
        <f aca="false">G115*(1+(((2-3*S115^2)/24*AE115^2)+(S115*AE115*G115/4))*0.5)</f>
        <v>0.47356228416908</v>
      </c>
      <c r="AR115" s="36" t="n">
        <f aca="false">H115*(1+(((2-3*T115^2)/24*AF115^2)+(T115*AF115*H115/4))*0.5)</f>
        <v>0.452291577345583</v>
      </c>
      <c r="AS115" s="36" t="n">
        <f aca="false">I115*(1+(((2-3*U115^2)/24*AG115^2)+(U115*AG115*I115/4))*0.5)</f>
        <v>0.44163224938525</v>
      </c>
      <c r="AT115" s="36" t="n">
        <f aca="false">J115*(1+(((2-3*V115^2)/24*AH115^2)+(V115*AH115*J115/4))*0.5)</f>
        <v>0.426338230346812</v>
      </c>
      <c r="AU115" s="36" t="n">
        <f aca="false">K115*(1+(((2-3*W115^2)/24*AI115^2)+(W115*AI115*K115/4))*0.5)</f>
        <v>0.398257829175794</v>
      </c>
      <c r="AV115" s="36" t="n">
        <f aca="false">L115*(1+(((2-3*X115^2)/24*AJ115^2)+(X115*AJ115*L115/4))*0.5)</f>
        <v>0.38350149122976</v>
      </c>
    </row>
    <row r="116" customFormat="false" ht="15" hidden="false" customHeight="true" outlineLevel="0" collapsed="false">
      <c r="B116" s="34" t="s">
        <v>30</v>
      </c>
      <c r="C116" s="25" t="n">
        <f aca="false">C10+$C$30*C43</f>
        <v>0.5217495</v>
      </c>
      <c r="D116" s="25" t="n">
        <f aca="false">D10+$C$30*D43</f>
        <v>0.510557</v>
      </c>
      <c r="E116" s="25" t="n">
        <f aca="false">E10+$C$30*E43</f>
        <v>0.4918302</v>
      </c>
      <c r="F116" s="25" t="n">
        <f aca="false">F10+$C$30*F43</f>
        <v>0.4743925</v>
      </c>
      <c r="G116" s="25" t="n">
        <f aca="false">G10+$C$30*G43</f>
        <v>0.4439573</v>
      </c>
      <c r="H116" s="25" t="n">
        <f aca="false">H10+$C$30*H43</f>
        <v>0.4287535</v>
      </c>
      <c r="I116" s="25" t="n">
        <f aca="false">I10+$C$30*I43</f>
        <v>0.4093794</v>
      </c>
      <c r="J116" s="25" t="n">
        <f aca="false">J10+$C$30*J43</f>
        <v>0.4017166</v>
      </c>
      <c r="K116" s="25" t="n">
        <f aca="false">K10+$C$30*K43</f>
        <v>0.3857852</v>
      </c>
      <c r="L116" s="25" t="n">
        <f aca="false">L10+$C$30*L43</f>
        <v>0.3509659</v>
      </c>
      <c r="N116" s="34" t="s">
        <v>30</v>
      </c>
      <c r="O116" s="25" t="n">
        <f aca="false">O10+$D$30*O43</f>
        <v>-0.2981</v>
      </c>
      <c r="P116" s="25" t="n">
        <f aca="false">P10+$D$30*P43</f>
        <v>-0.2776</v>
      </c>
      <c r="Q116" s="25" t="n">
        <f aca="false">Q10+$D$30*Q43</f>
        <v>-0.2581</v>
      </c>
      <c r="R116" s="25" t="n">
        <f aca="false">R10+$D$30*R43</f>
        <v>-0.2336</v>
      </c>
      <c r="S116" s="25" t="n">
        <f aca="false">S10+$D$30*S43</f>
        <v>-0.2121</v>
      </c>
      <c r="T116" s="25" t="n">
        <f aca="false">T10+$D$30*T43</f>
        <v>-0.1992</v>
      </c>
      <c r="U116" s="25" t="n">
        <f aca="false">U10+$D$30*U43</f>
        <v>-0.1849</v>
      </c>
      <c r="V116" s="25" t="n">
        <f aca="false">V10+$D$30*V43</f>
        <v>-0.1572</v>
      </c>
      <c r="W116" s="25" t="n">
        <f aca="false">W10+$D$30*W43</f>
        <v>-0.1387</v>
      </c>
      <c r="X116" s="25" t="n">
        <f aca="false">X10+$D$30*X43</f>
        <v>-0.1153</v>
      </c>
      <c r="Z116" s="34" t="s">
        <v>30</v>
      </c>
      <c r="AA116" s="25" t="n">
        <f aca="false">AA10+$E$30*AA43</f>
        <v>0.7924</v>
      </c>
      <c r="AB116" s="25" t="n">
        <f aca="false">AB10+$E$30*AB43</f>
        <v>0.7649</v>
      </c>
      <c r="AC116" s="25" t="n">
        <f aca="false">AC10+$E$30*AC43</f>
        <v>0.7392</v>
      </c>
      <c r="AD116" s="25" t="n">
        <f aca="false">AD10+$E$30*AD43</f>
        <v>0.719</v>
      </c>
      <c r="AE116" s="25" t="n">
        <f aca="false">AE10+$E$30*AE43</f>
        <v>0.698</v>
      </c>
      <c r="AF116" s="25" t="n">
        <f aca="false">AF10+$E$30*AF43</f>
        <v>0.6633</v>
      </c>
      <c r="AG116" s="25" t="n">
        <f aca="false">AG10+$E$30*AG43</f>
        <v>0.658</v>
      </c>
      <c r="AH116" s="25" t="n">
        <f aca="false">AH10+$E$30*AH43</f>
        <v>0.6334</v>
      </c>
      <c r="AI116" s="25" t="n">
        <f aca="false">AI10+$E$30*AI43</f>
        <v>0.613</v>
      </c>
      <c r="AJ116" s="25" t="n">
        <f aca="false">AJ10+$E$30*AJ43</f>
        <v>0.5893</v>
      </c>
      <c r="AL116" s="34" t="s">
        <v>30</v>
      </c>
      <c r="AM116" s="36" t="n">
        <f aca="false">C116*(1+(((2-3*O116^2)/24*AA116^2)+(O116*AA116*C116/4))*1)</f>
        <v>0.529335197267732</v>
      </c>
      <c r="AN116" s="36" t="n">
        <f aca="false">D116*(1+(((2-3*P116^2)/24*AB116^2)+(P116*AB116*D116/4))*1)</f>
        <v>0.518734962929721</v>
      </c>
      <c r="AO116" s="36" t="n">
        <f aca="false">E116*(1+(((2-3*Q116^2)/24*AC116^2)+(Q116*AC116*E116/4))*1)</f>
        <v>0.500450000959825</v>
      </c>
      <c r="AP116" s="36" t="n">
        <f aca="false">F116*(1+(((2-3*R116^2)/24*AD116^2)+(R116*AD116*F116/4))*1)</f>
        <v>0.483706854700039</v>
      </c>
      <c r="AQ116" s="36" t="n">
        <f aca="false">G116*(1+(((2-3*S116^2)/24*AE116^2)+(S116*AE116*G116/4))*1)</f>
        <v>0.453470920942592</v>
      </c>
      <c r="AR116" s="36" t="n">
        <f aca="false">H116*(1+(((2-3*T116^2)/24*AF116^2)+(T116*AF116*H116/4))*1)</f>
        <v>0.437465301694968</v>
      </c>
      <c r="AS116" s="36" t="n">
        <f aca="false">I116*(1+(((2-3*U116^2)/24*AG116^2)+(U116*AG116*I116/4))*1)</f>
        <v>0.418295010655637</v>
      </c>
      <c r="AT116" s="36" t="n">
        <f aca="false">J116*(1+(((2-3*V116^2)/24*AH116^2)+(V116*AH116*J116/4))*1)</f>
        <v>0.41063225788842</v>
      </c>
      <c r="AU116" s="36" t="n">
        <f aca="false">K116*(1+(((2-3*W116^2)/24*AI116^2)+(W116*AI116*K116/4))*1)</f>
        <v>0.394353606563796</v>
      </c>
      <c r="AV116" s="36" t="n">
        <f aca="false">L116*(1+(((2-3*X116^2)/24*AJ116^2)+(X116*AJ116*L116/4))*1)</f>
        <v>0.35882779792348</v>
      </c>
    </row>
    <row r="117" customFormat="false" ht="15" hidden="false" customHeight="true" outlineLevel="0" collapsed="false">
      <c r="B117" s="34" t="s">
        <v>76</v>
      </c>
      <c r="C117" s="25" t="n">
        <f aca="false">C11+$C$30*C44</f>
        <v>0.5009796</v>
      </c>
      <c r="D117" s="25" t="n">
        <f aca="false">D11+$C$30*D44</f>
        <v>0.4828373</v>
      </c>
      <c r="E117" s="25" t="n">
        <f aca="false">E11+$C$30*E44</f>
        <v>0.4586519</v>
      </c>
      <c r="F117" s="25" t="n">
        <f aca="false">F11+$C$30*F44</f>
        <v>0.4516456</v>
      </c>
      <c r="G117" s="25" t="n">
        <f aca="false">G11+$C$30*G44</f>
        <v>0.4215422</v>
      </c>
      <c r="H117" s="25" t="n">
        <f aca="false">H11+$C$30*H44</f>
        <v>0.4040041</v>
      </c>
      <c r="I117" s="25" t="n">
        <f aca="false">I11+$C$30*I44</f>
        <v>0.3882643</v>
      </c>
      <c r="J117" s="25" t="n">
        <f aca="false">J11+$C$30*J44</f>
        <v>0.3695195</v>
      </c>
      <c r="K117" s="25" t="n">
        <f aca="false">K11+$C$30*K44</f>
        <v>0.3547977</v>
      </c>
      <c r="L117" s="25" t="n">
        <f aca="false">L11+$C$30*L44</f>
        <v>0.3310144</v>
      </c>
      <c r="N117" s="34" t="s">
        <v>76</v>
      </c>
      <c r="O117" s="25" t="n">
        <f aca="false">O11+$D$30*O44</f>
        <v>-0.2822</v>
      </c>
      <c r="P117" s="25" t="n">
        <f aca="false">P11+$D$30*P44</f>
        <v>-0.2598</v>
      </c>
      <c r="Q117" s="25" t="n">
        <f aca="false">Q11+$D$30*Q44</f>
        <v>-0.2413</v>
      </c>
      <c r="R117" s="25" t="n">
        <f aca="false">R11+$D$30*R44</f>
        <v>-0.2166</v>
      </c>
      <c r="S117" s="25" t="n">
        <f aca="false">S11+$D$30*S44</f>
        <v>-0.2039</v>
      </c>
      <c r="T117" s="25" t="n">
        <f aca="false">T11+$D$30*T44</f>
        <v>-0.1675</v>
      </c>
      <c r="U117" s="25" t="n">
        <f aca="false">U11+$D$30*U44</f>
        <v>-0.1533</v>
      </c>
      <c r="V117" s="25" t="n">
        <f aca="false">V11+$D$30*V44</f>
        <v>-0.1431</v>
      </c>
      <c r="W117" s="25" t="n">
        <f aca="false">W11+$D$30*W44</f>
        <v>-0.1216</v>
      </c>
      <c r="X117" s="25" t="n">
        <f aca="false">X11+$D$30*X44</f>
        <v>-0.1003</v>
      </c>
      <c r="Z117" s="34" t="s">
        <v>76</v>
      </c>
      <c r="AA117" s="25" t="n">
        <f aca="false">AA11+$E$30*AA44</f>
        <v>0.7584</v>
      </c>
      <c r="AB117" s="25" t="n">
        <f aca="false">AB11+$E$30*AB44</f>
        <v>0.7313</v>
      </c>
      <c r="AC117" s="25" t="n">
        <f aca="false">AC11+$E$30*AC44</f>
        <v>0.7236</v>
      </c>
      <c r="AD117" s="25" t="n">
        <f aca="false">AD11+$E$30*AD44</f>
        <v>0.7043</v>
      </c>
      <c r="AE117" s="25" t="n">
        <f aca="false">AE11+$E$30*AE44</f>
        <v>0.6715</v>
      </c>
      <c r="AF117" s="25" t="n">
        <f aca="false">AF11+$E$30*AF44</f>
        <v>0.6497</v>
      </c>
      <c r="AG117" s="25" t="n">
        <f aca="false">AG11+$E$30*AG44</f>
        <v>0.6195</v>
      </c>
      <c r="AH117" s="25" t="n">
        <f aca="false">AH11+$E$30*AH44</f>
        <v>0.5976</v>
      </c>
      <c r="AI117" s="25" t="n">
        <f aca="false">AI11+$E$30*AI44</f>
        <v>0.5802</v>
      </c>
      <c r="AJ117" s="25" t="n">
        <f aca="false">AJ11+$E$30*AJ44</f>
        <v>0.5564</v>
      </c>
      <c r="AL117" s="34" t="s">
        <v>76</v>
      </c>
      <c r="AM117" s="36" t="n">
        <f aca="false">C117*(1+(((2-3*O117^2)/24*AA117^2)+(O117*AA117*C117/4))*2)</f>
        <v>0.516410082940649</v>
      </c>
      <c r="AN117" s="36" t="n">
        <f aca="false">D117*(1+(((2-3*P117^2)/24*AB117^2)+(P117*AB117*D117/4))*2)</f>
        <v>0.499370381600569</v>
      </c>
      <c r="AO117" s="36" t="n">
        <f aca="false">E117*(1+(((2-3*Q117^2)/24*AC117^2)+(Q117*AC117*E117/4))*2)</f>
        <v>0.476815926656408</v>
      </c>
      <c r="AP117" s="36" t="n">
        <f aca="false">F117*(1+(((2-3*R117^2)/24*AD117^2)+(R117*AD117*F117/4))*2)</f>
        <v>0.47079786697817</v>
      </c>
      <c r="AQ117" s="36" t="n">
        <f aca="false">G117*(1+(((2-3*S117^2)/24*AE117^2)+(S117*AE117*G117/4))*2)</f>
        <v>0.439081227137171</v>
      </c>
      <c r="AR117" s="36" t="n">
        <f aca="false">H117*(1+(((2-3*T117^2)/24*AF117^2)+(T117*AF117*H117/4))*2)</f>
        <v>0.422349179792632</v>
      </c>
      <c r="AS117" s="36" t="n">
        <f aca="false">I117*(1+(((2-3*U117^2)/24*AG117^2)+(U117*AG117*I117/4))*2)</f>
        <v>0.40506526368113</v>
      </c>
      <c r="AT117" s="36" t="n">
        <f aca="false">J117*(1+(((2-3*V117^2)/24*AH117^2)+(V117*AH117*J117/4))*2)</f>
        <v>0.38499965893211</v>
      </c>
      <c r="AU117" s="36" t="n">
        <f aca="false">K117*(1+(((2-3*W117^2)/24*AI117^2)+(W117*AI117*K117/4))*2)</f>
        <v>0.369821619996508</v>
      </c>
      <c r="AV117" s="36" t="n">
        <f aca="false">L117*(1+(((2-3*X117^2)/24*AJ117^2)+(X117*AJ117*L117/4))*2)</f>
        <v>0.344778566804666</v>
      </c>
    </row>
    <row r="118" customFormat="false" ht="15" hidden="false" customHeight="true" outlineLevel="0" collapsed="false">
      <c r="B118" s="34" t="s">
        <v>77</v>
      </c>
      <c r="C118" s="25" t="n">
        <f aca="false">C12+$C$30*C45</f>
        <v>0.4919302</v>
      </c>
      <c r="D118" s="25" t="n">
        <f aca="false">D12+$C$30*D45</f>
        <v>0.4603402</v>
      </c>
      <c r="E118" s="25" t="n">
        <f aca="false">E12+$C$30*E45</f>
        <v>0.4390322</v>
      </c>
      <c r="F118" s="25" t="n">
        <f aca="false">F12+$C$30*F45</f>
        <v>0.4400577</v>
      </c>
      <c r="G118" s="25" t="n">
        <f aca="false">G12+$C$30*G45</f>
        <v>0.4128907</v>
      </c>
      <c r="H118" s="25" t="n">
        <f aca="false">H12+$C$30*H45</f>
        <v>0.3873346</v>
      </c>
      <c r="I118" s="25" t="n">
        <f aca="false">I12+$C$30*I45</f>
        <v>0.3775329</v>
      </c>
      <c r="J118" s="25" t="n">
        <f aca="false">J12+$C$30*J45</f>
        <v>0.3489111</v>
      </c>
      <c r="K118" s="25" t="n">
        <f aca="false">K12+$C$30*K45</f>
        <v>0.3403554</v>
      </c>
      <c r="L118" s="25" t="n">
        <f aca="false">L12+$C$30*L45</f>
        <v>0.3320671</v>
      </c>
      <c r="N118" s="34" t="s">
        <v>77</v>
      </c>
      <c r="O118" s="25" t="n">
        <f aca="false">O12+$D$30*O45</f>
        <v>-0.2455</v>
      </c>
      <c r="P118" s="25" t="n">
        <f aca="false">P12+$D$30*P45</f>
        <v>-0.2294</v>
      </c>
      <c r="Q118" s="25" t="n">
        <f aca="false">Q12+$D$30*Q45</f>
        <v>-0.2187</v>
      </c>
      <c r="R118" s="25" t="n">
        <f aca="false">R12+$D$30*R45</f>
        <v>-0.1971</v>
      </c>
      <c r="S118" s="25" t="n">
        <f aca="false">S12+$D$30*S45</f>
        <v>-0.1817</v>
      </c>
      <c r="T118" s="25" t="n">
        <f aca="false">T12+$D$30*T45</f>
        <v>-0.1501</v>
      </c>
      <c r="U118" s="25" t="n">
        <f aca="false">U12+$D$30*U45</f>
        <v>-0.1355</v>
      </c>
      <c r="V118" s="25" t="n">
        <f aca="false">V12+$D$30*V45</f>
        <v>-0.1111</v>
      </c>
      <c r="W118" s="25" t="n">
        <f aca="false">W12+$D$30*W45</f>
        <v>-0.1006</v>
      </c>
      <c r="X118" s="25" t="n">
        <f aca="false">X12+$D$30*X45</f>
        <v>-0.0833</v>
      </c>
      <c r="Z118" s="34" t="s">
        <v>77</v>
      </c>
      <c r="AA118" s="25" t="n">
        <f aca="false">AA12+$E$30*AA45</f>
        <v>0.7451</v>
      </c>
      <c r="AB118" s="25" t="n">
        <f aca="false">AB12+$E$30*AB45</f>
        <v>0.7264</v>
      </c>
      <c r="AC118" s="25" t="n">
        <f aca="false">AC12+$E$30*AC45</f>
        <v>0.7015</v>
      </c>
      <c r="AD118" s="25" t="n">
        <f aca="false">AD12+$E$30*AD45</f>
        <v>0.6783</v>
      </c>
      <c r="AE118" s="25" t="n">
        <f aca="false">AE12+$E$30*AE45</f>
        <v>0.6564</v>
      </c>
      <c r="AF118" s="25" t="n">
        <f aca="false">AF12+$E$30*AF45</f>
        <v>0.6326</v>
      </c>
      <c r="AG118" s="25" t="n">
        <f aca="false">AG12+$E$30*AG45</f>
        <v>0.6001</v>
      </c>
      <c r="AH118" s="25" t="n">
        <f aca="false">AH12+$E$30*AH45</f>
        <v>0.5837</v>
      </c>
      <c r="AI118" s="25" t="n">
        <f aca="false">AI12+$E$30*AI45</f>
        <v>0.5582</v>
      </c>
      <c r="AJ118" s="25" t="n">
        <f aca="false">AJ12+$E$30*AJ45</f>
        <v>0.5295</v>
      </c>
      <c r="AL118" s="34" t="s">
        <v>77</v>
      </c>
      <c r="AM118" s="36" t="n">
        <f aca="false">C118*(1+(((2-3*O118^2)/24*AA118^2)+(O118*AA118*C118/4))*3)</f>
        <v>0.520834623132091</v>
      </c>
      <c r="AN118" s="36" t="n">
        <f aca="false">D118*(1+(((2-3*P118^2)/24*AB118^2)+(P118*AB118*D118/4))*3)</f>
        <v>0.489787883582471</v>
      </c>
      <c r="AO118" s="36" t="n">
        <f aca="false">E118*(1+(((2-3*Q118^2)/24*AC118^2)+(Q118*AC118*E118/4))*3)</f>
        <v>0.466990891220924</v>
      </c>
      <c r="AP118" s="36" t="n">
        <f aca="false">F118*(1+(((2-3*R118^2)/24*AD118^2)+(R118*AD118*F118/4))*3)</f>
        <v>0.468307465979986</v>
      </c>
      <c r="AQ118" s="36" t="n">
        <f aca="false">G118*(1+(((2-3*S118^2)/24*AE118^2)+(S118*AE118*G118/4))*3)</f>
        <v>0.439913356224572</v>
      </c>
      <c r="AR118" s="36" t="n">
        <f aca="false">H118*(1+(((2-3*T118^2)/24*AF118^2)+(T118*AF118*H118/4))*3)</f>
        <v>0.414091919029379</v>
      </c>
      <c r="AS118" s="36" t="n">
        <f aca="false">I118*(1+(((2-3*U118^2)/24*AG118^2)+(U118*AG118*I118/4))*3)</f>
        <v>0.401893828474764</v>
      </c>
      <c r="AT118" s="36" t="n">
        <f aca="false">J118*(1+(((2-3*V118^2)/24*AH118^2)+(V118*AH118*J118/4))*3)</f>
        <v>0.372158863950004</v>
      </c>
      <c r="AU118" s="36" t="n">
        <f aca="false">K118*(1+(((2-3*W118^2)/24*AI118^2)+(W118*AI118*K118/4))*3)</f>
        <v>0.361586709155059</v>
      </c>
      <c r="AV118" s="36" t="n">
        <f aca="false">L118*(1+(((2-3*X118^2)/24*AJ118^2)+(X118*AJ118*L118/4))*3)</f>
        <v>0.35145253500588</v>
      </c>
    </row>
    <row r="119" customFormat="false" ht="15" hidden="false" customHeight="true" outlineLevel="0" collapsed="false">
      <c r="B119" s="34" t="s">
        <v>78</v>
      </c>
      <c r="C119" s="25" t="n">
        <f aca="false">C13+$C$30*C46</f>
        <v>0.4571837</v>
      </c>
      <c r="D119" s="25" t="n">
        <f aca="false">D13+$C$30*D46</f>
        <v>0.4440845</v>
      </c>
      <c r="E119" s="25" t="n">
        <f aca="false">E13+$C$30*E46</f>
        <v>0.4261464</v>
      </c>
      <c r="F119" s="25" t="n">
        <f aca="false">F13+$C$30*F46</f>
        <v>0.416302</v>
      </c>
      <c r="G119" s="25" t="n">
        <f aca="false">G13+$C$30*G46</f>
        <v>0.4034392</v>
      </c>
      <c r="H119" s="25" t="n">
        <f aca="false">H13+$C$30*H46</f>
        <v>0.3748856</v>
      </c>
      <c r="I119" s="25" t="n">
        <f aca="false">I13+$C$30*I46</f>
        <v>0.3665705</v>
      </c>
      <c r="J119" s="25" t="n">
        <f aca="false">J13+$C$30*J46</f>
        <v>0.3500165</v>
      </c>
      <c r="K119" s="25" t="n">
        <f aca="false">K13+$C$30*K46</f>
        <v>0.3309675</v>
      </c>
      <c r="L119" s="25" t="n">
        <f aca="false">L13+$C$30*L46</f>
        <v>0.3013704</v>
      </c>
      <c r="N119" s="34" t="s">
        <v>78</v>
      </c>
      <c r="O119" s="25" t="n">
        <f aca="false">O13+$D$30*O46</f>
        <v>-0.2389</v>
      </c>
      <c r="P119" s="25" t="n">
        <f aca="false">P13+$D$30*P46</f>
        <v>-0.2194</v>
      </c>
      <c r="Q119" s="25" t="n">
        <f aca="false">Q13+$D$30*Q46</f>
        <v>-0.2005</v>
      </c>
      <c r="R119" s="25" t="n">
        <f aca="false">R13+$D$30*R46</f>
        <v>-0.1809</v>
      </c>
      <c r="S119" s="25" t="n">
        <f aca="false">S13+$D$30*S46</f>
        <v>-0.1531</v>
      </c>
      <c r="T119" s="25" t="n">
        <f aca="false">T13+$D$30*T46</f>
        <v>-0.1281</v>
      </c>
      <c r="U119" s="25" t="n">
        <f aca="false">U13+$D$30*U46</f>
        <v>-0.1099</v>
      </c>
      <c r="V119" s="25" t="n">
        <f aca="false">V13+$D$30*V46</f>
        <v>-0.0976</v>
      </c>
      <c r="W119" s="25" t="n">
        <f aca="false">W13+$D$30*W46</f>
        <v>-0.0747</v>
      </c>
      <c r="X119" s="25" t="n">
        <f aca="false">X13+$D$30*X46</f>
        <v>-0.0523</v>
      </c>
      <c r="Z119" s="34" t="s">
        <v>78</v>
      </c>
      <c r="AA119" s="25" t="n">
        <f aca="false">AA13+$E$30*AA46</f>
        <v>0.7084</v>
      </c>
      <c r="AB119" s="25" t="n">
        <f aca="false">AB13+$E$30*AB46</f>
        <v>0.6977</v>
      </c>
      <c r="AC119" s="25" t="n">
        <f aca="false">AC13+$E$30*AC46</f>
        <v>0.6804</v>
      </c>
      <c r="AD119" s="25" t="n">
        <f aca="false">AD13+$E$30*AD46</f>
        <v>0.6556</v>
      </c>
      <c r="AE119" s="25" t="n">
        <f aca="false">AE13+$E$30*AE46</f>
        <v>0.6328</v>
      </c>
      <c r="AF119" s="25" t="n">
        <f aca="false">AF13+$E$30*AF46</f>
        <v>0.6051</v>
      </c>
      <c r="AG119" s="25" t="n">
        <f aca="false">AG13+$E$30*AG46</f>
        <v>0.5769</v>
      </c>
      <c r="AH119" s="25" t="n">
        <f aca="false">AH13+$E$30*AH46</f>
        <v>0.5669</v>
      </c>
      <c r="AI119" s="25" t="n">
        <f aca="false">AI13+$E$30*AI46</f>
        <v>0.5355</v>
      </c>
      <c r="AJ119" s="25" t="n">
        <f aca="false">AJ13+$E$30*AJ46</f>
        <v>0.5227</v>
      </c>
      <c r="AL119" s="34" t="s">
        <v>78</v>
      </c>
      <c r="AM119" s="36" t="n">
        <f aca="false">C119*(1+(((2-3*O119^2)/24*AA119^2)+(O119*AA119*C119/4))*5)</f>
        <v>0.500378430121762</v>
      </c>
      <c r="AN119" s="36" t="n">
        <f aca="false">D119*(1+(((2-3*P119^2)/24*AB119^2)+(P119*AB119*D119/4))*5)</f>
        <v>0.489918085861844</v>
      </c>
      <c r="AO119" s="36" t="n">
        <f aca="false">E119*(1+(((2-3*Q119^2)/24*AC119^2)+(Q119*AC119*E119/4))*5)</f>
        <v>0.472422973224662</v>
      </c>
      <c r="AP119" s="36" t="n">
        <f aca="false">F119*(1+(((2-3*R119^2)/24*AD119^2)+(R119*AD119*F119/4))*5)</f>
        <v>0.461504645937416</v>
      </c>
      <c r="AQ119" s="36" t="n">
        <f aca="false">G119*(1+(((2-3*S119^2)/24*AE119^2)+(S119*AE119*G119/4))*5)</f>
        <v>0.448674677028486</v>
      </c>
      <c r="AR119" s="36" t="n">
        <f aca="false">H119*(1+(((2-3*T119^2)/24*AF119^2)+(T119*AF119*H119/4))*5)</f>
        <v>0.417053617795475</v>
      </c>
      <c r="AS119" s="36" t="n">
        <f aca="false">I119*(1+(((2-3*U119^2)/24*AG119^2)+(U119*AG119*I119/4))*5)</f>
        <v>0.405833388356025</v>
      </c>
      <c r="AT119" s="36" t="n">
        <f aca="false">J119*(1+(((2-3*V119^2)/24*AH119^2)+(V119*AH119*J119/4))*5)</f>
        <v>0.387743165366799</v>
      </c>
      <c r="AU119" s="36" t="n">
        <f aca="false">K119*(1+(((2-3*W119^2)/24*AI119^2)+(W119*AI119*K119/4))*5)</f>
        <v>0.364704408872706</v>
      </c>
      <c r="AV119" s="36" t="n">
        <f aca="false">L119*(1+(((2-3*X119^2)/24*AJ119^2)+(X119*AJ119*L119/4))*5)</f>
        <v>0.332433956543005</v>
      </c>
    </row>
    <row r="120" customFormat="false" ht="15" hidden="false" customHeight="true" outlineLevel="0" collapsed="false">
      <c r="B120" s="34" t="s">
        <v>79</v>
      </c>
      <c r="C120" s="25" t="n">
        <f aca="false">C14+$C$30*C47</f>
        <v>0.4580958</v>
      </c>
      <c r="D120" s="25" t="n">
        <f aca="false">D14+$C$30*D47</f>
        <v>0.4285443</v>
      </c>
      <c r="E120" s="25" t="n">
        <f aca="false">E14+$C$30*E47</f>
        <v>0.4110062</v>
      </c>
      <c r="F120" s="25" t="n">
        <f aca="false">F14+$C$30*F47</f>
        <v>0.4034141</v>
      </c>
      <c r="G120" s="25" t="n">
        <f aca="false">G14+$C$30*G47</f>
        <v>0.3809626</v>
      </c>
      <c r="H120" s="25" t="n">
        <f aca="false">H14+$C$30*H47</f>
        <v>0.3520178</v>
      </c>
      <c r="I120" s="25" t="n">
        <f aca="false">I14+$C$30*I47</f>
        <v>0.3324349</v>
      </c>
      <c r="J120" s="25" t="n">
        <f aca="false">J14+$C$30*J47</f>
        <v>0.3147721</v>
      </c>
      <c r="K120" s="25" t="n">
        <f aca="false">K14+$C$30*K47</f>
        <v>0.3124725</v>
      </c>
      <c r="L120" s="25" t="n">
        <f aca="false">L14+$C$30*L47</f>
        <v>0.2923461</v>
      </c>
      <c r="N120" s="34" t="s">
        <v>79</v>
      </c>
      <c r="O120" s="25" t="n">
        <f aca="false">O14+$D$30*O47</f>
        <v>-0.221</v>
      </c>
      <c r="P120" s="25" t="n">
        <f aca="false">P14+$D$30*P47</f>
        <v>-0.1879</v>
      </c>
      <c r="Q120" s="25" t="n">
        <f aca="false">Q14+$D$30*Q47</f>
        <v>-0.1654</v>
      </c>
      <c r="R120" s="25" t="n">
        <f aca="false">R14+$D$30*R47</f>
        <v>-0.1524</v>
      </c>
      <c r="S120" s="25" t="n">
        <f aca="false">S14+$D$30*S47</f>
        <v>-0.1391</v>
      </c>
      <c r="T120" s="25" t="n">
        <f aca="false">T14+$D$30*T47</f>
        <v>-0.1157</v>
      </c>
      <c r="U120" s="25" t="n">
        <f aca="false">U14+$D$30*U47</f>
        <v>-0.1046</v>
      </c>
      <c r="V120" s="25" t="n">
        <f aca="false">V14+$D$30*V47</f>
        <v>-0.0875</v>
      </c>
      <c r="W120" s="25" t="n">
        <f aca="false">W14+$D$30*W47</f>
        <v>-0.0489</v>
      </c>
      <c r="X120" s="25" t="n">
        <f aca="false">X14+$D$30*X47</f>
        <v>-0.0359</v>
      </c>
      <c r="Z120" s="34" t="s">
        <v>79</v>
      </c>
      <c r="AA120" s="25" t="n">
        <f aca="false">AA14+$E$30*AA47</f>
        <v>0.695</v>
      </c>
      <c r="AB120" s="25" t="n">
        <f aca="false">AB14+$E$30*AB47</f>
        <v>0.6809</v>
      </c>
      <c r="AC120" s="25" t="n">
        <f aca="false">AC14+$E$30*AC47</f>
        <v>0.6487</v>
      </c>
      <c r="AD120" s="25" t="n">
        <f aca="false">AD14+$E$30*AD47</f>
        <v>0.6352</v>
      </c>
      <c r="AE120" s="25" t="n">
        <f aca="false">AE14+$E$30*AE47</f>
        <v>0.6121</v>
      </c>
      <c r="AF120" s="25" t="n">
        <f aca="false">AF14+$E$30*AF47</f>
        <v>0.5776</v>
      </c>
      <c r="AG120" s="25" t="n">
        <f aca="false">AG14+$E$30*AG47</f>
        <v>0.5561</v>
      </c>
      <c r="AH120" s="25" t="n">
        <f aca="false">AH14+$E$30*AH47</f>
        <v>0.5347</v>
      </c>
      <c r="AI120" s="25" t="n">
        <f aca="false">AI14+$E$30*AI47</f>
        <v>0.5115</v>
      </c>
      <c r="AJ120" s="25" t="n">
        <f aca="false">AJ14+$E$30*AJ47</f>
        <v>0.4962</v>
      </c>
      <c r="AL120" s="34" t="s">
        <v>79</v>
      </c>
      <c r="AM120" s="36" t="n">
        <f aca="false">C120*(1+(((2-3*O120^2)/24*AA120^2)+(O120*AA120*C120/4))*10)</f>
        <v>0.548399534382772</v>
      </c>
      <c r="AN120" s="36" t="n">
        <f aca="false">D120*(1+(((2-3*P120^2)/24*AB120^2)+(P120*AB120*D120/4))*10)</f>
        <v>0.526604563206481</v>
      </c>
      <c r="AO120" s="36" t="n">
        <f aca="false">E120*(1+(((2-3*Q120^2)/24*AC120^2)+(Q120*AC120*E120/4))*10)</f>
        <v>0.5039095841603</v>
      </c>
      <c r="AP120" s="36" t="n">
        <f aca="false">F120*(1+(((2-3*R120^2)/24*AD120^2)+(R120*AD120*F120/4))*10)</f>
        <v>0.494943885527399</v>
      </c>
      <c r="AQ120" s="36" t="n">
        <f aca="false">G120*(1+(((2-3*S120^2)/24*AE120^2)+(S120*AE120*G120/4))*10)</f>
        <v>0.465562762848409</v>
      </c>
      <c r="AR120" s="36" t="n">
        <f aca="false">H120*(1+(((2-3*T120^2)/24*AF120^2)+(T120*AF120*H120/4))*10)</f>
        <v>0.427217147517551</v>
      </c>
      <c r="AS120" s="36" t="n">
        <f aca="false">I120*(1+(((2-3*U120^2)/24*AG120^2)+(U120*AG120*I120/4))*10)</f>
        <v>0.400628557993855</v>
      </c>
      <c r="AT120" s="36" t="n">
        <f aca="false">J120*(1+(((2-3*V120^2)/24*AH120^2)+(V120*AH120*J120/4))*10)</f>
        <v>0.377317222290994</v>
      </c>
      <c r="AU120" s="36" t="n">
        <f aca="false">K120*(1+(((2-3*W120^2)/24*AI120^2)+(W120*AI120*K120/4))*10)</f>
        <v>0.374250086248934</v>
      </c>
      <c r="AV120" s="36" t="n">
        <f aca="false">L120*(1+(((2-3*X120^2)/24*AJ120^2)+(X120*AJ120*L120/4))*10)</f>
        <v>0.348407182983937</v>
      </c>
    </row>
    <row r="121" customFormat="false" ht="15" hidden="false" customHeight="true" outlineLevel="0" collapsed="false">
      <c r="B121" s="34" t="s">
        <v>80</v>
      </c>
      <c r="C121" s="25" t="n">
        <f aca="false">C15+$C$30*C48</f>
        <v>0.4256535</v>
      </c>
      <c r="D121" s="25" t="n">
        <f aca="false">D15+$C$30*D48</f>
        <v>0.4106589</v>
      </c>
      <c r="E121" s="25" t="n">
        <f aca="false">E15+$C$30*E48</f>
        <v>0.3873526</v>
      </c>
      <c r="F121" s="25" t="n">
        <f aca="false">F15+$C$30*F48</f>
        <v>0.3850124</v>
      </c>
      <c r="G121" s="25" t="n">
        <f aca="false">G15+$C$30*G48</f>
        <v>0.3550818</v>
      </c>
      <c r="H121" s="25" t="n">
        <f aca="false">H15+$C$30*H48</f>
        <v>0.3397663</v>
      </c>
      <c r="I121" s="25" t="n">
        <f aca="false">I15+$C$30*I48</f>
        <v>0.3240717</v>
      </c>
      <c r="J121" s="25" t="n">
        <f aca="false">J15+$C$30*J48</f>
        <v>0.3121704</v>
      </c>
      <c r="K121" s="25" t="n">
        <f aca="false">K15+$C$30*K48</f>
        <v>0.2841645</v>
      </c>
      <c r="L121" s="25" t="n">
        <f aca="false">L15+$C$30*L48</f>
        <v>0.277385</v>
      </c>
      <c r="N121" s="34" t="s">
        <v>80</v>
      </c>
      <c r="O121" s="25" t="n">
        <f aca="false">O15+$D$30*O48</f>
        <v>-0.1944</v>
      </c>
      <c r="P121" s="25" t="n">
        <f aca="false">P15+$D$30*P48</f>
        <v>-0.1744</v>
      </c>
      <c r="Q121" s="25" t="n">
        <f aca="false">Q15+$D$30*Q48</f>
        <v>-0.1551</v>
      </c>
      <c r="R121" s="25" t="n">
        <f aca="false">R15+$D$30*R48</f>
        <v>-0.1457</v>
      </c>
      <c r="S121" s="25" t="n">
        <f aca="false">S15+$D$30*S48</f>
        <v>-0.1179</v>
      </c>
      <c r="T121" s="25" t="n">
        <f aca="false">T15+$D$30*T48</f>
        <v>-0.1036</v>
      </c>
      <c r="U121" s="25" t="n">
        <f aca="false">U15+$D$30*U48</f>
        <v>-0.0877</v>
      </c>
      <c r="V121" s="25" t="n">
        <f aca="false">V15+$D$30*V48</f>
        <v>-0.0523</v>
      </c>
      <c r="W121" s="25" t="n">
        <f aca="false">W15+$D$30*W48</f>
        <v>-0.0454</v>
      </c>
      <c r="X121" s="25" t="n">
        <f aca="false">X15+$D$30*X48</f>
        <v>-0.02</v>
      </c>
      <c r="Z121" s="34" t="s">
        <v>80</v>
      </c>
      <c r="AA121" s="25" t="n">
        <f aca="false">AA15+$E$30*AA48</f>
        <v>0.6767</v>
      </c>
      <c r="AB121" s="25" t="n">
        <f aca="false">AB15+$E$30*AB48</f>
        <v>0.6511</v>
      </c>
      <c r="AC121" s="25" t="n">
        <f aca="false">AC15+$E$30*AC48</f>
        <v>0.6243</v>
      </c>
      <c r="AD121" s="25" t="n">
        <f aca="false">AD15+$E$30*AD48</f>
        <v>0.6059</v>
      </c>
      <c r="AE121" s="25" t="n">
        <f aca="false">AE15+$E$30*AE48</f>
        <v>0.5844</v>
      </c>
      <c r="AF121" s="25" t="n">
        <f aca="false">AF15+$E$30*AF48</f>
        <v>0.5668</v>
      </c>
      <c r="AG121" s="25" t="n">
        <f aca="false">AG15+$E$30*AG48</f>
        <v>0.531</v>
      </c>
      <c r="AH121" s="25" t="n">
        <f aca="false">AH15+$E$30*AH48</f>
        <v>0.5179</v>
      </c>
      <c r="AI121" s="25" t="n">
        <f aca="false">AI15+$E$30*AI48</f>
        <v>0.4894</v>
      </c>
      <c r="AJ121" s="25" t="n">
        <f aca="false">AJ15+$E$30*AJ48</f>
        <v>0.4678</v>
      </c>
      <c r="AL121" s="34" t="s">
        <v>80</v>
      </c>
      <c r="AM121" s="36" t="n">
        <f aca="false">C121*(1+(((2-3*O121^2)/24*AA121^2)+(O121*AA121*C121/4))*20)</f>
        <v>0.612926731020262</v>
      </c>
      <c r="AN121" s="36" t="n">
        <f aca="false">D121*(1+(((2-3*P121^2)/24*AB121^2)+(P121*AB121*D121/4))*20)</f>
        <v>0.591825836233045</v>
      </c>
      <c r="AO121" s="36" t="n">
        <f aca="false">E121*(1+(((2-3*Q121^2)/24*AC121^2)+(Q121*AC121*E121/4))*20)</f>
        <v>0.557249268430296</v>
      </c>
      <c r="AP121" s="36" t="n">
        <f aca="false">F121*(1+(((2-3*R121^2)/24*AD121^2)+(R121*AD121*F121/4))*20)</f>
        <v>0.547653581960131</v>
      </c>
      <c r="AQ121" s="36" t="n">
        <f aca="false">G121*(1+(((2-3*S121^2)/24*AE121^2)+(S121*AE121*G121/4))*20)</f>
        <v>0.509546034578752</v>
      </c>
      <c r="AR121" s="36" t="n">
        <f aca="false">H121*(1+(((2-3*T121^2)/24*AF121^2)+(T121*AF121*H121/4))*20)</f>
        <v>0.484867109661542</v>
      </c>
      <c r="AS121" s="36" t="n">
        <f aca="false">I121*(1+(((2-3*U121^2)/24*AG121^2)+(U121*AG121*I121/4))*20)</f>
        <v>0.450153545381564</v>
      </c>
      <c r="AT121" s="36" t="n">
        <f aca="false">J121*(1+(((2-3*V121^2)/24*AH121^2)+(V121*AH121*J121/4))*20)</f>
        <v>0.437950835082012</v>
      </c>
      <c r="AU121" s="36" t="n">
        <f aca="false">K121*(1+(((2-3*W121^2)/24*AI121^2)+(W121*AI121*K121/4))*20)</f>
        <v>0.388277874276119</v>
      </c>
      <c r="AV121" s="36" t="n">
        <f aca="false">L121*(1+(((2-3*X121^2)/24*AJ121^2)+(X121*AJ121*L121/4))*20)</f>
        <v>0.374895025455305</v>
      </c>
    </row>
    <row r="122" customFormat="false" ht="15" hidden="false" customHeight="true" outlineLevel="0" collapsed="false">
      <c r="B122" s="34" t="s">
        <v>81</v>
      </c>
      <c r="C122" s="25" t="n">
        <f aca="false">C16+$C$30*C49</f>
        <v>0.4175158</v>
      </c>
      <c r="D122" s="25" t="n">
        <f aca="false">D16+$C$30*D49</f>
        <v>0.3950752</v>
      </c>
      <c r="E122" s="25" t="n">
        <f aca="false">E16+$C$30*E49</f>
        <v>0.3773446</v>
      </c>
      <c r="F122" s="25" t="n">
        <f aca="false">F16+$C$30*F49</f>
        <v>0.3636588</v>
      </c>
      <c r="G122" s="25" t="n">
        <f aca="false">G16+$C$30*G49</f>
        <v>0.3481985</v>
      </c>
      <c r="H122" s="25" t="n">
        <f aca="false">H16+$C$30*H49</f>
        <v>0.3212081</v>
      </c>
      <c r="I122" s="25" t="n">
        <f aca="false">I16+$C$30*I49</f>
        <v>0.3063704</v>
      </c>
      <c r="J122" s="25" t="n">
        <f aca="false">J16+$C$30*J49</f>
        <v>0.285785</v>
      </c>
      <c r="K122" s="25" t="n">
        <f aca="false">K16+$C$30*K49</f>
        <v>0.269285</v>
      </c>
      <c r="L122" s="25" t="n">
        <f aca="false">L16+$C$30*L49</f>
        <v>0.256285</v>
      </c>
      <c r="N122" s="34" t="s">
        <v>81</v>
      </c>
      <c r="O122" s="25" t="n">
        <f aca="false">O16+$D$30*O49</f>
        <v>-0.176</v>
      </c>
      <c r="P122" s="25" t="n">
        <f aca="false">P16+$D$30*P49</f>
        <v>-0.1549</v>
      </c>
      <c r="Q122" s="25" t="n">
        <f aca="false">Q16+$D$30*Q49</f>
        <v>-0.1366</v>
      </c>
      <c r="R122" s="25" t="n">
        <f aca="false">R16+$D$30*R49</f>
        <v>-0.1078</v>
      </c>
      <c r="S122" s="25" t="n">
        <f aca="false">S16+$D$30*S49</f>
        <v>-0.0932</v>
      </c>
      <c r="T122" s="25" t="n">
        <f aca="false">T16+$D$30*T49</f>
        <v>-0.0702</v>
      </c>
      <c r="U122" s="25" t="n">
        <f aca="false">U16+$D$30*U49</f>
        <v>-0.0495</v>
      </c>
      <c r="V122" s="25" t="n">
        <f aca="false">V16+$D$30*V49</f>
        <v>-0.0437</v>
      </c>
      <c r="W122" s="25" t="n">
        <f aca="false">W16+$D$30*W49</f>
        <v>-0.0183</v>
      </c>
      <c r="X122" s="25" t="n">
        <f aca="false">X16+$D$30*X49</f>
        <v>0.0089</v>
      </c>
      <c r="Z122" s="34" t="s">
        <v>81</v>
      </c>
      <c r="AA122" s="25" t="n">
        <f aca="false">AA16+$E$30*AA49</f>
        <v>0.6568</v>
      </c>
      <c r="AB122" s="25" t="n">
        <f aca="false">AB16+$E$30*AB49</f>
        <v>0.6205</v>
      </c>
      <c r="AC122" s="25" t="n">
        <f aca="false">AC16+$E$30*AC49</f>
        <v>0.598</v>
      </c>
      <c r="AD122" s="25" t="n">
        <f aca="false">AD16+$E$30*AD49</f>
        <v>0.5822</v>
      </c>
      <c r="AE122" s="25" t="n">
        <f aca="false">AE16+$E$30*AE49</f>
        <v>0.5526</v>
      </c>
      <c r="AF122" s="25" t="n">
        <f aca="false">AF16+$E$30*AF49</f>
        <v>0.5337</v>
      </c>
      <c r="AG122" s="25" t="n">
        <f aca="false">AG16+$E$30*AG49</f>
        <v>0.5081</v>
      </c>
      <c r="AH122" s="25" t="n">
        <f aca="false">AH16+$E$30*AH49</f>
        <v>0.4978</v>
      </c>
      <c r="AI122" s="25" t="n">
        <f aca="false">AI16+$E$30*AI49</f>
        <v>0.4779</v>
      </c>
      <c r="AJ122" s="25" t="n">
        <f aca="false">AJ16+$E$30*AJ49</f>
        <v>0.4579</v>
      </c>
      <c r="AL122" s="34" t="s">
        <v>81</v>
      </c>
      <c r="AM122" s="36" t="n">
        <f aca="false">C122*(1+(((2-3*O122^2)/24*AA122^2)+(O122*AA122*C122/4))*30)</f>
        <v>0.695739810186403</v>
      </c>
      <c r="AN122" s="36" t="n">
        <f aca="false">D122*(1+(((2-3*P122^2)/24*AB122^2)+(P122*AB122*D122/4))*30)</f>
        <v>0.649152494368874</v>
      </c>
      <c r="AO122" s="36" t="n">
        <f aca="false">E122*(1+(((2-3*Q122^2)/24*AC122^2)+(Q122*AC122*E122/4))*30)</f>
        <v>0.618017515451789</v>
      </c>
      <c r="AP122" s="36" t="n">
        <f aca="false">F122*(1+(((2-3*R122^2)/24*AD122^2)+(R122*AD122*F122/4))*30)</f>
        <v>0.604198595659338</v>
      </c>
      <c r="AQ122" s="36" t="n">
        <f aca="false">G122*(1+(((2-3*S122^2)/24*AE122^2)+(S122*AE122*G122/4))*30)</f>
        <v>0.563723739320033</v>
      </c>
      <c r="AR122" s="36" t="n">
        <f aca="false">H122*(1+(((2-3*T122^2)/24*AF122^2)+(T122*AF122*H122/4))*30)</f>
        <v>0.519254792018559</v>
      </c>
      <c r="AS122" s="36" t="n">
        <f aca="false">I122*(1+(((2-3*U122^2)/24*AG122^2)+(U122*AG122*I122/4))*30)</f>
        <v>0.485673856390027</v>
      </c>
      <c r="AT122" s="36" t="n">
        <f aca="false">J122*(1+(((2-3*V122^2)/24*AH122^2)+(V122*AH122*J122/4))*30)</f>
        <v>0.448999824046605</v>
      </c>
      <c r="AU122" s="36" t="n">
        <f aca="false">K122*(1+(((2-3*W122^2)/24*AI122^2)+(W122*AI122*K122/4))*30)</f>
        <v>0.418205347540132</v>
      </c>
      <c r="AV122" s="36" t="n">
        <f aca="false">L122*(1+(((2-3*X122^2)/24*AJ122^2)+(X122*AJ122*L122/4))*30)</f>
        <v>0.392616331289723</v>
      </c>
    </row>
    <row r="124" customFormat="false" ht="15" hidden="false" customHeight="true" outlineLevel="0" collapsed="false">
      <c r="A124" s="29" t="s">
        <v>153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</row>
    <row r="125" customFormat="false" ht="15" hidden="false" customHeight="true" outlineLevel="0" collapsed="false">
      <c r="B125" s="29" t="s">
        <v>131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N125" s="29" t="s">
        <v>132</v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Z125" s="29" t="s">
        <v>133</v>
      </c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L125" s="33" t="s">
        <v>134</v>
      </c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</row>
    <row r="126" customFormat="false" ht="15" hidden="false" customHeight="true" outlineLevel="0" collapsed="false">
      <c r="B126" s="18" t="s">
        <v>135</v>
      </c>
      <c r="C126" s="12" t="s">
        <v>136</v>
      </c>
      <c r="D126" s="12" t="s">
        <v>74</v>
      </c>
      <c r="E126" s="12" t="s">
        <v>75</v>
      </c>
      <c r="F126" s="12" t="s">
        <v>30</v>
      </c>
      <c r="G126" s="12" t="s">
        <v>76</v>
      </c>
      <c r="H126" s="12" t="s">
        <v>77</v>
      </c>
      <c r="I126" s="12" t="s">
        <v>78</v>
      </c>
      <c r="J126" s="12" t="s">
        <v>79</v>
      </c>
      <c r="K126" s="12" t="s">
        <v>80</v>
      </c>
      <c r="L126" s="12" t="s">
        <v>81</v>
      </c>
      <c r="N126" s="18" t="s">
        <v>135</v>
      </c>
      <c r="O126" s="12" t="s">
        <v>136</v>
      </c>
      <c r="P126" s="12" t="s">
        <v>74</v>
      </c>
      <c r="Q126" s="12" t="s">
        <v>75</v>
      </c>
      <c r="R126" s="12" t="s">
        <v>30</v>
      </c>
      <c r="S126" s="12" t="s">
        <v>76</v>
      </c>
      <c r="T126" s="12" t="s">
        <v>77</v>
      </c>
      <c r="U126" s="12" t="s">
        <v>78</v>
      </c>
      <c r="V126" s="12" t="s">
        <v>79</v>
      </c>
      <c r="W126" s="12" t="s">
        <v>80</v>
      </c>
      <c r="X126" s="12" t="s">
        <v>81</v>
      </c>
      <c r="Z126" s="18" t="s">
        <v>135</v>
      </c>
      <c r="AA126" s="12" t="s">
        <v>136</v>
      </c>
      <c r="AB126" s="12" t="s">
        <v>74</v>
      </c>
      <c r="AC126" s="12" t="s">
        <v>75</v>
      </c>
      <c r="AD126" s="12" t="s">
        <v>30</v>
      </c>
      <c r="AE126" s="12" t="s">
        <v>76</v>
      </c>
      <c r="AF126" s="12" t="s">
        <v>77</v>
      </c>
      <c r="AG126" s="12" t="s">
        <v>78</v>
      </c>
      <c r="AH126" s="12" t="s">
        <v>79</v>
      </c>
      <c r="AI126" s="12" t="s">
        <v>80</v>
      </c>
      <c r="AJ126" s="12" t="s">
        <v>81</v>
      </c>
      <c r="AL126" s="18" t="s">
        <v>135</v>
      </c>
      <c r="AM126" s="12" t="s">
        <v>136</v>
      </c>
      <c r="AN126" s="12" t="s">
        <v>74</v>
      </c>
      <c r="AO126" s="12" t="s">
        <v>75</v>
      </c>
      <c r="AP126" s="12" t="s">
        <v>30</v>
      </c>
      <c r="AQ126" s="12" t="s">
        <v>76</v>
      </c>
      <c r="AR126" s="12" t="s">
        <v>77</v>
      </c>
      <c r="AS126" s="12" t="s">
        <v>78</v>
      </c>
      <c r="AT126" s="12" t="s">
        <v>79</v>
      </c>
      <c r="AU126" s="12" t="s">
        <v>80</v>
      </c>
      <c r="AV126" s="12" t="s">
        <v>81</v>
      </c>
    </row>
    <row r="127" customFormat="false" ht="15" hidden="false" customHeight="true" outlineLevel="0" collapsed="false">
      <c r="B127" s="34" t="s">
        <v>136</v>
      </c>
      <c r="C127" s="25" t="n">
        <f aca="false">C7+$C$31*C40</f>
        <v>0.5749978</v>
      </c>
      <c r="D127" s="25" t="n">
        <f aca="false">D7+$C$31*D40</f>
        <v>0.5534204</v>
      </c>
      <c r="E127" s="25" t="n">
        <f aca="false">E7+$C$31*E40</f>
        <v>0.544976</v>
      </c>
      <c r="F127" s="25" t="n">
        <f aca="false">F7+$C$31*F40</f>
        <v>0.515252</v>
      </c>
      <c r="G127" s="25" t="n">
        <f aca="false">G7+$C$31*G40</f>
        <v>0.5061186</v>
      </c>
      <c r="H127" s="25" t="n">
        <f aca="false">H7+$C$31*H40</f>
        <v>0.4842386</v>
      </c>
      <c r="I127" s="25" t="n">
        <f aca="false">I7+$C$31*I40</f>
        <v>0.460602</v>
      </c>
      <c r="J127" s="25" t="n">
        <f aca="false">J7+$C$31*J40</f>
        <v>0.4513</v>
      </c>
      <c r="K127" s="25" t="n">
        <f aca="false">K7+$C$31*K40</f>
        <v>0.42342</v>
      </c>
      <c r="L127" s="25" t="n">
        <f aca="false">L7+$C$31*L40</f>
        <v>0.4129756</v>
      </c>
      <c r="N127" s="34" t="s">
        <v>136</v>
      </c>
      <c r="O127" s="25" t="n">
        <f aca="false">O7+$D$31*O40</f>
        <v>-0.3586</v>
      </c>
      <c r="P127" s="25" t="n">
        <f aca="false">P7+$D$31*P40</f>
        <v>-0.3387</v>
      </c>
      <c r="Q127" s="25" t="n">
        <f aca="false">Q7+$D$31*Q40</f>
        <v>-0.3126</v>
      </c>
      <c r="R127" s="25" t="n">
        <f aca="false">R7+$D$31*R40</f>
        <v>-0.2851</v>
      </c>
      <c r="S127" s="25" t="n">
        <f aca="false">S7+$D$31*S40</f>
        <v>-0.2797</v>
      </c>
      <c r="T127" s="25" t="n">
        <f aca="false">T7+$D$31*T40</f>
        <v>-0.2583</v>
      </c>
      <c r="U127" s="25" t="n">
        <f aca="false">U7+$D$31*U40</f>
        <v>-0.2308</v>
      </c>
      <c r="V127" s="25" t="n">
        <f aca="false">V7+$D$31*V40</f>
        <v>-0.2049</v>
      </c>
      <c r="W127" s="25" t="n">
        <f aca="false">W7+$D$31*W40</f>
        <v>-0.1929</v>
      </c>
      <c r="X127" s="25" t="n">
        <f aca="false">X7+$D$31*X40</f>
        <v>-0.1771</v>
      </c>
      <c r="Z127" s="34" t="s">
        <v>136</v>
      </c>
      <c r="AA127" s="25" t="n">
        <f aca="false">AA7+$E$31*AA40</f>
        <v>0.8595</v>
      </c>
      <c r="AB127" s="25" t="n">
        <f aca="false">AB7+$E$31*AB40</f>
        <v>0.8187</v>
      </c>
      <c r="AC127" s="25" t="n">
        <f aca="false">AC7+$E$31*AC40</f>
        <v>0.8127</v>
      </c>
      <c r="AD127" s="25" t="n">
        <f aca="false">AD7+$E$31*AD40</f>
        <v>0.7791</v>
      </c>
      <c r="AE127" s="25" t="n">
        <f aca="false">AE7+$E$31*AE40</f>
        <v>0.754</v>
      </c>
      <c r="AF127" s="25" t="n">
        <f aca="false">AF7+$E$31*AF40</f>
        <v>0.7312</v>
      </c>
      <c r="AG127" s="25" t="n">
        <f aca="false">AG7+$E$31*AG40</f>
        <v>0.7128</v>
      </c>
      <c r="AH127" s="25" t="n">
        <f aca="false">AH7+$E$31*AH40</f>
        <v>0.7008</v>
      </c>
      <c r="AI127" s="25" t="n">
        <f aca="false">AI7+$E$31*AI40</f>
        <v>0.6658</v>
      </c>
      <c r="AJ127" s="25" t="n">
        <f aca="false">AJ7+$E$31*AJ40</f>
        <v>0.6516</v>
      </c>
      <c r="AL127" s="34" t="s">
        <v>136</v>
      </c>
      <c r="AM127" s="36" t="n">
        <f aca="false">C127*(1+(((2-3*O127^2)/24*AA127^2)+(O127*AA127*C127/4))*0.0833333333333333)</f>
        <v>0.575255639297563</v>
      </c>
      <c r="AN127" s="36" t="n">
        <f aca="false">D127*(1+(((2-3*P127^2)/24*AB127^2)+(P127*AB127*D127/4))*0.0833333333333333)</f>
        <v>0.55378378217483</v>
      </c>
      <c r="AO127" s="36" t="n">
        <f aca="false">E127*(1+(((2-3*Q127^2)/24*AC127^2)+(Q127*AC127*E127/4))*0.0833333333333333)</f>
        <v>0.545537308930373</v>
      </c>
      <c r="AP127" s="36" t="n">
        <f aca="false">F127*(1+(((2-3*R127^2)/24*AD127^2)+(R127*AD127*F127/4))*0.0833333333333333)</f>
        <v>0.515930574097855</v>
      </c>
      <c r="AQ127" s="36" t="n">
        <f aca="false">G127*(1+(((2-3*S127^2)/24*AE127^2)+(S127*AE127*G127/4))*0.0833333333333333)</f>
        <v>0.506756836232597</v>
      </c>
      <c r="AR127" s="36" t="n">
        <f aca="false">H127*(1+(((2-3*T127^2)/24*AF127^2)+(T127*AF127*H127/4))*0.0833333333333333)</f>
        <v>0.484933930619739</v>
      </c>
      <c r="AS127" s="36" t="n">
        <f aca="false">I127*(1+(((2-3*U127^2)/24*AG127^2)+(U127*AG127*I127/4))*0.0833333333333333)</f>
        <v>0.461370180735132</v>
      </c>
      <c r="AT127" s="36" t="n">
        <f aca="false">J127*(1+(((2-3*V127^2)/24*AH127^2)+(V127*AH127*J127/4))*0.0833333333333333)</f>
        <v>0.452132961937003</v>
      </c>
      <c r="AU127" s="36" t="n">
        <f aca="false">K127*(1+(((2-3*W127^2)/24*AI127^2)+(W127*AI127*K127/4))*0.0833333333333333)</f>
        <v>0.424170994419998</v>
      </c>
      <c r="AV127" s="36" t="n">
        <f aca="false">L127*(1+(((2-3*X127^2)/24*AJ127^2)+(X127*AJ127*L127/4))*0.0833333333333333)</f>
        <v>0.413725945883845</v>
      </c>
    </row>
    <row r="128" customFormat="false" ht="15" hidden="false" customHeight="true" outlineLevel="0" collapsed="false">
      <c r="B128" s="34" t="s">
        <v>74</v>
      </c>
      <c r="C128" s="25" t="n">
        <f aca="false">C8+$C$31*C41</f>
        <v>0.5627822</v>
      </c>
      <c r="D128" s="25" t="n">
        <f aca="false">D8+$C$31*D41</f>
        <v>0.5390912</v>
      </c>
      <c r="E128" s="25" t="n">
        <f aca="false">E8+$C$31*E41</f>
        <v>0.5244426</v>
      </c>
      <c r="F128" s="25" t="n">
        <f aca="false">F8+$C$31*F41</f>
        <v>0.4962092</v>
      </c>
      <c r="G128" s="25" t="n">
        <f aca="false">G8+$C$31*G41</f>
        <v>0.4786548</v>
      </c>
      <c r="H128" s="25" t="n">
        <f aca="false">H8+$C$31*H41</f>
        <v>0.4628612</v>
      </c>
      <c r="I128" s="25" t="n">
        <f aca="false">I8+$C$31*I41</f>
        <v>0.4545398</v>
      </c>
      <c r="J128" s="25" t="n">
        <f aca="false">J8+$C$31*J41</f>
        <v>0.4307394</v>
      </c>
      <c r="K128" s="25" t="n">
        <f aca="false">K8+$C$31*K41</f>
        <v>0.4108426</v>
      </c>
      <c r="L128" s="25" t="n">
        <f aca="false">L8+$C$31*L41</f>
        <v>0.3978338</v>
      </c>
      <c r="N128" s="34" t="s">
        <v>74</v>
      </c>
      <c r="O128" s="25" t="n">
        <f aca="false">O8+$D$31*O41</f>
        <v>-0.3315</v>
      </c>
      <c r="P128" s="25" t="n">
        <f aca="false">P8+$D$31*P41</f>
        <v>-0.3151</v>
      </c>
      <c r="Q128" s="25" t="n">
        <f aca="false">Q8+$D$31*Q41</f>
        <v>-0.2858</v>
      </c>
      <c r="R128" s="25" t="n">
        <f aca="false">R8+$D$31*R41</f>
        <v>-0.2682</v>
      </c>
      <c r="S128" s="25" t="n">
        <f aca="false">S8+$D$31*S41</f>
        <v>-0.2579</v>
      </c>
      <c r="T128" s="25" t="n">
        <f aca="false">T8+$D$31*T41</f>
        <v>-0.2318</v>
      </c>
      <c r="U128" s="25" t="n">
        <f aca="false">U8+$D$31*U41</f>
        <v>-0.2134</v>
      </c>
      <c r="V128" s="25" t="n">
        <f aca="false">V8+$D$31*V41</f>
        <v>-0.1869</v>
      </c>
      <c r="W128" s="25" t="n">
        <f aca="false">W8+$D$31*W41</f>
        <v>-0.1704</v>
      </c>
      <c r="X128" s="25" t="n">
        <f aca="false">X8+$D$31*X41</f>
        <v>-0.1598</v>
      </c>
      <c r="Z128" s="34" t="s">
        <v>74</v>
      </c>
      <c r="AA128" s="25" t="n">
        <f aca="false">AA8+$E$31*AA41</f>
        <v>0.8374</v>
      </c>
      <c r="AB128" s="25" t="n">
        <f aca="false">AB8+$E$31*AB41</f>
        <v>0.7979</v>
      </c>
      <c r="AC128" s="25" t="n">
        <f aca="false">AC8+$E$31*AC41</f>
        <v>0.7817</v>
      </c>
      <c r="AD128" s="25" t="n">
        <f aca="false">AD8+$E$31*AD41</f>
        <v>0.7663</v>
      </c>
      <c r="AE128" s="25" t="n">
        <f aca="false">AE8+$E$31*AE41</f>
        <v>0.7319</v>
      </c>
      <c r="AF128" s="25" t="n">
        <f aca="false">AF8+$E$31*AF41</f>
        <v>0.7164</v>
      </c>
      <c r="AG128" s="25" t="n">
        <f aca="false">AG8+$E$31*AG41</f>
        <v>0.6852</v>
      </c>
      <c r="AH128" s="25" t="n">
        <f aca="false">AH8+$E$31*AH41</f>
        <v>0.6756</v>
      </c>
      <c r="AI128" s="25" t="n">
        <f aca="false">AI8+$E$31*AI41</f>
        <v>0.6553</v>
      </c>
      <c r="AJ128" s="25" t="n">
        <f aca="false">AJ8+$E$31*AJ41</f>
        <v>0.6292</v>
      </c>
      <c r="AL128" s="34" t="s">
        <v>74</v>
      </c>
      <c r="AM128" s="36" t="n">
        <f aca="false">C128*(1+(((2-3*O128^2)/24*AA128^2)+(O128*AA128*C128/4))*0.25)</f>
        <v>0.564153581732452</v>
      </c>
      <c r="AN128" s="36" t="n">
        <f aca="false">D128*(1+(((2-3*P128^2)/24*AB128^2)+(P128*AB128*D128/4))*0.25)</f>
        <v>0.540609814431954</v>
      </c>
      <c r="AO128" s="36" t="n">
        <f aca="false">E128*(1+(((2-3*Q128^2)/24*AC128^2)+(Q128*AC128*E128/4))*0.25)</f>
        <v>0.526460502142163</v>
      </c>
      <c r="AP128" s="36" t="n">
        <f aca="false">F128*(1+(((2-3*R128^2)/24*AD128^2)+(R128*AD128*F128/4))*0.25)</f>
        <v>0.498461904434826</v>
      </c>
      <c r="AQ128" s="36" t="n">
        <f aca="false">G128*(1+(((2-3*S128^2)/24*AE128^2)+(S128*AE128*G128/4))*0.25)</f>
        <v>0.480760736029293</v>
      </c>
      <c r="AR128" s="36" t="n">
        <f aca="false">H128*(1+(((2-3*T128^2)/24*AF128^2)+(T128*AF128*H128/4))*0.25)</f>
        <v>0.465187791243648</v>
      </c>
      <c r="AS128" s="36" t="n">
        <f aca="false">I128*(1+(((2-3*U128^2)/24*AG128^2)+(U128*AG128*I128/4))*0.25)</f>
        <v>0.45679391164504</v>
      </c>
      <c r="AT128" s="36" t="n">
        <f aca="false">J128*(1+(((2-3*V128^2)/24*AH128^2)+(V128*AH128*J128/4))*0.25)</f>
        <v>0.433156488759808</v>
      </c>
      <c r="AU128" s="36" t="n">
        <f aca="false">K128*(1+(((2-3*W128^2)/24*AI128^2)+(W128*AI128*K128/4))*0.25)</f>
        <v>0.413180013752667</v>
      </c>
      <c r="AV128" s="36" t="n">
        <f aca="false">L128*(1+(((2-3*X128^2)/24*AJ128^2)+(X128*AJ128*L128/4))*0.25)</f>
        <v>0.399994753318556</v>
      </c>
    </row>
    <row r="129" customFormat="false" ht="15" hidden="false" customHeight="true" outlineLevel="0" collapsed="false">
      <c r="B129" s="34" t="s">
        <v>75</v>
      </c>
      <c r="C129" s="25" t="n">
        <f aca="false">C9+$C$31*C42</f>
        <v>0.548942</v>
      </c>
      <c r="D129" s="25" t="n">
        <f aca="false">D9+$C$31*D42</f>
        <v>0.5196714</v>
      </c>
      <c r="E129" s="25" t="n">
        <f aca="false">E9+$C$31*E42</f>
        <v>0.509717</v>
      </c>
      <c r="F129" s="25" t="n">
        <f aca="false">F9+$C$31*F42</f>
        <v>0.4890344</v>
      </c>
      <c r="G129" s="25" t="n">
        <f aca="false">G9+$C$31*G42</f>
        <v>0.4709842</v>
      </c>
      <c r="H129" s="25" t="n">
        <f aca="false">H9+$C$31*H42</f>
        <v>0.4496592</v>
      </c>
      <c r="I129" s="25" t="n">
        <f aca="false">I9+$C$31*I42</f>
        <v>0.4387012</v>
      </c>
      <c r="J129" s="25" t="n">
        <f aca="false">J9+$C$31*J42</f>
        <v>0.4231044</v>
      </c>
      <c r="K129" s="25" t="n">
        <f aca="false">K9+$C$31*K42</f>
        <v>0.3955626</v>
      </c>
      <c r="L129" s="25" t="n">
        <f aca="false">L9+$C$31*L42</f>
        <v>0.3805088</v>
      </c>
      <c r="N129" s="34" t="s">
        <v>75</v>
      </c>
      <c r="O129" s="25" t="n">
        <f aca="false">O9+$D$31*O42</f>
        <v>-0.3199</v>
      </c>
      <c r="P129" s="25" t="n">
        <f aca="false">P9+$D$31*P42</f>
        <v>-0.2876</v>
      </c>
      <c r="Q129" s="25" t="n">
        <f aca="false">Q9+$D$31*Q42</f>
        <v>-0.2693</v>
      </c>
      <c r="R129" s="25" t="n">
        <f aca="false">R9+$D$31*R42</f>
        <v>-0.2429</v>
      </c>
      <c r="S129" s="25" t="n">
        <f aca="false">S9+$D$31*S42</f>
        <v>-0.2269</v>
      </c>
      <c r="T129" s="25" t="n">
        <f aca="false">T9+$D$31*T42</f>
        <v>-0.2182</v>
      </c>
      <c r="U129" s="25" t="n">
        <f aca="false">U9+$D$31*U42</f>
        <v>-0.1967</v>
      </c>
      <c r="V129" s="25" t="n">
        <f aca="false">V9+$D$31*V42</f>
        <v>-0.1716</v>
      </c>
      <c r="W129" s="25" t="n">
        <f aca="false">W9+$D$31*W42</f>
        <v>-0.1651</v>
      </c>
      <c r="X129" s="25" t="n">
        <f aca="false">X9+$D$31*X42</f>
        <v>-0.1369</v>
      </c>
      <c r="Z129" s="34" t="s">
        <v>75</v>
      </c>
      <c r="AA129" s="25" t="n">
        <f aca="false">AA9+$E$31*AA42</f>
        <v>0.7989</v>
      </c>
      <c r="AB129" s="25" t="n">
        <f aca="false">AB9+$E$31*AB42</f>
        <v>0.7757</v>
      </c>
      <c r="AC129" s="25" t="n">
        <f aca="false">AC9+$E$31*AC42</f>
        <v>0.7523</v>
      </c>
      <c r="AD129" s="25" t="n">
        <f aca="false">AD9+$E$31*AD42</f>
        <v>0.7443</v>
      </c>
      <c r="AE129" s="25" t="n">
        <f aca="false">AE9+$E$31*AE42</f>
        <v>0.7093</v>
      </c>
      <c r="AF129" s="25" t="n">
        <f aca="false">AF9+$E$31*AF42</f>
        <v>0.6894</v>
      </c>
      <c r="AG129" s="25" t="n">
        <f aca="false">AG9+$E$31*AG42</f>
        <v>0.67</v>
      </c>
      <c r="AH129" s="25" t="n">
        <f aca="false">AH9+$E$31*AH42</f>
        <v>0.6574</v>
      </c>
      <c r="AI129" s="25" t="n">
        <f aca="false">AI9+$E$31*AI42</f>
        <v>0.6194</v>
      </c>
      <c r="AJ129" s="25" t="n">
        <f aca="false">AJ9+$E$31*AJ42</f>
        <v>0.6045</v>
      </c>
      <c r="AL129" s="34" t="s">
        <v>75</v>
      </c>
      <c r="AM129" s="36" t="n">
        <f aca="false">C129*(1+(((2-3*O129^2)/24*AA129^2)+(O129*AA129*C129/4))*0.5)</f>
        <v>0.551672812925035</v>
      </c>
      <c r="AN129" s="36" t="n">
        <f aca="false">D129*(1+(((2-3*P129^2)/24*AB129^2)+(P129*AB129*D129/4))*0.5)</f>
        <v>0.523552768276644</v>
      </c>
      <c r="AO129" s="36" t="n">
        <f aca="false">E129*(1+(((2-3*Q129^2)/24*AC129^2)+(Q129*AC129*E129/4))*0.5)</f>
        <v>0.513849767291092</v>
      </c>
      <c r="AP129" s="36" t="n">
        <f aca="false">F129*(1+(((2-3*R129^2)/24*AD129^2)+(R129*AD129*F129/4))*0.5)</f>
        <v>0.493918965689124</v>
      </c>
      <c r="AQ129" s="36" t="n">
        <f aca="false">G129*(1+(((2-3*S129^2)/24*AE129^2)+(S129*AE129*G129/4))*0.5)</f>
        <v>0.475632285195156</v>
      </c>
      <c r="AR129" s="36" t="n">
        <f aca="false">H129*(1+(((2-3*T129^2)/24*AF129^2)+(T129*AF129*H129/4))*0.5)</f>
        <v>0.454125948475824</v>
      </c>
      <c r="AS129" s="36" t="n">
        <f aca="false">I129*(1+(((2-3*U129^2)/24*AG129^2)+(U129*AG129*I129/4))*0.5)</f>
        <v>0.443260027714181</v>
      </c>
      <c r="AT129" s="36" t="n">
        <f aca="false">J129*(1+(((2-3*V129^2)/24*AH129^2)+(V129*AH129*J129/4))*0.5)</f>
        <v>0.427862467265552</v>
      </c>
      <c r="AU129" s="36" t="n">
        <f aca="false">K129*(1+(((2-3*W129^2)/24*AI129^2)+(W129*AI129*K129/4))*0.5)</f>
        <v>0.399627263050948</v>
      </c>
      <c r="AV129" s="36" t="n">
        <f aca="false">L129*(1+(((2-3*X129^2)/24*AJ129^2)+(X129*AJ129*L129/4))*0.5)</f>
        <v>0.384641746882553</v>
      </c>
    </row>
    <row r="130" customFormat="false" ht="15" hidden="false" customHeight="true" outlineLevel="0" collapsed="false">
      <c r="B130" s="34" t="s">
        <v>30</v>
      </c>
      <c r="C130" s="25" t="n">
        <f aca="false">C10+$C$31*C43</f>
        <v>0.524229</v>
      </c>
      <c r="D130" s="25" t="n">
        <f aca="false">D10+$C$31*D43</f>
        <v>0.512894</v>
      </c>
      <c r="E130" s="25" t="n">
        <f aca="false">E10+$C$31*E43</f>
        <v>0.4940684</v>
      </c>
      <c r="F130" s="25" t="n">
        <f aca="false">F10+$C$31*F43</f>
        <v>0.476435</v>
      </c>
      <c r="G130" s="25" t="n">
        <f aca="false">G10+$C$31*G43</f>
        <v>0.4457566</v>
      </c>
      <c r="H130" s="25" t="n">
        <f aca="false">H10+$C$31*H43</f>
        <v>0.430397</v>
      </c>
      <c r="I130" s="25" t="n">
        <f aca="false">I10+$C$31*I43</f>
        <v>0.4108348</v>
      </c>
      <c r="J130" s="25" t="n">
        <f aca="false">J10+$C$31*J43</f>
        <v>0.4029972</v>
      </c>
      <c r="K130" s="25" t="n">
        <f aca="false">K10+$C$31*K43</f>
        <v>0.3869784</v>
      </c>
      <c r="L130" s="25" t="n">
        <f aca="false">L10+$C$31*L43</f>
        <v>0.3519178</v>
      </c>
      <c r="N130" s="34" t="s">
        <v>30</v>
      </c>
      <c r="O130" s="25" t="n">
        <f aca="false">O10+$D$31*O43</f>
        <v>-0.2981</v>
      </c>
      <c r="P130" s="25" t="n">
        <f aca="false">P10+$D$31*P43</f>
        <v>-0.2776</v>
      </c>
      <c r="Q130" s="25" t="n">
        <f aca="false">Q10+$D$31*Q43</f>
        <v>-0.2581</v>
      </c>
      <c r="R130" s="25" t="n">
        <f aca="false">R10+$D$31*R43</f>
        <v>-0.2336</v>
      </c>
      <c r="S130" s="25" t="n">
        <f aca="false">S10+$D$31*S43</f>
        <v>-0.2121</v>
      </c>
      <c r="T130" s="25" t="n">
        <f aca="false">T10+$D$31*T43</f>
        <v>-0.1992</v>
      </c>
      <c r="U130" s="25" t="n">
        <f aca="false">U10+$D$31*U43</f>
        <v>-0.1849</v>
      </c>
      <c r="V130" s="25" t="n">
        <f aca="false">V10+$D$31*V43</f>
        <v>-0.1572</v>
      </c>
      <c r="W130" s="25" t="n">
        <f aca="false">W10+$D$31*W43</f>
        <v>-0.1387</v>
      </c>
      <c r="X130" s="25" t="n">
        <f aca="false">X10+$D$31*X43</f>
        <v>-0.1153</v>
      </c>
      <c r="Z130" s="34" t="s">
        <v>30</v>
      </c>
      <c r="AA130" s="25" t="n">
        <f aca="false">AA10+$E$31*AA43</f>
        <v>0.7924</v>
      </c>
      <c r="AB130" s="25" t="n">
        <f aca="false">AB10+$E$31*AB43</f>
        <v>0.7649</v>
      </c>
      <c r="AC130" s="25" t="n">
        <f aca="false">AC10+$E$31*AC43</f>
        <v>0.7392</v>
      </c>
      <c r="AD130" s="25" t="n">
        <f aca="false">AD10+$E$31*AD43</f>
        <v>0.719</v>
      </c>
      <c r="AE130" s="25" t="n">
        <f aca="false">AE10+$E$31*AE43</f>
        <v>0.698</v>
      </c>
      <c r="AF130" s="25" t="n">
        <f aca="false">AF10+$E$31*AF43</f>
        <v>0.6633</v>
      </c>
      <c r="AG130" s="25" t="n">
        <f aca="false">AG10+$E$31*AG43</f>
        <v>0.658</v>
      </c>
      <c r="AH130" s="25" t="n">
        <f aca="false">AH10+$E$31*AH43</f>
        <v>0.6334</v>
      </c>
      <c r="AI130" s="25" t="n">
        <f aca="false">AI10+$E$31*AI43</f>
        <v>0.613</v>
      </c>
      <c r="AJ130" s="25" t="n">
        <f aca="false">AJ10+$E$31*AJ43</f>
        <v>0.5893</v>
      </c>
      <c r="AL130" s="34" t="s">
        <v>30</v>
      </c>
      <c r="AM130" s="36" t="n">
        <f aca="false">C130*(1+(((2-3*O130^2)/24*AA130^2)+(O130*AA130*C130/4))*1)</f>
        <v>0.531773987223118</v>
      </c>
      <c r="AN130" s="36" t="n">
        <f aca="false">D130*(1+(((2-3*P130^2)/24*AB130^2)+(P130*AB130*D130/4))*1)</f>
        <v>0.521045768038181</v>
      </c>
      <c r="AO130" s="36" t="n">
        <f aca="false">E130*(1+(((2-3*Q130^2)/24*AC130^2)+(Q130*AC130*E130/4))*1)</f>
        <v>0.502674683234674</v>
      </c>
      <c r="AP130" s="36" t="n">
        <f aca="false">F130*(1+(((2-3*R130^2)/24*AD130^2)+(R130*AD130*F130/4))*1)</f>
        <v>0.485748596858852</v>
      </c>
      <c r="AQ130" s="36" t="n">
        <f aca="false">G130*(1+(((2-3*S130^2)/24*AE130^2)+(S130*AE130*G130/4))*1)</f>
        <v>0.455279093357371</v>
      </c>
      <c r="AR130" s="36" t="n">
        <f aca="false">H130*(1+(((2-3*T130^2)/24*AF130^2)+(T130*AF130*H130/4))*1)</f>
        <v>0.439118830143132</v>
      </c>
      <c r="AS130" s="36" t="n">
        <f aca="false">I130*(1+(((2-3*U130^2)/24*AG130^2)+(U130*AG130*I130/4))*1)</f>
        <v>0.419763920238795</v>
      </c>
      <c r="AT130" s="36" t="n">
        <f aca="false">J130*(1+(((2-3*V130^2)/24*AH130^2)+(V130*AH130*J130/4))*1)</f>
        <v>0.411928432857369</v>
      </c>
      <c r="AU130" s="36" t="n">
        <f aca="false">K130*(1+(((2-3*W130^2)/24*AI130^2)+(W130*AI130*K130/4))*1)</f>
        <v>0.395563493201123</v>
      </c>
      <c r="AV130" s="36" t="n">
        <f aca="false">L130*(1+(((2-3*X130^2)/24*AJ130^2)+(X130*AJ130*L130/4))*1)</f>
        <v>0.359795330852114</v>
      </c>
    </row>
    <row r="131" customFormat="false" ht="15" hidden="false" customHeight="true" outlineLevel="0" collapsed="false">
      <c r="B131" s="34" t="s">
        <v>76</v>
      </c>
      <c r="C131" s="25" t="n">
        <f aca="false">C11+$C$31*C44</f>
        <v>0.5033432</v>
      </c>
      <c r="D131" s="25" t="n">
        <f aca="false">D11+$C$31*D44</f>
        <v>0.4850166</v>
      </c>
      <c r="E131" s="25" t="n">
        <f aca="false">E11+$C$31*E44</f>
        <v>0.4606298</v>
      </c>
      <c r="F131" s="25" t="n">
        <f aca="false">F11+$C$31*F44</f>
        <v>0.4535152</v>
      </c>
      <c r="G131" s="25" t="n">
        <f aca="false">G11+$C$31*G44</f>
        <v>0.4231724</v>
      </c>
      <c r="H131" s="25" t="n">
        <f aca="false">H11+$C$31*H44</f>
        <v>0.4055222</v>
      </c>
      <c r="I131" s="25" t="n">
        <f aca="false">I11+$C$31*I44</f>
        <v>0.3895506</v>
      </c>
      <c r="J131" s="25" t="n">
        <f aca="false">J11+$C$31*J44</f>
        <v>0.370669</v>
      </c>
      <c r="K131" s="25" t="n">
        <f aca="false">K11+$C$31*K44</f>
        <v>0.3557534</v>
      </c>
      <c r="L131" s="25" t="n">
        <f aca="false">L11+$C$31*L44</f>
        <v>0.3318048</v>
      </c>
      <c r="N131" s="34" t="s">
        <v>76</v>
      </c>
      <c r="O131" s="25" t="n">
        <f aca="false">O11+$D$31*O44</f>
        <v>-0.2822</v>
      </c>
      <c r="P131" s="25" t="n">
        <f aca="false">P11+$D$31*P44</f>
        <v>-0.2598</v>
      </c>
      <c r="Q131" s="25" t="n">
        <f aca="false">Q11+$D$31*Q44</f>
        <v>-0.2413</v>
      </c>
      <c r="R131" s="25" t="n">
        <f aca="false">R11+$D$31*R44</f>
        <v>-0.2166</v>
      </c>
      <c r="S131" s="25" t="n">
        <f aca="false">S11+$D$31*S44</f>
        <v>-0.2039</v>
      </c>
      <c r="T131" s="25" t="n">
        <f aca="false">T11+$D$31*T44</f>
        <v>-0.1675</v>
      </c>
      <c r="U131" s="25" t="n">
        <f aca="false">U11+$D$31*U44</f>
        <v>-0.1533</v>
      </c>
      <c r="V131" s="25" t="n">
        <f aca="false">V11+$D$31*V44</f>
        <v>-0.1431</v>
      </c>
      <c r="W131" s="25" t="n">
        <f aca="false">W11+$D$31*W44</f>
        <v>-0.1216</v>
      </c>
      <c r="X131" s="25" t="n">
        <f aca="false">X11+$D$31*X44</f>
        <v>-0.1003</v>
      </c>
      <c r="Z131" s="34" t="s">
        <v>76</v>
      </c>
      <c r="AA131" s="25" t="n">
        <f aca="false">AA11+$E$31*AA44</f>
        <v>0.7584</v>
      </c>
      <c r="AB131" s="25" t="n">
        <f aca="false">AB11+$E$31*AB44</f>
        <v>0.7313</v>
      </c>
      <c r="AC131" s="25" t="n">
        <f aca="false">AC11+$E$31*AC44</f>
        <v>0.7236</v>
      </c>
      <c r="AD131" s="25" t="n">
        <f aca="false">AD11+$E$31*AD44</f>
        <v>0.7043</v>
      </c>
      <c r="AE131" s="25" t="n">
        <f aca="false">AE11+$E$31*AE44</f>
        <v>0.6715</v>
      </c>
      <c r="AF131" s="25" t="n">
        <f aca="false">AF11+$E$31*AF44</f>
        <v>0.6497</v>
      </c>
      <c r="AG131" s="25" t="n">
        <f aca="false">AG11+$E$31*AG44</f>
        <v>0.6195</v>
      </c>
      <c r="AH131" s="25" t="n">
        <f aca="false">AH11+$E$31*AH44</f>
        <v>0.5976</v>
      </c>
      <c r="AI131" s="25" t="n">
        <f aca="false">AI11+$E$31*AI44</f>
        <v>0.5802</v>
      </c>
      <c r="AJ131" s="25" t="n">
        <f aca="false">AJ11+$E$31*AJ44</f>
        <v>0.5564</v>
      </c>
      <c r="AL131" s="34" t="s">
        <v>76</v>
      </c>
      <c r="AM131" s="36" t="n">
        <f aca="false">C131*(1+(((2-3*O131^2)/24*AA131^2)+(O131*AA131*C131/4))*2)</f>
        <v>0.51871917299395</v>
      </c>
      <c r="AN131" s="36" t="n">
        <f aca="false">D131*(1+(((2-3*P131^2)/24*AB131^2)+(P131*AB131*D131/4))*2)</f>
        <v>0.501523893819636</v>
      </c>
      <c r="AO131" s="36" t="n">
        <f aca="false">E131*(1+(((2-3*Q131^2)/24*AC131^2)+(Q131*AC131*E131/4))*2)</f>
        <v>0.478792618194915</v>
      </c>
      <c r="AP131" s="36" t="n">
        <f aca="false">F131*(1+(((2-3*R131^2)/24*AD131^2)+(R131*AD131*F131/4))*2)</f>
        <v>0.472682074791531</v>
      </c>
      <c r="AQ131" s="36" t="n">
        <f aca="false">G131*(1+(((2-3*S131^2)/24*AE131^2)+(S131*AE131*G131/4))*2)</f>
        <v>0.44073202744148</v>
      </c>
      <c r="AR131" s="36" t="n">
        <f aca="false">H131*(1+(((2-3*T131^2)/24*AF131^2)+(T131*AF131*H131/4))*2)</f>
        <v>0.42390271638574</v>
      </c>
      <c r="AS131" s="36" t="n">
        <f aca="false">I131*(1+(((2-3*U131^2)/24*AG131^2)+(U131*AG131*I131/4))*2)</f>
        <v>0.406383430854092</v>
      </c>
      <c r="AT131" s="36" t="n">
        <f aca="false">J131*(1+(((2-3*V131^2)/24*AH131^2)+(V131*AH131*J131/4))*2)</f>
        <v>0.386179095938068</v>
      </c>
      <c r="AU131" s="36" t="n">
        <f aca="false">K131*(1+(((2-3*W131^2)/24*AI131^2)+(W131*AI131*K131/4))*2)</f>
        <v>0.370805795477723</v>
      </c>
      <c r="AV131" s="36" t="n">
        <f aca="false">L131*(1+(((2-3*X131^2)/24*AJ131^2)+(X131*AJ131*L131/4))*2)</f>
        <v>0.345594515120872</v>
      </c>
    </row>
    <row r="132" customFormat="false" ht="15" hidden="false" customHeight="true" outlineLevel="0" collapsed="false">
      <c r="B132" s="34" t="s">
        <v>77</v>
      </c>
      <c r="C132" s="25" t="n">
        <f aca="false">C12+$C$31*C45</f>
        <v>0.4941684</v>
      </c>
      <c r="D132" s="25" t="n">
        <f aca="false">D12+$C$31*D45</f>
        <v>0.4623884</v>
      </c>
      <c r="E132" s="25" t="n">
        <f aca="false">E12+$C$31*E45</f>
        <v>0.4408524</v>
      </c>
      <c r="F132" s="25" t="n">
        <f aca="false">F12+$C$31*F45</f>
        <v>0.4417734</v>
      </c>
      <c r="G132" s="25" t="n">
        <f aca="false">G12+$C$31*G45</f>
        <v>0.4143594</v>
      </c>
      <c r="H132" s="25" t="n">
        <f aca="false">H12+$C$31*H45</f>
        <v>0.3886532</v>
      </c>
      <c r="I132" s="25" t="n">
        <f aca="false">I12+$C$31*I45</f>
        <v>0.3787318</v>
      </c>
      <c r="J132" s="25" t="n">
        <f aca="false">J12+$C$31*J45</f>
        <v>0.3499162</v>
      </c>
      <c r="K132" s="25" t="n">
        <f aca="false">K12+$C$31*K45</f>
        <v>0.3411268</v>
      </c>
      <c r="L132" s="25" t="n">
        <f aca="false">L12+$C$31*L45</f>
        <v>0.3327682</v>
      </c>
      <c r="N132" s="34" t="s">
        <v>77</v>
      </c>
      <c r="O132" s="25" t="n">
        <f aca="false">O12+$D$31*O45</f>
        <v>-0.2455</v>
      </c>
      <c r="P132" s="25" t="n">
        <f aca="false">P12+$D$31*P45</f>
        <v>-0.2294</v>
      </c>
      <c r="Q132" s="25" t="n">
        <f aca="false">Q12+$D$31*Q45</f>
        <v>-0.2187</v>
      </c>
      <c r="R132" s="25" t="n">
        <f aca="false">R12+$D$31*R45</f>
        <v>-0.1971</v>
      </c>
      <c r="S132" s="25" t="n">
        <f aca="false">S12+$D$31*S45</f>
        <v>-0.1817</v>
      </c>
      <c r="T132" s="25" t="n">
        <f aca="false">T12+$D$31*T45</f>
        <v>-0.1501</v>
      </c>
      <c r="U132" s="25" t="n">
        <f aca="false">U12+$D$31*U45</f>
        <v>-0.1355</v>
      </c>
      <c r="V132" s="25" t="n">
        <f aca="false">V12+$D$31*V45</f>
        <v>-0.1111</v>
      </c>
      <c r="W132" s="25" t="n">
        <f aca="false">W12+$D$31*W45</f>
        <v>-0.1006</v>
      </c>
      <c r="X132" s="25" t="n">
        <f aca="false">X12+$D$31*X45</f>
        <v>-0.0833</v>
      </c>
      <c r="Z132" s="34" t="s">
        <v>77</v>
      </c>
      <c r="AA132" s="25" t="n">
        <f aca="false">AA12+$E$31*AA45</f>
        <v>0.7451</v>
      </c>
      <c r="AB132" s="25" t="n">
        <f aca="false">AB12+$E$31*AB45</f>
        <v>0.7264</v>
      </c>
      <c r="AC132" s="25" t="n">
        <f aca="false">AC12+$E$31*AC45</f>
        <v>0.7015</v>
      </c>
      <c r="AD132" s="25" t="n">
        <f aca="false">AD12+$E$31*AD45</f>
        <v>0.6783</v>
      </c>
      <c r="AE132" s="25" t="n">
        <f aca="false">AE12+$E$31*AE45</f>
        <v>0.6564</v>
      </c>
      <c r="AF132" s="25" t="n">
        <f aca="false">AF12+$E$31*AF45</f>
        <v>0.6326</v>
      </c>
      <c r="AG132" s="25" t="n">
        <f aca="false">AG12+$E$31*AG45</f>
        <v>0.6001</v>
      </c>
      <c r="AH132" s="25" t="n">
        <f aca="false">AH12+$E$31*AH45</f>
        <v>0.5837</v>
      </c>
      <c r="AI132" s="25" t="n">
        <f aca="false">AI12+$E$31*AI45</f>
        <v>0.5582</v>
      </c>
      <c r="AJ132" s="25" t="n">
        <f aca="false">AJ12+$E$31*AJ45</f>
        <v>0.5295</v>
      </c>
      <c r="AL132" s="34" t="s">
        <v>77</v>
      </c>
      <c r="AM132" s="36" t="n">
        <f aca="false">C132*(1+(((2-3*O132^2)/24*AA132^2)+(O132*AA132*C132/4))*3)</f>
        <v>0.523052593028886</v>
      </c>
      <c r="AN132" s="36" t="n">
        <f aca="false">D132*(1+(((2-3*P132^2)/24*AB132^2)+(P132*AB132*D132/4))*3)</f>
        <v>0.491848744373772</v>
      </c>
      <c r="AO132" s="36" t="n">
        <f aca="false">E132*(1+(((2-3*Q132^2)/24*AC132^2)+(Q132*AC132*E132/4))*3)</f>
        <v>0.468834674671452</v>
      </c>
      <c r="AP132" s="36" t="n">
        <f aca="false">F132*(1+(((2-3*R132^2)/24*AD132^2)+(R132*AD132*F132/4))*3)</f>
        <v>0.470057306883069</v>
      </c>
      <c r="AQ132" s="36" t="n">
        <f aca="false">G132*(1+(((2-3*S132^2)/24*AE132^2)+(S132*AE132*G132/4))*3)</f>
        <v>0.44142374183079</v>
      </c>
      <c r="AR132" s="36" t="n">
        <f aca="false">H132*(1+(((2-3*T132^2)/24*AF132^2)+(T132*AF132*H132/4))*3)</f>
        <v>0.415465112650575</v>
      </c>
      <c r="AS132" s="36" t="n">
        <f aca="false">I132*(1+(((2-3*U132^2)/24*AG132^2)+(U132*AG132*I132/4))*3)</f>
        <v>0.403142398442402</v>
      </c>
      <c r="AT132" s="36" t="n">
        <f aca="false">J132*(1+(((2-3*V132^2)/24*AH132^2)+(V132*AH132*J132/4))*3)</f>
        <v>0.373213827635852</v>
      </c>
      <c r="AU132" s="36" t="n">
        <f aca="false">K132*(1+(((2-3*W132^2)/24*AI132^2)+(W132*AI132*K132/4))*3)</f>
        <v>0.362395146275682</v>
      </c>
      <c r="AV132" s="36" t="n">
        <f aca="false">L132*(1+(((2-3*X132^2)/24*AJ132^2)+(X132*AJ132*L132/4))*3)</f>
        <v>0.352186846059019</v>
      </c>
    </row>
    <row r="133" customFormat="false" ht="15" hidden="false" customHeight="true" outlineLevel="0" collapsed="false">
      <c r="B133" s="34" t="s">
        <v>78</v>
      </c>
      <c r="C133" s="25" t="n">
        <f aca="false">C13+$C$31*C46</f>
        <v>0.4591654</v>
      </c>
      <c r="D133" s="25" t="n">
        <f aca="false">D13+$C$31*D46</f>
        <v>0.445899</v>
      </c>
      <c r="E133" s="25" t="n">
        <f aca="false">E13+$C$31*E46</f>
        <v>0.4278488</v>
      </c>
      <c r="F133" s="25" t="n">
        <f aca="false">F13+$C$31*F46</f>
        <v>0.417784</v>
      </c>
      <c r="G133" s="25" t="n">
        <f aca="false">G13+$C$31*G46</f>
        <v>0.4047464</v>
      </c>
      <c r="H133" s="25" t="n">
        <f aca="false">H13+$C$31*H46</f>
        <v>0.3759952</v>
      </c>
      <c r="I133" s="25" t="n">
        <f aca="false">I13+$C$31*I46</f>
        <v>0.367511</v>
      </c>
      <c r="J133" s="25" t="n">
        <f aca="false">J13+$C$31*J46</f>
        <v>0.350843</v>
      </c>
      <c r="K133" s="25" t="n">
        <f aca="false">K13+$C$31*K46</f>
        <v>0.331585</v>
      </c>
      <c r="L133" s="25" t="n">
        <f aca="false">L13+$C$31*L46</f>
        <v>0.3018568</v>
      </c>
      <c r="N133" s="34" t="s">
        <v>78</v>
      </c>
      <c r="O133" s="25" t="n">
        <f aca="false">O13+$D$31*O46</f>
        <v>-0.2389</v>
      </c>
      <c r="P133" s="25" t="n">
        <f aca="false">P13+$D$31*P46</f>
        <v>-0.2194</v>
      </c>
      <c r="Q133" s="25" t="n">
        <f aca="false">Q13+$D$31*Q46</f>
        <v>-0.2005</v>
      </c>
      <c r="R133" s="25" t="n">
        <f aca="false">R13+$D$31*R46</f>
        <v>-0.1809</v>
      </c>
      <c r="S133" s="25" t="n">
        <f aca="false">S13+$D$31*S46</f>
        <v>-0.1531</v>
      </c>
      <c r="T133" s="25" t="n">
        <f aca="false">T13+$D$31*T46</f>
        <v>-0.1281</v>
      </c>
      <c r="U133" s="25" t="n">
        <f aca="false">U13+$D$31*U46</f>
        <v>-0.1099</v>
      </c>
      <c r="V133" s="25" t="n">
        <f aca="false">V13+$D$31*V46</f>
        <v>-0.0976</v>
      </c>
      <c r="W133" s="25" t="n">
        <f aca="false">W13+$D$31*W46</f>
        <v>-0.0747</v>
      </c>
      <c r="X133" s="25" t="n">
        <f aca="false">X13+$D$31*X46</f>
        <v>-0.0523</v>
      </c>
      <c r="Z133" s="34" t="s">
        <v>78</v>
      </c>
      <c r="AA133" s="25" t="n">
        <f aca="false">AA13+$E$31*AA46</f>
        <v>0.7084</v>
      </c>
      <c r="AB133" s="25" t="n">
        <f aca="false">AB13+$E$31*AB46</f>
        <v>0.6977</v>
      </c>
      <c r="AC133" s="25" t="n">
        <f aca="false">AC13+$E$31*AC46</f>
        <v>0.6804</v>
      </c>
      <c r="AD133" s="25" t="n">
        <f aca="false">AD13+$E$31*AD46</f>
        <v>0.6556</v>
      </c>
      <c r="AE133" s="25" t="n">
        <f aca="false">AE13+$E$31*AE46</f>
        <v>0.6328</v>
      </c>
      <c r="AF133" s="25" t="n">
        <f aca="false">AF13+$E$31*AF46</f>
        <v>0.6051</v>
      </c>
      <c r="AG133" s="25" t="n">
        <f aca="false">AG13+$E$31*AG46</f>
        <v>0.5769</v>
      </c>
      <c r="AH133" s="25" t="n">
        <f aca="false">AH13+$E$31*AH46</f>
        <v>0.5669</v>
      </c>
      <c r="AI133" s="25" t="n">
        <f aca="false">AI13+$E$31*AI46</f>
        <v>0.5355</v>
      </c>
      <c r="AJ133" s="25" t="n">
        <f aca="false">AJ13+$E$31*AJ46</f>
        <v>0.5227</v>
      </c>
      <c r="AL133" s="34" t="s">
        <v>78</v>
      </c>
      <c r="AM133" s="36" t="n">
        <f aca="false">C133*(1+(((2-3*O133^2)/24*AA133^2)+(O133*AA133*C133/4))*5)</f>
        <v>0.502354869600406</v>
      </c>
      <c r="AN133" s="36" t="n">
        <f aca="false">D133*(1+(((2-3*P133^2)/24*AB133^2)+(P133*AB133*D133/4))*5)</f>
        <v>0.491765045372724</v>
      </c>
      <c r="AO133" s="36" t="n">
        <f aca="false">E133*(1+(((2-3*Q133^2)/24*AC133^2)+(Q133*AC133*E133/4))*5)</f>
        <v>0.47418603673466</v>
      </c>
      <c r="AP133" s="36" t="n">
        <f aca="false">F133*(1+(((2-3*R133^2)/24*AD133^2)+(R133*AD133*F133/4))*5)</f>
        <v>0.463055775200112</v>
      </c>
      <c r="AQ133" s="36" t="n">
        <f aca="false">G133*(1+(((2-3*S133^2)/24*AE133^2)+(S133*AE133*G133/4))*5)</f>
        <v>0.450064373120955</v>
      </c>
      <c r="AR133" s="36" t="n">
        <f aca="false">H133*(1+(((2-3*T133^2)/24*AF133^2)+(T133*AF133*H133/4))*5)</f>
        <v>0.41824760461916</v>
      </c>
      <c r="AS133" s="36" t="n">
        <f aca="false">I133*(1+(((2-3*U133^2)/24*AG133^2)+(U133*AG133*I133/4))*5)</f>
        <v>0.406847231224332</v>
      </c>
      <c r="AT133" s="36" t="n">
        <f aca="false">J133*(1+(((2-3*V133^2)/24*AH133^2)+(V133*AH133*J133/4))*5)</f>
        <v>0.388638695025144</v>
      </c>
      <c r="AU133" s="36" t="n">
        <f aca="false">K133*(1+(((2-3*W133^2)/24*AI133^2)+(W133*AI133*K133/4))*5)</f>
        <v>0.3653746150837</v>
      </c>
      <c r="AV133" s="36" t="n">
        <f aca="false">L133*(1+(((2-3*X133^2)/24*AJ133^2)+(X133*AJ133*L133/4))*5)</f>
        <v>0.332965474735329</v>
      </c>
    </row>
    <row r="134" customFormat="false" ht="15" hidden="false" customHeight="true" outlineLevel="0" collapsed="false">
      <c r="B134" s="34" t="s">
        <v>79</v>
      </c>
      <c r="C134" s="25" t="n">
        <f aca="false">C14+$C$31*C47</f>
        <v>0.4599236</v>
      </c>
      <c r="D134" s="25" t="n">
        <f aca="false">D14+$C$31*D47</f>
        <v>0.4302106</v>
      </c>
      <c r="E134" s="25" t="n">
        <f aca="false">E14+$C$31*E47</f>
        <v>0.4125604</v>
      </c>
      <c r="F134" s="25" t="n">
        <f aca="false">F14+$C$31*F47</f>
        <v>0.4047422</v>
      </c>
      <c r="G134" s="25" t="n">
        <f aca="false">G14+$C$31*G47</f>
        <v>0.3821292</v>
      </c>
      <c r="H134" s="25" t="n">
        <f aca="false">H14+$C$31*H47</f>
        <v>0.3530476</v>
      </c>
      <c r="I134" s="25" t="n">
        <f aca="false">I14+$C$31*I47</f>
        <v>0.3332158</v>
      </c>
      <c r="J134" s="25" t="n">
        <f aca="false">J14+$C$31*J47</f>
        <v>0.3153782</v>
      </c>
      <c r="K134" s="25" t="n">
        <f aca="false">K14+$C$31*K47</f>
        <v>0.312995</v>
      </c>
      <c r="L134" s="25" t="n">
        <f aca="false">L14+$C$31*L47</f>
        <v>0.2926862</v>
      </c>
      <c r="N134" s="34" t="s">
        <v>79</v>
      </c>
      <c r="O134" s="25" t="n">
        <f aca="false">O14+$D$31*O47</f>
        <v>-0.221</v>
      </c>
      <c r="P134" s="25" t="n">
        <f aca="false">P14+$D$31*P47</f>
        <v>-0.1879</v>
      </c>
      <c r="Q134" s="25" t="n">
        <f aca="false">Q14+$D$31*Q47</f>
        <v>-0.1654</v>
      </c>
      <c r="R134" s="25" t="n">
        <f aca="false">R14+$D$31*R47</f>
        <v>-0.1524</v>
      </c>
      <c r="S134" s="25" t="n">
        <f aca="false">S14+$D$31*S47</f>
        <v>-0.1391</v>
      </c>
      <c r="T134" s="25" t="n">
        <f aca="false">T14+$D$31*T47</f>
        <v>-0.1157</v>
      </c>
      <c r="U134" s="25" t="n">
        <f aca="false">U14+$D$31*U47</f>
        <v>-0.1046</v>
      </c>
      <c r="V134" s="25" t="n">
        <f aca="false">V14+$D$31*V47</f>
        <v>-0.0875</v>
      </c>
      <c r="W134" s="25" t="n">
        <f aca="false">W14+$D$31*W47</f>
        <v>-0.0489</v>
      </c>
      <c r="X134" s="25" t="n">
        <f aca="false">X14+$D$31*X47</f>
        <v>-0.0359</v>
      </c>
      <c r="Z134" s="34" t="s">
        <v>79</v>
      </c>
      <c r="AA134" s="25" t="n">
        <f aca="false">AA14+$E$31*AA47</f>
        <v>0.695</v>
      </c>
      <c r="AB134" s="25" t="n">
        <f aca="false">AB14+$E$31*AB47</f>
        <v>0.6809</v>
      </c>
      <c r="AC134" s="25" t="n">
        <f aca="false">AC14+$E$31*AC47</f>
        <v>0.6487</v>
      </c>
      <c r="AD134" s="25" t="n">
        <f aca="false">AD14+$E$31*AD47</f>
        <v>0.6352</v>
      </c>
      <c r="AE134" s="25" t="n">
        <f aca="false">AE14+$E$31*AE47</f>
        <v>0.6121</v>
      </c>
      <c r="AF134" s="25" t="n">
        <f aca="false">AF14+$E$31*AF47</f>
        <v>0.5776</v>
      </c>
      <c r="AG134" s="25" t="n">
        <f aca="false">AG14+$E$31*AG47</f>
        <v>0.5561</v>
      </c>
      <c r="AH134" s="25" t="n">
        <f aca="false">AH14+$E$31*AH47</f>
        <v>0.5347</v>
      </c>
      <c r="AI134" s="25" t="n">
        <f aca="false">AI14+$E$31*AI47</f>
        <v>0.5115</v>
      </c>
      <c r="AJ134" s="25" t="n">
        <f aca="false">AJ14+$E$31*AJ47</f>
        <v>0.4962</v>
      </c>
      <c r="AL134" s="34" t="s">
        <v>79</v>
      </c>
      <c r="AM134" s="36" t="n">
        <f aca="false">C134*(1+(((2-3*O134^2)/24*AA134^2)+(O134*AA134*C134/4))*10)</f>
        <v>0.550264847380366</v>
      </c>
      <c r="AN134" s="36" t="n">
        <f aca="false">D134*(1+(((2-3*P134^2)/24*AB134^2)+(P134*AB134*D134/4))*10)</f>
        <v>0.528422859278301</v>
      </c>
      <c r="AO134" s="36" t="n">
        <f aca="false">E134*(1+(((2-3*Q134^2)/24*AC134^2)+(Q134*AC134*E134/4))*10)</f>
        <v>0.505643099577676</v>
      </c>
      <c r="AP134" s="36" t="n">
        <f aca="false">F134*(1+(((2-3*R134^2)/24*AD134^2)+(R134*AD134*F134/4))*10)</f>
        <v>0.496443225127783</v>
      </c>
      <c r="AQ134" s="36" t="n">
        <f aca="false">G134*(1+(((2-3*S134^2)/24*AE134^2)+(S134*AE134*G134/4))*10)</f>
        <v>0.466893538815443</v>
      </c>
      <c r="AR134" s="36" t="n">
        <f aca="false">H134*(1+(((2-3*T134^2)/24*AF134^2)+(T134*AF134*H134/4))*10)</f>
        <v>0.428406195544933</v>
      </c>
      <c r="AS134" s="36" t="n">
        <f aca="false">I134*(1+(((2-3*U134^2)/24*AG134^2)+(U134*AG134*I134/4))*10)</f>
        <v>0.401531807515833</v>
      </c>
      <c r="AT134" s="36" t="n">
        <f aca="false">J134*(1+(((2-3*V134^2)/24*AH134^2)+(V134*AH134*J134/4))*10)</f>
        <v>0.378021396115781</v>
      </c>
      <c r="AU134" s="36" t="n">
        <f aca="false">K134*(1+(((2-3*W134^2)/24*AI134^2)+(W134*AI134*K134/4))*10)</f>
        <v>0.374865661171386</v>
      </c>
      <c r="AV134" s="36" t="n">
        <f aca="false">L134*(1+(((2-3*X134^2)/24*AJ134^2)+(X134*AJ134*L134/4))*10)</f>
        <v>0.348808068460491</v>
      </c>
    </row>
    <row r="135" customFormat="false" ht="15" hidden="false" customHeight="true" outlineLevel="0" collapsed="false">
      <c r="B135" s="34" t="s">
        <v>80</v>
      </c>
      <c r="C135" s="25" t="n">
        <f aca="false">C15+$C$31*C48</f>
        <v>0.427297</v>
      </c>
      <c r="D135" s="25" t="n">
        <f aca="false">D15+$C$31*D48</f>
        <v>0.4121238</v>
      </c>
      <c r="E135" s="25" t="n">
        <f aca="false">E15+$C$31*E48</f>
        <v>0.3887092</v>
      </c>
      <c r="F135" s="25" t="n">
        <f aca="false">F15+$C$31*F48</f>
        <v>0.3862208</v>
      </c>
      <c r="G135" s="25" t="n">
        <f aca="false">G15+$C$31*G48</f>
        <v>0.3560356</v>
      </c>
      <c r="H135" s="25" t="n">
        <f aca="false">H15+$C$31*H48</f>
        <v>0.3406346</v>
      </c>
      <c r="I135" s="25" t="n">
        <f aca="false">I15+$C$31*I48</f>
        <v>0.3247614</v>
      </c>
      <c r="J135" s="25" t="n">
        <f aca="false">J15+$C$31*J48</f>
        <v>0.3126568</v>
      </c>
      <c r="K135" s="25" t="n">
        <f aca="false">K15+$C$31*K48</f>
        <v>0.284459</v>
      </c>
      <c r="L135" s="25" t="n">
        <f aca="false">L15+$C$31*L48</f>
        <v>0.27767</v>
      </c>
      <c r="N135" s="34" t="s">
        <v>80</v>
      </c>
      <c r="O135" s="25" t="n">
        <f aca="false">O15+$D$31*O48</f>
        <v>-0.1944</v>
      </c>
      <c r="P135" s="25" t="n">
        <f aca="false">P15+$D$31*P48</f>
        <v>-0.1744</v>
      </c>
      <c r="Q135" s="25" t="n">
        <f aca="false">Q15+$D$31*Q48</f>
        <v>-0.1551</v>
      </c>
      <c r="R135" s="25" t="n">
        <f aca="false">R15+$D$31*R48</f>
        <v>-0.1457</v>
      </c>
      <c r="S135" s="25" t="n">
        <f aca="false">S15+$D$31*S48</f>
        <v>-0.1179</v>
      </c>
      <c r="T135" s="25" t="n">
        <f aca="false">T15+$D$31*T48</f>
        <v>-0.1036</v>
      </c>
      <c r="U135" s="25" t="n">
        <f aca="false">U15+$D$31*U48</f>
        <v>-0.0877</v>
      </c>
      <c r="V135" s="25" t="n">
        <f aca="false">V15+$D$31*V48</f>
        <v>-0.0523</v>
      </c>
      <c r="W135" s="25" t="n">
        <f aca="false">W15+$D$31*W48</f>
        <v>-0.0454</v>
      </c>
      <c r="X135" s="25" t="n">
        <f aca="false">X15+$D$31*X48</f>
        <v>-0.02</v>
      </c>
      <c r="Z135" s="34" t="s">
        <v>80</v>
      </c>
      <c r="AA135" s="25" t="n">
        <f aca="false">AA15+$E$31*AA48</f>
        <v>0.6767</v>
      </c>
      <c r="AB135" s="25" t="n">
        <f aca="false">AB15+$E$31*AB48</f>
        <v>0.6511</v>
      </c>
      <c r="AC135" s="25" t="n">
        <f aca="false">AC15+$E$31*AC48</f>
        <v>0.6243</v>
      </c>
      <c r="AD135" s="25" t="n">
        <f aca="false">AD15+$E$31*AD48</f>
        <v>0.6059</v>
      </c>
      <c r="AE135" s="25" t="n">
        <f aca="false">AE15+$E$31*AE48</f>
        <v>0.5844</v>
      </c>
      <c r="AF135" s="25" t="n">
        <f aca="false">AF15+$E$31*AF48</f>
        <v>0.5668</v>
      </c>
      <c r="AG135" s="25" t="n">
        <f aca="false">AG15+$E$31*AG48</f>
        <v>0.531</v>
      </c>
      <c r="AH135" s="25" t="n">
        <f aca="false">AH15+$E$31*AH48</f>
        <v>0.5179</v>
      </c>
      <c r="AI135" s="25" t="n">
        <f aca="false">AI15+$E$31*AI48</f>
        <v>0.4894</v>
      </c>
      <c r="AJ135" s="25" t="n">
        <f aca="false">AJ15+$E$31*AJ48</f>
        <v>0.4678</v>
      </c>
      <c r="AL135" s="34" t="s">
        <v>80</v>
      </c>
      <c r="AM135" s="36" t="n">
        <f aca="false">C135*(1+(((2-3*O135^2)/24*AA135^2)+(O135*AA135*C135/4))*20)</f>
        <v>0.614831400848143</v>
      </c>
      <c r="AN135" s="36" t="n">
        <f aca="false">D135*(1+(((2-3*P135^2)/24*AB135^2)+(P135*AB135*D135/4))*20)</f>
        <v>0.593594226184789</v>
      </c>
      <c r="AO135" s="36" t="n">
        <f aca="false">E135*(1+(((2-3*Q135^2)/24*AC135^2)+(Q135*AC135*E135/4))*20)</f>
        <v>0.558945586000871</v>
      </c>
      <c r="AP135" s="36" t="n">
        <f aca="false">F135*(1+(((2-3*R135^2)/24*AD135^2)+(R135*AD135*F135/4))*20)</f>
        <v>0.549166443024235</v>
      </c>
      <c r="AQ135" s="36" t="n">
        <f aca="false">G135*(1+(((2-3*S135^2)/24*AE135^2)+(S135*AE135*G135/4))*20)</f>
        <v>0.510797758459785</v>
      </c>
      <c r="AR135" s="36" t="n">
        <f aca="false">H135*(1+(((2-3*T135^2)/24*AF135^2)+(T135*AF135*H135/4))*20)</f>
        <v>0.486019386735911</v>
      </c>
      <c r="AS135" s="36" t="n">
        <f aca="false">I135*(1+(((2-3*U135^2)/24*AG135^2)+(U135*AG135*I135/4))*20)</f>
        <v>0.451059422756684</v>
      </c>
      <c r="AT135" s="36" t="n">
        <f aca="false">J135*(1+(((2-3*V135^2)/24*AH135^2)+(V135*AH135*J135/4))*20)</f>
        <v>0.438612620700975</v>
      </c>
      <c r="AU135" s="36" t="n">
        <f aca="false">K135*(1+(((2-3*W135^2)/24*AI135^2)+(W135*AI135*K135/4))*20)</f>
        <v>0.388670967733572</v>
      </c>
      <c r="AV135" s="36" t="n">
        <f aca="false">L135*(1+(((2-3*X135^2)/24*AJ135^2)+(X135*AJ135*L135/4))*20)</f>
        <v>0.375276510426029</v>
      </c>
    </row>
    <row r="136" customFormat="false" ht="15" hidden="false" customHeight="true" outlineLevel="0" collapsed="false">
      <c r="B136" s="34" t="s">
        <v>81</v>
      </c>
      <c r="C136" s="25" t="n">
        <f aca="false">C16+$C$31*C49</f>
        <v>0.4189636</v>
      </c>
      <c r="D136" s="25" t="n">
        <f aca="false">D16+$C$31*D49</f>
        <v>0.3964584</v>
      </c>
      <c r="E136" s="25" t="n">
        <f aca="false">E16+$C$31*E49</f>
        <v>0.3784732</v>
      </c>
      <c r="F136" s="25" t="n">
        <f aca="false">F16+$C$31*F49</f>
        <v>0.3646696</v>
      </c>
      <c r="G136" s="25" t="n">
        <f aca="false">G16+$C$31*G49</f>
        <v>0.348987</v>
      </c>
      <c r="H136" s="25" t="n">
        <f aca="false">H16+$C$31*H49</f>
        <v>0.3218902</v>
      </c>
      <c r="I136" s="25" t="n">
        <f aca="false">I16+$C$31*I49</f>
        <v>0.3068568</v>
      </c>
      <c r="J136" s="25" t="n">
        <f aca="false">J16+$C$31*J49</f>
        <v>0.28607</v>
      </c>
      <c r="K136" s="25" t="n">
        <f aca="false">K16+$C$31*K49</f>
        <v>0.26957</v>
      </c>
      <c r="L136" s="25" t="n">
        <f aca="false">L16+$C$31*L49</f>
        <v>0.25657</v>
      </c>
      <c r="N136" s="34" t="s">
        <v>81</v>
      </c>
      <c r="O136" s="25" t="n">
        <f aca="false">O16+$D$31*O49</f>
        <v>-0.176</v>
      </c>
      <c r="P136" s="25" t="n">
        <f aca="false">P16+$D$31*P49</f>
        <v>-0.1549</v>
      </c>
      <c r="Q136" s="25" t="n">
        <f aca="false">Q16+$D$31*Q49</f>
        <v>-0.1366</v>
      </c>
      <c r="R136" s="25" t="n">
        <f aca="false">R16+$D$31*R49</f>
        <v>-0.1078</v>
      </c>
      <c r="S136" s="25" t="n">
        <f aca="false">S16+$D$31*S49</f>
        <v>-0.0932</v>
      </c>
      <c r="T136" s="25" t="n">
        <f aca="false">T16+$D$31*T49</f>
        <v>-0.0702</v>
      </c>
      <c r="U136" s="25" t="n">
        <f aca="false">U16+$D$31*U49</f>
        <v>-0.0495</v>
      </c>
      <c r="V136" s="25" t="n">
        <f aca="false">V16+$D$31*V49</f>
        <v>-0.0437</v>
      </c>
      <c r="W136" s="25" t="n">
        <f aca="false">W16+$D$31*W49</f>
        <v>-0.0183</v>
      </c>
      <c r="X136" s="25" t="n">
        <f aca="false">X16+$D$31*X49</f>
        <v>0.0089</v>
      </c>
      <c r="Z136" s="34" t="s">
        <v>81</v>
      </c>
      <c r="AA136" s="25" t="n">
        <f aca="false">AA16+$E$31*AA49</f>
        <v>0.6568</v>
      </c>
      <c r="AB136" s="25" t="n">
        <f aca="false">AB16+$E$31*AB49</f>
        <v>0.6205</v>
      </c>
      <c r="AC136" s="25" t="n">
        <f aca="false">AC16+$E$31*AC49</f>
        <v>0.598</v>
      </c>
      <c r="AD136" s="25" t="n">
        <f aca="false">AD16+$E$31*AD49</f>
        <v>0.5822</v>
      </c>
      <c r="AE136" s="25" t="n">
        <f aca="false">AE16+$E$31*AE49</f>
        <v>0.5526</v>
      </c>
      <c r="AF136" s="25" t="n">
        <f aca="false">AF16+$E$31*AF49</f>
        <v>0.5337</v>
      </c>
      <c r="AG136" s="25" t="n">
        <f aca="false">AG16+$E$31*AG49</f>
        <v>0.5081</v>
      </c>
      <c r="AH136" s="25" t="n">
        <f aca="false">AH16+$E$31*AH49</f>
        <v>0.4978</v>
      </c>
      <c r="AI136" s="25" t="n">
        <f aca="false">AI16+$E$31*AI49</f>
        <v>0.4779</v>
      </c>
      <c r="AJ136" s="25" t="n">
        <f aca="false">AJ16+$E$31*AJ49</f>
        <v>0.4579</v>
      </c>
      <c r="AL136" s="34" t="s">
        <v>81</v>
      </c>
      <c r="AM136" s="36" t="n">
        <f aca="false">C136*(1+(((2-3*O136^2)/24*AA136^2)+(O136*AA136*C136/4))*30)</f>
        <v>0.697626508164939</v>
      </c>
      <c r="AN136" s="36" t="n">
        <f aca="false">D136*(1+(((2-3*P136^2)/24*AB136^2)+(P136*AB136*D136/4))*30)</f>
        <v>0.65102993647413</v>
      </c>
      <c r="AO136" s="36" t="n">
        <f aca="false">E136*(1+(((2-3*Q136^2)/24*AC136^2)+(Q136*AC136*E136/4))*30)</f>
        <v>0.619604253375831</v>
      </c>
      <c r="AP136" s="36" t="n">
        <f aca="false">F136*(1+(((2-3*R136^2)/24*AD136^2)+(R136*AD136*F136/4))*30)</f>
        <v>0.605704475870099</v>
      </c>
      <c r="AQ136" s="36" t="n">
        <f aca="false">G136*(1+(((2-3*S136^2)/24*AE136^2)+(S136*AE136*G136/4))*30)</f>
        <v>0.564894007393401</v>
      </c>
      <c r="AR136" s="36" t="n">
        <f aca="false">H136*(1+(((2-3*T136^2)/24*AF136^2)+(T136*AF136*H136/4))*30)</f>
        <v>0.520295757969868</v>
      </c>
      <c r="AS136" s="36" t="n">
        <f aca="false">I136*(1+(((2-3*U136^2)/24*AG136^2)+(U136*AG136*I136/4))*30)</f>
        <v>0.486416767959822</v>
      </c>
      <c r="AT136" s="36" t="n">
        <f aca="false">J136*(1+(((2-3*V136^2)/24*AH136^2)+(V136*AH136*J136/4))*30)</f>
        <v>0.449434288615496</v>
      </c>
      <c r="AU136" s="36" t="n">
        <f aca="false">K136*(1+(((2-3*W136^2)/24*AI136^2)+(W136*AI136*K136/4))*30)</f>
        <v>0.418642919368982</v>
      </c>
      <c r="AV136" s="36" t="n">
        <f aca="false">L136*(1+(((2-3*X136^2)/24*AJ136^2)+(X136*AJ136*L136/4))*30)</f>
        <v>0.393055172599033</v>
      </c>
    </row>
    <row r="138" customFormat="false" ht="15" hidden="false" customHeight="true" outlineLevel="0" collapsed="false">
      <c r="A138" s="29" t="s">
        <v>154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</row>
    <row r="139" customFormat="false" ht="15" hidden="false" customHeight="true" outlineLevel="0" collapsed="false">
      <c r="B139" s="29" t="s">
        <v>131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N139" s="29" t="s">
        <v>132</v>
      </c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Z139" s="29" t="s">
        <v>133</v>
      </c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L139" s="33" t="s">
        <v>134</v>
      </c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</row>
    <row r="140" customFormat="false" ht="15" hidden="false" customHeight="true" outlineLevel="0" collapsed="false">
      <c r="B140" s="18" t="s">
        <v>135</v>
      </c>
      <c r="C140" s="12" t="s">
        <v>136</v>
      </c>
      <c r="D140" s="12" t="s">
        <v>74</v>
      </c>
      <c r="E140" s="12" t="s">
        <v>75</v>
      </c>
      <c r="F140" s="12" t="s">
        <v>30</v>
      </c>
      <c r="G140" s="12" t="s">
        <v>76</v>
      </c>
      <c r="H140" s="12" t="s">
        <v>77</v>
      </c>
      <c r="I140" s="12" t="s">
        <v>78</v>
      </c>
      <c r="J140" s="12" t="s">
        <v>79</v>
      </c>
      <c r="K140" s="12" t="s">
        <v>80</v>
      </c>
      <c r="L140" s="12" t="s">
        <v>81</v>
      </c>
      <c r="N140" s="18" t="s">
        <v>135</v>
      </c>
      <c r="O140" s="12" t="s">
        <v>136</v>
      </c>
      <c r="P140" s="12" t="s">
        <v>74</v>
      </c>
      <c r="Q140" s="12" t="s">
        <v>75</v>
      </c>
      <c r="R140" s="12" t="s">
        <v>30</v>
      </c>
      <c r="S140" s="12" t="s">
        <v>76</v>
      </c>
      <c r="T140" s="12" t="s">
        <v>77</v>
      </c>
      <c r="U140" s="12" t="s">
        <v>78</v>
      </c>
      <c r="V140" s="12" t="s">
        <v>79</v>
      </c>
      <c r="W140" s="12" t="s">
        <v>80</v>
      </c>
      <c r="X140" s="12" t="s">
        <v>81</v>
      </c>
      <c r="Z140" s="18" t="s">
        <v>135</v>
      </c>
      <c r="AA140" s="12" t="s">
        <v>136</v>
      </c>
      <c r="AB140" s="12" t="s">
        <v>74</v>
      </c>
      <c r="AC140" s="12" t="s">
        <v>75</v>
      </c>
      <c r="AD140" s="12" t="s">
        <v>30</v>
      </c>
      <c r="AE140" s="12" t="s">
        <v>76</v>
      </c>
      <c r="AF140" s="12" t="s">
        <v>77</v>
      </c>
      <c r="AG140" s="12" t="s">
        <v>78</v>
      </c>
      <c r="AH140" s="12" t="s">
        <v>79</v>
      </c>
      <c r="AI140" s="12" t="s">
        <v>80</v>
      </c>
      <c r="AJ140" s="12" t="s">
        <v>81</v>
      </c>
      <c r="AL140" s="18" t="s">
        <v>135</v>
      </c>
      <c r="AM140" s="12" t="s">
        <v>136</v>
      </c>
      <c r="AN140" s="12" t="s">
        <v>74</v>
      </c>
      <c r="AO140" s="12" t="s">
        <v>75</v>
      </c>
      <c r="AP140" s="12" t="s">
        <v>30</v>
      </c>
      <c r="AQ140" s="12" t="s">
        <v>76</v>
      </c>
      <c r="AR140" s="12" t="s">
        <v>77</v>
      </c>
      <c r="AS140" s="12" t="s">
        <v>78</v>
      </c>
      <c r="AT140" s="12" t="s">
        <v>79</v>
      </c>
      <c r="AU140" s="12" t="s">
        <v>80</v>
      </c>
      <c r="AV140" s="12" t="s">
        <v>81</v>
      </c>
    </row>
    <row r="141" customFormat="false" ht="15" hidden="false" customHeight="true" outlineLevel="0" collapsed="false">
      <c r="B141" s="34" t="s">
        <v>136</v>
      </c>
      <c r="C141" s="25" t="n">
        <f aca="false">C7+$C$32*C40</f>
        <v>0.5886063</v>
      </c>
      <c r="D141" s="25" t="n">
        <f aca="false">D7+$C$32*D40</f>
        <v>0.5663234</v>
      </c>
      <c r="E141" s="25" t="n">
        <f aca="false">E7+$C$32*E40</f>
        <v>0.557046</v>
      </c>
      <c r="F141" s="25" t="n">
        <f aca="false">F7+$C$32*F40</f>
        <v>0.526642</v>
      </c>
      <c r="G141" s="25" t="n">
        <f aca="false">G7+$C$32*G40</f>
        <v>0.5166331</v>
      </c>
      <c r="H141" s="25" t="n">
        <f aca="false">H7+$C$32*H40</f>
        <v>0.4939031</v>
      </c>
      <c r="I141" s="25" t="n">
        <f aca="false">I7+$C$32*I40</f>
        <v>0.469867</v>
      </c>
      <c r="J141" s="25" t="n">
        <f aca="false">J7+$C$32*J40</f>
        <v>0.4598</v>
      </c>
      <c r="K141" s="25" t="n">
        <f aca="false">K7+$C$32*K40</f>
        <v>0.43107</v>
      </c>
      <c r="L141" s="25" t="n">
        <f aca="false">L7+$C$32*L40</f>
        <v>0.4197926</v>
      </c>
      <c r="N141" s="34" t="s">
        <v>136</v>
      </c>
      <c r="O141" s="25" t="n">
        <f aca="false">O7+$D$32*O40</f>
        <v>-0.3586</v>
      </c>
      <c r="P141" s="25" t="n">
        <f aca="false">P7+$D$32*P40</f>
        <v>-0.3387</v>
      </c>
      <c r="Q141" s="25" t="n">
        <f aca="false">Q7+$D$32*Q40</f>
        <v>-0.3126</v>
      </c>
      <c r="R141" s="25" t="n">
        <f aca="false">R7+$D$32*R40</f>
        <v>-0.2851</v>
      </c>
      <c r="S141" s="25" t="n">
        <f aca="false">S7+$D$32*S40</f>
        <v>-0.2797</v>
      </c>
      <c r="T141" s="25" t="n">
        <f aca="false">T7+$D$32*T40</f>
        <v>-0.2583</v>
      </c>
      <c r="U141" s="25" t="n">
        <f aca="false">U7+$D$32*U40</f>
        <v>-0.2308</v>
      </c>
      <c r="V141" s="25" t="n">
        <f aca="false">V7+$D$32*V40</f>
        <v>-0.2049</v>
      </c>
      <c r="W141" s="25" t="n">
        <f aca="false">W7+$D$32*W40</f>
        <v>-0.1929</v>
      </c>
      <c r="X141" s="25" t="n">
        <f aca="false">X7+$D$32*X40</f>
        <v>-0.1771</v>
      </c>
      <c r="Z141" s="34" t="s">
        <v>136</v>
      </c>
      <c r="AA141" s="25" t="n">
        <f aca="false">AA7+$E$32*AA40</f>
        <v>0.8595</v>
      </c>
      <c r="AB141" s="25" t="n">
        <f aca="false">AB7+$E$32*AB40</f>
        <v>0.8187</v>
      </c>
      <c r="AC141" s="25" t="n">
        <f aca="false">AC7+$E$32*AC40</f>
        <v>0.8127</v>
      </c>
      <c r="AD141" s="25" t="n">
        <f aca="false">AD7+$E$32*AD40</f>
        <v>0.7791</v>
      </c>
      <c r="AE141" s="25" t="n">
        <f aca="false">AE7+$E$32*AE40</f>
        <v>0.754</v>
      </c>
      <c r="AF141" s="25" t="n">
        <f aca="false">AF7+$E$32*AF40</f>
        <v>0.7312</v>
      </c>
      <c r="AG141" s="25" t="n">
        <f aca="false">AG7+$E$32*AG40</f>
        <v>0.7128</v>
      </c>
      <c r="AH141" s="25" t="n">
        <f aca="false">AH7+$E$32*AH40</f>
        <v>0.7008</v>
      </c>
      <c r="AI141" s="25" t="n">
        <f aca="false">AI7+$E$32*AI40</f>
        <v>0.6658</v>
      </c>
      <c r="AJ141" s="25" t="n">
        <f aca="false">AJ7+$E$32*AJ40</f>
        <v>0.6516</v>
      </c>
      <c r="AL141" s="34" t="s">
        <v>136</v>
      </c>
      <c r="AM141" s="36" t="n">
        <f aca="false">C141*(1+(((2-3*O141^2)/24*AA141^2)+(O141*AA141*C141/4))*0.0833333333333333)</f>
        <v>0.588818807616974</v>
      </c>
      <c r="AN141" s="36" t="n">
        <f aca="false">D141*(1+(((2-3*P141^2)/24*AB141^2)+(P141*AB141*D141/4))*0.0833333333333333)</f>
        <v>0.566653040680527</v>
      </c>
      <c r="AO141" s="36" t="n">
        <f aca="false">E141*(1+(((2-3*Q141^2)/24*AC141^2)+(Q141*AC141*E141/4))*0.0833333333333333)</f>
        <v>0.557584154901649</v>
      </c>
      <c r="AP141" s="36" t="n">
        <f aca="false">F141*(1+(((2-3*R141^2)/24*AD141^2)+(R141*AD141*F141/4))*0.0833333333333333)</f>
        <v>0.527307816430616</v>
      </c>
      <c r="AQ141" s="36" t="n">
        <f aca="false">G141*(1+(((2-3*S141^2)/24*AE141^2)+(S141*AE141*G141/4))*0.0833333333333333)</f>
        <v>0.517260728688784</v>
      </c>
      <c r="AR141" s="36" t="n">
        <f aca="false">H141*(1+(((2-3*T141^2)/24*AF141^2)+(T141*AF141*H141/4))*0.0833333333333333)</f>
        <v>0.494593526181097</v>
      </c>
      <c r="AS141" s="36" t="n">
        <f aca="false">I141*(1+(((2-3*U141^2)/24*AG141^2)+(U141*AG141*I141/4))*0.0833333333333333)</f>
        <v>0.470635712201018</v>
      </c>
      <c r="AT141" s="36" t="n">
        <f aca="false">J141*(1+(((2-3*V141^2)/24*AH141^2)+(V141*AH141*J141/4))*0.0833333333333333)</f>
        <v>0.460636958504643</v>
      </c>
      <c r="AU141" s="36" t="n">
        <f aca="false">K141*(1+(((2-3*W141^2)/24*AI141^2)+(W141*AI141*K141/4))*0.0833333333333333)</f>
        <v>0.431825739198359</v>
      </c>
      <c r="AV141" s="36" t="n">
        <f aca="false">L141*(1+(((2-3*X141^2)/24*AJ141^2)+(X141*AJ141*L141/4))*0.0833333333333333)</f>
        <v>0.420548451895883</v>
      </c>
    </row>
    <row r="142" customFormat="false" ht="15" hidden="false" customHeight="true" outlineLevel="0" collapsed="false">
      <c r="B142" s="34" t="s">
        <v>74</v>
      </c>
      <c r="C142" s="25" t="n">
        <f aca="false">C8+$C$32*C41</f>
        <v>0.5755237</v>
      </c>
      <c r="D142" s="25" t="n">
        <f aca="false">D8+$C$32*D41</f>
        <v>0.5510252</v>
      </c>
      <c r="E142" s="25" t="n">
        <f aca="false">E8+$C$32*E41</f>
        <v>0.5356371</v>
      </c>
      <c r="F142" s="25" t="n">
        <f aca="false">F8+$C$32*F41</f>
        <v>0.5065282</v>
      </c>
      <c r="G142" s="25" t="n">
        <f aca="false">G8+$C$32*G41</f>
        <v>0.4885658</v>
      </c>
      <c r="H142" s="25" t="n">
        <f aca="false">H8+$C$32*H41</f>
        <v>0.4718202</v>
      </c>
      <c r="I142" s="25" t="n">
        <f aca="false">I8+$C$32*I41</f>
        <v>0.4629633</v>
      </c>
      <c r="J142" s="25" t="n">
        <f aca="false">J8+$C$32*J41</f>
        <v>0.4381599</v>
      </c>
      <c r="K142" s="25" t="n">
        <f aca="false">K8+$C$32*K41</f>
        <v>0.4177871</v>
      </c>
      <c r="L142" s="25" t="n">
        <f aca="false">L8+$C$32*L41</f>
        <v>0.4039623</v>
      </c>
      <c r="N142" s="34" t="s">
        <v>74</v>
      </c>
      <c r="O142" s="25" t="n">
        <f aca="false">O8+$D$32*O41</f>
        <v>-0.3315</v>
      </c>
      <c r="P142" s="25" t="n">
        <f aca="false">P8+$D$32*P41</f>
        <v>-0.3151</v>
      </c>
      <c r="Q142" s="25" t="n">
        <f aca="false">Q8+$D$32*Q41</f>
        <v>-0.2858</v>
      </c>
      <c r="R142" s="25" t="n">
        <f aca="false">R8+$D$32*R41</f>
        <v>-0.2682</v>
      </c>
      <c r="S142" s="25" t="n">
        <f aca="false">S8+$D$32*S41</f>
        <v>-0.2579</v>
      </c>
      <c r="T142" s="25" t="n">
        <f aca="false">T8+$D$32*T41</f>
        <v>-0.2318</v>
      </c>
      <c r="U142" s="25" t="n">
        <f aca="false">U8+$D$32*U41</f>
        <v>-0.2134</v>
      </c>
      <c r="V142" s="25" t="n">
        <f aca="false">V8+$D$32*V41</f>
        <v>-0.1869</v>
      </c>
      <c r="W142" s="25" t="n">
        <f aca="false">W8+$D$32*W41</f>
        <v>-0.1704</v>
      </c>
      <c r="X142" s="25" t="n">
        <f aca="false">X8+$D$32*X41</f>
        <v>-0.1598</v>
      </c>
      <c r="Z142" s="34" t="s">
        <v>74</v>
      </c>
      <c r="AA142" s="25" t="n">
        <f aca="false">AA8+$E$32*AA41</f>
        <v>0.8374</v>
      </c>
      <c r="AB142" s="25" t="n">
        <f aca="false">AB8+$E$32*AB41</f>
        <v>0.7979</v>
      </c>
      <c r="AC142" s="25" t="n">
        <f aca="false">AC8+$E$32*AC41</f>
        <v>0.7817</v>
      </c>
      <c r="AD142" s="25" t="n">
        <f aca="false">AD8+$E$32*AD41</f>
        <v>0.7663</v>
      </c>
      <c r="AE142" s="25" t="n">
        <f aca="false">AE8+$E$32*AE41</f>
        <v>0.7319</v>
      </c>
      <c r="AF142" s="25" t="n">
        <f aca="false">AF8+$E$32*AF41</f>
        <v>0.7164</v>
      </c>
      <c r="AG142" s="25" t="n">
        <f aca="false">AG8+$E$32*AG41</f>
        <v>0.6852</v>
      </c>
      <c r="AH142" s="25" t="n">
        <f aca="false">AH8+$E$32*AH41</f>
        <v>0.6756</v>
      </c>
      <c r="AI142" s="25" t="n">
        <f aca="false">AI8+$E$32*AI41</f>
        <v>0.6553</v>
      </c>
      <c r="AJ142" s="25" t="n">
        <f aca="false">AJ8+$E$32*AJ41</f>
        <v>0.6292</v>
      </c>
      <c r="AL142" s="34" t="s">
        <v>74</v>
      </c>
      <c r="AM142" s="36" t="n">
        <f aca="false">C142*(1+(((2-3*O142^2)/24*AA142^2)+(O142*AA142*C142/4))*0.25)</f>
        <v>0.576798902795008</v>
      </c>
      <c r="AN142" s="36" t="n">
        <f aca="false">D142*(1+(((2-3*P142^2)/24*AB142^2)+(P142*AB142*D142/4))*0.25)</f>
        <v>0.552474100497009</v>
      </c>
      <c r="AO142" s="36" t="n">
        <f aca="false">E142*(1+(((2-3*Q142^2)/24*AC142^2)+(Q142*AC142*E142/4))*0.25)</f>
        <v>0.537614349821401</v>
      </c>
      <c r="AP142" s="36" t="n">
        <f aca="false">F142*(1+(((2-3*R142^2)/24*AD142^2)+(R142*AD142*F142/4))*0.25)</f>
        <v>0.50876061130353</v>
      </c>
      <c r="AQ142" s="36" t="n">
        <f aca="false">G142*(1+(((2-3*S142^2)/24*AE142^2)+(S142*AE142*G142/4))*0.25)</f>
        <v>0.490658216762777</v>
      </c>
      <c r="AR142" s="36" t="n">
        <f aca="false">H142*(1+(((2-3*T142^2)/24*AF142^2)+(T142*AF142*H142/4))*0.25)</f>
        <v>0.474147952269455</v>
      </c>
      <c r="AS142" s="36" t="n">
        <f aca="false">I142*(1+(((2-3*U142^2)/24*AG142^2)+(U142*AG142*I142/4))*0.25)</f>
        <v>0.465223545240499</v>
      </c>
      <c r="AT142" s="36" t="n">
        <f aca="false">J142*(1+(((2-3*V142^2)/24*AH142^2)+(V142*AH142*J142/4))*0.25)</f>
        <v>0.440592969505569</v>
      </c>
      <c r="AU142" s="36" t="n">
        <f aca="false">K142*(1+(((2-3*W142^2)/24*AI142^2)+(W142*AI142*K142/4))*0.25)</f>
        <v>0.420143775043702</v>
      </c>
      <c r="AV142" s="36" t="n">
        <f aca="false">L142*(1+(((2-3*X142^2)/24*AJ142^2)+(X142*AJ142*L142/4))*0.25)</f>
        <v>0.406140984574074</v>
      </c>
    </row>
    <row r="143" customFormat="false" ht="15" hidden="false" customHeight="true" outlineLevel="0" collapsed="false">
      <c r="B143" s="34" t="s">
        <v>75</v>
      </c>
      <c r="C143" s="25" t="n">
        <f aca="false">C9+$C$32*C42</f>
        <v>0.560757</v>
      </c>
      <c r="D143" s="25" t="n">
        <f aca="false">D9+$C$32*D42</f>
        <v>0.5308319</v>
      </c>
      <c r="E143" s="25" t="n">
        <f aca="false">E9+$C$32*E42</f>
        <v>0.5204695</v>
      </c>
      <c r="F143" s="25" t="n">
        <f aca="false">F9+$C$32*F42</f>
        <v>0.4987924</v>
      </c>
      <c r="G143" s="25" t="n">
        <f aca="false">G9+$C$32*G42</f>
        <v>0.4802407</v>
      </c>
      <c r="H143" s="25" t="n">
        <f aca="false">H9+$C$32*H42</f>
        <v>0.4578532</v>
      </c>
      <c r="I143" s="25" t="n">
        <f aca="false">I9+$C$32*I42</f>
        <v>0.4459602</v>
      </c>
      <c r="J143" s="25" t="n">
        <f aca="false">J9+$C$32*J42</f>
        <v>0.4298874</v>
      </c>
      <c r="K143" s="25" t="n">
        <f aca="false">K9+$C$32*K42</f>
        <v>0.4016571</v>
      </c>
      <c r="L143" s="25" t="n">
        <f aca="false">L9+$C$32*L42</f>
        <v>0.3855748</v>
      </c>
      <c r="N143" s="34" t="s">
        <v>75</v>
      </c>
      <c r="O143" s="25" t="n">
        <f aca="false">O9+$D$32*O42</f>
        <v>-0.3199</v>
      </c>
      <c r="P143" s="25" t="n">
        <f aca="false">P9+$D$32*P42</f>
        <v>-0.2876</v>
      </c>
      <c r="Q143" s="25" t="n">
        <f aca="false">Q9+$D$32*Q42</f>
        <v>-0.2693</v>
      </c>
      <c r="R143" s="25" t="n">
        <f aca="false">R9+$D$32*R42</f>
        <v>-0.2429</v>
      </c>
      <c r="S143" s="25" t="n">
        <f aca="false">S9+$D$32*S42</f>
        <v>-0.2269</v>
      </c>
      <c r="T143" s="25" t="n">
        <f aca="false">T9+$D$32*T42</f>
        <v>-0.2182</v>
      </c>
      <c r="U143" s="25" t="n">
        <f aca="false">U9+$D$32*U42</f>
        <v>-0.1967</v>
      </c>
      <c r="V143" s="25" t="n">
        <f aca="false">V9+$D$32*V42</f>
        <v>-0.1716</v>
      </c>
      <c r="W143" s="25" t="n">
        <f aca="false">W9+$D$32*W42</f>
        <v>-0.1651</v>
      </c>
      <c r="X143" s="25" t="n">
        <f aca="false">X9+$D$32*X42</f>
        <v>-0.1369</v>
      </c>
      <c r="Z143" s="34" t="s">
        <v>75</v>
      </c>
      <c r="AA143" s="25" t="n">
        <f aca="false">AA9+$E$32*AA42</f>
        <v>0.7989</v>
      </c>
      <c r="AB143" s="25" t="n">
        <f aca="false">AB9+$E$32*AB42</f>
        <v>0.7757</v>
      </c>
      <c r="AC143" s="25" t="n">
        <f aca="false">AC9+$E$32*AC42</f>
        <v>0.7523</v>
      </c>
      <c r="AD143" s="25" t="n">
        <f aca="false">AD9+$E$32*AD42</f>
        <v>0.7443</v>
      </c>
      <c r="AE143" s="25" t="n">
        <f aca="false">AE9+$E$32*AE42</f>
        <v>0.7093</v>
      </c>
      <c r="AF143" s="25" t="n">
        <f aca="false">AF9+$E$32*AF42</f>
        <v>0.6894</v>
      </c>
      <c r="AG143" s="25" t="n">
        <f aca="false">AG9+$E$32*AG42</f>
        <v>0.67</v>
      </c>
      <c r="AH143" s="25" t="n">
        <f aca="false">AH9+$E$32*AH42</f>
        <v>0.6574</v>
      </c>
      <c r="AI143" s="25" t="n">
        <f aca="false">AI9+$E$32*AI42</f>
        <v>0.6194</v>
      </c>
      <c r="AJ143" s="25" t="n">
        <f aca="false">AJ9+$E$32*AJ42</f>
        <v>0.6045</v>
      </c>
      <c r="AL143" s="34" t="s">
        <v>75</v>
      </c>
      <c r="AM143" s="36" t="n">
        <f aca="false">C143*(1+(((2-3*O143^2)/24*AA143^2)+(O143*AA143*C143/4))*0.5)</f>
        <v>0.563334935486134</v>
      </c>
      <c r="AN143" s="36" t="n">
        <f aca="false">D143*(1+(((2-3*P143^2)/24*AB143^2)+(P143*AB143*D143/4))*0.5)</f>
        <v>0.534631415951674</v>
      </c>
      <c r="AO143" s="36" t="n">
        <f aca="false">E143*(1+(((2-3*Q143^2)/24*AC143^2)+(Q143*AC143*E143/4))*0.5)</f>
        <v>0.524547724582098</v>
      </c>
      <c r="AP143" s="36" t="n">
        <f aca="false">F143*(1+(((2-3*R143^2)/24*AD143^2)+(R143*AD143*F143/4))*0.5)</f>
        <v>0.503664437102048</v>
      </c>
      <c r="AQ143" s="36" t="n">
        <f aca="false">G143*(1+(((2-3*S143^2)/24*AE143^2)+(S143*AE143*G143/4))*0.5)</f>
        <v>0.484890707072566</v>
      </c>
      <c r="AR143" s="36" t="n">
        <f aca="false">H143*(1+(((2-3*T143^2)/24*AF143^2)+(T143*AF143*H143/4))*0.5)</f>
        <v>0.462330800943745</v>
      </c>
      <c r="AS143" s="36" t="n">
        <f aca="false">I143*(1+(((2-3*U143^2)/24*AG143^2)+(U143*AG143*I143/4))*0.5)</f>
        <v>0.450541131842675</v>
      </c>
      <c r="AT143" s="36" t="n">
        <f aca="false">J143*(1+(((2-3*V143^2)/24*AH143^2)+(V143*AH143*J143/4))*0.5)</f>
        <v>0.434680628094798</v>
      </c>
      <c r="AU143" s="36" t="n">
        <f aca="false">K143*(1+(((2-3*W143^2)/24*AI143^2)+(W143*AI143*K143/4))*0.5)</f>
        <v>0.405753096832191</v>
      </c>
      <c r="AV143" s="36" t="n">
        <f aca="false">L143*(1+(((2-3*X143^2)/24*AJ143^2)+(X143*AJ143*L143/4))*0.5)</f>
        <v>0.389742565763598</v>
      </c>
    </row>
    <row r="144" customFormat="false" ht="15" hidden="false" customHeight="true" outlineLevel="0" collapsed="false">
      <c r="B144" s="34" t="s">
        <v>30</v>
      </c>
      <c r="C144" s="25" t="n">
        <f aca="false">C10+$C$32*C43</f>
        <v>0.5353215</v>
      </c>
      <c r="D144" s="25" t="n">
        <f aca="false">D10+$C$32*D43</f>
        <v>0.523349</v>
      </c>
      <c r="E144" s="25" t="n">
        <f aca="false">E10+$C$32*E43</f>
        <v>0.5040814</v>
      </c>
      <c r="F144" s="25" t="n">
        <f aca="false">F10+$C$32*F43</f>
        <v>0.4855725</v>
      </c>
      <c r="G144" s="25" t="n">
        <f aca="false">G10+$C$32*G43</f>
        <v>0.4538061</v>
      </c>
      <c r="H144" s="25" t="n">
        <f aca="false">H10+$C$32*H43</f>
        <v>0.4377495</v>
      </c>
      <c r="I144" s="25" t="n">
        <f aca="false">I10+$C$32*I43</f>
        <v>0.4173458</v>
      </c>
      <c r="J144" s="25" t="n">
        <f aca="false">J10+$C$32*J43</f>
        <v>0.4087262</v>
      </c>
      <c r="K144" s="25" t="n">
        <f aca="false">K10+$C$32*K43</f>
        <v>0.3923164</v>
      </c>
      <c r="L144" s="25" t="n">
        <f aca="false">L10+$C$32*L43</f>
        <v>0.3561763</v>
      </c>
      <c r="N144" s="34" t="s">
        <v>30</v>
      </c>
      <c r="O144" s="25" t="n">
        <f aca="false">O10+$D$32*O43</f>
        <v>-0.2981</v>
      </c>
      <c r="P144" s="25" t="n">
        <f aca="false">P10+$D$32*P43</f>
        <v>-0.2776</v>
      </c>
      <c r="Q144" s="25" t="n">
        <f aca="false">Q10+$D$32*Q43</f>
        <v>-0.2581</v>
      </c>
      <c r="R144" s="25" t="n">
        <f aca="false">R10+$D$32*R43</f>
        <v>-0.2336</v>
      </c>
      <c r="S144" s="25" t="n">
        <f aca="false">S10+$D$32*S43</f>
        <v>-0.2121</v>
      </c>
      <c r="T144" s="25" t="n">
        <f aca="false">T10+$D$32*T43</f>
        <v>-0.1992</v>
      </c>
      <c r="U144" s="25" t="n">
        <f aca="false">U10+$D$32*U43</f>
        <v>-0.1849</v>
      </c>
      <c r="V144" s="25" t="n">
        <f aca="false">V10+$D$32*V43</f>
        <v>-0.1572</v>
      </c>
      <c r="W144" s="25" t="n">
        <f aca="false">W10+$D$32*W43</f>
        <v>-0.1387</v>
      </c>
      <c r="X144" s="25" t="n">
        <f aca="false">X10+$D$32*X43</f>
        <v>-0.1153</v>
      </c>
      <c r="Z144" s="34" t="s">
        <v>30</v>
      </c>
      <c r="AA144" s="25" t="n">
        <f aca="false">AA10+$E$32*AA43</f>
        <v>0.7924</v>
      </c>
      <c r="AB144" s="25" t="n">
        <f aca="false">AB10+$E$32*AB43</f>
        <v>0.7649</v>
      </c>
      <c r="AC144" s="25" t="n">
        <f aca="false">AC10+$E$32*AC43</f>
        <v>0.7392</v>
      </c>
      <c r="AD144" s="25" t="n">
        <f aca="false">AD10+$E$32*AD43</f>
        <v>0.719</v>
      </c>
      <c r="AE144" s="25" t="n">
        <f aca="false">AE10+$E$32*AE43</f>
        <v>0.698</v>
      </c>
      <c r="AF144" s="25" t="n">
        <f aca="false">AF10+$E$32*AF43</f>
        <v>0.6633</v>
      </c>
      <c r="AG144" s="25" t="n">
        <f aca="false">AG10+$E$32*AG43</f>
        <v>0.658</v>
      </c>
      <c r="AH144" s="25" t="n">
        <f aca="false">AH10+$E$32*AH43</f>
        <v>0.6334</v>
      </c>
      <c r="AI144" s="25" t="n">
        <f aca="false">AI10+$E$32*AI43</f>
        <v>0.613</v>
      </c>
      <c r="AJ144" s="25" t="n">
        <f aca="false">AJ10+$E$32*AJ43</f>
        <v>0.5893</v>
      </c>
      <c r="AL144" s="34" t="s">
        <v>30</v>
      </c>
      <c r="AM144" s="36" t="n">
        <f aca="false">C144*(1+(((2-3*O144^2)/24*AA144^2)+(O144*AA144*C144/4))*1)</f>
        <v>0.542675472971281</v>
      </c>
      <c r="AN144" s="36" t="n">
        <f aca="false">D144*(1+(((2-3*P144^2)/24*AB144^2)+(P144*AB144*D144/4))*1)</f>
        <v>0.531376480884207</v>
      </c>
      <c r="AO144" s="36" t="n">
        <f aca="false">E144*(1+(((2-3*Q144^2)/24*AC144^2)+(Q144*AC144*E144/4))*1)</f>
        <v>0.512621358164465</v>
      </c>
      <c r="AP144" s="36" t="n">
        <f aca="false">F144*(1+(((2-3*R144^2)/24*AD144^2)+(R144*AD144*F144/4))*1)</f>
        <v>0.494878416974634</v>
      </c>
      <c r="AQ144" s="36" t="n">
        <f aca="false">G144*(1+(((2-3*S144^2)/24*AE144^2)+(S144*AE144*G144/4))*1)</f>
        <v>0.463365351548666</v>
      </c>
      <c r="AR144" s="36" t="n">
        <f aca="false">H144*(1+(((2-3*T144^2)/24*AF144^2)+(T144*AF144*H144/4))*1)</f>
        <v>0.4465140093923</v>
      </c>
      <c r="AS144" s="36" t="n">
        <f aca="false">I144*(1+(((2-3*U144^2)/24*AG144^2)+(U144*AG144*I144/4))*1)</f>
        <v>0.426333780190557</v>
      </c>
      <c r="AT144" s="36" t="n">
        <f aca="false">J144*(1+(((2-3*V144^2)/24*AH144^2)+(V144*AH144*J144/4))*1)</f>
        <v>0.417726110712245</v>
      </c>
      <c r="AU144" s="36" t="n">
        <f aca="false">K144*(1+(((2-3*W144^2)/24*AI144^2)+(W144*AI144*K144/4))*1)</f>
        <v>0.400975402895376</v>
      </c>
      <c r="AV144" s="36" t="n">
        <f aca="false">L144*(1+(((2-3*X144^2)/24*AJ144^2)+(X144*AJ144*L144/4))*1)</f>
        <v>0.364123390731738</v>
      </c>
    </row>
    <row r="145" customFormat="false" ht="15" hidden="false" customHeight="true" outlineLevel="0" collapsed="false">
      <c r="B145" s="34" t="s">
        <v>76</v>
      </c>
      <c r="C145" s="25" t="n">
        <f aca="false">C11+$C$32*C44</f>
        <v>0.5139172</v>
      </c>
      <c r="D145" s="25" t="n">
        <f aca="false">D11+$C$32*D44</f>
        <v>0.4947661</v>
      </c>
      <c r="E145" s="25" t="n">
        <f aca="false">E11+$C$32*E44</f>
        <v>0.4694783</v>
      </c>
      <c r="F145" s="25" t="n">
        <f aca="false">F11+$C$32*F44</f>
        <v>0.4618792</v>
      </c>
      <c r="G145" s="25" t="n">
        <f aca="false">G11+$C$32*G44</f>
        <v>0.4304654</v>
      </c>
      <c r="H145" s="25" t="n">
        <f aca="false">H11+$C$32*H44</f>
        <v>0.4123137</v>
      </c>
      <c r="I145" s="25" t="n">
        <f aca="false">I11+$C$32*I44</f>
        <v>0.3953051</v>
      </c>
      <c r="J145" s="25" t="n">
        <f aca="false">J11+$C$32*J44</f>
        <v>0.3758115</v>
      </c>
      <c r="K145" s="25" t="n">
        <f aca="false">K11+$C$32*K44</f>
        <v>0.3600289</v>
      </c>
      <c r="L145" s="25" t="n">
        <f aca="false">L11+$C$32*L44</f>
        <v>0.3353408</v>
      </c>
      <c r="N145" s="34" t="s">
        <v>76</v>
      </c>
      <c r="O145" s="25" t="n">
        <f aca="false">O11+$D$32*O44</f>
        <v>-0.2822</v>
      </c>
      <c r="P145" s="25" t="n">
        <f aca="false">P11+$D$32*P44</f>
        <v>-0.2598</v>
      </c>
      <c r="Q145" s="25" t="n">
        <f aca="false">Q11+$D$32*Q44</f>
        <v>-0.2413</v>
      </c>
      <c r="R145" s="25" t="n">
        <f aca="false">R11+$D$32*R44</f>
        <v>-0.2166</v>
      </c>
      <c r="S145" s="25" t="n">
        <f aca="false">S11+$D$32*S44</f>
        <v>-0.2039</v>
      </c>
      <c r="T145" s="25" t="n">
        <f aca="false">T11+$D$32*T44</f>
        <v>-0.1675</v>
      </c>
      <c r="U145" s="25" t="n">
        <f aca="false">U11+$D$32*U44</f>
        <v>-0.1533</v>
      </c>
      <c r="V145" s="25" t="n">
        <f aca="false">V11+$D$32*V44</f>
        <v>-0.1431</v>
      </c>
      <c r="W145" s="25" t="n">
        <f aca="false">W11+$D$32*W44</f>
        <v>-0.1216</v>
      </c>
      <c r="X145" s="25" t="n">
        <f aca="false">X11+$D$32*X44</f>
        <v>-0.1003</v>
      </c>
      <c r="Z145" s="34" t="s">
        <v>76</v>
      </c>
      <c r="AA145" s="25" t="n">
        <f aca="false">AA11+$E$32*AA44</f>
        <v>0.7584</v>
      </c>
      <c r="AB145" s="25" t="n">
        <f aca="false">AB11+$E$32*AB44</f>
        <v>0.7313</v>
      </c>
      <c r="AC145" s="25" t="n">
        <f aca="false">AC11+$E$32*AC44</f>
        <v>0.7236</v>
      </c>
      <c r="AD145" s="25" t="n">
        <f aca="false">AD11+$E$32*AD44</f>
        <v>0.7043</v>
      </c>
      <c r="AE145" s="25" t="n">
        <f aca="false">AE11+$E$32*AE44</f>
        <v>0.6715</v>
      </c>
      <c r="AF145" s="25" t="n">
        <f aca="false">AF11+$E$32*AF44</f>
        <v>0.6497</v>
      </c>
      <c r="AG145" s="25" t="n">
        <f aca="false">AG11+$E$32*AG44</f>
        <v>0.6195</v>
      </c>
      <c r="AH145" s="25" t="n">
        <f aca="false">AH11+$E$32*AH44</f>
        <v>0.5976</v>
      </c>
      <c r="AI145" s="25" t="n">
        <f aca="false">AI11+$E$32*AI44</f>
        <v>0.5802</v>
      </c>
      <c r="AJ145" s="25" t="n">
        <f aca="false">AJ11+$E$32*AJ44</f>
        <v>0.5564</v>
      </c>
      <c r="AL145" s="34" t="s">
        <v>76</v>
      </c>
      <c r="AM145" s="36" t="n">
        <f aca="false">C145*(1+(((2-3*O145^2)/24*AA145^2)+(O145*AA145*C145/4))*2)</f>
        <v>0.529034673471716</v>
      </c>
      <c r="AN145" s="36" t="n">
        <f aca="false">D145*(1+(((2-3*P145^2)/24*AB145^2)+(P145*AB145*D145/4))*2)</f>
        <v>0.511146979427192</v>
      </c>
      <c r="AO145" s="36" t="n">
        <f aca="false">E145*(1+(((2-3*Q145^2)/24*AC145^2)+(Q145*AC145*E145/4))*2)</f>
        <v>0.487627348582594</v>
      </c>
      <c r="AP145" s="36" t="n">
        <f aca="false">F145*(1+(((2-3*R145^2)/24*AD145^2)+(R145*AD145*F145/4))*2)</f>
        <v>0.48110489680704</v>
      </c>
      <c r="AQ145" s="36" t="n">
        <f aca="false">G145*(1+(((2-3*S145^2)/24*AE145^2)+(S145*AE145*G145/4))*2)</f>
        <v>0.448112731570607</v>
      </c>
      <c r="AR145" s="36" t="n">
        <f aca="false">H145*(1+(((2-3*T145^2)/24*AF145^2)+(T145*AF145*H145/4))*2)</f>
        <v>0.430849677769551</v>
      </c>
      <c r="AS145" s="36" t="n">
        <f aca="false">I145*(1+(((2-3*U145^2)/24*AG145^2)+(U145*AG145*I145/4))*2)</f>
        <v>0.412278570620046</v>
      </c>
      <c r="AT145" s="36" t="n">
        <f aca="false">J145*(1+(((2-3*V145^2)/24*AH145^2)+(V145*AH145*J145/4))*2)</f>
        <v>0.391454141135942</v>
      </c>
      <c r="AU145" s="36" t="n">
        <f aca="false">K145*(1+(((2-3*W145^2)/24*AI145^2)+(W145*AI145*K145/4))*2)</f>
        <v>0.375207896801986</v>
      </c>
      <c r="AV145" s="36" t="n">
        <f aca="false">L145*(1+(((2-3*X145^2)/24*AJ145^2)+(X145*AJ145*L145/4))*2)</f>
        <v>0.349244383348361</v>
      </c>
    </row>
    <row r="146" customFormat="false" ht="15" hidden="false" customHeight="true" outlineLevel="0" collapsed="false">
      <c r="B146" s="34" t="s">
        <v>77</v>
      </c>
      <c r="C146" s="25" t="n">
        <f aca="false">C12+$C$32*C45</f>
        <v>0.5041814</v>
      </c>
      <c r="D146" s="25" t="n">
        <f aca="false">D12+$C$32*D45</f>
        <v>0.4715514</v>
      </c>
      <c r="E146" s="25" t="n">
        <f aca="false">E12+$C$32*E45</f>
        <v>0.4489954</v>
      </c>
      <c r="F146" s="25" t="n">
        <f aca="false">F12+$C$32*F45</f>
        <v>0.4494489</v>
      </c>
      <c r="G146" s="25" t="n">
        <f aca="false">G12+$C$32*G45</f>
        <v>0.4209299</v>
      </c>
      <c r="H146" s="25" t="n">
        <f aca="false">H12+$C$32*H45</f>
        <v>0.3945522</v>
      </c>
      <c r="I146" s="25" t="n">
        <f aca="false">I12+$C$32*I45</f>
        <v>0.3840953</v>
      </c>
      <c r="J146" s="25" t="n">
        <f aca="false">J12+$C$32*J45</f>
        <v>0.3544127</v>
      </c>
      <c r="K146" s="25" t="n">
        <f aca="false">K12+$C$32*K45</f>
        <v>0.3445778</v>
      </c>
      <c r="L146" s="25" t="n">
        <f aca="false">L12+$C$32*L45</f>
        <v>0.3359047</v>
      </c>
      <c r="N146" s="34" t="s">
        <v>77</v>
      </c>
      <c r="O146" s="25" t="n">
        <f aca="false">O12+$D$32*O45</f>
        <v>-0.2455</v>
      </c>
      <c r="P146" s="25" t="n">
        <f aca="false">P12+$D$32*P45</f>
        <v>-0.2294</v>
      </c>
      <c r="Q146" s="25" t="n">
        <f aca="false">Q12+$D$32*Q45</f>
        <v>-0.2187</v>
      </c>
      <c r="R146" s="25" t="n">
        <f aca="false">R12+$D$32*R45</f>
        <v>-0.1971</v>
      </c>
      <c r="S146" s="25" t="n">
        <f aca="false">S12+$D$32*S45</f>
        <v>-0.1817</v>
      </c>
      <c r="T146" s="25" t="n">
        <f aca="false">T12+$D$32*T45</f>
        <v>-0.1501</v>
      </c>
      <c r="U146" s="25" t="n">
        <f aca="false">U12+$D$32*U45</f>
        <v>-0.1355</v>
      </c>
      <c r="V146" s="25" t="n">
        <f aca="false">V12+$D$32*V45</f>
        <v>-0.1111</v>
      </c>
      <c r="W146" s="25" t="n">
        <f aca="false">W12+$D$32*W45</f>
        <v>-0.1006</v>
      </c>
      <c r="X146" s="25" t="n">
        <f aca="false">X12+$D$32*X45</f>
        <v>-0.0833</v>
      </c>
      <c r="Z146" s="34" t="s">
        <v>77</v>
      </c>
      <c r="AA146" s="25" t="n">
        <f aca="false">AA12+$E$32*AA45</f>
        <v>0.7451</v>
      </c>
      <c r="AB146" s="25" t="n">
        <f aca="false">AB12+$E$32*AB45</f>
        <v>0.7264</v>
      </c>
      <c r="AC146" s="25" t="n">
        <f aca="false">AC12+$E$32*AC45</f>
        <v>0.7015</v>
      </c>
      <c r="AD146" s="25" t="n">
        <f aca="false">AD12+$E$32*AD45</f>
        <v>0.6783</v>
      </c>
      <c r="AE146" s="25" t="n">
        <f aca="false">AE12+$E$32*AE45</f>
        <v>0.6564</v>
      </c>
      <c r="AF146" s="25" t="n">
        <f aca="false">AF12+$E$32*AF45</f>
        <v>0.6326</v>
      </c>
      <c r="AG146" s="25" t="n">
        <f aca="false">AG12+$E$32*AG45</f>
        <v>0.6001</v>
      </c>
      <c r="AH146" s="25" t="n">
        <f aca="false">AH12+$E$32*AH45</f>
        <v>0.5837</v>
      </c>
      <c r="AI146" s="25" t="n">
        <f aca="false">AI12+$E$32*AI45</f>
        <v>0.5582</v>
      </c>
      <c r="AJ146" s="25" t="n">
        <f aca="false">AJ12+$E$32*AJ45</f>
        <v>0.5295</v>
      </c>
      <c r="AL146" s="34" t="s">
        <v>77</v>
      </c>
      <c r="AM146" s="36" t="n">
        <f aca="false">C146*(1+(((2-3*O146^2)/24*AA146^2)+(O146*AA146*C146/4))*3)</f>
        <v>0.532958260476065</v>
      </c>
      <c r="AN146" s="36" t="n">
        <f aca="false">D146*(1+(((2-3*P146^2)/24*AB146^2)+(P146*AB146*D146/4))*3)</f>
        <v>0.501055546078132</v>
      </c>
      <c r="AO146" s="36" t="n">
        <f aca="false">E146*(1+(((2-3*Q146^2)/24*AC146^2)+(Q146*AC146*E146/4))*3)</f>
        <v>0.477073844438066</v>
      </c>
      <c r="AP146" s="36" t="n">
        <f aca="false">F146*(1+(((2-3*R146^2)/24*AD146^2)+(R146*AD146*F146/4))*3)</f>
        <v>0.477878314846186</v>
      </c>
      <c r="AQ146" s="36" t="n">
        <f aca="false">G146*(1+(((2-3*S146^2)/24*AE146^2)+(S146*AE146*G146/4))*3)</f>
        <v>0.448176005132199</v>
      </c>
      <c r="AR146" s="36" t="n">
        <f aca="false">H146*(1+(((2-3*T146^2)/24*AF146^2)+(T146*AF146*H146/4))*3)</f>
        <v>0.421605315179895</v>
      </c>
      <c r="AS146" s="36" t="n">
        <f aca="false">I146*(1+(((2-3*U146^2)/24*AG146^2)+(U146*AG146*I146/4))*3)</f>
        <v>0.408725959671228</v>
      </c>
      <c r="AT146" s="36" t="n">
        <f aca="false">J146*(1+(((2-3*V146^2)/24*AH146^2)+(V146*AH146*J146/4))*3)</f>
        <v>0.377932198845391</v>
      </c>
      <c r="AU146" s="36" t="n">
        <f aca="false">K146*(1+(((2-3*W146^2)/24*AI146^2)+(W146*AI146*K146/4))*3)</f>
        <v>0.366011224961252</v>
      </c>
      <c r="AV146" s="36" t="n">
        <f aca="false">L146*(1+(((2-3*X146^2)/24*AJ146^2)+(X146*AJ146*L146/4))*3)</f>
        <v>0.355471523645093</v>
      </c>
    </row>
    <row r="147" customFormat="false" ht="15" hidden="false" customHeight="true" outlineLevel="0" collapsed="false">
      <c r="B147" s="34" t="s">
        <v>78</v>
      </c>
      <c r="C147" s="25" t="n">
        <f aca="false">C13+$C$32*C46</f>
        <v>0.4680309</v>
      </c>
      <c r="D147" s="25" t="n">
        <f aca="false">D13+$C$32*D46</f>
        <v>0.4540165</v>
      </c>
      <c r="E147" s="25" t="n">
        <f aca="false">E13+$C$32*E46</f>
        <v>0.4354648</v>
      </c>
      <c r="F147" s="25" t="n">
        <f aca="false">F13+$C$32*F46</f>
        <v>0.424414</v>
      </c>
      <c r="G147" s="25" t="n">
        <f aca="false">G13+$C$32*G46</f>
        <v>0.4105944</v>
      </c>
      <c r="H147" s="25" t="n">
        <f aca="false">H13+$C$32*H46</f>
        <v>0.3809592</v>
      </c>
      <c r="I147" s="25" t="n">
        <f aca="false">I13+$C$32*I46</f>
        <v>0.3717185</v>
      </c>
      <c r="J147" s="25" t="n">
        <f aca="false">J13+$C$32*J46</f>
        <v>0.3545405</v>
      </c>
      <c r="K147" s="25" t="n">
        <f aca="false">K13+$C$32*K46</f>
        <v>0.3343475</v>
      </c>
      <c r="L147" s="25" t="n">
        <f aca="false">L13+$C$32*L46</f>
        <v>0.3040328</v>
      </c>
      <c r="N147" s="34" t="s">
        <v>78</v>
      </c>
      <c r="O147" s="25" t="n">
        <f aca="false">O13+$D$32*O46</f>
        <v>-0.2389</v>
      </c>
      <c r="P147" s="25" t="n">
        <f aca="false">P13+$D$32*P46</f>
        <v>-0.2194</v>
      </c>
      <c r="Q147" s="25" t="n">
        <f aca="false">Q13+$D$32*Q46</f>
        <v>-0.2005</v>
      </c>
      <c r="R147" s="25" t="n">
        <f aca="false">R13+$D$32*R46</f>
        <v>-0.1809</v>
      </c>
      <c r="S147" s="25" t="n">
        <f aca="false">S13+$D$32*S46</f>
        <v>-0.1531</v>
      </c>
      <c r="T147" s="25" t="n">
        <f aca="false">T13+$D$32*T46</f>
        <v>-0.1281</v>
      </c>
      <c r="U147" s="25" t="n">
        <f aca="false">U13+$D$32*U46</f>
        <v>-0.1099</v>
      </c>
      <c r="V147" s="25" t="n">
        <f aca="false">V13+$D$32*V46</f>
        <v>-0.0976</v>
      </c>
      <c r="W147" s="25" t="n">
        <f aca="false">W13+$D$32*W46</f>
        <v>-0.0747</v>
      </c>
      <c r="X147" s="25" t="n">
        <f aca="false">X13+$D$32*X46</f>
        <v>-0.0523</v>
      </c>
      <c r="Z147" s="34" t="s">
        <v>78</v>
      </c>
      <c r="AA147" s="25" t="n">
        <f aca="false">AA13+$E$32*AA46</f>
        <v>0.7084</v>
      </c>
      <c r="AB147" s="25" t="n">
        <f aca="false">AB13+$E$32*AB46</f>
        <v>0.6977</v>
      </c>
      <c r="AC147" s="25" t="n">
        <f aca="false">AC13+$E$32*AC46</f>
        <v>0.6804</v>
      </c>
      <c r="AD147" s="25" t="n">
        <f aca="false">AD13+$E$32*AD46</f>
        <v>0.6556</v>
      </c>
      <c r="AE147" s="25" t="n">
        <f aca="false">AE13+$E$32*AE46</f>
        <v>0.6328</v>
      </c>
      <c r="AF147" s="25" t="n">
        <f aca="false">AF13+$E$32*AF46</f>
        <v>0.6051</v>
      </c>
      <c r="AG147" s="25" t="n">
        <f aca="false">AG13+$E$32*AG46</f>
        <v>0.5769</v>
      </c>
      <c r="AH147" s="25" t="n">
        <f aca="false">AH13+$E$32*AH46</f>
        <v>0.5669</v>
      </c>
      <c r="AI147" s="25" t="n">
        <f aca="false">AI13+$E$32*AI46</f>
        <v>0.5355</v>
      </c>
      <c r="AJ147" s="25" t="n">
        <f aca="false">AJ13+$E$32*AJ46</f>
        <v>0.5227</v>
      </c>
      <c r="AL147" s="34" t="s">
        <v>78</v>
      </c>
      <c r="AM147" s="36" t="n">
        <f aca="false">C147*(1+(((2-3*O147^2)/24*AA147^2)+(O147*AA147*C147/4))*5)</f>
        <v>0.511176492192639</v>
      </c>
      <c r="AN147" s="36" t="n">
        <f aca="false">D147*(1+(((2-3*P147^2)/24*AB147^2)+(P147*AB147*D147/4))*5)</f>
        <v>0.500012332226662</v>
      </c>
      <c r="AO147" s="36" t="n">
        <f aca="false">E147*(1+(((2-3*Q147^2)/24*AC147^2)+(Q147*AC147*E147/4))*5)</f>
        <v>0.482061324126213</v>
      </c>
      <c r="AP147" s="36" t="n">
        <f aca="false">F147*(1+(((2-3*R147^2)/24*AD147^2)+(R147*AD147*F147/4))*5)</f>
        <v>0.469987064558363</v>
      </c>
      <c r="AQ147" s="36" t="n">
        <f aca="false">G147*(1+(((2-3*S147^2)/24*AE147^2)+(S147*AE147*G147/4))*5)</f>
        <v>0.456276367238272</v>
      </c>
      <c r="AR147" s="36" t="n">
        <f aca="false">H147*(1+(((2-3*T147^2)/24*AF147^2)+(T147*AF147*H147/4))*5)</f>
        <v>0.423586203399927</v>
      </c>
      <c r="AS147" s="36" t="n">
        <f aca="false">I147*(1+(((2-3*U147^2)/24*AG147^2)+(U147*AG147*I147/4))*5)</f>
        <v>0.411381127449121</v>
      </c>
      <c r="AT147" s="36" t="n">
        <f aca="false">J147*(1+(((2-3*V147^2)/24*AH147^2)+(V147*AH147*J147/4))*5)</f>
        <v>0.392643855014423</v>
      </c>
      <c r="AU147" s="36" t="n">
        <f aca="false">K147*(1+(((2-3*W147^2)/24*AI147^2)+(W147*AI147*K147/4))*5)</f>
        <v>0.36837243914353</v>
      </c>
      <c r="AV147" s="36" t="n">
        <f aca="false">L147*(1+(((2-3*X147^2)/24*AJ147^2)+(X147*AJ147*L147/4))*5)</f>
        <v>0.335343121311296</v>
      </c>
    </row>
    <row r="148" customFormat="false" ht="15" hidden="false" customHeight="true" outlineLevel="0" collapsed="false">
      <c r="B148" s="34" t="s">
        <v>79</v>
      </c>
      <c r="C148" s="25" t="n">
        <f aca="false">C14+$C$32*C47</f>
        <v>0.4681006</v>
      </c>
      <c r="D148" s="25" t="n">
        <f aca="false">D14+$C$32*D47</f>
        <v>0.4376651</v>
      </c>
      <c r="E148" s="25" t="n">
        <f aca="false">E14+$C$32*E47</f>
        <v>0.4195134</v>
      </c>
      <c r="F148" s="25" t="n">
        <f aca="false">F14+$C$32*F47</f>
        <v>0.4106837</v>
      </c>
      <c r="G148" s="25" t="n">
        <f aca="false">G14+$C$32*G47</f>
        <v>0.3873482</v>
      </c>
      <c r="H148" s="25" t="n">
        <f aca="false">H14+$C$32*H47</f>
        <v>0.3576546</v>
      </c>
      <c r="I148" s="25" t="n">
        <f aca="false">I14+$C$32*I47</f>
        <v>0.3367093</v>
      </c>
      <c r="J148" s="25" t="n">
        <f aca="false">J14+$C$32*J47</f>
        <v>0.3180897</v>
      </c>
      <c r="K148" s="25" t="n">
        <f aca="false">K14+$C$32*K47</f>
        <v>0.3153325</v>
      </c>
      <c r="L148" s="25" t="n">
        <f aca="false">L14+$C$32*L47</f>
        <v>0.2942077</v>
      </c>
      <c r="N148" s="34" t="s">
        <v>79</v>
      </c>
      <c r="O148" s="25" t="n">
        <f aca="false">O14+$D$32*O47</f>
        <v>-0.221</v>
      </c>
      <c r="P148" s="25" t="n">
        <f aca="false">P14+$D$32*P47</f>
        <v>-0.1879</v>
      </c>
      <c r="Q148" s="25" t="n">
        <f aca="false">Q14+$D$32*Q47</f>
        <v>-0.1654</v>
      </c>
      <c r="R148" s="25" t="n">
        <f aca="false">R14+$D$32*R47</f>
        <v>-0.1524</v>
      </c>
      <c r="S148" s="25" t="n">
        <f aca="false">S14+$D$32*S47</f>
        <v>-0.1391</v>
      </c>
      <c r="T148" s="25" t="n">
        <f aca="false">T14+$D$32*T47</f>
        <v>-0.1157</v>
      </c>
      <c r="U148" s="25" t="n">
        <f aca="false">U14+$D$32*U47</f>
        <v>-0.1046</v>
      </c>
      <c r="V148" s="25" t="n">
        <f aca="false">V14+$D$32*V47</f>
        <v>-0.0875</v>
      </c>
      <c r="W148" s="25" t="n">
        <f aca="false">W14+$D$32*W47</f>
        <v>-0.0489</v>
      </c>
      <c r="X148" s="25" t="n">
        <f aca="false">X14+$D$32*X47</f>
        <v>-0.0359</v>
      </c>
      <c r="Z148" s="34" t="s">
        <v>79</v>
      </c>
      <c r="AA148" s="25" t="n">
        <f aca="false">AA14+$E$32*AA47</f>
        <v>0.695</v>
      </c>
      <c r="AB148" s="25" t="n">
        <f aca="false">AB14+$E$32*AB47</f>
        <v>0.6809</v>
      </c>
      <c r="AC148" s="25" t="n">
        <f aca="false">AC14+$E$32*AC47</f>
        <v>0.6487</v>
      </c>
      <c r="AD148" s="25" t="n">
        <f aca="false">AD14+$E$32*AD47</f>
        <v>0.6352</v>
      </c>
      <c r="AE148" s="25" t="n">
        <f aca="false">AE14+$E$32*AE47</f>
        <v>0.6121</v>
      </c>
      <c r="AF148" s="25" t="n">
        <f aca="false">AF14+$E$32*AF47</f>
        <v>0.5776</v>
      </c>
      <c r="AG148" s="25" t="n">
        <f aca="false">AG14+$E$32*AG47</f>
        <v>0.5561</v>
      </c>
      <c r="AH148" s="25" t="n">
        <f aca="false">AH14+$E$32*AH47</f>
        <v>0.5347</v>
      </c>
      <c r="AI148" s="25" t="n">
        <f aca="false">AI14+$E$32*AI47</f>
        <v>0.5115</v>
      </c>
      <c r="AJ148" s="25" t="n">
        <f aca="false">AJ14+$E$32*AJ47</f>
        <v>0.4962</v>
      </c>
      <c r="AL148" s="34" t="s">
        <v>79</v>
      </c>
      <c r="AM148" s="36" t="n">
        <f aca="false">C148*(1+(((2-3*O148^2)/24*AA148^2)+(O148*AA148*C148/4))*10)</f>
        <v>0.558578254956166</v>
      </c>
      <c r="AN148" s="36" t="n">
        <f aca="false">D148*(1+(((2-3*P148^2)/24*AB148^2)+(P148*AB148*D148/4))*10)</f>
        <v>0.536535594593688</v>
      </c>
      <c r="AO148" s="36" t="n">
        <f aca="false">E148*(1+(((2-3*Q148^2)/24*AC148^2)+(Q148*AC148*E148/4))*10)</f>
        <v>0.513382433733287</v>
      </c>
      <c r="AP148" s="36" t="n">
        <f aca="false">F148*(1+(((2-3*R148^2)/24*AD148^2)+(R148*AD148*F148/4))*10)</f>
        <v>0.50314034399701</v>
      </c>
      <c r="AQ148" s="36" t="n">
        <f aca="false">G148*(1+(((2-3*S148^2)/24*AE148^2)+(S148*AE148*G148/4))*10)</f>
        <v>0.472839916453681</v>
      </c>
      <c r="AR148" s="36" t="n">
        <f aca="false">H148*(1+(((2-3*T148^2)/24*AF148^2)+(T148*AF148*H148/4))*10)</f>
        <v>0.433721282312823</v>
      </c>
      <c r="AS148" s="36" t="n">
        <f aca="false">I148*(1+(((2-3*U148^2)/24*AG148^2)+(U148*AG148*I148/4))*10)</f>
        <v>0.405570489137151</v>
      </c>
      <c r="AT148" s="36" t="n">
        <f aca="false">J148*(1+(((2-3*V148^2)/24*AH148^2)+(V148*AH148*J148/4))*10)</f>
        <v>0.381170595252749</v>
      </c>
      <c r="AU148" s="36" t="n">
        <f aca="false">K148*(1+(((2-3*W148^2)/24*AI148^2)+(W148*AI148*K148/4))*10)</f>
        <v>0.377619130947825</v>
      </c>
      <c r="AV148" s="36" t="n">
        <f aca="false">L148*(1+(((2-3*X148^2)/24*AJ148^2)+(X148*AJ148*L148/4))*10)</f>
        <v>0.350601377348134</v>
      </c>
    </row>
    <row r="149" customFormat="false" ht="15" hidden="false" customHeight="true" outlineLevel="0" collapsed="false">
      <c r="B149" s="34" t="s">
        <v>80</v>
      </c>
      <c r="C149" s="25" t="n">
        <f aca="false">C15+$C$32*C48</f>
        <v>0.4346495</v>
      </c>
      <c r="D149" s="25" t="n">
        <f aca="false">D15+$C$32*D48</f>
        <v>0.4186773</v>
      </c>
      <c r="E149" s="25" t="n">
        <f aca="false">E15+$C$32*E48</f>
        <v>0.3947782</v>
      </c>
      <c r="F149" s="25" t="n">
        <f aca="false">F15+$C$32*F48</f>
        <v>0.3916268</v>
      </c>
      <c r="G149" s="25" t="n">
        <f aca="false">G15+$C$32*G48</f>
        <v>0.3603026</v>
      </c>
      <c r="H149" s="25" t="n">
        <f aca="false">H15+$C$32*H48</f>
        <v>0.3445191</v>
      </c>
      <c r="I149" s="25" t="n">
        <f aca="false">I15+$C$32*I48</f>
        <v>0.3278469</v>
      </c>
      <c r="J149" s="25" t="n">
        <f aca="false">J15+$C$32*J48</f>
        <v>0.3148328</v>
      </c>
      <c r="K149" s="25" t="n">
        <f aca="false">K15+$C$32*K48</f>
        <v>0.2857765</v>
      </c>
      <c r="L149" s="25" t="n">
        <f aca="false">L15+$C$32*L48</f>
        <v>0.278945</v>
      </c>
      <c r="N149" s="34" t="s">
        <v>80</v>
      </c>
      <c r="O149" s="25" t="n">
        <f aca="false">O15+$D$32*O48</f>
        <v>-0.1944</v>
      </c>
      <c r="P149" s="25" t="n">
        <f aca="false">P15+$D$32*P48</f>
        <v>-0.1744</v>
      </c>
      <c r="Q149" s="25" t="n">
        <f aca="false">Q15+$D$32*Q48</f>
        <v>-0.1551</v>
      </c>
      <c r="R149" s="25" t="n">
        <f aca="false">R15+$D$32*R48</f>
        <v>-0.1457</v>
      </c>
      <c r="S149" s="25" t="n">
        <f aca="false">S15+$D$32*S48</f>
        <v>-0.1179</v>
      </c>
      <c r="T149" s="25" t="n">
        <f aca="false">T15+$D$32*T48</f>
        <v>-0.1036</v>
      </c>
      <c r="U149" s="25" t="n">
        <f aca="false">U15+$D$32*U48</f>
        <v>-0.0877</v>
      </c>
      <c r="V149" s="25" t="n">
        <f aca="false">V15+$D$32*V48</f>
        <v>-0.0523</v>
      </c>
      <c r="W149" s="25" t="n">
        <f aca="false">W15+$D$32*W48</f>
        <v>-0.0454</v>
      </c>
      <c r="X149" s="25" t="n">
        <f aca="false">X15+$D$32*X48</f>
        <v>-0.02</v>
      </c>
      <c r="Z149" s="34" t="s">
        <v>80</v>
      </c>
      <c r="AA149" s="25" t="n">
        <f aca="false">AA15+$E$32*AA48</f>
        <v>0.6767</v>
      </c>
      <c r="AB149" s="25" t="n">
        <f aca="false">AB15+$E$32*AB48</f>
        <v>0.6511</v>
      </c>
      <c r="AC149" s="25" t="n">
        <f aca="false">AC15+$E$32*AC48</f>
        <v>0.6243</v>
      </c>
      <c r="AD149" s="25" t="n">
        <f aca="false">AD15+$E$32*AD48</f>
        <v>0.6059</v>
      </c>
      <c r="AE149" s="25" t="n">
        <f aca="false">AE15+$E$32*AE48</f>
        <v>0.5844</v>
      </c>
      <c r="AF149" s="25" t="n">
        <f aca="false">AF15+$E$32*AF48</f>
        <v>0.5668</v>
      </c>
      <c r="AG149" s="25" t="n">
        <f aca="false">AG15+$E$32*AG48</f>
        <v>0.531</v>
      </c>
      <c r="AH149" s="25" t="n">
        <f aca="false">AH15+$E$32*AH48</f>
        <v>0.5179</v>
      </c>
      <c r="AI149" s="25" t="n">
        <f aca="false">AI15+$E$32*AI48</f>
        <v>0.4894</v>
      </c>
      <c r="AJ149" s="25" t="n">
        <f aca="false">AJ15+$E$32*AJ48</f>
        <v>0.4678</v>
      </c>
      <c r="AL149" s="34" t="s">
        <v>80</v>
      </c>
      <c r="AM149" s="36" t="n">
        <f aca="false">C149*(1+(((2-3*O149^2)/24*AA149^2)+(O149*AA149*C149/4))*20)</f>
        <v>0.623308786407206</v>
      </c>
      <c r="AN149" s="36" t="n">
        <f aca="false">D149*(1+(((2-3*P149^2)/24*AB149^2)+(P149*AB149*D149/4))*20)</f>
        <v>0.601475609447719</v>
      </c>
      <c r="AO149" s="36" t="n">
        <f aca="false">E149*(1+(((2-3*Q149^2)/24*AC149^2)+(Q149*AC149*E149/4))*20)</f>
        <v>0.566512556685861</v>
      </c>
      <c r="AP149" s="36" t="n">
        <f aca="false">F149*(1+(((2-3*R149^2)/24*AD149^2)+(R149*AD149*F149/4))*20)</f>
        <v>0.555918722408746</v>
      </c>
      <c r="AQ149" s="36" t="n">
        <f aca="false">G149*(1+(((2-3*S149^2)/24*AE149^2)+(S149*AE149*G149/4))*20)</f>
        <v>0.516389901258238</v>
      </c>
      <c r="AR149" s="36" t="n">
        <f aca="false">H149*(1+(((2-3*T149^2)/24*AF149^2)+(T149*AF149*H149/4))*20)</f>
        <v>0.491168889928287</v>
      </c>
      <c r="AS149" s="36" t="n">
        <f aca="false">I149*(1+(((2-3*U149^2)/24*AG149^2)+(U149*AG149*I149/4))*20)</f>
        <v>0.455109319816957</v>
      </c>
      <c r="AT149" s="36" t="n">
        <f aca="false">J149*(1+(((2-3*V149^2)/24*AH149^2)+(V149*AH149*J149/4))*20)</f>
        <v>0.441572455972579</v>
      </c>
      <c r="AU149" s="36" t="n">
        <f aca="false">K149*(1+(((2-3*W149^2)/24*AI149^2)+(W149*AI149*K149/4))*20)</f>
        <v>0.39042930778532</v>
      </c>
      <c r="AV149" s="36" t="n">
        <f aca="false">L149*(1+(((2-3*X149^2)/24*AJ149^2)+(X149*AJ149*L149/4))*20)</f>
        <v>0.37698306067069</v>
      </c>
    </row>
    <row r="150" customFormat="false" ht="15" hidden="false" customHeight="true" outlineLevel="0" collapsed="false">
      <c r="B150" s="34" t="s">
        <v>81</v>
      </c>
      <c r="C150" s="25" t="n">
        <f aca="false">C16+$C$32*C49</f>
        <v>0.4254406</v>
      </c>
      <c r="D150" s="25" t="n">
        <f aca="false">D16+$C$32*D49</f>
        <v>0.4026464</v>
      </c>
      <c r="E150" s="25" t="n">
        <f aca="false">E16+$C$32*E49</f>
        <v>0.3835222</v>
      </c>
      <c r="F150" s="25" t="n">
        <f aca="false">F16+$C$32*F49</f>
        <v>0.3691916</v>
      </c>
      <c r="G150" s="25" t="n">
        <f aca="false">G16+$C$32*G49</f>
        <v>0.3525145</v>
      </c>
      <c r="H150" s="25" t="n">
        <f aca="false">H16+$C$32*H49</f>
        <v>0.3249417</v>
      </c>
      <c r="I150" s="25" t="n">
        <f aca="false">I16+$C$32*I49</f>
        <v>0.3090328</v>
      </c>
      <c r="J150" s="25" t="n">
        <f aca="false">J16+$C$32*J49</f>
        <v>0.287345</v>
      </c>
      <c r="K150" s="25" t="n">
        <f aca="false">K16+$C$32*K49</f>
        <v>0.270845</v>
      </c>
      <c r="L150" s="25" t="n">
        <f aca="false">L16+$C$32*L49</f>
        <v>0.257845</v>
      </c>
      <c r="N150" s="34" t="s">
        <v>81</v>
      </c>
      <c r="O150" s="25" t="n">
        <f aca="false">O16+$D$32*O49</f>
        <v>-0.176</v>
      </c>
      <c r="P150" s="25" t="n">
        <f aca="false">P16+$D$32*P49</f>
        <v>-0.1549</v>
      </c>
      <c r="Q150" s="25" t="n">
        <f aca="false">Q16+$D$32*Q49</f>
        <v>-0.1366</v>
      </c>
      <c r="R150" s="25" t="n">
        <f aca="false">R16+$D$32*R49</f>
        <v>-0.1078</v>
      </c>
      <c r="S150" s="25" t="n">
        <f aca="false">S16+$D$32*S49</f>
        <v>-0.0932</v>
      </c>
      <c r="T150" s="25" t="n">
        <f aca="false">T16+$D$32*T49</f>
        <v>-0.0702</v>
      </c>
      <c r="U150" s="25" t="n">
        <f aca="false">U16+$D$32*U49</f>
        <v>-0.0495</v>
      </c>
      <c r="V150" s="25" t="n">
        <f aca="false">V16+$D$32*V49</f>
        <v>-0.0437</v>
      </c>
      <c r="W150" s="25" t="n">
        <f aca="false">W16+$D$32*W49</f>
        <v>-0.0183</v>
      </c>
      <c r="X150" s="25" t="n">
        <f aca="false">X16+$D$32*X49</f>
        <v>0.0089</v>
      </c>
      <c r="Z150" s="34" t="s">
        <v>81</v>
      </c>
      <c r="AA150" s="25" t="n">
        <f aca="false">AA16+$E$32*AA49</f>
        <v>0.6568</v>
      </c>
      <c r="AB150" s="25" t="n">
        <f aca="false">AB16+$E$32*AB49</f>
        <v>0.6205</v>
      </c>
      <c r="AC150" s="25" t="n">
        <f aca="false">AC16+$E$32*AC49</f>
        <v>0.598</v>
      </c>
      <c r="AD150" s="25" t="n">
        <f aca="false">AD16+$E$32*AD49</f>
        <v>0.5822</v>
      </c>
      <c r="AE150" s="25" t="n">
        <f aca="false">AE16+$E$32*AE49</f>
        <v>0.5526</v>
      </c>
      <c r="AF150" s="25" t="n">
        <f aca="false">AF16+$E$32*AF49</f>
        <v>0.5337</v>
      </c>
      <c r="AG150" s="25" t="n">
        <f aca="false">AG16+$E$32*AG49</f>
        <v>0.5081</v>
      </c>
      <c r="AH150" s="25" t="n">
        <f aca="false">AH16+$E$32*AH49</f>
        <v>0.4978</v>
      </c>
      <c r="AI150" s="25" t="n">
        <f aca="false">AI16+$E$32*AI49</f>
        <v>0.4779</v>
      </c>
      <c r="AJ150" s="25" t="n">
        <f aca="false">AJ16+$E$32*AJ49</f>
        <v>0.4579</v>
      </c>
      <c r="AL150" s="34" t="s">
        <v>81</v>
      </c>
      <c r="AM150" s="36" t="n">
        <f aca="false">C150*(1+(((2-3*O150^2)/24*AA150^2)+(O150*AA150*C150/4))*30)</f>
        <v>0.706022498171475</v>
      </c>
      <c r="AN150" s="36" t="n">
        <f aca="false">D150*(1+(((2-3*P150^2)/24*AB150^2)+(P150*AB150*D150/4))*30)</f>
        <v>0.65939524658821</v>
      </c>
      <c r="AO150" s="36" t="n">
        <f aca="false">E150*(1+(((2-3*Q150^2)/24*AC150^2)+(Q150*AC150*E150/4))*30)</f>
        <v>0.626683708757848</v>
      </c>
      <c r="AP150" s="36" t="n">
        <f aca="false">F150*(1+(((2-3*R150^2)/24*AD150^2)+(R150*AD150*F150/4))*30)</f>
        <v>0.612429531579581</v>
      </c>
      <c r="AQ150" s="36" t="n">
        <f aca="false">G150*(1+(((2-3*S150^2)/24*AE150^2)+(S150*AE150*G150/4))*30)</f>
        <v>0.570123536393889</v>
      </c>
      <c r="AR150" s="36" t="n">
        <f aca="false">H150*(1+(((2-3*T150^2)/24*AF150^2)+(T150*AF150*H150/4))*30)</f>
        <v>0.524949509533524</v>
      </c>
      <c r="AS150" s="36" t="n">
        <f aca="false">I150*(1+(((2-3*U150^2)/24*AG150^2)+(U150*AG150*I150/4))*30)</f>
        <v>0.489739226901396</v>
      </c>
      <c r="AT150" s="36" t="n">
        <f aca="false">J150*(1+(((2-3*V150^2)/24*AH150^2)+(V150*AH150*J150/4))*30)</f>
        <v>0.451377621384172</v>
      </c>
      <c r="AU150" s="36" t="n">
        <f aca="false">K150*(1+(((2-3*W150^2)/24*AI150^2)+(W150*AI150*K150/4))*30)</f>
        <v>0.420600347088641</v>
      </c>
      <c r="AV150" s="36" t="n">
        <f aca="false">L150*(1+(((2-3*X150^2)/24*AJ150^2)+(X150*AJ150*L150/4))*30)</f>
        <v>0.39501847082886</v>
      </c>
    </row>
    <row r="152" customFormat="false" ht="15" hidden="false" customHeight="true" outlineLevel="0" collapsed="false">
      <c r="A152" s="29" t="s">
        <v>155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</row>
    <row r="153" customFormat="false" ht="15" hidden="false" customHeight="true" outlineLevel="0" collapsed="false">
      <c r="B153" s="29" t="s">
        <v>131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N153" s="29" t="s">
        <v>132</v>
      </c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Z153" s="29" t="s">
        <v>133</v>
      </c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L153" s="33" t="s">
        <v>134</v>
      </c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</row>
    <row r="154" customFormat="false" ht="15" hidden="false" customHeight="true" outlineLevel="0" collapsed="false">
      <c r="B154" s="18" t="s">
        <v>135</v>
      </c>
      <c r="C154" s="12" t="s">
        <v>136</v>
      </c>
      <c r="D154" s="12" t="s">
        <v>74</v>
      </c>
      <c r="E154" s="12" t="s">
        <v>75</v>
      </c>
      <c r="F154" s="12" t="s">
        <v>30</v>
      </c>
      <c r="G154" s="12" t="s">
        <v>76</v>
      </c>
      <c r="H154" s="12" t="s">
        <v>77</v>
      </c>
      <c r="I154" s="12" t="s">
        <v>78</v>
      </c>
      <c r="J154" s="12" t="s">
        <v>79</v>
      </c>
      <c r="K154" s="12" t="s">
        <v>80</v>
      </c>
      <c r="L154" s="12" t="s">
        <v>81</v>
      </c>
      <c r="N154" s="18" t="s">
        <v>135</v>
      </c>
      <c r="O154" s="12" t="s">
        <v>136</v>
      </c>
      <c r="P154" s="12" t="s">
        <v>74</v>
      </c>
      <c r="Q154" s="12" t="s">
        <v>75</v>
      </c>
      <c r="R154" s="12" t="s">
        <v>30</v>
      </c>
      <c r="S154" s="12" t="s">
        <v>76</v>
      </c>
      <c r="T154" s="12" t="s">
        <v>77</v>
      </c>
      <c r="U154" s="12" t="s">
        <v>78</v>
      </c>
      <c r="V154" s="12" t="s">
        <v>79</v>
      </c>
      <c r="W154" s="12" t="s">
        <v>80</v>
      </c>
      <c r="X154" s="12" t="s">
        <v>81</v>
      </c>
      <c r="Z154" s="18" t="s">
        <v>135</v>
      </c>
      <c r="AA154" s="12" t="s">
        <v>136</v>
      </c>
      <c r="AB154" s="12" t="s">
        <v>74</v>
      </c>
      <c r="AC154" s="12" t="s">
        <v>75</v>
      </c>
      <c r="AD154" s="12" t="s">
        <v>30</v>
      </c>
      <c r="AE154" s="12" t="s">
        <v>76</v>
      </c>
      <c r="AF154" s="12" t="s">
        <v>77</v>
      </c>
      <c r="AG154" s="12" t="s">
        <v>78</v>
      </c>
      <c r="AH154" s="12" t="s">
        <v>79</v>
      </c>
      <c r="AI154" s="12" t="s">
        <v>80</v>
      </c>
      <c r="AJ154" s="12" t="s">
        <v>81</v>
      </c>
      <c r="AL154" s="18" t="s">
        <v>135</v>
      </c>
      <c r="AM154" s="12" t="s">
        <v>136</v>
      </c>
      <c r="AN154" s="12" t="s">
        <v>74</v>
      </c>
      <c r="AO154" s="12" t="s">
        <v>75</v>
      </c>
      <c r="AP154" s="12" t="s">
        <v>30</v>
      </c>
      <c r="AQ154" s="12" t="s">
        <v>76</v>
      </c>
      <c r="AR154" s="12" t="s">
        <v>77</v>
      </c>
      <c r="AS154" s="12" t="s">
        <v>78</v>
      </c>
      <c r="AT154" s="12" t="s">
        <v>79</v>
      </c>
      <c r="AU154" s="12" t="s">
        <v>80</v>
      </c>
      <c r="AV154" s="12" t="s">
        <v>81</v>
      </c>
    </row>
    <row r="155" customFormat="false" ht="15" hidden="false" customHeight="true" outlineLevel="0" collapsed="false">
      <c r="B155" s="34" t="s">
        <v>136</v>
      </c>
      <c r="C155" s="25" t="n">
        <f aca="false">C7+$C$33*C40</f>
        <v>0.5823624</v>
      </c>
      <c r="D155" s="25" t="n">
        <f aca="false">D7+$C$33*D40</f>
        <v>0.5604032</v>
      </c>
      <c r="E155" s="25" t="n">
        <f aca="false">E7+$C$33*E40</f>
        <v>0.551508</v>
      </c>
      <c r="F155" s="25" t="n">
        <f aca="false">F7+$C$33*F40</f>
        <v>0.521416</v>
      </c>
      <c r="G155" s="25" t="n">
        <f aca="false">G7+$C$33*G40</f>
        <v>0.5118088</v>
      </c>
      <c r="H155" s="25" t="n">
        <f aca="false">H7+$C$33*H40</f>
        <v>0.4894688</v>
      </c>
      <c r="I155" s="25" t="n">
        <f aca="false">I7+$C$33*I40</f>
        <v>0.465616</v>
      </c>
      <c r="J155" s="25" t="n">
        <f aca="false">J7+$C$33*J40</f>
        <v>0.4559</v>
      </c>
      <c r="K155" s="25" t="n">
        <f aca="false">K7+$C$33*K40</f>
        <v>0.42756</v>
      </c>
      <c r="L155" s="25" t="n">
        <f aca="false">L7+$C$33*L40</f>
        <v>0.4166648</v>
      </c>
      <c r="N155" s="34" t="s">
        <v>136</v>
      </c>
      <c r="O155" s="25" t="n">
        <f aca="false">O7+$D$33*O40</f>
        <v>-0.3586</v>
      </c>
      <c r="P155" s="25" t="n">
        <f aca="false">P7+$D$33*P40</f>
        <v>-0.3387</v>
      </c>
      <c r="Q155" s="25" t="n">
        <f aca="false">Q7+$D$33*Q40</f>
        <v>-0.3126</v>
      </c>
      <c r="R155" s="25" t="n">
        <f aca="false">R7+$D$33*R40</f>
        <v>-0.2851</v>
      </c>
      <c r="S155" s="25" t="n">
        <f aca="false">S7+$D$33*S40</f>
        <v>-0.2797</v>
      </c>
      <c r="T155" s="25" t="n">
        <f aca="false">T7+$D$33*T40</f>
        <v>-0.2583</v>
      </c>
      <c r="U155" s="25" t="n">
        <f aca="false">U7+$D$33*U40</f>
        <v>-0.2308</v>
      </c>
      <c r="V155" s="25" t="n">
        <f aca="false">V7+$D$33*V40</f>
        <v>-0.2049</v>
      </c>
      <c r="W155" s="25" t="n">
        <f aca="false">W7+$D$33*W40</f>
        <v>-0.1929</v>
      </c>
      <c r="X155" s="25" t="n">
        <f aca="false">X7+$D$33*X40</f>
        <v>-0.1771</v>
      </c>
      <c r="Z155" s="34" t="s">
        <v>136</v>
      </c>
      <c r="AA155" s="25" t="n">
        <f aca="false">AA7+$E$33*AA40</f>
        <v>0.8595</v>
      </c>
      <c r="AB155" s="25" t="n">
        <f aca="false">AB7+$E$33*AB40</f>
        <v>0.8187</v>
      </c>
      <c r="AC155" s="25" t="n">
        <f aca="false">AC7+$E$33*AC40</f>
        <v>0.8127</v>
      </c>
      <c r="AD155" s="25" t="n">
        <f aca="false">AD7+$E$33*AD40</f>
        <v>0.7791</v>
      </c>
      <c r="AE155" s="25" t="n">
        <f aca="false">AE7+$E$33*AE40</f>
        <v>0.754</v>
      </c>
      <c r="AF155" s="25" t="n">
        <f aca="false">AF7+$E$33*AF40</f>
        <v>0.7312</v>
      </c>
      <c r="AG155" s="25" t="n">
        <f aca="false">AG7+$E$33*AG40</f>
        <v>0.7128</v>
      </c>
      <c r="AH155" s="25" t="n">
        <f aca="false">AH7+$E$33*AH40</f>
        <v>0.7008</v>
      </c>
      <c r="AI155" s="25" t="n">
        <f aca="false">AI7+$E$33*AI40</f>
        <v>0.6658</v>
      </c>
      <c r="AJ155" s="25" t="n">
        <f aca="false">AJ7+$E$33*AJ40</f>
        <v>0.6516</v>
      </c>
      <c r="AL155" s="34" t="s">
        <v>136</v>
      </c>
      <c r="AM155" s="36" t="n">
        <f aca="false">C155*(1+(((2-3*O155^2)/24*AA155^2)+(O155*AA155*C155/4))*0.0833333333333333)</f>
        <v>0.582596002129137</v>
      </c>
      <c r="AN155" s="36" t="n">
        <f aca="false">D155*(1+(((2-3*P155^2)/24*AB155^2)+(P155*AB155*D155/4))*0.0833333333333333)</f>
        <v>0.560748560888752</v>
      </c>
      <c r="AO155" s="36" t="n">
        <f aca="false">E155*(1+(((2-3*Q155^2)/24*AC155^2)+(Q155*AC155*E155/4))*0.0833333333333333)</f>
        <v>0.552056969974418</v>
      </c>
      <c r="AP155" s="36" t="n">
        <f aca="false">F155*(1+(((2-3*R155^2)/24*AD155^2)+(R155*AD155*F155/4))*0.0833333333333333)</f>
        <v>0.522087819015425</v>
      </c>
      <c r="AQ155" s="36" t="n">
        <f aca="false">G155*(1+(((2-3*S155^2)/24*AE155^2)+(S155*AE155*G155/4))*0.0833333333333333)</f>
        <v>0.512441416289779</v>
      </c>
      <c r="AR155" s="36" t="n">
        <f aca="false">H155*(1+(((2-3*T155^2)/24*AF155^2)+(T155*AF155*H155/4))*0.0833333333333333)</f>
        <v>0.490161567709216</v>
      </c>
      <c r="AS155" s="36" t="n">
        <f aca="false">I155*(1+(((2-3*U155^2)/24*AG155^2)+(U155*AG155*I155/4))*0.0833333333333333)</f>
        <v>0.466384541404904</v>
      </c>
      <c r="AT155" s="36" t="n">
        <f aca="false">J155*(1+(((2-3*V155^2)/24*AH155^2)+(V155*AH155*J155/4))*0.0833333333333333)</f>
        <v>0.456735178453601</v>
      </c>
      <c r="AU155" s="36" t="n">
        <f aca="false">K155*(1+(((2-3*W155^2)/24*AI155^2)+(W155*AI155*K155/4))*0.0833333333333333)</f>
        <v>0.428313601063836</v>
      </c>
      <c r="AV155" s="36" t="n">
        <f aca="false">L155*(1+(((2-3*X155^2)/24*AJ155^2)+(X155*AJ155*L155/4))*0.0833333333333333)</f>
        <v>0.417418153349484</v>
      </c>
    </row>
    <row r="156" customFormat="false" ht="15" hidden="false" customHeight="true" outlineLevel="0" collapsed="false">
      <c r="B156" s="34" t="s">
        <v>74</v>
      </c>
      <c r="C156" s="25" t="n">
        <f aca="false">C8+$C$33*C41</f>
        <v>0.5696776</v>
      </c>
      <c r="D156" s="25" t="n">
        <f aca="false">D8+$C$33*D41</f>
        <v>0.5455496</v>
      </c>
      <c r="E156" s="25" t="n">
        <f aca="false">E8+$C$33*E41</f>
        <v>0.5305008</v>
      </c>
      <c r="F156" s="25" t="n">
        <f aca="false">F8+$C$33*F41</f>
        <v>0.5017936</v>
      </c>
      <c r="G156" s="25" t="n">
        <f aca="false">G8+$C$33*G41</f>
        <v>0.4840184</v>
      </c>
      <c r="H156" s="25" t="n">
        <f aca="false">H8+$C$33*H41</f>
        <v>0.4677096</v>
      </c>
      <c r="I156" s="25" t="n">
        <f aca="false">I8+$C$33*I41</f>
        <v>0.4590984</v>
      </c>
      <c r="J156" s="25" t="n">
        <f aca="false">J8+$C$33*J41</f>
        <v>0.4347552</v>
      </c>
      <c r="K156" s="25" t="n">
        <f aca="false">K8+$C$33*K41</f>
        <v>0.4146008</v>
      </c>
      <c r="L156" s="25" t="n">
        <f aca="false">L8+$C$33*L41</f>
        <v>0.4011504</v>
      </c>
      <c r="N156" s="34" t="s">
        <v>74</v>
      </c>
      <c r="O156" s="25" t="n">
        <f aca="false">O8+$D$33*O41</f>
        <v>-0.3315</v>
      </c>
      <c r="P156" s="25" t="n">
        <f aca="false">P8+$D$33*P41</f>
        <v>-0.3151</v>
      </c>
      <c r="Q156" s="25" t="n">
        <f aca="false">Q8+$D$33*Q41</f>
        <v>-0.2858</v>
      </c>
      <c r="R156" s="25" t="n">
        <f aca="false">R8+$D$33*R41</f>
        <v>-0.2682</v>
      </c>
      <c r="S156" s="25" t="n">
        <f aca="false">S8+$D$33*S41</f>
        <v>-0.2579</v>
      </c>
      <c r="T156" s="25" t="n">
        <f aca="false">T8+$D$33*T41</f>
        <v>-0.2318</v>
      </c>
      <c r="U156" s="25" t="n">
        <f aca="false">U8+$D$33*U41</f>
        <v>-0.2134</v>
      </c>
      <c r="V156" s="25" t="n">
        <f aca="false">V8+$D$33*V41</f>
        <v>-0.1869</v>
      </c>
      <c r="W156" s="25" t="n">
        <f aca="false">W8+$D$33*W41</f>
        <v>-0.1704</v>
      </c>
      <c r="X156" s="25" t="n">
        <f aca="false">X8+$D$33*X41</f>
        <v>-0.1598</v>
      </c>
      <c r="Z156" s="34" t="s">
        <v>74</v>
      </c>
      <c r="AA156" s="25" t="n">
        <f aca="false">AA8+$E$33*AA41</f>
        <v>0.8374</v>
      </c>
      <c r="AB156" s="25" t="n">
        <f aca="false">AB8+$E$33*AB41</f>
        <v>0.7979</v>
      </c>
      <c r="AC156" s="25" t="n">
        <f aca="false">AC8+$E$33*AC41</f>
        <v>0.7817</v>
      </c>
      <c r="AD156" s="25" t="n">
        <f aca="false">AD8+$E$33*AD41</f>
        <v>0.7663</v>
      </c>
      <c r="AE156" s="25" t="n">
        <f aca="false">AE8+$E$33*AE41</f>
        <v>0.7319</v>
      </c>
      <c r="AF156" s="25" t="n">
        <f aca="false">AF8+$E$33*AF41</f>
        <v>0.7164</v>
      </c>
      <c r="AG156" s="25" t="n">
        <f aca="false">AG8+$E$33*AG41</f>
        <v>0.6852</v>
      </c>
      <c r="AH156" s="25" t="n">
        <f aca="false">AH8+$E$33*AH41</f>
        <v>0.6756</v>
      </c>
      <c r="AI156" s="25" t="n">
        <f aca="false">AI8+$E$33*AI41</f>
        <v>0.6553</v>
      </c>
      <c r="AJ156" s="25" t="n">
        <f aca="false">AJ8+$E$33*AJ41</f>
        <v>0.6292</v>
      </c>
      <c r="AL156" s="34" t="s">
        <v>74</v>
      </c>
      <c r="AM156" s="36" t="n">
        <f aca="false">C156*(1+(((2-3*O156^2)/24*AA156^2)+(O156*AA156*C156/4))*0.25)</f>
        <v>0.570997631349038</v>
      </c>
      <c r="AN156" s="36" t="n">
        <f aca="false">D156*(1+(((2-3*P156^2)/24*AB156^2)+(P156*AB156*D156/4))*0.25)</f>
        <v>0.547031042581916</v>
      </c>
      <c r="AO156" s="36" t="n">
        <f aca="false">E156*(1+(((2-3*Q156^2)/24*AC156^2)+(Q156*AC156*E156/4))*0.25)</f>
        <v>0.532497136549247</v>
      </c>
      <c r="AP156" s="36" t="n">
        <f aca="false">F156*(1+(((2-3*R156^2)/24*AD156^2)+(R156*AD156*F156/4))*0.25)</f>
        <v>0.504035661892916</v>
      </c>
      <c r="AQ156" s="36" t="n">
        <f aca="false">G156*(1+(((2-3*S156^2)/24*AE156^2)+(S156*AE156*G156/4))*0.25)</f>
        <v>0.486117307461949</v>
      </c>
      <c r="AR156" s="36" t="n">
        <f aca="false">H156*(1+(((2-3*T156^2)/24*AF156^2)+(T156*AF156*H156/4))*0.25)</f>
        <v>0.470037026412145</v>
      </c>
      <c r="AS156" s="36" t="n">
        <f aca="false">I156*(1+(((2-3*U156^2)/24*AG156^2)+(U156*AG156*I156/4))*0.25)</f>
        <v>0.461355992015802</v>
      </c>
      <c r="AT156" s="36" t="n">
        <f aca="false">J156*(1+(((2-3*V156^2)/24*AH156^2)+(V156*AH156*J156/4))*0.25)</f>
        <v>0.437181045065494</v>
      </c>
      <c r="AU156" s="36" t="n">
        <f aca="false">K156*(1+(((2-3*W156^2)/24*AI156^2)+(W156*AI156*K156/4))*0.25)</f>
        <v>0.416948721081309</v>
      </c>
      <c r="AV156" s="36" t="n">
        <f aca="false">L156*(1+(((2-3*X156^2)/24*AJ156^2)+(X156*AJ156*L156/4))*0.25)</f>
        <v>0.40332100766235</v>
      </c>
    </row>
    <row r="157" customFormat="false" ht="15" hidden="false" customHeight="true" outlineLevel="0" collapsed="false">
      <c r="B157" s="34" t="s">
        <v>75</v>
      </c>
      <c r="C157" s="25" t="n">
        <f aca="false">C9+$C$33*C42</f>
        <v>0.555336</v>
      </c>
      <c r="D157" s="25" t="n">
        <f aca="false">D9+$C$33*D42</f>
        <v>0.5257112</v>
      </c>
      <c r="E157" s="25" t="n">
        <f aca="false">E9+$C$33*E42</f>
        <v>0.515536</v>
      </c>
      <c r="F157" s="25" t="n">
        <f aca="false">F9+$C$33*F42</f>
        <v>0.4943152</v>
      </c>
      <c r="G157" s="25" t="n">
        <f aca="false">G9+$C$33*G42</f>
        <v>0.4759936</v>
      </c>
      <c r="H157" s="25" t="n">
        <f aca="false">H9+$C$33*H42</f>
        <v>0.4540936</v>
      </c>
      <c r="I157" s="25" t="n">
        <f aca="false">I9+$C$33*I42</f>
        <v>0.4426296</v>
      </c>
      <c r="J157" s="25" t="n">
        <f aca="false">J9+$C$33*J42</f>
        <v>0.4267752</v>
      </c>
      <c r="K157" s="25" t="n">
        <f aca="false">K9+$C$33*K42</f>
        <v>0.3988608</v>
      </c>
      <c r="L157" s="25" t="n">
        <f aca="false">L9+$C$33*L42</f>
        <v>0.3832504</v>
      </c>
      <c r="N157" s="34" t="s">
        <v>75</v>
      </c>
      <c r="O157" s="25" t="n">
        <f aca="false">O9+$D$33*O42</f>
        <v>-0.3199</v>
      </c>
      <c r="P157" s="25" t="n">
        <f aca="false">P9+$D$33*P42</f>
        <v>-0.2876</v>
      </c>
      <c r="Q157" s="25" t="n">
        <f aca="false">Q9+$D$33*Q42</f>
        <v>-0.2693</v>
      </c>
      <c r="R157" s="25" t="n">
        <f aca="false">R9+$D$33*R42</f>
        <v>-0.2429</v>
      </c>
      <c r="S157" s="25" t="n">
        <f aca="false">S9+$D$33*S42</f>
        <v>-0.2269</v>
      </c>
      <c r="T157" s="25" t="n">
        <f aca="false">T9+$D$33*T42</f>
        <v>-0.2182</v>
      </c>
      <c r="U157" s="25" t="n">
        <f aca="false">U9+$D$33*U42</f>
        <v>-0.1967</v>
      </c>
      <c r="V157" s="25" t="n">
        <f aca="false">V9+$D$33*V42</f>
        <v>-0.1716</v>
      </c>
      <c r="W157" s="25" t="n">
        <f aca="false">W9+$D$33*W42</f>
        <v>-0.1651</v>
      </c>
      <c r="X157" s="25" t="n">
        <f aca="false">X9+$D$33*X42</f>
        <v>-0.1369</v>
      </c>
      <c r="Z157" s="34" t="s">
        <v>75</v>
      </c>
      <c r="AA157" s="25" t="n">
        <f aca="false">AA9+$E$33*AA42</f>
        <v>0.7989</v>
      </c>
      <c r="AB157" s="25" t="n">
        <f aca="false">AB9+$E$33*AB42</f>
        <v>0.7757</v>
      </c>
      <c r="AC157" s="25" t="n">
        <f aca="false">AC9+$E$33*AC42</f>
        <v>0.7523</v>
      </c>
      <c r="AD157" s="25" t="n">
        <f aca="false">AD9+$E$33*AD42</f>
        <v>0.7443</v>
      </c>
      <c r="AE157" s="25" t="n">
        <f aca="false">AE9+$E$33*AE42</f>
        <v>0.7093</v>
      </c>
      <c r="AF157" s="25" t="n">
        <f aca="false">AF9+$E$33*AF42</f>
        <v>0.6894</v>
      </c>
      <c r="AG157" s="25" t="n">
        <f aca="false">AG9+$E$33*AG42</f>
        <v>0.67</v>
      </c>
      <c r="AH157" s="25" t="n">
        <f aca="false">AH9+$E$33*AH42</f>
        <v>0.6574</v>
      </c>
      <c r="AI157" s="25" t="n">
        <f aca="false">AI9+$E$33*AI42</f>
        <v>0.6194</v>
      </c>
      <c r="AJ157" s="25" t="n">
        <f aca="false">AJ9+$E$33*AJ42</f>
        <v>0.6045</v>
      </c>
      <c r="AL157" s="34" t="s">
        <v>75</v>
      </c>
      <c r="AM157" s="36" t="n">
        <f aca="false">C157*(1+(((2-3*O157^2)/24*AA157^2)+(O157*AA157*C157/4))*0.5)</f>
        <v>0.557985186560921</v>
      </c>
      <c r="AN157" s="36" t="n">
        <f aca="false">D157*(1+(((2-3*P157^2)/24*AB157^2)+(P157*AB157*D157/4))*0.5)</f>
        <v>0.529549134195458</v>
      </c>
      <c r="AO157" s="36" t="n">
        <f aca="false">E157*(1+(((2-3*Q157^2)/24*AC157^2)+(Q157*AC157*E157/4))*0.5)</f>
        <v>0.519639977071235</v>
      </c>
      <c r="AP157" s="36" t="n">
        <f aca="false">F157*(1+(((2-3*R157^2)/24*AD157^2)+(R157*AD157*F157/4))*0.5)</f>
        <v>0.499193519820693</v>
      </c>
      <c r="AQ157" s="36" t="n">
        <f aca="false">G157*(1+(((2-3*S157^2)/24*AE157^2)+(S157*AE157*G157/4))*0.5)</f>
        <v>0.480643153278759</v>
      </c>
      <c r="AR157" s="36" t="n">
        <f aca="false">H157*(1+(((2-3*T157^2)/24*AF157^2)+(T157*AF157*H157/4))*0.5)</f>
        <v>0.458566535058065</v>
      </c>
      <c r="AS157" s="36" t="n">
        <f aca="false">I157*(1+(((2-3*U157^2)/24*AG157^2)+(U157*AG157*I157/4))*0.5)</f>
        <v>0.447200605488165</v>
      </c>
      <c r="AT157" s="36" t="n">
        <f aca="false">J157*(1+(((2-3*V157^2)/24*AH157^2)+(V157*AH157*J157/4))*0.5)</f>
        <v>0.431552456575197</v>
      </c>
      <c r="AU157" s="36" t="n">
        <f aca="false">K157*(1+(((2-3*W157^2)/24*AI157^2)+(W157*AI157*K157/4))*0.5)</f>
        <v>0.402942538049367</v>
      </c>
      <c r="AV157" s="36" t="n">
        <f aca="false">L157*(1+(((2-3*X157^2)/24*AJ157^2)+(X157*AJ157*L157/4))*0.5)</f>
        <v>0.387402255962849</v>
      </c>
    </row>
    <row r="158" customFormat="false" ht="15" hidden="false" customHeight="true" outlineLevel="0" collapsed="false">
      <c r="B158" s="34" t="s">
        <v>30</v>
      </c>
      <c r="C158" s="25" t="n">
        <f aca="false">C10+$C$33*C43</f>
        <v>0.530232</v>
      </c>
      <c r="D158" s="25" t="n">
        <f aca="false">D10+$C$33*D43</f>
        <v>0.518552</v>
      </c>
      <c r="E158" s="25" t="n">
        <f aca="false">E10+$C$33*E43</f>
        <v>0.4994872</v>
      </c>
      <c r="F158" s="25" t="n">
        <f aca="false">F10+$C$33*F43</f>
        <v>0.48138</v>
      </c>
      <c r="G158" s="25" t="n">
        <f aca="false">G10+$C$33*G43</f>
        <v>0.4501128</v>
      </c>
      <c r="H158" s="25" t="n">
        <f aca="false">H10+$C$33*H43</f>
        <v>0.434376</v>
      </c>
      <c r="I158" s="25" t="n">
        <f aca="false">I10+$C$33*I43</f>
        <v>0.4143584</v>
      </c>
      <c r="J158" s="25" t="n">
        <f aca="false">J10+$C$33*J43</f>
        <v>0.4060976</v>
      </c>
      <c r="K158" s="25" t="n">
        <f aca="false">K10+$C$33*K43</f>
        <v>0.3898672</v>
      </c>
      <c r="L158" s="25" t="n">
        <f aca="false">L10+$C$33*L43</f>
        <v>0.3542224</v>
      </c>
      <c r="N158" s="34" t="s">
        <v>30</v>
      </c>
      <c r="O158" s="25" t="n">
        <f aca="false">O10+$D$33*O43</f>
        <v>-0.2981</v>
      </c>
      <c r="P158" s="25" t="n">
        <f aca="false">P10+$D$33*P43</f>
        <v>-0.2776</v>
      </c>
      <c r="Q158" s="25" t="n">
        <f aca="false">Q10+$D$33*Q43</f>
        <v>-0.2581</v>
      </c>
      <c r="R158" s="25" t="n">
        <f aca="false">R10+$D$33*R43</f>
        <v>-0.2336</v>
      </c>
      <c r="S158" s="25" t="n">
        <f aca="false">S10+$D$33*S43</f>
        <v>-0.2121</v>
      </c>
      <c r="T158" s="25" t="n">
        <f aca="false">T10+$D$33*T43</f>
        <v>-0.1992</v>
      </c>
      <c r="U158" s="25" t="n">
        <f aca="false">U10+$D$33*U43</f>
        <v>-0.1849</v>
      </c>
      <c r="V158" s="25" t="n">
        <f aca="false">V10+$D$33*V43</f>
        <v>-0.1572</v>
      </c>
      <c r="W158" s="25" t="n">
        <f aca="false">W10+$D$33*W43</f>
        <v>-0.1387</v>
      </c>
      <c r="X158" s="25" t="n">
        <f aca="false">X10+$D$33*X43</f>
        <v>-0.1153</v>
      </c>
      <c r="Z158" s="34" t="s">
        <v>30</v>
      </c>
      <c r="AA158" s="25" t="n">
        <f aca="false">AA10+$E$33*AA43</f>
        <v>0.7924</v>
      </c>
      <c r="AB158" s="25" t="n">
        <f aca="false">AB10+$E$33*AB43</f>
        <v>0.7649</v>
      </c>
      <c r="AC158" s="25" t="n">
        <f aca="false">AC10+$E$33*AC43</f>
        <v>0.7392</v>
      </c>
      <c r="AD158" s="25" t="n">
        <f aca="false">AD10+$E$33*AD43</f>
        <v>0.719</v>
      </c>
      <c r="AE158" s="25" t="n">
        <f aca="false">AE10+$E$33*AE43</f>
        <v>0.698</v>
      </c>
      <c r="AF158" s="25" t="n">
        <f aca="false">AF10+$E$33*AF43</f>
        <v>0.6633</v>
      </c>
      <c r="AG158" s="25" t="n">
        <f aca="false">AG10+$E$33*AG43</f>
        <v>0.658</v>
      </c>
      <c r="AH158" s="25" t="n">
        <f aca="false">AH10+$E$33*AH43</f>
        <v>0.6334</v>
      </c>
      <c r="AI158" s="25" t="n">
        <f aca="false">AI10+$E$33*AI43</f>
        <v>0.613</v>
      </c>
      <c r="AJ158" s="25" t="n">
        <f aca="false">AJ10+$E$33*AJ43</f>
        <v>0.5893</v>
      </c>
      <c r="AL158" s="34" t="s">
        <v>30</v>
      </c>
      <c r="AM158" s="36" t="n">
        <f aca="false">C158*(1+(((2-3*O158^2)/24*AA158^2)+(O158*AA158*C158/4))*1)</f>
        <v>0.537675419026225</v>
      </c>
      <c r="AN158" s="36" t="n">
        <f aca="false">D158*(1+(((2-3*P158^2)/24*AB158^2)+(P158*AB158*D158/4))*1)</f>
        <v>0.52663794753194</v>
      </c>
      <c r="AO158" s="36" t="n">
        <f aca="false">E158*(1+(((2-3*Q158^2)/24*AC158^2)+(Q158*AC158*E158/4))*1)</f>
        <v>0.508058777083525</v>
      </c>
      <c r="AP158" s="36" t="n">
        <f aca="false">F158*(1+(((2-3*R158^2)/24*AD158^2)+(R158*AD158*F158/4))*1)</f>
        <v>0.49069031121093</v>
      </c>
      <c r="AQ158" s="36" t="n">
        <f aca="false">G158*(1+(((2-3*S158^2)/24*AE158^2)+(S158*AE158*G158/4))*1)</f>
        <v>0.459655781493696</v>
      </c>
      <c r="AR158" s="36" t="n">
        <f aca="false">H158*(1+(((2-3*T158^2)/24*AF158^2)+(T158*AF158*H158/4))*1)</f>
        <v>0.443121370546833</v>
      </c>
      <c r="AS158" s="36" t="n">
        <f aca="false">I158*(1+(((2-3*U158^2)/24*AG158^2)+(U158*AG158*I158/4))*1)</f>
        <v>0.423319694031337</v>
      </c>
      <c r="AT158" s="36" t="n">
        <f aca="false">J158*(1+(((2-3*V158^2)/24*AH158^2)+(V158*AH158*J158/4))*1)</f>
        <v>0.415066202564148</v>
      </c>
      <c r="AU158" s="36" t="n">
        <f aca="false">K158*(1+(((2-3*W158^2)/24*AI158^2)+(W158*AI158*K158/4))*1)</f>
        <v>0.398492441778501</v>
      </c>
      <c r="AV158" s="36" t="n">
        <f aca="false">L158*(1+(((2-3*X158^2)/24*AJ158^2)+(X158*AJ158*L158/4))*1)</f>
        <v>0.362137651512085</v>
      </c>
    </row>
    <row r="159" customFormat="false" ht="15" hidden="false" customHeight="true" outlineLevel="0" collapsed="false">
      <c r="B159" s="34" t="s">
        <v>76</v>
      </c>
      <c r="C159" s="25" t="n">
        <f aca="false">C11+$C$33*C44</f>
        <v>0.5090656</v>
      </c>
      <c r="D159" s="25" t="n">
        <f aca="false">D11+$C$33*D44</f>
        <v>0.4902928</v>
      </c>
      <c r="E159" s="25" t="n">
        <f aca="false">E11+$C$33*E44</f>
        <v>0.4654184</v>
      </c>
      <c r="F159" s="25" t="n">
        <f aca="false">F11+$C$33*F44</f>
        <v>0.4580416</v>
      </c>
      <c r="G159" s="25" t="n">
        <f aca="false">G11+$C$33*G44</f>
        <v>0.4271192</v>
      </c>
      <c r="H159" s="25" t="n">
        <f aca="false">H11+$C$33*H44</f>
        <v>0.4091976</v>
      </c>
      <c r="I159" s="25" t="n">
        <f aca="false">I11+$C$33*I44</f>
        <v>0.3926648</v>
      </c>
      <c r="J159" s="25" t="n">
        <f aca="false">J11+$C$33*J44</f>
        <v>0.373452</v>
      </c>
      <c r="K159" s="25" t="n">
        <f aca="false">K11+$C$33*K44</f>
        <v>0.3580672</v>
      </c>
      <c r="L159" s="25" t="n">
        <f aca="false">L11+$C$33*L44</f>
        <v>0.3337184</v>
      </c>
      <c r="N159" s="34" t="s">
        <v>76</v>
      </c>
      <c r="O159" s="25" t="n">
        <f aca="false">O11+$D$33*O44</f>
        <v>-0.2822</v>
      </c>
      <c r="P159" s="25" t="n">
        <f aca="false">P11+$D$33*P44</f>
        <v>-0.2598</v>
      </c>
      <c r="Q159" s="25" t="n">
        <f aca="false">Q11+$D$33*Q44</f>
        <v>-0.2413</v>
      </c>
      <c r="R159" s="25" t="n">
        <f aca="false">R11+$D$33*R44</f>
        <v>-0.2166</v>
      </c>
      <c r="S159" s="25" t="n">
        <f aca="false">S11+$D$33*S44</f>
        <v>-0.2039</v>
      </c>
      <c r="T159" s="25" t="n">
        <f aca="false">T11+$D$33*T44</f>
        <v>-0.1675</v>
      </c>
      <c r="U159" s="25" t="n">
        <f aca="false">U11+$D$33*U44</f>
        <v>-0.1533</v>
      </c>
      <c r="V159" s="25" t="n">
        <f aca="false">V11+$D$33*V44</f>
        <v>-0.1431</v>
      </c>
      <c r="W159" s="25" t="n">
        <f aca="false">W11+$D$33*W44</f>
        <v>-0.1216</v>
      </c>
      <c r="X159" s="25" t="n">
        <f aca="false">X11+$D$33*X44</f>
        <v>-0.1003</v>
      </c>
      <c r="Z159" s="34" t="s">
        <v>76</v>
      </c>
      <c r="AA159" s="25" t="n">
        <f aca="false">AA11+$E$33*AA44</f>
        <v>0.7584</v>
      </c>
      <c r="AB159" s="25" t="n">
        <f aca="false">AB11+$E$33*AB44</f>
        <v>0.7313</v>
      </c>
      <c r="AC159" s="25" t="n">
        <f aca="false">AC11+$E$33*AC44</f>
        <v>0.7236</v>
      </c>
      <c r="AD159" s="25" t="n">
        <f aca="false">AD11+$E$33*AD44</f>
        <v>0.7043</v>
      </c>
      <c r="AE159" s="25" t="n">
        <f aca="false">AE11+$E$33*AE44</f>
        <v>0.6715</v>
      </c>
      <c r="AF159" s="25" t="n">
        <f aca="false">AF11+$E$33*AF44</f>
        <v>0.6497</v>
      </c>
      <c r="AG159" s="25" t="n">
        <f aca="false">AG11+$E$33*AG44</f>
        <v>0.6195</v>
      </c>
      <c r="AH159" s="25" t="n">
        <f aca="false">AH11+$E$33*AH44</f>
        <v>0.5976</v>
      </c>
      <c r="AI159" s="25" t="n">
        <f aca="false">AI11+$E$33*AI44</f>
        <v>0.5802</v>
      </c>
      <c r="AJ159" s="25" t="n">
        <f aca="false">AJ11+$E$33*AJ44</f>
        <v>0.5564</v>
      </c>
      <c r="AL159" s="34" t="s">
        <v>76</v>
      </c>
      <c r="AM159" s="36" t="n">
        <f aca="false">C159*(1+(((2-3*O159^2)/24*AA159^2)+(O159*AA159*C159/4))*2)</f>
        <v>0.524304650038304</v>
      </c>
      <c r="AN159" s="36" t="n">
        <f aca="false">D159*(1+(((2-3*P159^2)/24*AB159^2)+(P159*AB159*D159/4))*2)</f>
        <v>0.506733923419844</v>
      </c>
      <c r="AO159" s="36" t="n">
        <f aca="false">E159*(1+(((2-3*Q159^2)/24*AC159^2)+(Q159*AC159*E159/4))*2)</f>
        <v>0.483575463670212</v>
      </c>
      <c r="AP159" s="36" t="n">
        <f aca="false">F159*(1+(((2-3*R159^2)/24*AD159^2)+(R159*AD159*F159/4))*2)</f>
        <v>0.477241632830114</v>
      </c>
      <c r="AQ159" s="36" t="n">
        <f aca="false">G159*(1+(((2-3*S159^2)/24*AE159^2)+(S159*AE159*G159/4))*2)</f>
        <v>0.44472719498125</v>
      </c>
      <c r="AR159" s="36" t="n">
        <f aca="false">H159*(1+(((2-3*T159^2)/24*AF159^2)+(T159*AF159*H159/4))*2)</f>
        <v>0.427662871608992</v>
      </c>
      <c r="AS159" s="36" t="n">
        <f aca="false">I159*(1+(((2-3*U159^2)/24*AG159^2)+(U159*AG159*I159/4))*2)</f>
        <v>0.409574132225304</v>
      </c>
      <c r="AT159" s="36" t="n">
        <f aca="false">J159*(1+(((2-3*V159^2)/24*AH159^2)+(V159*AH159*J159/4))*2)</f>
        <v>0.3890341070522</v>
      </c>
      <c r="AU159" s="36" t="n">
        <f aca="false">K159*(1+(((2-3*W159^2)/24*AI159^2)+(W159*AI159*K159/4))*2)</f>
        <v>0.373188269253396</v>
      </c>
      <c r="AV159" s="36" t="n">
        <f aca="false">L159*(1+(((2-3*X159^2)/24*AJ159^2)+(X159*AJ159*L159/4))*2)</f>
        <v>0.347569824556106</v>
      </c>
    </row>
    <row r="160" customFormat="false" ht="15" hidden="false" customHeight="true" outlineLevel="0" collapsed="false">
      <c r="B160" s="34" t="s">
        <v>77</v>
      </c>
      <c r="C160" s="25" t="n">
        <f aca="false">C12+$C$33*C45</f>
        <v>0.4995872</v>
      </c>
      <c r="D160" s="25" t="n">
        <f aca="false">D12+$C$33*D45</f>
        <v>0.4673472</v>
      </c>
      <c r="E160" s="25" t="n">
        <f aca="false">E12+$C$33*E45</f>
        <v>0.4452592</v>
      </c>
      <c r="F160" s="25" t="n">
        <f aca="false">F12+$C$33*F45</f>
        <v>0.4459272</v>
      </c>
      <c r="G160" s="25" t="n">
        <f aca="false">G12+$C$33*G45</f>
        <v>0.4179152</v>
      </c>
      <c r="H160" s="25" t="n">
        <f aca="false">H12+$C$33*H45</f>
        <v>0.3918456</v>
      </c>
      <c r="I160" s="25" t="n">
        <f aca="false">I12+$C$33*I45</f>
        <v>0.3816344</v>
      </c>
      <c r="J160" s="25" t="n">
        <f aca="false">J12+$C$33*J45</f>
        <v>0.3523496</v>
      </c>
      <c r="K160" s="25" t="n">
        <f aca="false">K12+$C$33*K45</f>
        <v>0.3429944</v>
      </c>
      <c r="L160" s="25" t="n">
        <f aca="false">L12+$C$33*L45</f>
        <v>0.3344656</v>
      </c>
      <c r="N160" s="34" t="s">
        <v>77</v>
      </c>
      <c r="O160" s="25" t="n">
        <f aca="false">O12+$D$33*O45</f>
        <v>-0.2455</v>
      </c>
      <c r="P160" s="25" t="n">
        <f aca="false">P12+$D$33*P45</f>
        <v>-0.2294</v>
      </c>
      <c r="Q160" s="25" t="n">
        <f aca="false">Q12+$D$33*Q45</f>
        <v>-0.2187</v>
      </c>
      <c r="R160" s="25" t="n">
        <f aca="false">R12+$D$33*R45</f>
        <v>-0.1971</v>
      </c>
      <c r="S160" s="25" t="n">
        <f aca="false">S12+$D$33*S45</f>
        <v>-0.1817</v>
      </c>
      <c r="T160" s="25" t="n">
        <f aca="false">T12+$D$33*T45</f>
        <v>-0.1501</v>
      </c>
      <c r="U160" s="25" t="n">
        <f aca="false">U12+$D$33*U45</f>
        <v>-0.1355</v>
      </c>
      <c r="V160" s="25" t="n">
        <f aca="false">V12+$D$33*V45</f>
        <v>-0.1111</v>
      </c>
      <c r="W160" s="25" t="n">
        <f aca="false">W12+$D$33*W45</f>
        <v>-0.1006</v>
      </c>
      <c r="X160" s="25" t="n">
        <f aca="false">X12+$D$33*X45</f>
        <v>-0.0833</v>
      </c>
      <c r="Z160" s="34" t="s">
        <v>77</v>
      </c>
      <c r="AA160" s="25" t="n">
        <f aca="false">AA12+$E$33*AA45</f>
        <v>0.7451</v>
      </c>
      <c r="AB160" s="25" t="n">
        <f aca="false">AB12+$E$33*AB45</f>
        <v>0.7264</v>
      </c>
      <c r="AC160" s="25" t="n">
        <f aca="false">AC12+$E$33*AC45</f>
        <v>0.7015</v>
      </c>
      <c r="AD160" s="25" t="n">
        <f aca="false">AD12+$E$33*AD45</f>
        <v>0.6783</v>
      </c>
      <c r="AE160" s="25" t="n">
        <f aca="false">AE12+$E$33*AE45</f>
        <v>0.6564</v>
      </c>
      <c r="AF160" s="25" t="n">
        <f aca="false">AF12+$E$33*AF45</f>
        <v>0.6326</v>
      </c>
      <c r="AG160" s="25" t="n">
        <f aca="false">AG12+$E$33*AG45</f>
        <v>0.6001</v>
      </c>
      <c r="AH160" s="25" t="n">
        <f aca="false">AH12+$E$33*AH45</f>
        <v>0.5837</v>
      </c>
      <c r="AI160" s="25" t="n">
        <f aca="false">AI12+$E$33*AI45</f>
        <v>0.5582</v>
      </c>
      <c r="AJ160" s="25" t="n">
        <f aca="false">AJ12+$E$33*AJ45</f>
        <v>0.5295</v>
      </c>
      <c r="AL160" s="34" t="s">
        <v>77</v>
      </c>
      <c r="AM160" s="36" t="n">
        <f aca="false">C160*(1+(((2-3*O160^2)/24*AA160^2)+(O160*AA160*C160/4))*3)</f>
        <v>0.528416722567088</v>
      </c>
      <c r="AN160" s="36" t="n">
        <f aca="false">D160*(1+(((2-3*P160^2)/24*AB160^2)+(P160*AB160*D160/4))*3)</f>
        <v>0.496833854321916</v>
      </c>
      <c r="AO160" s="36" t="n">
        <f aca="false">E160*(1+(((2-3*Q160^2)/24*AC160^2)+(Q160*AC160*E160/4))*3)</f>
        <v>0.473295413971359</v>
      </c>
      <c r="AP160" s="36" t="n">
        <f aca="false">F160*(1+(((2-3*R160^2)/24*AD160^2)+(R160*AD160*F160/4))*3)</f>
        <v>0.47429131915799</v>
      </c>
      <c r="AQ160" s="36" t="n">
        <f aca="false">G160*(1+(((2-3*S160^2)/24*AE160^2)+(S160*AE160*G160/4))*3)</f>
        <v>0.445078866736988</v>
      </c>
      <c r="AR160" s="36" t="n">
        <f aca="false">H160*(1+(((2-3*T160^2)/24*AF160^2)+(T160*AF160*H160/4))*3)</f>
        <v>0.418788661120371</v>
      </c>
      <c r="AS160" s="36" t="n">
        <f aca="false">I160*(1+(((2-3*U160^2)/24*AG160^2)+(U160*AG160*I160/4))*3)</f>
        <v>0.406164526019056</v>
      </c>
      <c r="AT160" s="36" t="n">
        <f aca="false">J160*(1+(((2-3*V160^2)/24*AH160^2)+(V160*AH160*J160/4))*3)</f>
        <v>0.375767543287607</v>
      </c>
      <c r="AU160" s="36" t="n">
        <f aca="false">K160*(1+(((2-3*W160^2)/24*AI160^2)+(W160*AI160*K160/4))*3)</f>
        <v>0.36435220752033</v>
      </c>
      <c r="AV160" s="36" t="n">
        <f aca="false">L160*(1+(((2-3*X160^2)/24*AJ160^2)+(X160*AJ160*L160/4))*3)</f>
        <v>0.353964517088776</v>
      </c>
    </row>
    <row r="161" customFormat="false" ht="15" hidden="false" customHeight="true" outlineLevel="0" collapsed="false">
      <c r="B161" s="34" t="s">
        <v>78</v>
      </c>
      <c r="C161" s="25" t="n">
        <f aca="false">C13+$C$33*C46</f>
        <v>0.4639632</v>
      </c>
      <c r="D161" s="25" t="n">
        <f aca="false">D13+$C$33*D46</f>
        <v>0.450292</v>
      </c>
      <c r="E161" s="25" t="n">
        <f aca="false">E13+$C$33*E46</f>
        <v>0.4319704</v>
      </c>
      <c r="F161" s="25" t="n">
        <f aca="false">F13+$C$33*F46</f>
        <v>0.421372</v>
      </c>
      <c r="G161" s="25" t="n">
        <f aca="false">G13+$C$33*G46</f>
        <v>0.4079112</v>
      </c>
      <c r="H161" s="25" t="n">
        <f aca="false">H13+$C$33*H46</f>
        <v>0.3786816</v>
      </c>
      <c r="I161" s="25" t="n">
        <f aca="false">I13+$C$33*I46</f>
        <v>0.369788</v>
      </c>
      <c r="J161" s="25" t="n">
        <f aca="false">J13+$C$33*J46</f>
        <v>0.352844</v>
      </c>
      <c r="K161" s="25" t="n">
        <f aca="false">K13+$C$33*K46</f>
        <v>0.33308</v>
      </c>
      <c r="L161" s="25" t="n">
        <f aca="false">L13+$C$33*L46</f>
        <v>0.3030344</v>
      </c>
      <c r="N161" s="34" t="s">
        <v>78</v>
      </c>
      <c r="O161" s="25" t="n">
        <f aca="false">O13+$D$33*O46</f>
        <v>-0.2389</v>
      </c>
      <c r="P161" s="25" t="n">
        <f aca="false">P13+$D$33*P46</f>
        <v>-0.2194</v>
      </c>
      <c r="Q161" s="25" t="n">
        <f aca="false">Q13+$D$33*Q46</f>
        <v>-0.2005</v>
      </c>
      <c r="R161" s="25" t="n">
        <f aca="false">R13+$D$33*R46</f>
        <v>-0.1809</v>
      </c>
      <c r="S161" s="25" t="n">
        <f aca="false">S13+$D$33*S46</f>
        <v>-0.1531</v>
      </c>
      <c r="T161" s="25" t="n">
        <f aca="false">T13+$D$33*T46</f>
        <v>-0.1281</v>
      </c>
      <c r="U161" s="25" t="n">
        <f aca="false">U13+$D$33*U46</f>
        <v>-0.1099</v>
      </c>
      <c r="V161" s="25" t="n">
        <f aca="false">V13+$D$33*V46</f>
        <v>-0.0976</v>
      </c>
      <c r="W161" s="25" t="n">
        <f aca="false">W13+$D$33*W46</f>
        <v>-0.0747</v>
      </c>
      <c r="X161" s="25" t="n">
        <f aca="false">X13+$D$33*X46</f>
        <v>-0.0523</v>
      </c>
      <c r="Z161" s="34" t="s">
        <v>78</v>
      </c>
      <c r="AA161" s="25" t="n">
        <f aca="false">AA13+$E$33*AA46</f>
        <v>0.7084</v>
      </c>
      <c r="AB161" s="25" t="n">
        <f aca="false">AB13+$E$33*AB46</f>
        <v>0.6977</v>
      </c>
      <c r="AC161" s="25" t="n">
        <f aca="false">AC13+$E$33*AC46</f>
        <v>0.6804</v>
      </c>
      <c r="AD161" s="25" t="n">
        <f aca="false">AD13+$E$33*AD46</f>
        <v>0.6556</v>
      </c>
      <c r="AE161" s="25" t="n">
        <f aca="false">AE13+$E$33*AE46</f>
        <v>0.6328</v>
      </c>
      <c r="AF161" s="25" t="n">
        <f aca="false">AF13+$E$33*AF46</f>
        <v>0.6051</v>
      </c>
      <c r="AG161" s="25" t="n">
        <f aca="false">AG13+$E$33*AG46</f>
        <v>0.5769</v>
      </c>
      <c r="AH161" s="25" t="n">
        <f aca="false">AH13+$E$33*AH46</f>
        <v>0.5669</v>
      </c>
      <c r="AI161" s="25" t="n">
        <f aca="false">AI13+$E$33*AI46</f>
        <v>0.5355</v>
      </c>
      <c r="AJ161" s="25" t="n">
        <f aca="false">AJ13+$E$33*AJ46</f>
        <v>0.5227</v>
      </c>
      <c r="AL161" s="34" t="s">
        <v>78</v>
      </c>
      <c r="AM161" s="36" t="n">
        <f aca="false">C161*(1+(((2-3*O161^2)/24*AA161^2)+(O161*AA161*C161/4))*5)</f>
        <v>0.507133052712832</v>
      </c>
      <c r="AN161" s="36" t="n">
        <f aca="false">D161*(1+(((2-3*P161^2)/24*AB161^2)+(P161*AB161*D161/4))*5)</f>
        <v>0.496231413686526</v>
      </c>
      <c r="AO161" s="36" t="n">
        <f aca="false">E161*(1+(((2-3*Q161^2)/24*AC161^2)+(Q161*AC161*E161/4))*5)</f>
        <v>0.478450412963248</v>
      </c>
      <c r="AP161" s="36" t="n">
        <f aca="false">F161*(1+(((2-3*R161^2)/24*AD161^2)+(R161*AD161*F161/4))*5)</f>
        <v>0.466808443988577</v>
      </c>
      <c r="AQ161" s="36" t="n">
        <f aca="false">G161*(1+(((2-3*S161^2)/24*AE161^2)+(S161*AE161*G161/4))*5)</f>
        <v>0.453427186546446</v>
      </c>
      <c r="AR161" s="36" t="n">
        <f aca="false">H161*(1+(((2-3*T161^2)/24*AF161^2)+(T161*AF161*H161/4))*5)</f>
        <v>0.421137321501031</v>
      </c>
      <c r="AS161" s="36" t="n">
        <f aca="false">I161*(1+(((2-3*U161^2)/24*AG161^2)+(U161*AG161*I161/4))*5)</f>
        <v>0.409301217551543</v>
      </c>
      <c r="AT161" s="36" t="n">
        <f aca="false">J161*(1+(((2-3*V161^2)/24*AH161^2)+(V161*AH161*J161/4))*5)</f>
        <v>0.390806428155604</v>
      </c>
      <c r="AU161" s="36" t="n">
        <f aca="false">K161*(1+(((2-3*W161^2)/24*AI161^2)+(W161*AI161*K161/4))*5)</f>
        <v>0.36699706167785</v>
      </c>
      <c r="AV161" s="36" t="n">
        <f aca="false">L161*(1+(((2-3*X161^2)/24*AJ161^2)+(X161*AJ161*L161/4))*5)</f>
        <v>0.334252241293606</v>
      </c>
    </row>
    <row r="162" customFormat="false" ht="15" hidden="false" customHeight="true" outlineLevel="0" collapsed="false">
      <c r="B162" s="34" t="s">
        <v>79</v>
      </c>
      <c r="C162" s="25" t="n">
        <f aca="false">C14+$C$33*C47</f>
        <v>0.4643488</v>
      </c>
      <c r="D162" s="25" t="n">
        <f aca="false">D14+$C$33*D47</f>
        <v>0.4342448</v>
      </c>
      <c r="E162" s="25" t="n">
        <f aca="false">E14+$C$33*E47</f>
        <v>0.4163232</v>
      </c>
      <c r="F162" s="25" t="n">
        <f aca="false">F14+$C$33*F47</f>
        <v>0.4079576</v>
      </c>
      <c r="G162" s="25" t="n">
        <f aca="false">G14+$C$33*G47</f>
        <v>0.3849536</v>
      </c>
      <c r="H162" s="25" t="n">
        <f aca="false">H14+$C$33*H47</f>
        <v>0.3555408</v>
      </c>
      <c r="I162" s="25" t="n">
        <f aca="false">I14+$C$33*I47</f>
        <v>0.3351064</v>
      </c>
      <c r="J162" s="25" t="n">
        <f aca="false">J14+$C$33*J47</f>
        <v>0.3168456</v>
      </c>
      <c r="K162" s="25" t="n">
        <f aca="false">K14+$C$33*K47</f>
        <v>0.31426</v>
      </c>
      <c r="L162" s="25" t="n">
        <f aca="false">L14+$C$33*L47</f>
        <v>0.2935096</v>
      </c>
      <c r="N162" s="34" t="s">
        <v>79</v>
      </c>
      <c r="O162" s="25" t="n">
        <f aca="false">O14+$D$33*O47</f>
        <v>-0.221</v>
      </c>
      <c r="P162" s="25" t="n">
        <f aca="false">P14+$D$33*P47</f>
        <v>-0.1879</v>
      </c>
      <c r="Q162" s="25" t="n">
        <f aca="false">Q14+$D$33*Q47</f>
        <v>-0.1654</v>
      </c>
      <c r="R162" s="25" t="n">
        <f aca="false">R14+$D$33*R47</f>
        <v>-0.1524</v>
      </c>
      <c r="S162" s="25" t="n">
        <f aca="false">S14+$D$33*S47</f>
        <v>-0.1391</v>
      </c>
      <c r="T162" s="25" t="n">
        <f aca="false">T14+$D$33*T47</f>
        <v>-0.1157</v>
      </c>
      <c r="U162" s="25" t="n">
        <f aca="false">U14+$D$33*U47</f>
        <v>-0.1046</v>
      </c>
      <c r="V162" s="25" t="n">
        <f aca="false">V14+$D$33*V47</f>
        <v>-0.0875</v>
      </c>
      <c r="W162" s="25" t="n">
        <f aca="false">W14+$D$33*W47</f>
        <v>-0.0489</v>
      </c>
      <c r="X162" s="25" t="n">
        <f aca="false">X14+$D$33*X47</f>
        <v>-0.0359</v>
      </c>
      <c r="Z162" s="34" t="s">
        <v>79</v>
      </c>
      <c r="AA162" s="25" t="n">
        <f aca="false">AA14+$E$33*AA47</f>
        <v>0.695</v>
      </c>
      <c r="AB162" s="25" t="n">
        <f aca="false">AB14+$E$33*AB47</f>
        <v>0.6809</v>
      </c>
      <c r="AC162" s="25" t="n">
        <f aca="false">AC14+$E$33*AC47</f>
        <v>0.6487</v>
      </c>
      <c r="AD162" s="25" t="n">
        <f aca="false">AD14+$E$33*AD47</f>
        <v>0.6352</v>
      </c>
      <c r="AE162" s="25" t="n">
        <f aca="false">AE14+$E$33*AE47</f>
        <v>0.6121</v>
      </c>
      <c r="AF162" s="25" t="n">
        <f aca="false">AF14+$E$33*AF47</f>
        <v>0.5776</v>
      </c>
      <c r="AG162" s="25" t="n">
        <f aca="false">AG14+$E$33*AG47</f>
        <v>0.5561</v>
      </c>
      <c r="AH162" s="25" t="n">
        <f aca="false">AH14+$E$33*AH47</f>
        <v>0.5347</v>
      </c>
      <c r="AI162" s="25" t="n">
        <f aca="false">AI14+$E$33*AI47</f>
        <v>0.5115</v>
      </c>
      <c r="AJ162" s="25" t="n">
        <f aca="false">AJ14+$E$33*AJ47</f>
        <v>0.4962</v>
      </c>
      <c r="AL162" s="34" t="s">
        <v>79</v>
      </c>
      <c r="AM162" s="36" t="n">
        <f aca="false">C162*(1+(((2-3*O162^2)/24*AA162^2)+(O162*AA162*C162/4))*10)</f>
        <v>0.554770243089966</v>
      </c>
      <c r="AN162" s="36" t="n">
        <f aca="false">D162*(1+(((2-3*P162^2)/24*AB162^2)+(P162*AB162*D162/4))*10)</f>
        <v>0.532817694127425</v>
      </c>
      <c r="AO162" s="36" t="n">
        <f aca="false">E162*(1+(((2-3*Q162^2)/24*AC162^2)+(Q162*AC162*E162/4))*10)</f>
        <v>0.509834665065745</v>
      </c>
      <c r="AP162" s="36" t="n">
        <f aca="false">F162*(1+(((2-3*R162^2)/24*AD162^2)+(R162*AD162*F162/4))*10)</f>
        <v>0.500069669630184</v>
      </c>
      <c r="AQ162" s="36" t="n">
        <f aca="false">G162*(1+(((2-3*S162^2)/24*AE162^2)+(S162*AE162*G162/4))*10)</f>
        <v>0.470113018101233</v>
      </c>
      <c r="AR162" s="36" t="n">
        <f aca="false">H162*(1+(((2-3*T162^2)/24*AF162^2)+(T162*AF162*H162/4))*10)</f>
        <v>0.431283475927043</v>
      </c>
      <c r="AS162" s="36" t="n">
        <f aca="false">I162*(1+(((2-3*U162^2)/24*AG162^2)+(U162*AG162*I162/4))*10)</f>
        <v>0.403717887668925</v>
      </c>
      <c r="AT162" s="36" t="n">
        <f aca="false">J162*(1+(((2-3*V162^2)/24*AH162^2)+(V162*AH162*J162/4))*10)</f>
        <v>0.379725882121454</v>
      </c>
      <c r="AU162" s="36" t="n">
        <f aca="false">K162*(1+(((2-3*W162^2)/24*AI162^2)+(W162*AI162*K162/4))*10)</f>
        <v>0.376355859063291</v>
      </c>
      <c r="AV162" s="36" t="n">
        <f aca="false">L162*(1+(((2-3*X162^2)/24*AJ162^2)+(X162*AJ162*L162/4))*10)</f>
        <v>0.349778590633787</v>
      </c>
    </row>
    <row r="163" customFormat="false" ht="15" hidden="false" customHeight="true" outlineLevel="0" collapsed="false">
      <c r="B163" s="34" t="s">
        <v>80</v>
      </c>
      <c r="C163" s="25" t="n">
        <f aca="false">C15+$C$33*C48</f>
        <v>0.431276</v>
      </c>
      <c r="D163" s="25" t="n">
        <f aca="false">D15+$C$33*D48</f>
        <v>0.4156704</v>
      </c>
      <c r="E163" s="25" t="n">
        <f aca="false">E15+$C$33*E48</f>
        <v>0.3919936</v>
      </c>
      <c r="F163" s="25" t="n">
        <f aca="false">F15+$C$33*F48</f>
        <v>0.3891464</v>
      </c>
      <c r="G163" s="25" t="n">
        <f aca="false">G15+$C$33*G48</f>
        <v>0.3583448</v>
      </c>
      <c r="H163" s="25" t="n">
        <f aca="false">H15+$C$33*H48</f>
        <v>0.3427368</v>
      </c>
      <c r="I163" s="25" t="n">
        <f aca="false">I15+$C$33*I48</f>
        <v>0.3264312</v>
      </c>
      <c r="J163" s="25" t="n">
        <f aca="false">J15+$C$33*J48</f>
        <v>0.3138344</v>
      </c>
      <c r="K163" s="25" t="n">
        <f aca="false">K15+$C$33*K48</f>
        <v>0.285172</v>
      </c>
      <c r="L163" s="25" t="n">
        <f aca="false">L15+$C$33*L48</f>
        <v>0.27836</v>
      </c>
      <c r="N163" s="34" t="s">
        <v>80</v>
      </c>
      <c r="O163" s="25" t="n">
        <f aca="false">O15+$D$33*O48</f>
        <v>-0.1944</v>
      </c>
      <c r="P163" s="25" t="n">
        <f aca="false">P15+$D$33*P48</f>
        <v>-0.1744</v>
      </c>
      <c r="Q163" s="25" t="n">
        <f aca="false">Q15+$D$33*Q48</f>
        <v>-0.1551</v>
      </c>
      <c r="R163" s="25" t="n">
        <f aca="false">R15+$D$33*R48</f>
        <v>-0.1457</v>
      </c>
      <c r="S163" s="25" t="n">
        <f aca="false">S15+$D$33*S48</f>
        <v>-0.1179</v>
      </c>
      <c r="T163" s="25" t="n">
        <f aca="false">T15+$D$33*T48</f>
        <v>-0.1036</v>
      </c>
      <c r="U163" s="25" t="n">
        <f aca="false">U15+$D$33*U48</f>
        <v>-0.0877</v>
      </c>
      <c r="V163" s="25" t="n">
        <f aca="false">V15+$D$33*V48</f>
        <v>-0.0523</v>
      </c>
      <c r="W163" s="25" t="n">
        <f aca="false">W15+$D$33*W48</f>
        <v>-0.0454</v>
      </c>
      <c r="X163" s="25" t="n">
        <f aca="false">X15+$D$33*X48</f>
        <v>-0.02</v>
      </c>
      <c r="Z163" s="34" t="s">
        <v>80</v>
      </c>
      <c r="AA163" s="25" t="n">
        <f aca="false">AA15+$E$33*AA48</f>
        <v>0.6767</v>
      </c>
      <c r="AB163" s="25" t="n">
        <f aca="false">AB15+$E$33*AB48</f>
        <v>0.6511</v>
      </c>
      <c r="AC163" s="25" t="n">
        <f aca="false">AC15+$E$33*AC48</f>
        <v>0.6243</v>
      </c>
      <c r="AD163" s="25" t="n">
        <f aca="false">AD15+$E$33*AD48</f>
        <v>0.6059</v>
      </c>
      <c r="AE163" s="25" t="n">
        <f aca="false">AE15+$E$33*AE48</f>
        <v>0.5844</v>
      </c>
      <c r="AF163" s="25" t="n">
        <f aca="false">AF15+$E$33*AF48</f>
        <v>0.5668</v>
      </c>
      <c r="AG163" s="25" t="n">
        <f aca="false">AG15+$E$33*AG48</f>
        <v>0.531</v>
      </c>
      <c r="AH163" s="25" t="n">
        <f aca="false">AH15+$E$33*AH48</f>
        <v>0.5179</v>
      </c>
      <c r="AI163" s="25" t="n">
        <f aca="false">AI15+$E$33*AI48</f>
        <v>0.4894</v>
      </c>
      <c r="AJ163" s="25" t="n">
        <f aca="false">AJ15+$E$33*AJ48</f>
        <v>0.4678</v>
      </c>
      <c r="AL163" s="34" t="s">
        <v>80</v>
      </c>
      <c r="AM163" s="36" t="n">
        <f aca="false">C163*(1+(((2-3*O163^2)/24*AA163^2)+(O163*AA163*C163/4))*20)</f>
        <v>0.619427991558216</v>
      </c>
      <c r="AN163" s="36" t="n">
        <f aca="false">D163*(1+(((2-3*P163^2)/24*AB163^2)+(P163*AB163*D163/4))*20)</f>
        <v>0.597865500100653</v>
      </c>
      <c r="AO163" s="36" t="n">
        <f aca="false">E163*(1+(((2-3*Q163^2)/24*AC163^2)+(Q163*AC163*E163/4))*20)</f>
        <v>0.563045080350426</v>
      </c>
      <c r="AP163" s="36" t="n">
        <f aca="false">F163*(1+(((2-3*R163^2)/24*AD163^2)+(R163*AD163*F163/4))*20)</f>
        <v>0.552823820825492</v>
      </c>
      <c r="AQ163" s="36" t="n">
        <f aca="false">G163*(1+(((2-3*S163^2)/24*AE163^2)+(S163*AE163*G163/4))*20)</f>
        <v>0.513825652047538</v>
      </c>
      <c r="AR163" s="36" t="n">
        <f aca="false">H163*(1+(((2-3*T163^2)/24*AF163^2)+(T163*AF163*H163/4))*20)</f>
        <v>0.488807276753947</v>
      </c>
      <c r="AS163" s="36" t="n">
        <f aca="false">I163*(1+(((2-3*U163^2)/24*AG163^2)+(U163*AG163*I163/4))*20)</f>
        <v>0.453251682181108</v>
      </c>
      <c r="AT163" s="36" t="n">
        <f aca="false">J163*(1+(((2-3*V163^2)/24*AH163^2)+(V163*AH163*J163/4))*20)</f>
        <v>0.44021457313498</v>
      </c>
      <c r="AU163" s="36" t="n">
        <f aca="false">K163*(1+(((2-3*W163^2)/24*AI163^2)+(W163*AI163*K163/4))*20)</f>
        <v>0.389622587879243</v>
      </c>
      <c r="AV163" s="36" t="n">
        <f aca="false">L163*(1+(((2-3*X163^2)/24*AJ163^2)+(X163*AJ163*L163/4))*20)</f>
        <v>0.376200074147063</v>
      </c>
    </row>
    <row r="164" customFormat="false" ht="15" hidden="false" customHeight="true" outlineLevel="0" collapsed="false">
      <c r="B164" s="34" t="s">
        <v>81</v>
      </c>
      <c r="C164" s="25" t="n">
        <f aca="false">C16+$C$33*C49</f>
        <v>0.4224688</v>
      </c>
      <c r="D164" s="25" t="n">
        <f aca="false">D16+$C$33*D49</f>
        <v>0.3998072</v>
      </c>
      <c r="E164" s="25" t="n">
        <f aca="false">E16+$C$33*E49</f>
        <v>0.3812056</v>
      </c>
      <c r="F164" s="25" t="n">
        <f aca="false">F16+$C$33*F49</f>
        <v>0.3671168</v>
      </c>
      <c r="G164" s="25" t="n">
        <f aca="false">G16+$C$33*G49</f>
        <v>0.350896</v>
      </c>
      <c r="H164" s="25" t="n">
        <f aca="false">H16+$C$33*H49</f>
        <v>0.3235416</v>
      </c>
      <c r="I164" s="25" t="n">
        <f aca="false">I16+$C$33*I49</f>
        <v>0.3080344</v>
      </c>
      <c r="J164" s="25" t="n">
        <f aca="false">J16+$C$33*J49</f>
        <v>0.28676</v>
      </c>
      <c r="K164" s="25" t="n">
        <f aca="false">K16+$C$33*K49</f>
        <v>0.27026</v>
      </c>
      <c r="L164" s="25" t="n">
        <f aca="false">L16+$C$33*L49</f>
        <v>0.25726</v>
      </c>
      <c r="N164" s="34" t="s">
        <v>81</v>
      </c>
      <c r="O164" s="25" t="n">
        <f aca="false">O16+$D$33*O49</f>
        <v>-0.176</v>
      </c>
      <c r="P164" s="25" t="n">
        <f aca="false">P16+$D$33*P49</f>
        <v>-0.1549</v>
      </c>
      <c r="Q164" s="25" t="n">
        <f aca="false">Q16+$D$33*Q49</f>
        <v>-0.1366</v>
      </c>
      <c r="R164" s="25" t="n">
        <f aca="false">R16+$D$33*R49</f>
        <v>-0.1078</v>
      </c>
      <c r="S164" s="25" t="n">
        <f aca="false">S16+$D$33*S49</f>
        <v>-0.0932</v>
      </c>
      <c r="T164" s="25" t="n">
        <f aca="false">T16+$D$33*T49</f>
        <v>-0.0702</v>
      </c>
      <c r="U164" s="25" t="n">
        <f aca="false">U16+$D$33*U49</f>
        <v>-0.0495</v>
      </c>
      <c r="V164" s="25" t="n">
        <f aca="false">V16+$D$33*V49</f>
        <v>-0.0437</v>
      </c>
      <c r="W164" s="25" t="n">
        <f aca="false">W16+$D$33*W49</f>
        <v>-0.0183</v>
      </c>
      <c r="X164" s="25" t="n">
        <f aca="false">X16+$D$33*X49</f>
        <v>0.0089</v>
      </c>
      <c r="Z164" s="34" t="s">
        <v>81</v>
      </c>
      <c r="AA164" s="25" t="n">
        <f aca="false">AA16+$E$33*AA49</f>
        <v>0.6568</v>
      </c>
      <c r="AB164" s="25" t="n">
        <f aca="false">AB16+$E$33*AB49</f>
        <v>0.6205</v>
      </c>
      <c r="AC164" s="25" t="n">
        <f aca="false">AC16+$E$33*AC49</f>
        <v>0.598</v>
      </c>
      <c r="AD164" s="25" t="n">
        <f aca="false">AD16+$E$33*AD49</f>
        <v>0.5822</v>
      </c>
      <c r="AE164" s="25" t="n">
        <f aca="false">AE16+$E$33*AE49</f>
        <v>0.5526</v>
      </c>
      <c r="AF164" s="25" t="n">
        <f aca="false">AF16+$E$33*AF49</f>
        <v>0.5337</v>
      </c>
      <c r="AG164" s="25" t="n">
        <f aca="false">AG16+$E$33*AG49</f>
        <v>0.5081</v>
      </c>
      <c r="AH164" s="25" t="n">
        <f aca="false">AH16+$E$33*AH49</f>
        <v>0.4978</v>
      </c>
      <c r="AI164" s="25" t="n">
        <f aca="false">AI16+$E$33*AI49</f>
        <v>0.4779</v>
      </c>
      <c r="AJ164" s="25" t="n">
        <f aca="false">AJ16+$E$33*AJ49</f>
        <v>0.4579</v>
      </c>
      <c r="AL164" s="34" t="s">
        <v>81</v>
      </c>
      <c r="AM164" s="36" t="n">
        <f aca="false">C164*(1+(((2-3*O164^2)/24*AA164^2)+(O164*AA164*C164/4))*30)</f>
        <v>0.702179251478931</v>
      </c>
      <c r="AN164" s="36" t="n">
        <f aca="false">D164*(1+(((2-3*P164^2)/24*AB164^2)+(P164*AB164*D164/4))*30)</f>
        <v>0.655563899407039</v>
      </c>
      <c r="AO164" s="36" t="n">
        <f aca="false">E164*(1+(((2-3*Q164^2)/24*AC164^2)+(Q164*AC164*E164/4))*30)</f>
        <v>0.623439366059147</v>
      </c>
      <c r="AP164" s="36" t="n">
        <f aca="false">F164*(1+(((2-3*R164^2)/24*AD164^2)+(R164*AD164*F164/4))*30)</f>
        <v>0.609346307783618</v>
      </c>
      <c r="AQ164" s="36" t="n">
        <f aca="false">G164*(1+(((2-3*S164^2)/24*AE164^2)+(S164*AE164*G164/4))*30)</f>
        <v>0.567725298897483</v>
      </c>
      <c r="AR164" s="36" t="n">
        <f aca="false">H164*(1+(((2-3*T164^2)/24*AF164^2)+(T164*AF164*H164/4))*30)</f>
        <v>0.522814908507177</v>
      </c>
      <c r="AS164" s="36" t="n">
        <f aca="false">I164*(1+(((2-3*U164^2)/24*AG164^2)+(U164*AG164*I164/4))*30)</f>
        <v>0.488215026341274</v>
      </c>
      <c r="AT164" s="36" t="n">
        <f aca="false">J164*(1+(((2-3*V164^2)/24*AH164^2)+(V164*AH164*J164/4))*30)</f>
        <v>0.450486040441519</v>
      </c>
      <c r="AU164" s="36" t="n">
        <f aca="false">K164*(1+(((2-3*W164^2)/24*AI164^2)+(W164*AI164*K164/4))*30)</f>
        <v>0.419702259669859</v>
      </c>
      <c r="AV164" s="36" t="n">
        <f aca="false">L164*(1+(((2-3*X164^2)/24*AJ164^2)+(X164*AJ164*L164/4))*30)</f>
        <v>0.394117651068272</v>
      </c>
    </row>
    <row r="166" customFormat="false" ht="15" hidden="false" customHeight="true" outlineLevel="0" collapsed="false">
      <c r="A166" s="29" t="s">
        <v>156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</row>
    <row r="167" customFormat="false" ht="15" hidden="false" customHeight="true" outlineLevel="0" collapsed="false">
      <c r="B167" s="29" t="s">
        <v>131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N167" s="29" t="s">
        <v>132</v>
      </c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Z167" s="29" t="s">
        <v>133</v>
      </c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L167" s="33" t="s">
        <v>134</v>
      </c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</row>
    <row r="168" customFormat="false" ht="15" hidden="false" customHeight="true" outlineLevel="0" collapsed="false">
      <c r="B168" s="18" t="s">
        <v>135</v>
      </c>
      <c r="C168" s="12" t="s">
        <v>136</v>
      </c>
      <c r="D168" s="12" t="s">
        <v>74</v>
      </c>
      <c r="E168" s="12" t="s">
        <v>75</v>
      </c>
      <c r="F168" s="12" t="s">
        <v>30</v>
      </c>
      <c r="G168" s="12" t="s">
        <v>76</v>
      </c>
      <c r="H168" s="12" t="s">
        <v>77</v>
      </c>
      <c r="I168" s="12" t="s">
        <v>78</v>
      </c>
      <c r="J168" s="12" t="s">
        <v>79</v>
      </c>
      <c r="K168" s="12" t="s">
        <v>80</v>
      </c>
      <c r="L168" s="12" t="s">
        <v>81</v>
      </c>
      <c r="N168" s="18" t="s">
        <v>135</v>
      </c>
      <c r="O168" s="12" t="s">
        <v>136</v>
      </c>
      <c r="P168" s="12" t="s">
        <v>74</v>
      </c>
      <c r="Q168" s="12" t="s">
        <v>75</v>
      </c>
      <c r="R168" s="12" t="s">
        <v>30</v>
      </c>
      <c r="S168" s="12" t="s">
        <v>76</v>
      </c>
      <c r="T168" s="12" t="s">
        <v>77</v>
      </c>
      <c r="U168" s="12" t="s">
        <v>78</v>
      </c>
      <c r="V168" s="12" t="s">
        <v>79</v>
      </c>
      <c r="W168" s="12" t="s">
        <v>80</v>
      </c>
      <c r="X168" s="12" t="s">
        <v>81</v>
      </c>
      <c r="Z168" s="18" t="s">
        <v>135</v>
      </c>
      <c r="AA168" s="12" t="s">
        <v>136</v>
      </c>
      <c r="AB168" s="12" t="s">
        <v>74</v>
      </c>
      <c r="AC168" s="12" t="s">
        <v>75</v>
      </c>
      <c r="AD168" s="12" t="s">
        <v>30</v>
      </c>
      <c r="AE168" s="12" t="s">
        <v>76</v>
      </c>
      <c r="AF168" s="12" t="s">
        <v>77</v>
      </c>
      <c r="AG168" s="12" t="s">
        <v>78</v>
      </c>
      <c r="AH168" s="12" t="s">
        <v>79</v>
      </c>
      <c r="AI168" s="12" t="s">
        <v>80</v>
      </c>
      <c r="AJ168" s="12" t="s">
        <v>81</v>
      </c>
      <c r="AL168" s="18" t="s">
        <v>135</v>
      </c>
      <c r="AM168" s="12" t="s">
        <v>136</v>
      </c>
      <c r="AN168" s="12" t="s">
        <v>74</v>
      </c>
      <c r="AO168" s="12" t="s">
        <v>75</v>
      </c>
      <c r="AP168" s="12" t="s">
        <v>30</v>
      </c>
      <c r="AQ168" s="12" t="s">
        <v>76</v>
      </c>
      <c r="AR168" s="12" t="s">
        <v>77</v>
      </c>
      <c r="AS168" s="12" t="s">
        <v>78</v>
      </c>
      <c r="AT168" s="12" t="s">
        <v>79</v>
      </c>
      <c r="AU168" s="12" t="s">
        <v>80</v>
      </c>
      <c r="AV168" s="12" t="s">
        <v>81</v>
      </c>
    </row>
    <row r="169" customFormat="false" ht="15" hidden="false" customHeight="true" outlineLevel="0" collapsed="false">
      <c r="B169" s="34" t="s">
        <v>136</v>
      </c>
      <c r="C169" s="25" t="n">
        <f aca="false">C7+$C$34*C40</f>
        <v>0.5889265</v>
      </c>
      <c r="D169" s="25" t="n">
        <f aca="false">D7+$C$34*D40</f>
        <v>0.566627</v>
      </c>
      <c r="E169" s="25" t="n">
        <f aca="false">E7+$C$34*E40</f>
        <v>0.55733</v>
      </c>
      <c r="F169" s="25" t="n">
        <f aca="false">F7+$C$34*F40</f>
        <v>0.52691</v>
      </c>
      <c r="G169" s="25" t="n">
        <f aca="false">G7+$C$34*G40</f>
        <v>0.5168805</v>
      </c>
      <c r="H169" s="25" t="n">
        <f aca="false">H7+$C$34*H40</f>
        <v>0.4941305</v>
      </c>
      <c r="I169" s="25" t="n">
        <f aca="false">I7+$C$34*I40</f>
        <v>0.470085</v>
      </c>
      <c r="J169" s="25" t="n">
        <f aca="false">J7+$C$34*J40</f>
        <v>0.46</v>
      </c>
      <c r="K169" s="25" t="n">
        <f aca="false">K7+$C$34*K40</f>
        <v>0.43125</v>
      </c>
      <c r="L169" s="25" t="n">
        <f aca="false">L7+$C$34*L40</f>
        <v>0.419953</v>
      </c>
      <c r="N169" s="34" t="s">
        <v>136</v>
      </c>
      <c r="O169" s="25" t="n">
        <f aca="false">O7+$D$34*O40</f>
        <v>-0.3586</v>
      </c>
      <c r="P169" s="25" t="n">
        <f aca="false">P7+$D$34*P40</f>
        <v>-0.3387</v>
      </c>
      <c r="Q169" s="25" t="n">
        <f aca="false">Q7+$D$34*Q40</f>
        <v>-0.3126</v>
      </c>
      <c r="R169" s="25" t="n">
        <f aca="false">R7+$D$34*R40</f>
        <v>-0.2851</v>
      </c>
      <c r="S169" s="25" t="n">
        <f aca="false">S7+$D$34*S40</f>
        <v>-0.2797</v>
      </c>
      <c r="T169" s="25" t="n">
        <f aca="false">T7+$D$34*T40</f>
        <v>-0.2583</v>
      </c>
      <c r="U169" s="25" t="n">
        <f aca="false">U7+$D$34*U40</f>
        <v>-0.2308</v>
      </c>
      <c r="V169" s="25" t="n">
        <f aca="false">V7+$D$34*V40</f>
        <v>-0.2049</v>
      </c>
      <c r="W169" s="25" t="n">
        <f aca="false">W7+$D$34*W40</f>
        <v>-0.1929</v>
      </c>
      <c r="X169" s="25" t="n">
        <f aca="false">X7+$D$34*X40</f>
        <v>-0.1771</v>
      </c>
      <c r="Z169" s="34" t="s">
        <v>136</v>
      </c>
      <c r="AA169" s="25" t="n">
        <f aca="false">AA7+$E$34*AA40</f>
        <v>0.8595</v>
      </c>
      <c r="AB169" s="25" t="n">
        <f aca="false">AB7+$E$34*AB40</f>
        <v>0.8187</v>
      </c>
      <c r="AC169" s="25" t="n">
        <f aca="false">AC7+$E$34*AC40</f>
        <v>0.8127</v>
      </c>
      <c r="AD169" s="25" t="n">
        <f aca="false">AD7+$E$34*AD40</f>
        <v>0.7791</v>
      </c>
      <c r="AE169" s="25" t="n">
        <f aca="false">AE7+$E$34*AE40</f>
        <v>0.754</v>
      </c>
      <c r="AF169" s="25" t="n">
        <f aca="false">AF7+$E$34*AF40</f>
        <v>0.7312</v>
      </c>
      <c r="AG169" s="25" t="n">
        <f aca="false">AG7+$E$34*AG40</f>
        <v>0.7128</v>
      </c>
      <c r="AH169" s="25" t="n">
        <f aca="false">AH7+$E$34*AH40</f>
        <v>0.7008</v>
      </c>
      <c r="AI169" s="25" t="n">
        <f aca="false">AI7+$E$34*AI40</f>
        <v>0.6658</v>
      </c>
      <c r="AJ169" s="25" t="n">
        <f aca="false">AJ7+$E$34*AJ40</f>
        <v>0.6516</v>
      </c>
      <c r="AL169" s="34" t="s">
        <v>136</v>
      </c>
      <c r="AM169" s="36" t="n">
        <f aca="false">C169*(1+(((2-3*O169^2)/24*AA169^2)+(O169*AA169*C169/4))*0.0833333333333333)</f>
        <v>0.589137912350922</v>
      </c>
      <c r="AN169" s="36" t="n">
        <f aca="false">D169*(1+(((2-3*P169^2)/24*AB169^2)+(P169*AB169*D169/4))*0.0833333333333333)</f>
        <v>0.566955823600189</v>
      </c>
      <c r="AO169" s="36" t="n">
        <f aca="false">E169*(1+(((2-3*Q169^2)/24*AC169^2)+(Q169*AC169*E169/4))*0.0833333333333333)</f>
        <v>0.557867591531314</v>
      </c>
      <c r="AP169" s="36" t="n">
        <f aca="false">F169*(1+(((2-3*R169^2)/24*AD169^2)+(R169*AD169*F169/4))*0.0833333333333333)</f>
        <v>0.527575501792216</v>
      </c>
      <c r="AQ169" s="36" t="n">
        <f aca="false">G169*(1+(((2-3*S169^2)/24*AE169^2)+(S169*AE169*G169/4))*0.0833333333333333)</f>
        <v>0.517507867401528</v>
      </c>
      <c r="AR169" s="36" t="n">
        <f aca="false">H169*(1+(((2-3*T169^2)/24*AF169^2)+(T169*AF169*H169/4))*0.0833333333333333)</f>
        <v>0.494820801931598</v>
      </c>
      <c r="AS169" s="36" t="n">
        <f aca="false">I169*(1+(((2-3*U169^2)/24*AG169^2)+(U169*AG169*I169/4))*0.0833333333333333)</f>
        <v>0.470853717620696</v>
      </c>
      <c r="AT169" s="36" t="n">
        <f aca="false">J169*(1+(((2-3*V169^2)/24*AH169^2)+(V169*AH169*J169/4))*0.0833333333333333)</f>
        <v>0.46083704733625</v>
      </c>
      <c r="AU169" s="36" t="n">
        <f aca="false">K169*(1+(((2-3*W169^2)/24*AI169^2)+(W169*AI169*K169/4))*0.0833333333333333)</f>
        <v>0.432005847069094</v>
      </c>
      <c r="AV169" s="36" t="n">
        <f aca="false">L169*(1+(((2-3*X169^2)/24*AJ169^2)+(X169*AJ169*L169/4))*0.0833333333333333)</f>
        <v>0.420708978758463</v>
      </c>
    </row>
    <row r="170" customFormat="false" ht="15" hidden="false" customHeight="true" outlineLevel="0" collapsed="false">
      <c r="B170" s="34" t="s">
        <v>74</v>
      </c>
      <c r="C170" s="25" t="n">
        <f aca="false">C8+$C$34*C41</f>
        <v>0.5758235</v>
      </c>
      <c r="D170" s="25" t="n">
        <f aca="false">D8+$C$34*D41</f>
        <v>0.551306</v>
      </c>
      <c r="E170" s="25" t="n">
        <f aca="false">E8+$C$34*E41</f>
        <v>0.5359005</v>
      </c>
      <c r="F170" s="25" t="n">
        <f aca="false">F8+$C$34*F41</f>
        <v>0.506771</v>
      </c>
      <c r="G170" s="25" t="n">
        <f aca="false">G8+$C$34*G41</f>
        <v>0.488799</v>
      </c>
      <c r="H170" s="25" t="n">
        <f aca="false">H8+$C$34*H41</f>
        <v>0.472031</v>
      </c>
      <c r="I170" s="25" t="n">
        <f aca="false">I8+$C$34*I41</f>
        <v>0.4631615</v>
      </c>
      <c r="J170" s="25" t="n">
        <f aca="false">J8+$C$34*J41</f>
        <v>0.4383345</v>
      </c>
      <c r="K170" s="25" t="n">
        <f aca="false">K8+$C$34*K41</f>
        <v>0.4179505</v>
      </c>
      <c r="L170" s="25" t="n">
        <f aca="false">L8+$C$34*L41</f>
        <v>0.4041065</v>
      </c>
      <c r="N170" s="34" t="s">
        <v>74</v>
      </c>
      <c r="O170" s="25" t="n">
        <f aca="false">O8+$D$34*O41</f>
        <v>-0.3315</v>
      </c>
      <c r="P170" s="25" t="n">
        <f aca="false">P8+$D$34*P41</f>
        <v>-0.3151</v>
      </c>
      <c r="Q170" s="25" t="n">
        <f aca="false">Q8+$D$34*Q41</f>
        <v>-0.2858</v>
      </c>
      <c r="R170" s="25" t="n">
        <f aca="false">R8+$D$34*R41</f>
        <v>-0.2682</v>
      </c>
      <c r="S170" s="25" t="n">
        <f aca="false">S8+$D$34*S41</f>
        <v>-0.2579</v>
      </c>
      <c r="T170" s="25" t="n">
        <f aca="false">T8+$D$34*T41</f>
        <v>-0.2318</v>
      </c>
      <c r="U170" s="25" t="n">
        <f aca="false">U8+$D$34*U41</f>
        <v>-0.2134</v>
      </c>
      <c r="V170" s="25" t="n">
        <f aca="false">V8+$D$34*V41</f>
        <v>-0.1869</v>
      </c>
      <c r="W170" s="25" t="n">
        <f aca="false">W8+$D$34*W41</f>
        <v>-0.1704</v>
      </c>
      <c r="X170" s="25" t="n">
        <f aca="false">X8+$D$34*X41</f>
        <v>-0.1598</v>
      </c>
      <c r="Z170" s="34" t="s">
        <v>74</v>
      </c>
      <c r="AA170" s="25" t="n">
        <f aca="false">AA8+$E$34*AA41</f>
        <v>0.8374</v>
      </c>
      <c r="AB170" s="25" t="n">
        <f aca="false">AB8+$E$34*AB41</f>
        <v>0.7979</v>
      </c>
      <c r="AC170" s="25" t="n">
        <f aca="false">AC8+$E$34*AC41</f>
        <v>0.7817</v>
      </c>
      <c r="AD170" s="25" t="n">
        <f aca="false">AD8+$E$34*AD41</f>
        <v>0.7663</v>
      </c>
      <c r="AE170" s="25" t="n">
        <f aca="false">AE8+$E$34*AE41</f>
        <v>0.7319</v>
      </c>
      <c r="AF170" s="25" t="n">
        <f aca="false">AF8+$E$34*AF41</f>
        <v>0.7164</v>
      </c>
      <c r="AG170" s="25" t="n">
        <f aca="false">AG8+$E$34*AG41</f>
        <v>0.6852</v>
      </c>
      <c r="AH170" s="25" t="n">
        <f aca="false">AH8+$E$34*AH41</f>
        <v>0.6756</v>
      </c>
      <c r="AI170" s="25" t="n">
        <f aca="false">AI8+$E$34*AI41</f>
        <v>0.6553</v>
      </c>
      <c r="AJ170" s="25" t="n">
        <f aca="false">AJ8+$E$34*AJ41</f>
        <v>0.6292</v>
      </c>
      <c r="AL170" s="34" t="s">
        <v>74</v>
      </c>
      <c r="AM170" s="36" t="n">
        <f aca="false">C170*(1+(((2-3*O170^2)/24*AA170^2)+(O170*AA170*C170/4))*0.25)</f>
        <v>0.577096371926937</v>
      </c>
      <c r="AN170" s="36" t="n">
        <f aca="false">D170*(1+(((2-3*P170^2)/24*AB170^2)+(P170*AB170*D170/4))*0.25)</f>
        <v>0.552753206272654</v>
      </c>
      <c r="AO170" s="36" t="n">
        <f aca="false">E170*(1+(((2-3*Q170^2)/24*AC170^2)+(Q170*AC170*E170/4))*0.25)</f>
        <v>0.53787675115537</v>
      </c>
      <c r="AP170" s="36" t="n">
        <f aca="false">F170*(1+(((2-3*R170^2)/24*AD170^2)+(R170*AD170*F170/4))*0.25)</f>
        <v>0.509002900878039</v>
      </c>
      <c r="AQ170" s="36" t="n">
        <f aca="false">G170*(1+(((2-3*S170^2)/24*AE170^2)+(S170*AE170*G170/4))*0.25)</f>
        <v>0.49089107075434</v>
      </c>
      <c r="AR170" s="36" t="n">
        <f aca="false">H170*(1+(((2-3*T170^2)/24*AF170^2)+(T170*AF170*H170/4))*0.25)</f>
        <v>0.474358759525466</v>
      </c>
      <c r="AS170" s="36" t="n">
        <f aca="false">I170*(1+(((2-3*U170^2)/24*AG170^2)+(U170*AG170*I170/4))*0.25)</f>
        <v>0.465421873943726</v>
      </c>
      <c r="AT170" s="36" t="n">
        <f aca="false">J170*(1+(((2-3*V170^2)/24*AH170^2)+(V170*AH170*J170/4))*0.25)</f>
        <v>0.440767935057696</v>
      </c>
      <c r="AU170" s="36" t="n">
        <f aca="false">K170*(1+(((2-3*W170^2)/24*AI170^2)+(W170*AI170*K170/4))*0.25)</f>
        <v>0.420307620144988</v>
      </c>
      <c r="AV170" s="36" t="n">
        <f aca="false">L170*(1+(((2-3*X170^2)/24*AJ170^2)+(X170*AJ170*L170/4))*0.25)</f>
        <v>0.406285596095939</v>
      </c>
    </row>
    <row r="171" customFormat="false" ht="15" hidden="false" customHeight="true" outlineLevel="0" collapsed="false">
      <c r="B171" s="34" t="s">
        <v>75</v>
      </c>
      <c r="C171" s="25" t="n">
        <f aca="false">C9+$C$34*C42</f>
        <v>0.561035</v>
      </c>
      <c r="D171" s="25" t="n">
        <f aca="false">D9+$C$34*D42</f>
        <v>0.5310945</v>
      </c>
      <c r="E171" s="25" t="n">
        <f aca="false">E9+$C$34*E42</f>
        <v>0.5207225</v>
      </c>
      <c r="F171" s="25" t="n">
        <f aca="false">F9+$C$34*F42</f>
        <v>0.499022</v>
      </c>
      <c r="G171" s="25" t="n">
        <f aca="false">G9+$C$34*G42</f>
        <v>0.4804585</v>
      </c>
      <c r="H171" s="25" t="n">
        <f aca="false">H9+$C$34*H42</f>
        <v>0.458046</v>
      </c>
      <c r="I171" s="25" t="n">
        <f aca="false">I9+$C$34*I42</f>
        <v>0.446131</v>
      </c>
      <c r="J171" s="25" t="n">
        <f aca="false">J9+$C$34*J42</f>
        <v>0.430047</v>
      </c>
      <c r="K171" s="25" t="n">
        <f aca="false">K9+$C$34*K42</f>
        <v>0.4018005</v>
      </c>
      <c r="L171" s="25" t="n">
        <f aca="false">L9+$C$34*L42</f>
        <v>0.385694</v>
      </c>
      <c r="N171" s="34" t="s">
        <v>75</v>
      </c>
      <c r="O171" s="25" t="n">
        <f aca="false">O9+$D$34*O42</f>
        <v>-0.3199</v>
      </c>
      <c r="P171" s="25" t="n">
        <f aca="false">P9+$D$34*P42</f>
        <v>-0.2876</v>
      </c>
      <c r="Q171" s="25" t="n">
        <f aca="false">Q9+$D$34*Q42</f>
        <v>-0.2693</v>
      </c>
      <c r="R171" s="25" t="n">
        <f aca="false">R9+$D$34*R42</f>
        <v>-0.2429</v>
      </c>
      <c r="S171" s="25" t="n">
        <f aca="false">S9+$D$34*S42</f>
        <v>-0.2269</v>
      </c>
      <c r="T171" s="25" t="n">
        <f aca="false">T9+$D$34*T42</f>
        <v>-0.2182</v>
      </c>
      <c r="U171" s="25" t="n">
        <f aca="false">U9+$D$34*U42</f>
        <v>-0.1967</v>
      </c>
      <c r="V171" s="25" t="n">
        <f aca="false">V9+$D$34*V42</f>
        <v>-0.1716</v>
      </c>
      <c r="W171" s="25" t="n">
        <f aca="false">W9+$D$34*W42</f>
        <v>-0.1651</v>
      </c>
      <c r="X171" s="25" t="n">
        <f aca="false">X9+$D$34*X42</f>
        <v>-0.1369</v>
      </c>
      <c r="Z171" s="34" t="s">
        <v>75</v>
      </c>
      <c r="AA171" s="25" t="n">
        <f aca="false">AA9+$E$34*AA42</f>
        <v>0.7989</v>
      </c>
      <c r="AB171" s="25" t="n">
        <f aca="false">AB9+$E$34*AB42</f>
        <v>0.7757</v>
      </c>
      <c r="AC171" s="25" t="n">
        <f aca="false">AC9+$E$34*AC42</f>
        <v>0.7523</v>
      </c>
      <c r="AD171" s="25" t="n">
        <f aca="false">AD9+$E$34*AD42</f>
        <v>0.7443</v>
      </c>
      <c r="AE171" s="25" t="n">
        <f aca="false">AE9+$E$34*AE42</f>
        <v>0.7093</v>
      </c>
      <c r="AF171" s="25" t="n">
        <f aca="false">AF9+$E$34*AF42</f>
        <v>0.6894</v>
      </c>
      <c r="AG171" s="25" t="n">
        <f aca="false">AG9+$E$34*AG42</f>
        <v>0.67</v>
      </c>
      <c r="AH171" s="25" t="n">
        <f aca="false">AH9+$E$34*AH42</f>
        <v>0.6574</v>
      </c>
      <c r="AI171" s="25" t="n">
        <f aca="false">AI9+$E$34*AI42</f>
        <v>0.6194</v>
      </c>
      <c r="AJ171" s="25" t="n">
        <f aca="false">AJ9+$E$34*AJ42</f>
        <v>0.6045</v>
      </c>
      <c r="AL171" s="34" t="s">
        <v>75</v>
      </c>
      <c r="AM171" s="36" t="n">
        <f aca="false">C171*(1+(((2-3*O171^2)/24*AA171^2)+(O171*AA171*C171/4))*0.5)</f>
        <v>0.56360923097209</v>
      </c>
      <c r="AN171" s="36" t="n">
        <f aca="false">D171*(1+(((2-3*P171^2)/24*AB171^2)+(P171*AB171*D171/4))*0.5)</f>
        <v>0.534892006363567</v>
      </c>
      <c r="AO171" s="36" t="n">
        <f aca="false">E171*(1+(((2-3*Q171^2)/24*AC171^2)+(Q171*AC171*E171/4))*0.5)</f>
        <v>0.524799370711477</v>
      </c>
      <c r="AP171" s="36" t="n">
        <f aca="false">F171*(1+(((2-3*R171^2)/24*AD171^2)+(R171*AD171*F171/4))*0.5)</f>
        <v>0.503893690489239</v>
      </c>
      <c r="AQ171" s="36" t="n">
        <f aca="false">G171*(1+(((2-3*S171^2)/24*AE171^2)+(S171*AE171*G171/4))*0.5)</f>
        <v>0.485108510780655</v>
      </c>
      <c r="AR171" s="36" t="n">
        <f aca="false">H171*(1+(((2-3*T171^2)/24*AF171^2)+(T171*AF171*H171/4))*0.5)</f>
        <v>0.462523825891327</v>
      </c>
      <c r="AS171" s="36" t="n">
        <f aca="false">I171*(1+(((2-3*U171^2)/24*AG171^2)+(U171*AG171*I171/4))*0.5)</f>
        <v>0.450712431034623</v>
      </c>
      <c r="AT171" s="36" t="n">
        <f aca="false">J171*(1+(((2-3*V171^2)/24*AH171^2)+(V171*AH171*J171/4))*0.5)</f>
        <v>0.434841039783715</v>
      </c>
      <c r="AU171" s="36" t="n">
        <f aca="false">K171*(1+(((2-3*W171^2)/24*AI171^2)+(W171*AI171*K171/4))*0.5)</f>
        <v>0.405897222663167</v>
      </c>
      <c r="AV171" s="36" t="n">
        <f aca="false">L171*(1+(((2-3*X171^2)/24*AJ171^2)+(X171*AJ171*L171/4))*0.5)</f>
        <v>0.389862578637698</v>
      </c>
    </row>
    <row r="172" customFormat="false" ht="15" hidden="false" customHeight="true" outlineLevel="0" collapsed="false">
      <c r="B172" s="34" t="s">
        <v>30</v>
      </c>
      <c r="C172" s="25" t="n">
        <f aca="false">C10+$C$34*C43</f>
        <v>0.5355825</v>
      </c>
      <c r="D172" s="25" t="n">
        <f aca="false">D10+$C$34*D43</f>
        <v>0.523595</v>
      </c>
      <c r="E172" s="25" t="n">
        <f aca="false">E10+$C$34*E43</f>
        <v>0.504317</v>
      </c>
      <c r="F172" s="25" t="n">
        <f aca="false">F10+$C$34*F43</f>
        <v>0.4857875</v>
      </c>
      <c r="G172" s="25" t="n">
        <f aca="false">G10+$C$34*G43</f>
        <v>0.4539955</v>
      </c>
      <c r="H172" s="25" t="n">
        <f aca="false">H10+$C$34*H43</f>
        <v>0.4379225</v>
      </c>
      <c r="I172" s="25" t="n">
        <f aca="false">I10+$C$34*I43</f>
        <v>0.417499</v>
      </c>
      <c r="J172" s="25" t="n">
        <f aca="false">J10+$C$34*J43</f>
        <v>0.408861</v>
      </c>
      <c r="K172" s="25" t="n">
        <f aca="false">K10+$C$34*K43</f>
        <v>0.392442</v>
      </c>
      <c r="L172" s="25" t="n">
        <f aca="false">L10+$C$34*L43</f>
        <v>0.3562765</v>
      </c>
      <c r="N172" s="34" t="s">
        <v>30</v>
      </c>
      <c r="O172" s="25" t="n">
        <f aca="false">O10+$D$34*O43</f>
        <v>-0.2981</v>
      </c>
      <c r="P172" s="25" t="n">
        <f aca="false">P10+$D$34*P43</f>
        <v>-0.2776</v>
      </c>
      <c r="Q172" s="25" t="n">
        <f aca="false">Q10+$D$34*Q43</f>
        <v>-0.2581</v>
      </c>
      <c r="R172" s="25" t="n">
        <f aca="false">R10+$D$34*R43</f>
        <v>-0.2336</v>
      </c>
      <c r="S172" s="25" t="n">
        <f aca="false">S10+$D$34*S43</f>
        <v>-0.2121</v>
      </c>
      <c r="T172" s="25" t="n">
        <f aca="false">T10+$D$34*T43</f>
        <v>-0.1992</v>
      </c>
      <c r="U172" s="25" t="n">
        <f aca="false">U10+$D$34*U43</f>
        <v>-0.1849</v>
      </c>
      <c r="V172" s="25" t="n">
        <f aca="false">V10+$D$34*V43</f>
        <v>-0.1572</v>
      </c>
      <c r="W172" s="25" t="n">
        <f aca="false">W10+$D$34*W43</f>
        <v>-0.1387</v>
      </c>
      <c r="X172" s="25" t="n">
        <f aca="false">X10+$D$34*X43</f>
        <v>-0.1153</v>
      </c>
      <c r="Z172" s="34" t="s">
        <v>30</v>
      </c>
      <c r="AA172" s="25" t="n">
        <f aca="false">AA10+$E$34*AA43</f>
        <v>0.7924</v>
      </c>
      <c r="AB172" s="25" t="n">
        <f aca="false">AB10+$E$34*AB43</f>
        <v>0.7649</v>
      </c>
      <c r="AC172" s="25" t="n">
        <f aca="false">AC10+$E$34*AC43</f>
        <v>0.7392</v>
      </c>
      <c r="AD172" s="25" t="n">
        <f aca="false">AD10+$E$34*AD43</f>
        <v>0.719</v>
      </c>
      <c r="AE172" s="25" t="n">
        <f aca="false">AE10+$E$34*AE43</f>
        <v>0.698</v>
      </c>
      <c r="AF172" s="25" t="n">
        <f aca="false">AF10+$E$34*AF43</f>
        <v>0.6633</v>
      </c>
      <c r="AG172" s="25" t="n">
        <f aca="false">AG10+$E$34*AG43</f>
        <v>0.658</v>
      </c>
      <c r="AH172" s="25" t="n">
        <f aca="false">AH10+$E$34*AH43</f>
        <v>0.6334</v>
      </c>
      <c r="AI172" s="25" t="n">
        <f aca="false">AI10+$E$34*AI43</f>
        <v>0.613</v>
      </c>
      <c r="AJ172" s="25" t="n">
        <f aca="false">AJ10+$E$34*AJ43</f>
        <v>0.5893</v>
      </c>
      <c r="AL172" s="34" t="s">
        <v>30</v>
      </c>
      <c r="AM172" s="36" t="n">
        <f aca="false">C172*(1+(((2-3*O172^2)/24*AA172^2)+(O172*AA172*C172/4))*1)</f>
        <v>0.542931803526889</v>
      </c>
      <c r="AN172" s="36" t="n">
        <f aca="false">D172*(1+(((2-3*P172^2)/24*AB172^2)+(P172*AB172*D172/4))*1)</f>
        <v>0.531619416739662</v>
      </c>
      <c r="AO172" s="36" t="n">
        <f aca="false">E172*(1+(((2-3*Q172^2)/24*AC172^2)+(Q172*AC172*E172/4))*1)</f>
        <v>0.512855282407115</v>
      </c>
      <c r="AP172" s="36" t="n">
        <f aca="false">F172*(1+(((2-3*R172^2)/24*AD172^2)+(R172*AD172*F172/4))*1)</f>
        <v>0.495093151839313</v>
      </c>
      <c r="AQ172" s="36" t="n">
        <f aca="false">G172*(1+(((2-3*S172^2)/24*AE172^2)+(S172*AE172*G172/4))*1)</f>
        <v>0.463555558692854</v>
      </c>
      <c r="AR172" s="36" t="n">
        <f aca="false">H172*(1+(((2-3*T172^2)/24*AF172^2)+(T172*AF172*H172/4))*1)</f>
        <v>0.446687970604744</v>
      </c>
      <c r="AS172" s="36" t="n">
        <f aca="false">I172*(1+(((2-3*U172^2)/24*AG172^2)+(U172*AG172*I172/4))*1)</f>
        <v>0.426488334077166</v>
      </c>
      <c r="AT172" s="36" t="n">
        <f aca="false">J172*(1+(((2-3*V172^2)/24*AH172^2)+(V172*AH172*J172/4))*1)</f>
        <v>0.417862506985643</v>
      </c>
      <c r="AU172" s="36" t="n">
        <f aca="false">K172*(1+(((2-3*W172^2)/24*AI172^2)+(W172*AI172*K172/4))*1)</f>
        <v>0.401102727360694</v>
      </c>
      <c r="AV172" s="36" t="n">
        <f aca="false">L172*(1+(((2-3*X172^2)/24*AJ172^2)+(X172*AJ172*L172/4))*1)</f>
        <v>0.364225220016043</v>
      </c>
    </row>
    <row r="173" customFormat="false" ht="15" hidden="false" customHeight="true" outlineLevel="0" collapsed="false">
      <c r="B173" s="34" t="s">
        <v>76</v>
      </c>
      <c r="C173" s="25" t="n">
        <f aca="false">C11+$C$34*C44</f>
        <v>0.514166</v>
      </c>
      <c r="D173" s="25" t="n">
        <f aca="false">D11+$C$34*D44</f>
        <v>0.4949955</v>
      </c>
      <c r="E173" s="25" t="n">
        <f aca="false">E11+$C$34*E44</f>
        <v>0.4696865</v>
      </c>
      <c r="F173" s="25" t="n">
        <f aca="false">F11+$C$34*F44</f>
        <v>0.462076</v>
      </c>
      <c r="G173" s="25" t="n">
        <f aca="false">G11+$C$34*G44</f>
        <v>0.430637</v>
      </c>
      <c r="H173" s="25" t="n">
        <f aca="false">H11+$C$34*H44</f>
        <v>0.4124735</v>
      </c>
      <c r="I173" s="25" t="n">
        <f aca="false">I11+$C$34*I44</f>
        <v>0.3954405</v>
      </c>
      <c r="J173" s="25" t="n">
        <f aca="false">J11+$C$34*J44</f>
        <v>0.3759325</v>
      </c>
      <c r="K173" s="25" t="n">
        <f aca="false">K11+$C$34*K44</f>
        <v>0.3601295</v>
      </c>
      <c r="L173" s="25" t="n">
        <f aca="false">L11+$C$34*L44</f>
        <v>0.335424</v>
      </c>
      <c r="N173" s="34" t="s">
        <v>76</v>
      </c>
      <c r="O173" s="25" t="n">
        <f aca="false">O11+$D$34*O44</f>
        <v>-0.2822</v>
      </c>
      <c r="P173" s="25" t="n">
        <f aca="false">P11+$D$34*P44</f>
        <v>-0.2598</v>
      </c>
      <c r="Q173" s="25" t="n">
        <f aca="false">Q11+$D$34*Q44</f>
        <v>-0.2413</v>
      </c>
      <c r="R173" s="25" t="n">
        <f aca="false">R11+$D$34*R44</f>
        <v>-0.2166</v>
      </c>
      <c r="S173" s="25" t="n">
        <f aca="false">S11+$D$34*S44</f>
        <v>-0.2039</v>
      </c>
      <c r="T173" s="25" t="n">
        <f aca="false">T11+$D$34*T44</f>
        <v>-0.1675</v>
      </c>
      <c r="U173" s="25" t="n">
        <f aca="false">U11+$D$34*U44</f>
        <v>-0.1533</v>
      </c>
      <c r="V173" s="25" t="n">
        <f aca="false">V11+$D$34*V44</f>
        <v>-0.1431</v>
      </c>
      <c r="W173" s="25" t="n">
        <f aca="false">W11+$D$34*W44</f>
        <v>-0.1216</v>
      </c>
      <c r="X173" s="25" t="n">
        <f aca="false">X11+$D$34*X44</f>
        <v>-0.1003</v>
      </c>
      <c r="Z173" s="34" t="s">
        <v>76</v>
      </c>
      <c r="AA173" s="25" t="n">
        <f aca="false">AA11+$E$34*AA44</f>
        <v>0.7584</v>
      </c>
      <c r="AB173" s="25" t="n">
        <f aca="false">AB11+$E$34*AB44</f>
        <v>0.7313</v>
      </c>
      <c r="AC173" s="25" t="n">
        <f aca="false">AC11+$E$34*AC44</f>
        <v>0.7236</v>
      </c>
      <c r="AD173" s="25" t="n">
        <f aca="false">AD11+$E$34*AD44</f>
        <v>0.7043</v>
      </c>
      <c r="AE173" s="25" t="n">
        <f aca="false">AE11+$E$34*AE44</f>
        <v>0.6715</v>
      </c>
      <c r="AF173" s="25" t="n">
        <f aca="false">AF11+$E$34*AF44</f>
        <v>0.6497</v>
      </c>
      <c r="AG173" s="25" t="n">
        <f aca="false">AG11+$E$34*AG44</f>
        <v>0.6195</v>
      </c>
      <c r="AH173" s="25" t="n">
        <f aca="false">AH11+$E$34*AH44</f>
        <v>0.5976</v>
      </c>
      <c r="AI173" s="25" t="n">
        <f aca="false">AI11+$E$34*AI44</f>
        <v>0.5802</v>
      </c>
      <c r="AJ173" s="25" t="n">
        <f aca="false">AJ11+$E$34*AJ44</f>
        <v>0.5564</v>
      </c>
      <c r="AL173" s="34" t="s">
        <v>76</v>
      </c>
      <c r="AM173" s="36" t="n">
        <f aca="false">C173*(1+(((2-3*O173^2)/24*AA173^2)+(O173*AA173*C173/4))*2)</f>
        <v>0.52927710298219</v>
      </c>
      <c r="AN173" s="36" t="n">
        <f aca="false">D173*(1+(((2-3*P173^2)/24*AB173^2)+(P173*AB173*D173/4))*2)</f>
        <v>0.511373187510186</v>
      </c>
      <c r="AO173" s="36" t="n">
        <f aca="false">E173*(1+(((2-3*Q173^2)/24*AC173^2)+(Q173*AC173*E173/4))*2)</f>
        <v>0.487835059973992</v>
      </c>
      <c r="AP173" s="36" t="n">
        <f aca="false">F173*(1+(((2-3*R173^2)/24*AD173^2)+(R173*AD173*F173/4))*2)</f>
        <v>0.481302952347817</v>
      </c>
      <c r="AQ173" s="36" t="n">
        <f aca="false">G173*(1+(((2-3*S173^2)/24*AE173^2)+(S173*AE173*G173/4))*2)</f>
        <v>0.448286307505761</v>
      </c>
      <c r="AR173" s="36" t="n">
        <f aca="false">H173*(1+(((2-3*T173^2)/24*AF173^2)+(T173*AF173*H173/4))*2)</f>
        <v>0.431013075242233</v>
      </c>
      <c r="AS173" s="36" t="n">
        <f aca="false">I173*(1+(((2-3*U173^2)/24*AG173^2)+(U173*AG173*I173/4))*2)</f>
        <v>0.412417241922339</v>
      </c>
      <c r="AT173" s="36" t="n">
        <f aca="false">J173*(1+(((2-3*V173^2)/24*AH173^2)+(V173*AH173*J173/4))*2)</f>
        <v>0.391578232614437</v>
      </c>
      <c r="AU173" s="36" t="n">
        <f aca="false">K173*(1+(((2-3*W173^2)/24*AI173^2)+(W173*AI173*K173/4))*2)</f>
        <v>0.375311460126851</v>
      </c>
      <c r="AV173" s="36" t="n">
        <f aca="false">L173*(1+(((2-3*X173^2)/24*AJ173^2)+(X173*AJ173*L173/4))*2)</f>
        <v>0.349330254198554</v>
      </c>
    </row>
    <row r="174" customFormat="false" ht="15" hidden="false" customHeight="true" outlineLevel="0" collapsed="false">
      <c r="B174" s="34" t="s">
        <v>77</v>
      </c>
      <c r="C174" s="25" t="n">
        <f aca="false">C12+$C$34*C45</f>
        <v>0.504417</v>
      </c>
      <c r="D174" s="25" t="n">
        <f aca="false">D12+$C$34*D45</f>
        <v>0.471767</v>
      </c>
      <c r="E174" s="25" t="n">
        <f aca="false">E12+$C$34*E45</f>
        <v>0.449187</v>
      </c>
      <c r="F174" s="25" t="n">
        <f aca="false">F12+$C$34*F45</f>
        <v>0.4496295</v>
      </c>
      <c r="G174" s="25" t="n">
        <f aca="false">G12+$C$34*G45</f>
        <v>0.4210845</v>
      </c>
      <c r="H174" s="25" t="n">
        <f aca="false">H12+$C$34*H45</f>
        <v>0.394691</v>
      </c>
      <c r="I174" s="25" t="n">
        <f aca="false">I12+$C$34*I45</f>
        <v>0.3842215</v>
      </c>
      <c r="J174" s="25" t="n">
        <f aca="false">J12+$C$34*J45</f>
        <v>0.3545185</v>
      </c>
      <c r="K174" s="25" t="n">
        <f aca="false">K12+$C$34*K45</f>
        <v>0.344659</v>
      </c>
      <c r="L174" s="25" t="n">
        <f aca="false">L12+$C$34*L45</f>
        <v>0.3359785</v>
      </c>
      <c r="N174" s="34" t="s">
        <v>77</v>
      </c>
      <c r="O174" s="25" t="n">
        <f aca="false">O12+$D$34*O45</f>
        <v>-0.2455</v>
      </c>
      <c r="P174" s="25" t="n">
        <f aca="false">P12+$D$34*P45</f>
        <v>-0.2294</v>
      </c>
      <c r="Q174" s="25" t="n">
        <f aca="false">Q12+$D$34*Q45</f>
        <v>-0.2187</v>
      </c>
      <c r="R174" s="25" t="n">
        <f aca="false">R12+$D$34*R45</f>
        <v>-0.1971</v>
      </c>
      <c r="S174" s="25" t="n">
        <f aca="false">S12+$D$34*S45</f>
        <v>-0.1817</v>
      </c>
      <c r="T174" s="25" t="n">
        <f aca="false">T12+$D$34*T45</f>
        <v>-0.1501</v>
      </c>
      <c r="U174" s="25" t="n">
        <f aca="false">U12+$D$34*U45</f>
        <v>-0.1355</v>
      </c>
      <c r="V174" s="25" t="n">
        <f aca="false">V12+$D$34*V45</f>
        <v>-0.1111</v>
      </c>
      <c r="W174" s="25" t="n">
        <f aca="false">W12+$D$34*W45</f>
        <v>-0.1006</v>
      </c>
      <c r="X174" s="25" t="n">
        <f aca="false">X12+$D$34*X45</f>
        <v>-0.0833</v>
      </c>
      <c r="Z174" s="34" t="s">
        <v>77</v>
      </c>
      <c r="AA174" s="25" t="n">
        <f aca="false">AA12+$E$34*AA45</f>
        <v>0.7451</v>
      </c>
      <c r="AB174" s="25" t="n">
        <f aca="false">AB12+$E$34*AB45</f>
        <v>0.7264</v>
      </c>
      <c r="AC174" s="25" t="n">
        <f aca="false">AC12+$E$34*AC45</f>
        <v>0.7015</v>
      </c>
      <c r="AD174" s="25" t="n">
        <f aca="false">AD12+$E$34*AD45</f>
        <v>0.6783</v>
      </c>
      <c r="AE174" s="25" t="n">
        <f aca="false">AE12+$E$34*AE45</f>
        <v>0.6564</v>
      </c>
      <c r="AF174" s="25" t="n">
        <f aca="false">AF12+$E$34*AF45</f>
        <v>0.6326</v>
      </c>
      <c r="AG174" s="25" t="n">
        <f aca="false">AG12+$E$34*AG45</f>
        <v>0.6001</v>
      </c>
      <c r="AH174" s="25" t="n">
        <f aca="false">AH12+$E$34*AH45</f>
        <v>0.5837</v>
      </c>
      <c r="AI174" s="25" t="n">
        <f aca="false">AI12+$E$34*AI45</f>
        <v>0.5582</v>
      </c>
      <c r="AJ174" s="25" t="n">
        <f aca="false">AJ12+$E$34*AJ45</f>
        <v>0.5295</v>
      </c>
      <c r="AL174" s="34" t="s">
        <v>77</v>
      </c>
      <c r="AM174" s="36" t="n">
        <f aca="false">C174*(1+(((2-3*O174^2)/24*AA174^2)+(O174*AA174*C174/4))*3)</f>
        <v>0.533191003745641</v>
      </c>
      <c r="AN174" s="36" t="n">
        <f aca="false">D174*(1+(((2-3*P174^2)/24*AB174^2)+(P174*AB174*D174/4))*3)</f>
        <v>0.501271923999464</v>
      </c>
      <c r="AO174" s="36" t="n">
        <f aca="false">E174*(1+(((2-3*Q174^2)/24*AC174^2)+(Q174*AC174*E174/4))*3)</f>
        <v>0.477267523510064</v>
      </c>
      <c r="AP174" s="36" t="n">
        <f aca="false">F174*(1+(((2-3*R174^2)/24*AD174^2)+(R174*AD174*F174/4))*3)</f>
        <v>0.478062196299149</v>
      </c>
      <c r="AQ174" s="36" t="n">
        <f aca="false">G174*(1+(((2-3*S174^2)/24*AE174^2)+(S174*AE174*G174/4))*3)</f>
        <v>0.448334788913609</v>
      </c>
      <c r="AR174" s="36" t="n">
        <f aca="false">H174*(1+(((2-3*T174^2)/24*AF174^2)+(T174*AF174*H174/4))*3)</f>
        <v>0.42174973085208</v>
      </c>
      <c r="AS174" s="36" t="n">
        <f aca="false">I174*(1+(((2-3*U174^2)/24*AG174^2)+(U174*AG174*I174/4))*3)</f>
        <v>0.408857295331966</v>
      </c>
      <c r="AT174" s="36" t="n">
        <f aca="false">J174*(1+(((2-3*V174^2)/24*AH174^2)+(V174*AH174*J174/4))*3)</f>
        <v>0.378043195662045</v>
      </c>
      <c r="AU174" s="36" t="n">
        <f aca="false">K174*(1+(((2-3*W174^2)/24*AI174^2)+(W174*AI174*K174/4))*3)</f>
        <v>0.366096297086079</v>
      </c>
      <c r="AV174" s="36" t="n">
        <f aca="false">L174*(1+(((2-3*X174^2)/24*AJ174^2)+(X174*AJ174*L174/4))*3)</f>
        <v>0.35554880233909</v>
      </c>
    </row>
    <row r="175" customFormat="false" ht="15" hidden="false" customHeight="true" outlineLevel="0" collapsed="false">
      <c r="B175" s="34" t="s">
        <v>78</v>
      </c>
      <c r="C175" s="25" t="n">
        <f aca="false">C13+$C$34*C46</f>
        <v>0.4682395</v>
      </c>
      <c r="D175" s="25" t="n">
        <f aca="false">D13+$C$34*D46</f>
        <v>0.4542075</v>
      </c>
      <c r="E175" s="25" t="n">
        <f aca="false">E13+$C$34*E46</f>
        <v>0.435644</v>
      </c>
      <c r="F175" s="25" t="n">
        <f aca="false">F13+$C$34*F46</f>
        <v>0.42457</v>
      </c>
      <c r="G175" s="25" t="n">
        <f aca="false">G13+$C$34*G46</f>
        <v>0.410732</v>
      </c>
      <c r="H175" s="25" t="n">
        <f aca="false">H13+$C$34*H46</f>
        <v>0.381076</v>
      </c>
      <c r="I175" s="25" t="n">
        <f aca="false">I13+$C$34*I46</f>
        <v>0.3718175</v>
      </c>
      <c r="J175" s="25" t="n">
        <f aca="false">J13+$C$34*J46</f>
        <v>0.3546275</v>
      </c>
      <c r="K175" s="25" t="n">
        <f aca="false">K13+$C$34*K46</f>
        <v>0.3344125</v>
      </c>
      <c r="L175" s="25" t="n">
        <f aca="false">L13+$C$34*L46</f>
        <v>0.304084</v>
      </c>
      <c r="N175" s="34" t="s">
        <v>78</v>
      </c>
      <c r="O175" s="25" t="n">
        <f aca="false">O13+$D$34*O46</f>
        <v>-0.2389</v>
      </c>
      <c r="P175" s="25" t="n">
        <f aca="false">P13+$D$34*P46</f>
        <v>-0.2194</v>
      </c>
      <c r="Q175" s="25" t="n">
        <f aca="false">Q13+$D$34*Q46</f>
        <v>-0.2005</v>
      </c>
      <c r="R175" s="25" t="n">
        <f aca="false">R13+$D$34*R46</f>
        <v>-0.1809</v>
      </c>
      <c r="S175" s="25" t="n">
        <f aca="false">S13+$D$34*S46</f>
        <v>-0.1531</v>
      </c>
      <c r="T175" s="25" t="n">
        <f aca="false">T13+$D$34*T46</f>
        <v>-0.1281</v>
      </c>
      <c r="U175" s="25" t="n">
        <f aca="false">U13+$D$34*U46</f>
        <v>-0.1099</v>
      </c>
      <c r="V175" s="25" t="n">
        <f aca="false">V13+$D$34*V46</f>
        <v>-0.0976</v>
      </c>
      <c r="W175" s="25" t="n">
        <f aca="false">W13+$D$34*W46</f>
        <v>-0.0747</v>
      </c>
      <c r="X175" s="25" t="n">
        <f aca="false">X13+$D$34*X46</f>
        <v>-0.0523</v>
      </c>
      <c r="Z175" s="34" t="s">
        <v>78</v>
      </c>
      <c r="AA175" s="25" t="n">
        <f aca="false">AA13+$E$34*AA46</f>
        <v>0.7084</v>
      </c>
      <c r="AB175" s="25" t="n">
        <f aca="false">AB13+$E$34*AB46</f>
        <v>0.6977</v>
      </c>
      <c r="AC175" s="25" t="n">
        <f aca="false">AC13+$E$34*AC46</f>
        <v>0.6804</v>
      </c>
      <c r="AD175" s="25" t="n">
        <f aca="false">AD13+$E$34*AD46</f>
        <v>0.6556</v>
      </c>
      <c r="AE175" s="25" t="n">
        <f aca="false">AE13+$E$34*AE46</f>
        <v>0.6328</v>
      </c>
      <c r="AF175" s="25" t="n">
        <f aca="false">AF13+$E$34*AF46</f>
        <v>0.6051</v>
      </c>
      <c r="AG175" s="25" t="n">
        <f aca="false">AG13+$E$34*AG46</f>
        <v>0.5769</v>
      </c>
      <c r="AH175" s="25" t="n">
        <f aca="false">AH13+$E$34*AH46</f>
        <v>0.5669</v>
      </c>
      <c r="AI175" s="25" t="n">
        <f aca="false">AI13+$E$34*AI46</f>
        <v>0.5355</v>
      </c>
      <c r="AJ175" s="25" t="n">
        <f aca="false">AJ13+$E$34*AJ46</f>
        <v>0.5227</v>
      </c>
      <c r="AL175" s="34" t="s">
        <v>78</v>
      </c>
      <c r="AM175" s="36" t="n">
        <f aca="false">C175*(1+(((2-3*O175^2)/24*AA175^2)+(O175*AA175*C175/4))*5)</f>
        <v>0.511383659356758</v>
      </c>
      <c r="AN175" s="36" t="n">
        <f aca="false">D175*(1+(((2-3*P175^2)/24*AB175^2)+(P175*AB175*D175/4))*5)</f>
        <v>0.500206082386343</v>
      </c>
      <c r="AO175" s="36" t="n">
        <f aca="false">E175*(1+(((2-3*Q175^2)/24*AC175^2)+(Q175*AC175*E175/4))*5)</f>
        <v>0.482246386799319</v>
      </c>
      <c r="AP175" s="36" t="n">
        <f aca="false">F175*(1+(((2-3*R175^2)/24*AD175^2)+(R175*AD175*F175/4))*5)</f>
        <v>0.470149996782505</v>
      </c>
      <c r="AQ175" s="36" t="n">
        <f aca="false">G175*(1+(((2-3*S175^2)/24*AE175^2)+(S175*AE175*G175/4))*5)</f>
        <v>0.456422432063801</v>
      </c>
      <c r="AR175" s="36" t="n">
        <f aca="false">H175*(1+(((2-3*T175^2)/24*AF175^2)+(T175*AF175*H175/4))*5)</f>
        <v>0.423711759989761</v>
      </c>
      <c r="AS175" s="36" t="n">
        <f aca="false">I175*(1+(((2-3*U175^2)/24*AG175^2)+(U175*AG175*I175/4))*5)</f>
        <v>0.411487773571872</v>
      </c>
      <c r="AT175" s="36" t="n">
        <f aca="false">J175*(1+(((2-3*V175^2)/24*AH175^2)+(V175*AH175*J175/4))*5)</f>
        <v>0.392738071301368</v>
      </c>
      <c r="AU175" s="36" t="n">
        <f aca="false">K175*(1+(((2-3*W175^2)/24*AI175^2)+(W175*AI175*K175/4))*5)</f>
        <v>0.368442966990432</v>
      </c>
      <c r="AV175" s="36" t="n">
        <f aca="false">L175*(1+(((2-3*X175^2)/24*AJ175^2)+(X175*AJ175*L175/4))*5)</f>
        <v>0.335399062039945</v>
      </c>
    </row>
    <row r="176" customFormat="false" ht="15" hidden="false" customHeight="true" outlineLevel="0" collapsed="false">
      <c r="B176" s="34" t="s">
        <v>79</v>
      </c>
      <c r="C176" s="25" t="n">
        <f aca="false">C14+$C$34*C47</f>
        <v>0.468293</v>
      </c>
      <c r="D176" s="25" t="n">
        <f aca="false">D14+$C$34*D47</f>
        <v>0.4378405</v>
      </c>
      <c r="E176" s="25" t="n">
        <f aca="false">E14+$C$34*E47</f>
        <v>0.419677</v>
      </c>
      <c r="F176" s="25" t="n">
        <f aca="false">F14+$C$34*F47</f>
        <v>0.4108235</v>
      </c>
      <c r="G176" s="25" t="n">
        <f aca="false">G14+$C$34*G47</f>
        <v>0.387471</v>
      </c>
      <c r="H176" s="25" t="n">
        <f aca="false">H14+$C$34*H47</f>
        <v>0.357763</v>
      </c>
      <c r="I176" s="25" t="n">
        <f aca="false">I14+$C$34*I47</f>
        <v>0.3367915</v>
      </c>
      <c r="J176" s="25" t="n">
        <f aca="false">J14+$C$34*J47</f>
        <v>0.3181535</v>
      </c>
      <c r="K176" s="25" t="n">
        <f aca="false">K14+$C$34*K47</f>
        <v>0.3153875</v>
      </c>
      <c r="L176" s="25" t="n">
        <f aca="false">L14+$C$34*L47</f>
        <v>0.2942435</v>
      </c>
      <c r="N176" s="34" t="s">
        <v>79</v>
      </c>
      <c r="O176" s="25" t="n">
        <f aca="false">O14+$D$34*O47</f>
        <v>-0.221</v>
      </c>
      <c r="P176" s="25" t="n">
        <f aca="false">P14+$D$34*P47</f>
        <v>-0.1879</v>
      </c>
      <c r="Q176" s="25" t="n">
        <f aca="false">Q14+$D$34*Q47</f>
        <v>-0.1654</v>
      </c>
      <c r="R176" s="25" t="n">
        <f aca="false">R14+$D$34*R47</f>
        <v>-0.1524</v>
      </c>
      <c r="S176" s="25" t="n">
        <f aca="false">S14+$D$34*S47</f>
        <v>-0.1391</v>
      </c>
      <c r="T176" s="25" t="n">
        <f aca="false">T14+$D$34*T47</f>
        <v>-0.1157</v>
      </c>
      <c r="U176" s="25" t="n">
        <f aca="false">U14+$D$34*U47</f>
        <v>-0.1046</v>
      </c>
      <c r="V176" s="25" t="n">
        <f aca="false">V14+$D$34*V47</f>
        <v>-0.0875</v>
      </c>
      <c r="W176" s="25" t="n">
        <f aca="false">W14+$D$34*W47</f>
        <v>-0.0489</v>
      </c>
      <c r="X176" s="25" t="n">
        <f aca="false">X14+$D$34*X47</f>
        <v>-0.0359</v>
      </c>
      <c r="Z176" s="34" t="s">
        <v>79</v>
      </c>
      <c r="AA176" s="25" t="n">
        <f aca="false">AA14+$E$34*AA47</f>
        <v>0.695</v>
      </c>
      <c r="AB176" s="25" t="n">
        <f aca="false">AB14+$E$34*AB47</f>
        <v>0.6809</v>
      </c>
      <c r="AC176" s="25" t="n">
        <f aca="false">AC14+$E$34*AC47</f>
        <v>0.6487</v>
      </c>
      <c r="AD176" s="25" t="n">
        <f aca="false">AD14+$E$34*AD47</f>
        <v>0.6352</v>
      </c>
      <c r="AE176" s="25" t="n">
        <f aca="false">AE14+$E$34*AE47</f>
        <v>0.6121</v>
      </c>
      <c r="AF176" s="25" t="n">
        <f aca="false">AF14+$E$34*AF47</f>
        <v>0.5776</v>
      </c>
      <c r="AG176" s="25" t="n">
        <f aca="false">AG14+$E$34*AG47</f>
        <v>0.5561</v>
      </c>
      <c r="AH176" s="25" t="n">
        <f aca="false">AH14+$E$34*AH47</f>
        <v>0.5347</v>
      </c>
      <c r="AI176" s="25" t="n">
        <f aca="false">AI14+$E$34*AI47</f>
        <v>0.5115</v>
      </c>
      <c r="AJ176" s="25" t="n">
        <f aca="false">AJ14+$E$34*AJ47</f>
        <v>0.4962</v>
      </c>
      <c r="AL176" s="34" t="s">
        <v>79</v>
      </c>
      <c r="AM176" s="36" t="n">
        <f aca="false">C176*(1+(((2-3*O176^2)/24*AA176^2)+(O176*AA176*C176/4))*10)</f>
        <v>0.55877324622165</v>
      </c>
      <c r="AN176" s="36" t="n">
        <f aca="false">D176*(1+(((2-3*P176^2)/24*AB176^2)+(P176*AB176*D176/4))*10)</f>
        <v>0.536726054429463</v>
      </c>
      <c r="AO176" s="36" t="n">
        <f aca="false">E176*(1+(((2-3*Q176^2)/24*AC176^2)+(Q176*AC176*E176/4))*10)</f>
        <v>0.513564223411058</v>
      </c>
      <c r="AP176" s="36" t="n">
        <f aca="false">F176*(1+(((2-3*R176^2)/24*AD176^2)+(R176*AD176*F176/4))*10)</f>
        <v>0.50329771751489</v>
      </c>
      <c r="AQ176" s="36" t="n">
        <f aca="false">G176*(1+(((2-3*S176^2)/24*AE176^2)+(S176*AE176*G176/4))*10)</f>
        <v>0.472979691592678</v>
      </c>
      <c r="AR176" s="36" t="n">
        <f aca="false">H176*(1+(((2-3*T176^2)/24*AF176^2)+(T176*AF176*H176/4))*10)</f>
        <v>0.433846257779817</v>
      </c>
      <c r="AS176" s="36" t="n">
        <f aca="false">I176*(1+(((2-3*U176^2)/24*AG176^2)+(U176*AG176*I176/4))*10)</f>
        <v>0.405665474197745</v>
      </c>
      <c r="AT176" s="36" t="n">
        <f aca="false">J176*(1+(((2-3*V176^2)/24*AH176^2)+(V176*AH176*J176/4))*10)</f>
        <v>0.381244673345554</v>
      </c>
      <c r="AU176" s="36" t="n">
        <f aca="false">K176*(1+(((2-3*W176^2)/24*AI176^2)+(W176*AI176*K176/4))*10)</f>
        <v>0.377683910243695</v>
      </c>
      <c r="AV176" s="36" t="n">
        <f aca="false">L176*(1+(((2-3*X176^2)/24*AJ176^2)+(X176*AJ176*L176/4))*10)</f>
        <v>0.350643570368545</v>
      </c>
    </row>
    <row r="177" customFormat="false" ht="15" hidden="false" customHeight="true" outlineLevel="0" collapsed="false">
      <c r="B177" s="34" t="s">
        <v>80</v>
      </c>
      <c r="C177" s="25" t="n">
        <f aca="false">C15+$C$34*C48</f>
        <v>0.4348225</v>
      </c>
      <c r="D177" s="25" t="n">
        <f aca="false">D15+$C$34*D48</f>
        <v>0.4188315</v>
      </c>
      <c r="E177" s="25" t="n">
        <f aca="false">E15+$C$34*E48</f>
        <v>0.394921</v>
      </c>
      <c r="F177" s="25" t="n">
        <f aca="false">F15+$C$34*F48</f>
        <v>0.391754</v>
      </c>
      <c r="G177" s="25" t="n">
        <f aca="false">G15+$C$34*G48</f>
        <v>0.360403</v>
      </c>
      <c r="H177" s="25" t="n">
        <f aca="false">H15+$C$34*H48</f>
        <v>0.3446105</v>
      </c>
      <c r="I177" s="25" t="n">
        <f aca="false">I15+$C$34*I48</f>
        <v>0.3279195</v>
      </c>
      <c r="J177" s="25" t="n">
        <f aca="false">J15+$C$34*J48</f>
        <v>0.314884</v>
      </c>
      <c r="K177" s="25" t="n">
        <f aca="false">K15+$C$34*K48</f>
        <v>0.2858075</v>
      </c>
      <c r="L177" s="25" t="n">
        <f aca="false">L15+$C$34*L48</f>
        <v>0.278975</v>
      </c>
      <c r="N177" s="34" t="s">
        <v>80</v>
      </c>
      <c r="O177" s="25" t="n">
        <f aca="false">O15+$D$34*O48</f>
        <v>-0.1944</v>
      </c>
      <c r="P177" s="25" t="n">
        <f aca="false">P15+$D$34*P48</f>
        <v>-0.1744</v>
      </c>
      <c r="Q177" s="25" t="n">
        <f aca="false">Q15+$D$34*Q48</f>
        <v>-0.1551</v>
      </c>
      <c r="R177" s="25" t="n">
        <f aca="false">R15+$D$34*R48</f>
        <v>-0.1457</v>
      </c>
      <c r="S177" s="25" t="n">
        <f aca="false">S15+$D$34*S48</f>
        <v>-0.1179</v>
      </c>
      <c r="T177" s="25" t="n">
        <f aca="false">T15+$D$34*T48</f>
        <v>-0.1036</v>
      </c>
      <c r="U177" s="25" t="n">
        <f aca="false">U15+$D$34*U48</f>
        <v>-0.0877</v>
      </c>
      <c r="V177" s="25" t="n">
        <f aca="false">V15+$D$34*V48</f>
        <v>-0.0523</v>
      </c>
      <c r="W177" s="25" t="n">
        <f aca="false">W15+$D$34*W48</f>
        <v>-0.0454</v>
      </c>
      <c r="X177" s="25" t="n">
        <f aca="false">X15+$D$34*X48</f>
        <v>-0.02</v>
      </c>
      <c r="Z177" s="34" t="s">
        <v>80</v>
      </c>
      <c r="AA177" s="25" t="n">
        <f aca="false">AA15+$E$34*AA48</f>
        <v>0.6767</v>
      </c>
      <c r="AB177" s="25" t="n">
        <f aca="false">AB15+$E$34*AB48</f>
        <v>0.6511</v>
      </c>
      <c r="AC177" s="25" t="n">
        <f aca="false">AC15+$E$34*AC48</f>
        <v>0.6243</v>
      </c>
      <c r="AD177" s="25" t="n">
        <f aca="false">AD15+$E$34*AD48</f>
        <v>0.6059</v>
      </c>
      <c r="AE177" s="25" t="n">
        <f aca="false">AE15+$E$34*AE48</f>
        <v>0.5844</v>
      </c>
      <c r="AF177" s="25" t="n">
        <f aca="false">AF15+$E$34*AF48</f>
        <v>0.5668</v>
      </c>
      <c r="AG177" s="25" t="n">
        <f aca="false">AG15+$E$34*AG48</f>
        <v>0.531</v>
      </c>
      <c r="AH177" s="25" t="n">
        <f aca="false">AH15+$E$34*AH48</f>
        <v>0.5179</v>
      </c>
      <c r="AI177" s="25" t="n">
        <f aca="false">AI15+$E$34*AI48</f>
        <v>0.4894</v>
      </c>
      <c r="AJ177" s="25" t="n">
        <f aca="false">AJ15+$E$34*AJ48</f>
        <v>0.4678</v>
      </c>
      <c r="AL177" s="34" t="s">
        <v>80</v>
      </c>
      <c r="AM177" s="36" t="n">
        <f aca="false">C177*(1+(((2-3*O177^2)/24*AA177^2)+(O177*AA177*C177/4))*20)</f>
        <v>0.623507397967299</v>
      </c>
      <c r="AN177" s="36" t="n">
        <f aca="false">D177*(1+(((2-3*P177^2)/24*AB177^2)+(P177*AB177*D177/4))*20)</f>
        <v>0.601660466510925</v>
      </c>
      <c r="AO177" s="36" t="n">
        <f aca="false">E177*(1+(((2-3*Q177^2)/24*AC177^2)+(Q177*AC177*E177/4))*20)</f>
        <v>0.566690173596809</v>
      </c>
      <c r="AP177" s="36" t="n">
        <f aca="false">F177*(1+(((2-3*R177^2)/24*AD177^2)+(R177*AD177*F177/4))*20)</f>
        <v>0.556077288904546</v>
      </c>
      <c r="AQ177" s="36" t="n">
        <f aca="false">G177*(1+(((2-3*S177^2)/24*AE177^2)+(S177*AE177*G177/4))*20)</f>
        <v>0.516521330028366</v>
      </c>
      <c r="AR177" s="36" t="n">
        <f aca="false">H177*(1+(((2-3*T177^2)/24*AF177^2)+(T177*AF177*H177/4))*20)</f>
        <v>0.491289948014977</v>
      </c>
      <c r="AS177" s="36" t="n">
        <f aca="false">I177*(1+(((2-3*U177^2)/24*AG177^2)+(U177*AG177*I177/4))*20)</f>
        <v>0.455204558126587</v>
      </c>
      <c r="AT177" s="36" t="n">
        <f aca="false">J177*(1+(((2-3*V177^2)/24*AH177^2)+(V177*AH177*J177/4))*20)</f>
        <v>0.441642083711903</v>
      </c>
      <c r="AU177" s="36" t="n">
        <f aca="false">K177*(1+(((2-3*W177^2)/24*AI177^2)+(W177*AI177*K177/4))*20)</f>
        <v>0.39047067584831</v>
      </c>
      <c r="AV177" s="36" t="n">
        <f aca="false">L177*(1+(((2-3*X177^2)/24*AJ177^2)+(X177*AJ177*L177/4))*20)</f>
        <v>0.377023212962657</v>
      </c>
    </row>
    <row r="178" customFormat="false" ht="15" hidden="false" customHeight="true" outlineLevel="0" collapsed="false">
      <c r="B178" s="34" t="s">
        <v>81</v>
      </c>
      <c r="C178" s="25" t="n">
        <f aca="false">C16+$C$34*C49</f>
        <v>0.425593</v>
      </c>
      <c r="D178" s="25" t="n">
        <f aca="false">D16+$C$34*D49</f>
        <v>0.402792</v>
      </c>
      <c r="E178" s="25" t="n">
        <f aca="false">E16+$C$34*E49</f>
        <v>0.383641</v>
      </c>
      <c r="F178" s="25" t="n">
        <f aca="false">F16+$C$34*F49</f>
        <v>0.369298</v>
      </c>
      <c r="G178" s="25" t="n">
        <f aca="false">G16+$C$34*G49</f>
        <v>0.3525975</v>
      </c>
      <c r="H178" s="25" t="n">
        <f aca="false">H16+$C$34*H49</f>
        <v>0.3250135</v>
      </c>
      <c r="I178" s="25" t="n">
        <f aca="false">I16+$C$34*I49</f>
        <v>0.309084</v>
      </c>
      <c r="J178" s="25" t="n">
        <f aca="false">J16+$C$34*J49</f>
        <v>0.287375</v>
      </c>
      <c r="K178" s="25" t="n">
        <f aca="false">K16+$C$34*K49</f>
        <v>0.270875</v>
      </c>
      <c r="L178" s="25" t="n">
        <f aca="false">L16+$C$34*L49</f>
        <v>0.257875</v>
      </c>
      <c r="N178" s="34" t="s">
        <v>81</v>
      </c>
      <c r="O178" s="25" t="n">
        <f aca="false">O16+$D$34*O49</f>
        <v>-0.176</v>
      </c>
      <c r="P178" s="25" t="n">
        <f aca="false">P16+$D$34*P49</f>
        <v>-0.1549</v>
      </c>
      <c r="Q178" s="25" t="n">
        <f aca="false">Q16+$D$34*Q49</f>
        <v>-0.1366</v>
      </c>
      <c r="R178" s="25" t="n">
        <f aca="false">R16+$D$34*R49</f>
        <v>-0.1078</v>
      </c>
      <c r="S178" s="25" t="n">
        <f aca="false">S16+$D$34*S49</f>
        <v>-0.0932</v>
      </c>
      <c r="T178" s="25" t="n">
        <f aca="false">T16+$D$34*T49</f>
        <v>-0.0702</v>
      </c>
      <c r="U178" s="25" t="n">
        <f aca="false">U16+$D$34*U49</f>
        <v>-0.0495</v>
      </c>
      <c r="V178" s="25" t="n">
        <f aca="false">V16+$D$34*V49</f>
        <v>-0.0437</v>
      </c>
      <c r="W178" s="25" t="n">
        <f aca="false">W16+$D$34*W49</f>
        <v>-0.0183</v>
      </c>
      <c r="X178" s="25" t="n">
        <f aca="false">X16+$D$34*X49</f>
        <v>0.0089</v>
      </c>
      <c r="Z178" s="34" t="s">
        <v>81</v>
      </c>
      <c r="AA178" s="25" t="n">
        <f aca="false">AA16+$E$34*AA49</f>
        <v>0.6568</v>
      </c>
      <c r="AB178" s="25" t="n">
        <f aca="false">AB16+$E$34*AB49</f>
        <v>0.6205</v>
      </c>
      <c r="AC178" s="25" t="n">
        <f aca="false">AC16+$E$34*AC49</f>
        <v>0.598</v>
      </c>
      <c r="AD178" s="25" t="n">
        <f aca="false">AD16+$E$34*AD49</f>
        <v>0.5822</v>
      </c>
      <c r="AE178" s="25" t="n">
        <f aca="false">AE16+$E$34*AE49</f>
        <v>0.5526</v>
      </c>
      <c r="AF178" s="25" t="n">
        <f aca="false">AF16+$E$34*AF49</f>
        <v>0.5337</v>
      </c>
      <c r="AG178" s="25" t="n">
        <f aca="false">AG16+$E$34*AG49</f>
        <v>0.5081</v>
      </c>
      <c r="AH178" s="25" t="n">
        <f aca="false">AH16+$E$34*AH49</f>
        <v>0.4978</v>
      </c>
      <c r="AI178" s="25" t="n">
        <f aca="false">AI16+$E$34*AI49</f>
        <v>0.4779</v>
      </c>
      <c r="AJ178" s="25" t="n">
        <f aca="false">AJ16+$E$34*AJ49</f>
        <v>0.4579</v>
      </c>
      <c r="AL178" s="34" t="s">
        <v>81</v>
      </c>
      <c r="AM178" s="36" t="n">
        <f aca="false">C178*(1+(((2-3*O178^2)/24*AA178^2)+(O178*AA178*C178/4))*30)</f>
        <v>0.706219174953833</v>
      </c>
      <c r="AN178" s="36" t="n">
        <f aca="false">D178*(1+(((2-3*P178^2)/24*AB178^2)+(P178*AB178*D178/4))*30)</f>
        <v>0.659591412651983</v>
      </c>
      <c r="AO178" s="36" t="n">
        <f aca="false">E178*(1+(((2-3*Q178^2)/24*AC178^2)+(Q178*AC178*E178/4))*30)</f>
        <v>0.62684990805093</v>
      </c>
      <c r="AP178" s="36" t="n">
        <f aca="false">F178*(1+(((2-3*R178^2)/24*AD178^2)+(R178*AD178*F178/4))*30)</f>
        <v>0.612587536378475</v>
      </c>
      <c r="AQ178" s="36" t="n">
        <f aca="false">G178*(1+(((2-3*S178^2)/24*AE178^2)+(S178*AE178*G178/4))*30)</f>
        <v>0.570246468381745</v>
      </c>
      <c r="AR178" s="36" t="n">
        <f aca="false">H178*(1+(((2-3*T178^2)/24*AF178^2)+(T178*AF178*H178/4))*30)</f>
        <v>0.525058946556798</v>
      </c>
      <c r="AS178" s="36" t="n">
        <f aca="false">I178*(1+(((2-3*U178^2)/24*AG178^2)+(U178*AG178*I178/4))*30)</f>
        <v>0.489817380895684</v>
      </c>
      <c r="AT178" s="36" t="n">
        <f aca="false">J178*(1+(((2-3*V178^2)/24*AH178^2)+(V178*AH178*J178/4))*30)</f>
        <v>0.451423340473605</v>
      </c>
      <c r="AU178" s="36" t="n">
        <f aca="false">K178*(1+(((2-3*W178^2)/24*AI178^2)+(W178*AI178*K178/4))*30)</f>
        <v>0.420646401643538</v>
      </c>
      <c r="AV178" s="36" t="n">
        <f aca="false">L178*(1+(((2-3*X178^2)/24*AJ178^2)+(X178*AJ178*L178/4))*30)</f>
        <v>0.39506466727794</v>
      </c>
    </row>
    <row r="180" customFormat="false" ht="15" hidden="false" customHeight="true" outlineLevel="0" collapsed="false">
      <c r="A180" s="29" t="s">
        <v>157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</row>
    <row r="181" customFormat="false" ht="15" hidden="false" customHeight="true" outlineLevel="0" collapsed="false">
      <c r="B181" s="29" t="s">
        <v>131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N181" s="29" t="s">
        <v>132</v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Z181" s="29" t="s">
        <v>133</v>
      </c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L181" s="33" t="s">
        <v>134</v>
      </c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</row>
    <row r="182" customFormat="false" ht="15" hidden="false" customHeight="true" outlineLevel="0" collapsed="false">
      <c r="B182" s="18" t="s">
        <v>135</v>
      </c>
      <c r="C182" s="12" t="s">
        <v>136</v>
      </c>
      <c r="D182" s="12" t="s">
        <v>74</v>
      </c>
      <c r="E182" s="12" t="s">
        <v>75</v>
      </c>
      <c r="F182" s="12" t="s">
        <v>30</v>
      </c>
      <c r="G182" s="12" t="s">
        <v>76</v>
      </c>
      <c r="H182" s="12" t="s">
        <v>77</v>
      </c>
      <c r="I182" s="12" t="s">
        <v>78</v>
      </c>
      <c r="J182" s="12" t="s">
        <v>79</v>
      </c>
      <c r="K182" s="12" t="s">
        <v>80</v>
      </c>
      <c r="L182" s="12" t="s">
        <v>81</v>
      </c>
      <c r="N182" s="18" t="s">
        <v>135</v>
      </c>
      <c r="O182" s="12" t="s">
        <v>136</v>
      </c>
      <c r="P182" s="12" t="s">
        <v>74</v>
      </c>
      <c r="Q182" s="12" t="s">
        <v>75</v>
      </c>
      <c r="R182" s="12" t="s">
        <v>30</v>
      </c>
      <c r="S182" s="12" t="s">
        <v>76</v>
      </c>
      <c r="T182" s="12" t="s">
        <v>77</v>
      </c>
      <c r="U182" s="12" t="s">
        <v>78</v>
      </c>
      <c r="V182" s="12" t="s">
        <v>79</v>
      </c>
      <c r="W182" s="12" t="s">
        <v>80</v>
      </c>
      <c r="X182" s="12" t="s">
        <v>81</v>
      </c>
      <c r="Z182" s="18" t="s">
        <v>135</v>
      </c>
      <c r="AA182" s="12" t="s">
        <v>136</v>
      </c>
      <c r="AB182" s="12" t="s">
        <v>74</v>
      </c>
      <c r="AC182" s="12" t="s">
        <v>75</v>
      </c>
      <c r="AD182" s="12" t="s">
        <v>30</v>
      </c>
      <c r="AE182" s="12" t="s">
        <v>76</v>
      </c>
      <c r="AF182" s="12" t="s">
        <v>77</v>
      </c>
      <c r="AG182" s="12" t="s">
        <v>78</v>
      </c>
      <c r="AH182" s="12" t="s">
        <v>79</v>
      </c>
      <c r="AI182" s="12" t="s">
        <v>80</v>
      </c>
      <c r="AJ182" s="12" t="s">
        <v>81</v>
      </c>
      <c r="AL182" s="18" t="s">
        <v>135</v>
      </c>
      <c r="AM182" s="12" t="s">
        <v>136</v>
      </c>
      <c r="AN182" s="12" t="s">
        <v>74</v>
      </c>
      <c r="AO182" s="12" t="s">
        <v>75</v>
      </c>
      <c r="AP182" s="12" t="s">
        <v>30</v>
      </c>
      <c r="AQ182" s="12" t="s">
        <v>76</v>
      </c>
      <c r="AR182" s="12" t="s">
        <v>77</v>
      </c>
      <c r="AS182" s="12" t="s">
        <v>78</v>
      </c>
      <c r="AT182" s="12" t="s">
        <v>79</v>
      </c>
      <c r="AU182" s="12" t="s">
        <v>80</v>
      </c>
      <c r="AV182" s="12" t="s">
        <v>81</v>
      </c>
    </row>
    <row r="183" customFormat="false" ht="15" hidden="false" customHeight="true" outlineLevel="0" collapsed="false">
      <c r="B183" s="34" t="s">
        <v>136</v>
      </c>
      <c r="C183" s="25" t="n">
        <f aca="false">C7+$C$35*C40</f>
        <v>0.5970916</v>
      </c>
      <c r="D183" s="25" t="n">
        <f aca="false">D7+$C$35*D40</f>
        <v>0.5743688</v>
      </c>
      <c r="E183" s="25" t="n">
        <f aca="false">E7+$C$35*E40</f>
        <v>0.564572</v>
      </c>
      <c r="F183" s="25" t="n">
        <f aca="false">F7+$C$35*F40</f>
        <v>0.533744</v>
      </c>
      <c r="G183" s="25" t="n">
        <f aca="false">G7+$C$35*G40</f>
        <v>0.5231892</v>
      </c>
      <c r="H183" s="25" t="n">
        <f aca="false">H7+$C$35*H40</f>
        <v>0.4999292</v>
      </c>
      <c r="I183" s="25" t="n">
        <f aca="false">I7+$C$35*I40</f>
        <v>0.475644</v>
      </c>
      <c r="J183" s="25" t="n">
        <f aca="false">J7+$C$35*J40</f>
        <v>0.4651</v>
      </c>
      <c r="K183" s="25" t="n">
        <f aca="false">K7+$C$35*K40</f>
        <v>0.43584</v>
      </c>
      <c r="L183" s="25" t="n">
        <f aca="false">L7+$C$35*L40</f>
        <v>0.4240432</v>
      </c>
      <c r="N183" s="34" t="s">
        <v>136</v>
      </c>
      <c r="O183" s="25" t="n">
        <f aca="false">O7+$D$35*O40</f>
        <v>-0.3586</v>
      </c>
      <c r="P183" s="25" t="n">
        <f aca="false">P7+$D$35*P40</f>
        <v>-0.3387</v>
      </c>
      <c r="Q183" s="25" t="n">
        <f aca="false">Q7+$D$35*Q40</f>
        <v>-0.3126</v>
      </c>
      <c r="R183" s="25" t="n">
        <f aca="false">R7+$D$35*R40</f>
        <v>-0.2851</v>
      </c>
      <c r="S183" s="25" t="n">
        <f aca="false">S7+$D$35*S40</f>
        <v>-0.2797</v>
      </c>
      <c r="T183" s="25" t="n">
        <f aca="false">T7+$D$35*T40</f>
        <v>-0.2583</v>
      </c>
      <c r="U183" s="25" t="n">
        <f aca="false">U7+$D$35*U40</f>
        <v>-0.2308</v>
      </c>
      <c r="V183" s="25" t="n">
        <f aca="false">V7+$D$35*V40</f>
        <v>-0.2049</v>
      </c>
      <c r="W183" s="25" t="n">
        <f aca="false">W7+$D$35*W40</f>
        <v>-0.1929</v>
      </c>
      <c r="X183" s="25" t="n">
        <f aca="false">X7+$D$35*X40</f>
        <v>-0.1771</v>
      </c>
      <c r="Z183" s="34" t="s">
        <v>136</v>
      </c>
      <c r="AA183" s="25" t="n">
        <f aca="false">AA7+$E$35*AA40</f>
        <v>0.8595</v>
      </c>
      <c r="AB183" s="25" t="n">
        <f aca="false">AB7+$E$35*AB40</f>
        <v>0.8187</v>
      </c>
      <c r="AC183" s="25" t="n">
        <f aca="false">AC7+$E$35*AC40</f>
        <v>0.8127</v>
      </c>
      <c r="AD183" s="25" t="n">
        <f aca="false">AD7+$E$35*AD40</f>
        <v>0.7791</v>
      </c>
      <c r="AE183" s="25" t="n">
        <f aca="false">AE7+$E$35*AE40</f>
        <v>0.754</v>
      </c>
      <c r="AF183" s="25" t="n">
        <f aca="false">AF7+$E$35*AF40</f>
        <v>0.7312</v>
      </c>
      <c r="AG183" s="25" t="n">
        <f aca="false">AG7+$E$35*AG40</f>
        <v>0.7128</v>
      </c>
      <c r="AH183" s="25" t="n">
        <f aca="false">AH7+$E$35*AH40</f>
        <v>0.7008</v>
      </c>
      <c r="AI183" s="25" t="n">
        <f aca="false">AI7+$E$35*AI40</f>
        <v>0.6658</v>
      </c>
      <c r="AJ183" s="25" t="n">
        <f aca="false">AJ7+$E$35*AJ40</f>
        <v>0.6516</v>
      </c>
      <c r="AL183" s="34" t="s">
        <v>136</v>
      </c>
      <c r="AM183" s="36" t="n">
        <f aca="false">C183*(1+(((2-3*O183^2)/24*AA183^2)+(O183*AA183*C183/4))*0.0833333333333333)</f>
        <v>0.597274638185805</v>
      </c>
      <c r="AN183" s="36" t="n">
        <f aca="false">D183*(1+(((2-3*P183^2)/24*AB183^2)+(P183*AB183*D183/4))*0.0833333333333333)</f>
        <v>0.574676428229031</v>
      </c>
      <c r="AO183" s="36" t="n">
        <f aca="false">E183*(1+(((2-3*Q183^2)/24*AC183^2)+(Q183*AC183*E183/4))*0.0833333333333333)</f>
        <v>0.565094937117719</v>
      </c>
      <c r="AP183" s="36" t="n">
        <f aca="false">F183*(1+(((2-3*R183^2)/24*AD183^2)+(R183*AD183*F183/4))*0.0833333333333333)</f>
        <v>0.534401253915582</v>
      </c>
      <c r="AQ183" s="36" t="n">
        <f aca="false">G183*(1+(((2-3*S183^2)/24*AE183^2)+(S183*AE183*G183/4))*0.0833333333333333)</f>
        <v>0.523809722854298</v>
      </c>
      <c r="AR183" s="36" t="n">
        <f aca="false">H183*(1+(((2-3*T183^2)/24*AF183^2)+(T183*AF183*H183/4))*0.0833333333333333)</f>
        <v>0.500616196074558</v>
      </c>
      <c r="AS183" s="36" t="n">
        <f aca="false">I183*(1+(((2-3*U183^2)/24*AG183^2)+(U183*AG183*I183/4))*0.0833333333333333)</f>
        <v>0.476412745754417</v>
      </c>
      <c r="AT183" s="36" t="n">
        <f aca="false">J183*(1+(((2-3*V183^2)/24*AH183^2)+(V183*AH183*J183/4))*0.0833333333333333)</f>
        <v>0.465939231680878</v>
      </c>
      <c r="AU183" s="36" t="n">
        <f aca="false">K183*(1+(((2-3*W183^2)/24*AI183^2)+(W183*AI183*K183/4))*0.0833333333333333)</f>
        <v>0.436598539190617</v>
      </c>
      <c r="AV183" s="36" t="n">
        <f aca="false">L183*(1+(((2-3*X183^2)/24*AJ183^2)+(X183*AJ183*L183/4))*0.0833333333333333)</f>
        <v>0.424802371956464</v>
      </c>
    </row>
    <row r="184" customFormat="false" ht="15" hidden="false" customHeight="true" outlineLevel="0" collapsed="false">
      <c r="B184" s="34" t="s">
        <v>74</v>
      </c>
      <c r="C184" s="25" t="n">
        <f aca="false">C8+$C$35*C41</f>
        <v>0.5834684</v>
      </c>
      <c r="D184" s="25" t="n">
        <f aca="false">D8+$C$35*D41</f>
        <v>0.5584664</v>
      </c>
      <c r="E184" s="25" t="n">
        <f aca="false">E8+$C$35*E41</f>
        <v>0.5426172</v>
      </c>
      <c r="F184" s="25" t="n">
        <f aca="false">F8+$C$35*F41</f>
        <v>0.5129624</v>
      </c>
      <c r="G184" s="25" t="n">
        <f aca="false">G8+$C$35*G41</f>
        <v>0.4947456</v>
      </c>
      <c r="H184" s="25" t="n">
        <f aca="false">H8+$C$35*H41</f>
        <v>0.4774064</v>
      </c>
      <c r="I184" s="25" t="n">
        <f aca="false">I8+$C$35*I41</f>
        <v>0.4682156</v>
      </c>
      <c r="J184" s="25" t="n">
        <f aca="false">J8+$C$35*J41</f>
        <v>0.4427868</v>
      </c>
      <c r="K184" s="25" t="n">
        <f aca="false">K8+$C$35*K41</f>
        <v>0.4221172</v>
      </c>
      <c r="L184" s="25" t="n">
        <f aca="false">L8+$C$35*L41</f>
        <v>0.4077836</v>
      </c>
      <c r="N184" s="34" t="s">
        <v>74</v>
      </c>
      <c r="O184" s="25" t="n">
        <f aca="false">O8+$D$35*O41</f>
        <v>-0.3315</v>
      </c>
      <c r="P184" s="25" t="n">
        <f aca="false">P8+$D$35*P41</f>
        <v>-0.3151</v>
      </c>
      <c r="Q184" s="25" t="n">
        <f aca="false">Q8+$D$35*Q41</f>
        <v>-0.2858</v>
      </c>
      <c r="R184" s="25" t="n">
        <f aca="false">R8+$D$35*R41</f>
        <v>-0.2682</v>
      </c>
      <c r="S184" s="25" t="n">
        <f aca="false">S8+$D$35*S41</f>
        <v>-0.2579</v>
      </c>
      <c r="T184" s="25" t="n">
        <f aca="false">T8+$D$35*T41</f>
        <v>-0.2318</v>
      </c>
      <c r="U184" s="25" t="n">
        <f aca="false">U8+$D$35*U41</f>
        <v>-0.2134</v>
      </c>
      <c r="V184" s="25" t="n">
        <f aca="false">V8+$D$35*V41</f>
        <v>-0.1869</v>
      </c>
      <c r="W184" s="25" t="n">
        <f aca="false">W8+$D$35*W41</f>
        <v>-0.1704</v>
      </c>
      <c r="X184" s="25" t="n">
        <f aca="false">X8+$D$35*X41</f>
        <v>-0.1598</v>
      </c>
      <c r="Z184" s="34" t="s">
        <v>74</v>
      </c>
      <c r="AA184" s="25" t="n">
        <f aca="false">AA8+$E$35*AA41</f>
        <v>0.8374</v>
      </c>
      <c r="AB184" s="25" t="n">
        <f aca="false">AB8+$E$35*AB41</f>
        <v>0.7979</v>
      </c>
      <c r="AC184" s="25" t="n">
        <f aca="false">AC8+$E$35*AC41</f>
        <v>0.7817</v>
      </c>
      <c r="AD184" s="25" t="n">
        <f aca="false">AD8+$E$35*AD41</f>
        <v>0.7663</v>
      </c>
      <c r="AE184" s="25" t="n">
        <f aca="false">AE8+$E$35*AE41</f>
        <v>0.7319</v>
      </c>
      <c r="AF184" s="25" t="n">
        <f aca="false">AF8+$E$35*AF41</f>
        <v>0.7164</v>
      </c>
      <c r="AG184" s="25" t="n">
        <f aca="false">AG8+$E$35*AG41</f>
        <v>0.6852</v>
      </c>
      <c r="AH184" s="25" t="n">
        <f aca="false">AH8+$E$35*AH41</f>
        <v>0.6756</v>
      </c>
      <c r="AI184" s="25" t="n">
        <f aca="false">AI8+$E$35*AI41</f>
        <v>0.6553</v>
      </c>
      <c r="AJ184" s="25" t="n">
        <f aca="false">AJ8+$E$35*AJ41</f>
        <v>0.6292</v>
      </c>
      <c r="AL184" s="34" t="s">
        <v>74</v>
      </c>
      <c r="AM184" s="36" t="n">
        <f aca="false">C184*(1+(((2-3*O184^2)/24*AA184^2)+(O184*AA184*C184/4))*0.25)</f>
        <v>0.584680781021153</v>
      </c>
      <c r="AN184" s="36" t="n">
        <f aca="false">D184*(1+(((2-3*P184^2)/24*AB184^2)+(P184*AB184*D184/4))*0.25)</f>
        <v>0.559869566297776</v>
      </c>
      <c r="AO184" s="36" t="n">
        <f aca="false">E184*(1+(((2-3*Q184^2)/24*AC184^2)+(Q184*AC184*E184/4))*0.25)</f>
        <v>0.544567330535485</v>
      </c>
      <c r="AP184" s="36" t="n">
        <f aca="false">F184*(1+(((2-3*R184^2)/24*AD184^2)+(R184*AD184*F184/4))*0.25)</f>
        <v>0.515180773321397</v>
      </c>
      <c r="AQ184" s="36" t="n">
        <f aca="false">G184*(1+(((2-3*S184^2)/24*AE184^2)+(S184*AE184*G184/4))*0.25)</f>
        <v>0.49682841400213</v>
      </c>
      <c r="AR184" s="36" t="n">
        <f aca="false">H184*(1+(((2-3*T184^2)/24*AF184^2)+(T184*AF184*H184/4))*0.25)</f>
        <v>0.479734032897168</v>
      </c>
      <c r="AS184" s="36" t="n">
        <f aca="false">I184*(1+(((2-3*U184^2)/24*AG184^2)+(U184*AG184*I184/4))*0.25)</f>
        <v>0.470479013279157</v>
      </c>
      <c r="AT184" s="36" t="n">
        <f aca="false">J184*(1+(((2-3*V184^2)/24*AH184^2)+(V184*AH184*J184/4))*0.25)</f>
        <v>0.445229394062023</v>
      </c>
      <c r="AU184" s="36" t="n">
        <f aca="false">K184*(1+(((2-3*W184^2)/24*AI184^2)+(W184*AI184*K184/4))*0.25)</f>
        <v>0.424485544312061</v>
      </c>
      <c r="AV184" s="36" t="n">
        <f aca="false">L184*(1+(((2-3*X184^2)/24*AJ184^2)+(X184*AJ184*L184/4))*0.25)</f>
        <v>0.409973101603227</v>
      </c>
    </row>
    <row r="185" customFormat="false" ht="15" hidden="false" customHeight="true" outlineLevel="0" collapsed="false">
      <c r="B185" s="34" t="s">
        <v>75</v>
      </c>
      <c r="C185" s="25" t="n">
        <f aca="false">C9+$C$35*C42</f>
        <v>0.568124</v>
      </c>
      <c r="D185" s="25" t="n">
        <f aca="false">D9+$C$35*D42</f>
        <v>0.5377908</v>
      </c>
      <c r="E185" s="25" t="n">
        <f aca="false">E9+$C$35*E42</f>
        <v>0.527174</v>
      </c>
      <c r="F185" s="25" t="n">
        <f aca="false">F9+$C$35*F42</f>
        <v>0.5048768</v>
      </c>
      <c r="G185" s="25" t="n">
        <f aca="false">G9+$C$35*G42</f>
        <v>0.4860124</v>
      </c>
      <c r="H185" s="25" t="n">
        <f aca="false">H9+$C$35*H42</f>
        <v>0.4629624</v>
      </c>
      <c r="I185" s="25" t="n">
        <f aca="false">I9+$C$35*I42</f>
        <v>0.4504864</v>
      </c>
      <c r="J185" s="25" t="n">
        <f aca="false">J9+$C$35*J42</f>
        <v>0.4341168</v>
      </c>
      <c r="K185" s="25" t="n">
        <f aca="false">K9+$C$35*K42</f>
        <v>0.4054572</v>
      </c>
      <c r="L185" s="25" t="n">
        <f aca="false">L9+$C$35*L42</f>
        <v>0.3887336</v>
      </c>
      <c r="N185" s="34" t="s">
        <v>75</v>
      </c>
      <c r="O185" s="25" t="n">
        <f aca="false">O9+$D$35*O42</f>
        <v>-0.3199</v>
      </c>
      <c r="P185" s="25" t="n">
        <f aca="false">P9+$D$35*P42</f>
        <v>-0.2876</v>
      </c>
      <c r="Q185" s="25" t="n">
        <f aca="false">Q9+$D$35*Q42</f>
        <v>-0.2693</v>
      </c>
      <c r="R185" s="25" t="n">
        <f aca="false">R9+$D$35*R42</f>
        <v>-0.2429</v>
      </c>
      <c r="S185" s="25" t="n">
        <f aca="false">S9+$D$35*S42</f>
        <v>-0.2269</v>
      </c>
      <c r="T185" s="25" t="n">
        <f aca="false">T9+$D$35*T42</f>
        <v>-0.2182</v>
      </c>
      <c r="U185" s="25" t="n">
        <f aca="false">U9+$D$35*U42</f>
        <v>-0.1967</v>
      </c>
      <c r="V185" s="25" t="n">
        <f aca="false">V9+$D$35*V42</f>
        <v>-0.1716</v>
      </c>
      <c r="W185" s="25" t="n">
        <f aca="false">W9+$D$35*W42</f>
        <v>-0.1651</v>
      </c>
      <c r="X185" s="25" t="n">
        <f aca="false">X9+$D$35*X42</f>
        <v>-0.1369</v>
      </c>
      <c r="Z185" s="34" t="s">
        <v>75</v>
      </c>
      <c r="AA185" s="25" t="n">
        <f aca="false">AA9+$E$35*AA42</f>
        <v>0.7989</v>
      </c>
      <c r="AB185" s="25" t="n">
        <f aca="false">AB9+$E$35*AB42</f>
        <v>0.7757</v>
      </c>
      <c r="AC185" s="25" t="n">
        <f aca="false">AC9+$E$35*AC42</f>
        <v>0.7523</v>
      </c>
      <c r="AD185" s="25" t="n">
        <f aca="false">AD9+$E$35*AD42</f>
        <v>0.7443</v>
      </c>
      <c r="AE185" s="25" t="n">
        <f aca="false">AE9+$E$35*AE42</f>
        <v>0.7093</v>
      </c>
      <c r="AF185" s="25" t="n">
        <f aca="false">AF9+$E$35*AF42</f>
        <v>0.6894</v>
      </c>
      <c r="AG185" s="25" t="n">
        <f aca="false">AG9+$E$35*AG42</f>
        <v>0.67</v>
      </c>
      <c r="AH185" s="25" t="n">
        <f aca="false">AH9+$E$35*AH42</f>
        <v>0.6574</v>
      </c>
      <c r="AI185" s="25" t="n">
        <f aca="false">AI9+$E$35*AI42</f>
        <v>0.6194</v>
      </c>
      <c r="AJ185" s="25" t="n">
        <f aca="false">AJ9+$E$35*AJ42</f>
        <v>0.6045</v>
      </c>
      <c r="AL185" s="34" t="s">
        <v>75</v>
      </c>
      <c r="AM185" s="36" t="n">
        <f aca="false">C185*(1+(((2-3*O185^2)/24*AA185^2)+(O185*AA185*C185/4))*0.5)</f>
        <v>0.570602097494178</v>
      </c>
      <c r="AN185" s="36" t="n">
        <f aca="false">D185*(1+(((2-3*P185^2)/24*AB185^2)+(P185*AB185*D185/4))*0.5)</f>
        <v>0.541535762391096</v>
      </c>
      <c r="AO185" s="36" t="n">
        <f aca="false">E185*(1+(((2-3*Q185^2)/24*AC185^2)+(Q185*AC185*E185/4))*0.5)</f>
        <v>0.531215251631357</v>
      </c>
      <c r="AP185" s="36" t="n">
        <f aca="false">F185*(1+(((2-3*R185^2)/24*AD185^2)+(R185*AD185*F185/4))*0.5)</f>
        <v>0.509738846826477</v>
      </c>
      <c r="AQ185" s="36" t="n">
        <f aca="false">G185*(1+(((2-3*S185^2)/24*AE185^2)+(S185*AE185*G185/4))*0.5)</f>
        <v>0.490661860460829</v>
      </c>
      <c r="AR185" s="36" t="n">
        <f aca="false">H185*(1+(((2-3*T185^2)/24*AF185^2)+(T185*AF185*H185/4))*0.5)</f>
        <v>0.467445489734873</v>
      </c>
      <c r="AS185" s="36" t="n">
        <f aca="false">I185*(1+(((2-3*U185^2)/24*AG185^2)+(U185*AG185*I185/4))*0.5)</f>
        <v>0.45508023567797</v>
      </c>
      <c r="AT185" s="36" t="n">
        <f aca="false">J185*(1+(((2-3*V185^2)/24*AH185^2)+(V185*AH185*J185/4))*0.5)</f>
        <v>0.438931295129279</v>
      </c>
      <c r="AU185" s="36" t="n">
        <f aca="false">K185*(1+(((2-3*W185^2)/24*AI185^2)+(W185*AI185*K185/4))*0.5)</f>
        <v>0.409572253724559</v>
      </c>
      <c r="AV185" s="36" t="n">
        <f aca="false">L185*(1+(((2-3*X185^2)/24*AJ185^2)+(X185*AJ185*L185/4))*0.5)</f>
        <v>0.392922807604588</v>
      </c>
    </row>
    <row r="186" customFormat="false" ht="15" hidden="false" customHeight="true" outlineLevel="0" collapsed="false">
      <c r="B186" s="34" t="s">
        <v>30</v>
      </c>
      <c r="C186" s="25" t="n">
        <f aca="false">C10+$C$35*C43</f>
        <v>0.542238</v>
      </c>
      <c r="D186" s="25" t="n">
        <f aca="false">D10+$C$35*D43</f>
        <v>0.529868</v>
      </c>
      <c r="E186" s="25" t="n">
        <f aca="false">E10+$C$35*E43</f>
        <v>0.5103248</v>
      </c>
      <c r="F186" s="25" t="n">
        <f aca="false">F10+$C$35*F43</f>
        <v>0.49127</v>
      </c>
      <c r="G186" s="25" t="n">
        <f aca="false">G10+$C$35*G43</f>
        <v>0.4588252</v>
      </c>
      <c r="H186" s="25" t="n">
        <f aca="false">H10+$C$35*H43</f>
        <v>0.442334</v>
      </c>
      <c r="I186" s="25" t="n">
        <f aca="false">I10+$C$35*I43</f>
        <v>0.4214056</v>
      </c>
      <c r="J186" s="25" t="n">
        <f aca="false">J10+$C$35*J43</f>
        <v>0.4122984</v>
      </c>
      <c r="K186" s="25" t="n">
        <f aca="false">K10+$C$35*K43</f>
        <v>0.3956448</v>
      </c>
      <c r="L186" s="25" t="n">
        <f aca="false">L10+$C$35*L43</f>
        <v>0.3588316</v>
      </c>
      <c r="N186" s="34" t="s">
        <v>30</v>
      </c>
      <c r="O186" s="25" t="n">
        <f aca="false">O10+$D$35*O43</f>
        <v>-0.2981</v>
      </c>
      <c r="P186" s="25" t="n">
        <f aca="false">P10+$D$35*P43</f>
        <v>-0.2776</v>
      </c>
      <c r="Q186" s="25" t="n">
        <f aca="false">Q10+$D$35*Q43</f>
        <v>-0.2581</v>
      </c>
      <c r="R186" s="25" t="n">
        <f aca="false">R10+$D$35*R43</f>
        <v>-0.2336</v>
      </c>
      <c r="S186" s="25" t="n">
        <f aca="false">S10+$D$35*S43</f>
        <v>-0.2121</v>
      </c>
      <c r="T186" s="25" t="n">
        <f aca="false">T10+$D$35*T43</f>
        <v>-0.1992</v>
      </c>
      <c r="U186" s="25" t="n">
        <f aca="false">U10+$D$35*U43</f>
        <v>-0.1849</v>
      </c>
      <c r="V186" s="25" t="n">
        <f aca="false">V10+$D$35*V43</f>
        <v>-0.1572</v>
      </c>
      <c r="W186" s="25" t="n">
        <f aca="false">W10+$D$35*W43</f>
        <v>-0.1387</v>
      </c>
      <c r="X186" s="25" t="n">
        <f aca="false">X10+$D$35*X43</f>
        <v>-0.1153</v>
      </c>
      <c r="Z186" s="34" t="s">
        <v>30</v>
      </c>
      <c r="AA186" s="25" t="n">
        <f aca="false">AA10+$E$35*AA43</f>
        <v>0.7924</v>
      </c>
      <c r="AB186" s="25" t="n">
        <f aca="false">AB10+$E$35*AB43</f>
        <v>0.7649</v>
      </c>
      <c r="AC186" s="25" t="n">
        <f aca="false">AC10+$E$35*AC43</f>
        <v>0.7392</v>
      </c>
      <c r="AD186" s="25" t="n">
        <f aca="false">AD10+$E$35*AD43</f>
        <v>0.719</v>
      </c>
      <c r="AE186" s="25" t="n">
        <f aca="false">AE10+$E$35*AE43</f>
        <v>0.698</v>
      </c>
      <c r="AF186" s="25" t="n">
        <f aca="false">AF10+$E$35*AF43</f>
        <v>0.6633</v>
      </c>
      <c r="AG186" s="25" t="n">
        <f aca="false">AG10+$E$35*AG43</f>
        <v>0.658</v>
      </c>
      <c r="AH186" s="25" t="n">
        <f aca="false">AH10+$E$35*AH43</f>
        <v>0.6334</v>
      </c>
      <c r="AI186" s="25" t="n">
        <f aca="false">AI10+$E$35*AI43</f>
        <v>0.613</v>
      </c>
      <c r="AJ186" s="25" t="n">
        <f aca="false">AJ10+$E$35*AJ43</f>
        <v>0.5893</v>
      </c>
      <c r="AL186" s="34" t="s">
        <v>30</v>
      </c>
      <c r="AM186" s="36" t="n">
        <f aca="false">C186*(1+(((2-3*O186^2)/24*AA186^2)+(O186*AA186*C186/4))*1)</f>
        <v>0.549465514293911</v>
      </c>
      <c r="AN186" s="36" t="n">
        <f aca="false">D186*(1+(((2-3*P186^2)/24*AB186^2)+(P186*AB186*D186/4))*1)</f>
        <v>0.537812110250847</v>
      </c>
      <c r="AO186" s="36" t="n">
        <f aca="false">E186*(1+(((2-3*Q186^2)/24*AC186^2)+(Q186*AC186*E186/4))*1)</f>
        <v>0.518818561527708</v>
      </c>
      <c r="AP186" s="36" t="n">
        <f aca="false">F186*(1+(((2-3*R186^2)/24*AD186^2)+(R186*AD186*F186/4))*1)</f>
        <v>0.500567579278653</v>
      </c>
      <c r="AQ186" s="36" t="n">
        <f aca="false">G186*(1+(((2-3*S186^2)/24*AE186^2)+(S186*AE186*G186/4))*1)</f>
        <v>0.468404943684447</v>
      </c>
      <c r="AR186" s="36" t="n">
        <f aca="false">H186*(1+(((2-3*T186^2)/24*AF186^2)+(T186*AF186*H186/4))*1)</f>
        <v>0.451123313458792</v>
      </c>
      <c r="AS186" s="36" t="n">
        <f aca="false">I186*(1+(((2-3*U186^2)/24*AG186^2)+(U186*AG186*I186/4))*1)</f>
        <v>0.430428975786715</v>
      </c>
      <c r="AT186" s="36" t="n">
        <f aca="false">J186*(1+(((2-3*V186^2)/24*AH186^2)+(V186*AH186*J186/4))*1)</f>
        <v>0.421340306298811</v>
      </c>
      <c r="AU186" s="36" t="n">
        <f aca="false">K186*(1+(((2-3*W186^2)/24*AI186^2)+(W186*AI186*K186/4))*1)</f>
        <v>0.404349274635504</v>
      </c>
      <c r="AV186" s="36" t="n">
        <f aca="false">L186*(1+(((2-3*X186^2)/24*AJ186^2)+(X186*AJ186*L186/4))*1)</f>
        <v>0.366821751519444</v>
      </c>
    </row>
    <row r="187" customFormat="false" ht="15" hidden="false" customHeight="true" outlineLevel="0" collapsed="false">
      <c r="B187" s="34" t="s">
        <v>76</v>
      </c>
      <c r="C187" s="25" t="n">
        <f aca="false">C11+$C$35*C44</f>
        <v>0.5205104</v>
      </c>
      <c r="D187" s="25" t="n">
        <f aca="false">D11+$C$35*D44</f>
        <v>0.5008452</v>
      </c>
      <c r="E187" s="25" t="n">
        <f aca="false">E11+$C$35*E44</f>
        <v>0.4749956</v>
      </c>
      <c r="F187" s="25" t="n">
        <f aca="false">F11+$C$35*F44</f>
        <v>0.4670944</v>
      </c>
      <c r="G187" s="25" t="n">
        <f aca="false">G11+$C$35*G44</f>
        <v>0.4350128</v>
      </c>
      <c r="H187" s="25" t="n">
        <f aca="false">H11+$C$35*H44</f>
        <v>0.4165484</v>
      </c>
      <c r="I187" s="25" t="n">
        <f aca="false">I11+$C$35*I44</f>
        <v>0.3988932</v>
      </c>
      <c r="J187" s="25" t="n">
        <f aca="false">J11+$C$35*J44</f>
        <v>0.379018</v>
      </c>
      <c r="K187" s="25" t="n">
        <f aca="false">K11+$C$35*K44</f>
        <v>0.3626948</v>
      </c>
      <c r="L187" s="25" t="n">
        <f aca="false">L11+$C$35*L44</f>
        <v>0.3375456</v>
      </c>
      <c r="N187" s="34" t="s">
        <v>76</v>
      </c>
      <c r="O187" s="25" t="n">
        <f aca="false">O11+$D$35*O44</f>
        <v>-0.2822</v>
      </c>
      <c r="P187" s="25" t="n">
        <f aca="false">P11+$D$35*P44</f>
        <v>-0.2598</v>
      </c>
      <c r="Q187" s="25" t="n">
        <f aca="false">Q11+$D$35*Q44</f>
        <v>-0.2413</v>
      </c>
      <c r="R187" s="25" t="n">
        <f aca="false">R11+$D$35*R44</f>
        <v>-0.2166</v>
      </c>
      <c r="S187" s="25" t="n">
        <f aca="false">S11+$D$35*S44</f>
        <v>-0.2039</v>
      </c>
      <c r="T187" s="25" t="n">
        <f aca="false">T11+$D$35*T44</f>
        <v>-0.1675</v>
      </c>
      <c r="U187" s="25" t="n">
        <f aca="false">U11+$D$35*U44</f>
        <v>-0.1533</v>
      </c>
      <c r="V187" s="25" t="n">
        <f aca="false">V11+$D$35*V44</f>
        <v>-0.1431</v>
      </c>
      <c r="W187" s="25" t="n">
        <f aca="false">W11+$D$35*W44</f>
        <v>-0.1216</v>
      </c>
      <c r="X187" s="25" t="n">
        <f aca="false">X11+$D$35*X44</f>
        <v>-0.1003</v>
      </c>
      <c r="Z187" s="34" t="s">
        <v>76</v>
      </c>
      <c r="AA187" s="25" t="n">
        <f aca="false">AA11+$E$35*AA44</f>
        <v>0.7584</v>
      </c>
      <c r="AB187" s="25" t="n">
        <f aca="false">AB11+$E$35*AB44</f>
        <v>0.7313</v>
      </c>
      <c r="AC187" s="25" t="n">
        <f aca="false">AC11+$E$35*AC44</f>
        <v>0.7236</v>
      </c>
      <c r="AD187" s="25" t="n">
        <f aca="false">AD11+$E$35*AD44</f>
        <v>0.7043</v>
      </c>
      <c r="AE187" s="25" t="n">
        <f aca="false">AE11+$E$35*AE44</f>
        <v>0.6715</v>
      </c>
      <c r="AF187" s="25" t="n">
        <f aca="false">AF11+$E$35*AF44</f>
        <v>0.6497</v>
      </c>
      <c r="AG187" s="25" t="n">
        <f aca="false">AG11+$E$35*AG44</f>
        <v>0.6195</v>
      </c>
      <c r="AH187" s="25" t="n">
        <f aca="false">AH11+$E$35*AH44</f>
        <v>0.5976</v>
      </c>
      <c r="AI187" s="25" t="n">
        <f aca="false">AI11+$E$35*AI44</f>
        <v>0.5802</v>
      </c>
      <c r="AJ187" s="25" t="n">
        <f aca="false">AJ11+$E$35*AJ44</f>
        <v>0.5564</v>
      </c>
      <c r="AL187" s="34" t="s">
        <v>76</v>
      </c>
      <c r="AM187" s="36" t="n">
        <f aca="false">C187*(1+(((2-3*O187^2)/24*AA187^2)+(O187*AA187*C187/4))*2)</f>
        <v>0.535454579271858</v>
      </c>
      <c r="AN187" s="36" t="n">
        <f aca="false">D187*(1+(((2-3*P187^2)/24*AB187^2)+(P187*AB187*D187/4))*2)</f>
        <v>0.517138115486821</v>
      </c>
      <c r="AO187" s="36" t="n">
        <f aca="false">E187*(1+(((2-3*Q187^2)/24*AC187^2)+(Q187*AC187*E187/4))*2)</f>
        <v>0.49312914320346</v>
      </c>
      <c r="AP187" s="36" t="n">
        <f aca="false">F187*(1+(((2-3*R187^2)/24*AD187^2)+(R187*AD187*F187/4))*2)</f>
        <v>0.486351372353356</v>
      </c>
      <c r="AQ187" s="36" t="n">
        <f aca="false">G187*(1+(((2-3*S187^2)/24*AE187^2)+(S187*AE187*G187/4))*2)</f>
        <v>0.452711131611438</v>
      </c>
      <c r="AR187" s="36" t="n">
        <f aca="false">H187*(1+(((2-3*T187^2)/24*AF187^2)+(T187*AF187*H187/4))*2)</f>
        <v>0.435178771856816</v>
      </c>
      <c r="AS187" s="36" t="n">
        <f aca="false">I187*(1+(((2-3*U187^2)/24*AG187^2)+(U187*AG187*I187/4))*2)</f>
        <v>0.415952771860614</v>
      </c>
      <c r="AT187" s="36" t="n">
        <f aca="false">J187*(1+(((2-3*V187^2)/24*AH187^2)+(V187*AH187*J187/4))*2)</f>
        <v>0.394742142280361</v>
      </c>
      <c r="AU187" s="36" t="n">
        <f aca="false">K187*(1+(((2-3*W187^2)/24*AI187^2)+(W187*AI187*K187/4))*2)</f>
        <v>0.37795208366313</v>
      </c>
      <c r="AV187" s="36" t="n">
        <f aca="false">L187*(1+(((2-3*X187^2)/24*AJ187^2)+(X187*AJ187*L187/4))*2)</f>
        <v>0.35151983035436</v>
      </c>
    </row>
    <row r="188" customFormat="false" ht="15" hidden="false" customHeight="true" outlineLevel="0" collapsed="false">
      <c r="B188" s="34" t="s">
        <v>77</v>
      </c>
      <c r="C188" s="25" t="n">
        <f aca="false">C12+$C$35*C45</f>
        <v>0.5104248</v>
      </c>
      <c r="D188" s="25" t="n">
        <f aca="false">D12+$C$35*D45</f>
        <v>0.4772648</v>
      </c>
      <c r="E188" s="25" t="n">
        <f aca="false">E12+$C$35*E45</f>
        <v>0.4540728</v>
      </c>
      <c r="F188" s="25" t="n">
        <f aca="false">F12+$C$35*F45</f>
        <v>0.4542348</v>
      </c>
      <c r="G188" s="25" t="n">
        <f aca="false">G12+$C$35*G45</f>
        <v>0.4250268</v>
      </c>
      <c r="H188" s="25" t="n">
        <f aca="false">H12+$C$35*H45</f>
        <v>0.3982304</v>
      </c>
      <c r="I188" s="25" t="n">
        <f aca="false">I12+$C$35*I45</f>
        <v>0.3874396</v>
      </c>
      <c r="J188" s="25" t="n">
        <f aca="false">J12+$C$35*J45</f>
        <v>0.3572164</v>
      </c>
      <c r="K188" s="25" t="n">
        <f aca="false">K12+$C$35*K45</f>
        <v>0.3467296</v>
      </c>
      <c r="L188" s="25" t="n">
        <f aca="false">L12+$C$35*L45</f>
        <v>0.3378604</v>
      </c>
      <c r="N188" s="34" t="s">
        <v>77</v>
      </c>
      <c r="O188" s="25" t="n">
        <f aca="false">O12+$D$35*O45</f>
        <v>-0.2455</v>
      </c>
      <c r="P188" s="25" t="n">
        <f aca="false">P12+$D$35*P45</f>
        <v>-0.2294</v>
      </c>
      <c r="Q188" s="25" t="n">
        <f aca="false">Q12+$D$35*Q45</f>
        <v>-0.2187</v>
      </c>
      <c r="R188" s="25" t="n">
        <f aca="false">R12+$D$35*R45</f>
        <v>-0.1971</v>
      </c>
      <c r="S188" s="25" t="n">
        <f aca="false">S12+$D$35*S45</f>
        <v>-0.1817</v>
      </c>
      <c r="T188" s="25" t="n">
        <f aca="false">T12+$D$35*T45</f>
        <v>-0.1501</v>
      </c>
      <c r="U188" s="25" t="n">
        <f aca="false">U12+$D$35*U45</f>
        <v>-0.1355</v>
      </c>
      <c r="V188" s="25" t="n">
        <f aca="false">V12+$D$35*V45</f>
        <v>-0.1111</v>
      </c>
      <c r="W188" s="25" t="n">
        <f aca="false">W12+$D$35*W45</f>
        <v>-0.1006</v>
      </c>
      <c r="X188" s="25" t="n">
        <f aca="false">X12+$D$35*X45</f>
        <v>-0.0833</v>
      </c>
      <c r="Z188" s="34" t="s">
        <v>77</v>
      </c>
      <c r="AA188" s="25" t="n">
        <f aca="false">AA12+$E$35*AA45</f>
        <v>0.7451</v>
      </c>
      <c r="AB188" s="25" t="n">
        <f aca="false">AB12+$E$35*AB45</f>
        <v>0.7264</v>
      </c>
      <c r="AC188" s="25" t="n">
        <f aca="false">AC12+$E$35*AC45</f>
        <v>0.7015</v>
      </c>
      <c r="AD188" s="25" t="n">
        <f aca="false">AD12+$E$35*AD45</f>
        <v>0.6783</v>
      </c>
      <c r="AE188" s="25" t="n">
        <f aca="false">AE12+$E$35*AE45</f>
        <v>0.6564</v>
      </c>
      <c r="AF188" s="25" t="n">
        <f aca="false">AF12+$E$35*AF45</f>
        <v>0.6326</v>
      </c>
      <c r="AG188" s="25" t="n">
        <f aca="false">AG12+$E$35*AG45</f>
        <v>0.6001</v>
      </c>
      <c r="AH188" s="25" t="n">
        <f aca="false">AH12+$E$35*AH45</f>
        <v>0.5837</v>
      </c>
      <c r="AI188" s="25" t="n">
        <f aca="false">AI12+$E$35*AI45</f>
        <v>0.5582</v>
      </c>
      <c r="AJ188" s="25" t="n">
        <f aca="false">AJ12+$E$35*AJ45</f>
        <v>0.5295</v>
      </c>
      <c r="AL188" s="34" t="s">
        <v>77</v>
      </c>
      <c r="AM188" s="36" t="n">
        <f aca="false">C188*(1+(((2-3*O188^2)/24*AA188^2)+(O188*AA188*C188/4))*3)</f>
        <v>0.53912081118894</v>
      </c>
      <c r="AN188" s="36" t="n">
        <f aca="false">D188*(1+(((2-3*P188^2)/24*AB188^2)+(P188*AB188*D188/4))*3)</f>
        <v>0.506785635320797</v>
      </c>
      <c r="AO188" s="36" t="n">
        <f aca="false">E188*(1+(((2-3*Q188^2)/24*AC188^2)+(Q188*AC188*E188/4))*3)</f>
        <v>0.48220348544632</v>
      </c>
      <c r="AP188" s="36" t="n">
        <f aca="false">F188*(1+(((2-3*R188^2)/24*AD188^2)+(R188*AD188*F188/4))*3)</f>
        <v>0.482748963354916</v>
      </c>
      <c r="AQ188" s="36" t="n">
        <f aca="false">G188*(1+(((2-3*S188^2)/24*AE188^2)+(S188*AE188*G188/4))*3)</f>
        <v>0.45238233059924</v>
      </c>
      <c r="AR188" s="36" t="n">
        <f aca="false">H188*(1+(((2-3*T188^2)/24*AF188^2)+(T188*AF188*H188/4))*3)</f>
        <v>0.425431403372431</v>
      </c>
      <c r="AS188" s="36" t="n">
        <f aca="false">I188*(1+(((2-3*U188^2)/24*AG188^2)+(U188*AG188*I188/4))*3)</f>
        <v>0.412205698340653</v>
      </c>
      <c r="AT188" s="36" t="n">
        <f aca="false">J188*(1+(((2-3*V188^2)/24*AH188^2)+(V188*AH188*J188/4))*3)</f>
        <v>0.380873246592967</v>
      </c>
      <c r="AU188" s="36" t="n">
        <f aca="false">K188*(1+(((2-3*W188^2)/24*AI188^2)+(W188*AI188*K188/4))*3)</f>
        <v>0.368265448619751</v>
      </c>
      <c r="AV188" s="36" t="n">
        <f aca="false">L188*(1+(((2-3*X188^2)/24*AJ188^2)+(X188*AJ188*L188/4))*3)</f>
        <v>0.357519287285452</v>
      </c>
    </row>
    <row r="189" customFormat="false" ht="15" hidden="false" customHeight="true" outlineLevel="0" collapsed="false">
      <c r="B189" s="34" t="s">
        <v>78</v>
      </c>
      <c r="C189" s="25" t="n">
        <f aca="false">C13+$C$35*C46</f>
        <v>0.4735588</v>
      </c>
      <c r="D189" s="25" t="n">
        <f aca="false">D13+$C$35*D46</f>
        <v>0.459078</v>
      </c>
      <c r="E189" s="25" t="n">
        <f aca="false">E13+$C$35*E46</f>
        <v>0.4402136</v>
      </c>
      <c r="F189" s="25" t="n">
        <f aca="false">F13+$C$35*F46</f>
        <v>0.428548</v>
      </c>
      <c r="G189" s="25" t="n">
        <f aca="false">G13+$C$35*G46</f>
        <v>0.4142408</v>
      </c>
      <c r="H189" s="25" t="n">
        <f aca="false">H13+$C$35*H46</f>
        <v>0.3840544</v>
      </c>
      <c r="I189" s="25" t="n">
        <f aca="false">I13+$C$35*I46</f>
        <v>0.374342</v>
      </c>
      <c r="J189" s="25" t="n">
        <f aca="false">J13+$C$35*J46</f>
        <v>0.356846</v>
      </c>
      <c r="K189" s="25" t="n">
        <f aca="false">K13+$C$35*K46</f>
        <v>0.33607</v>
      </c>
      <c r="L189" s="25" t="n">
        <f aca="false">L13+$C$35*L46</f>
        <v>0.3053896</v>
      </c>
      <c r="N189" s="34" t="s">
        <v>78</v>
      </c>
      <c r="O189" s="25" t="n">
        <f aca="false">O13+$D$35*O46</f>
        <v>-0.2389</v>
      </c>
      <c r="P189" s="25" t="n">
        <f aca="false">P13+$D$35*P46</f>
        <v>-0.2194</v>
      </c>
      <c r="Q189" s="25" t="n">
        <f aca="false">Q13+$D$35*Q46</f>
        <v>-0.2005</v>
      </c>
      <c r="R189" s="25" t="n">
        <f aca="false">R13+$D$35*R46</f>
        <v>-0.1809</v>
      </c>
      <c r="S189" s="25" t="n">
        <f aca="false">S13+$D$35*S46</f>
        <v>-0.1531</v>
      </c>
      <c r="T189" s="25" t="n">
        <f aca="false">T13+$D$35*T46</f>
        <v>-0.1281</v>
      </c>
      <c r="U189" s="25" t="n">
        <f aca="false">U13+$D$35*U46</f>
        <v>-0.1099</v>
      </c>
      <c r="V189" s="25" t="n">
        <f aca="false">V13+$D$35*V46</f>
        <v>-0.0976</v>
      </c>
      <c r="W189" s="25" t="n">
        <f aca="false">W13+$D$35*W46</f>
        <v>-0.0747</v>
      </c>
      <c r="X189" s="25" t="n">
        <f aca="false">X13+$D$35*X46</f>
        <v>-0.0523</v>
      </c>
      <c r="Z189" s="34" t="s">
        <v>78</v>
      </c>
      <c r="AA189" s="25" t="n">
        <f aca="false">AA13+$E$35*AA46</f>
        <v>0.7084</v>
      </c>
      <c r="AB189" s="25" t="n">
        <f aca="false">AB13+$E$35*AB46</f>
        <v>0.6977</v>
      </c>
      <c r="AC189" s="25" t="n">
        <f aca="false">AC13+$E$35*AC46</f>
        <v>0.6804</v>
      </c>
      <c r="AD189" s="25" t="n">
        <f aca="false">AD13+$E$35*AD46</f>
        <v>0.6556</v>
      </c>
      <c r="AE189" s="25" t="n">
        <f aca="false">AE13+$E$35*AE46</f>
        <v>0.6328</v>
      </c>
      <c r="AF189" s="25" t="n">
        <f aca="false">AF13+$E$35*AF46</f>
        <v>0.6051</v>
      </c>
      <c r="AG189" s="25" t="n">
        <f aca="false">AG13+$E$35*AG46</f>
        <v>0.5769</v>
      </c>
      <c r="AH189" s="25" t="n">
        <f aca="false">AH13+$E$35*AH46</f>
        <v>0.5669</v>
      </c>
      <c r="AI189" s="25" t="n">
        <f aca="false">AI13+$E$35*AI46</f>
        <v>0.5355</v>
      </c>
      <c r="AJ189" s="25" t="n">
        <f aca="false">AJ13+$E$35*AJ46</f>
        <v>0.5227</v>
      </c>
      <c r="AL189" s="34" t="s">
        <v>78</v>
      </c>
      <c r="AM189" s="36" t="n">
        <f aca="false">C189*(1+(((2-3*O189^2)/24*AA189^2)+(O189*AA189*C189/4))*5)</f>
        <v>0.516660201626516</v>
      </c>
      <c r="AN189" s="36" t="n">
        <f aca="false">D189*(1+(((2-3*P189^2)/24*AB189^2)+(P189*AB189*D189/4))*5)</f>
        <v>0.505141994433527</v>
      </c>
      <c r="AO189" s="36" t="n">
        <f aca="false">E189*(1+(((2-3*Q189^2)/24*AC189^2)+(Q189*AC189*E189/4))*5)</f>
        <v>0.486961784545755</v>
      </c>
      <c r="AP189" s="36" t="n">
        <f aca="false">F189*(1+(((2-3*R189^2)/24*AD189^2)+(R189*AD189*F189/4))*5)</f>
        <v>0.474302330559463</v>
      </c>
      <c r="AQ189" s="36" t="n">
        <f aca="false">G189*(1+(((2-3*S189^2)/24*AE189^2)+(S189*AE189*G189/4))*5)</f>
        <v>0.460145535675388</v>
      </c>
      <c r="AR189" s="36" t="n">
        <f aca="false">H189*(1+(((2-3*T189^2)/24*AF189^2)+(T189*AF189*H189/4))*5)</f>
        <v>0.426912559811354</v>
      </c>
      <c r="AS189" s="36" t="n">
        <f aca="false">I189*(1+(((2-3*U189^2)/24*AG189^2)+(U189*AG189*I189/4))*5)</f>
        <v>0.414206724816386</v>
      </c>
      <c r="AT189" s="36" t="n">
        <f aca="false">J189*(1+(((2-3*V189^2)/24*AH189^2)+(V189*AH189*J189/4))*5)</f>
        <v>0.395140232873024</v>
      </c>
      <c r="AU189" s="36" t="n">
        <f aca="false">K189*(1+(((2-3*W189^2)/24*AI189^2)+(W189*AI189*K189/4))*5)</f>
        <v>0.37024128432764</v>
      </c>
      <c r="AV189" s="36" t="n">
        <f aca="false">L189*(1+(((2-3*X189^2)/24*AJ189^2)+(X189*AJ189*L189/4))*5)</f>
        <v>0.336825490087778</v>
      </c>
    </row>
    <row r="190" customFormat="false" ht="15" hidden="false" customHeight="true" outlineLevel="0" collapsed="false">
      <c r="B190" s="34" t="s">
        <v>79</v>
      </c>
      <c r="C190" s="25" t="n">
        <f aca="false">C14+$C$35*C47</f>
        <v>0.4731992</v>
      </c>
      <c r="D190" s="25" t="n">
        <f aca="false">D14+$C$35*D47</f>
        <v>0.4423132</v>
      </c>
      <c r="E190" s="25" t="n">
        <f aca="false">E14+$C$35*E47</f>
        <v>0.4238488</v>
      </c>
      <c r="F190" s="25" t="n">
        <f aca="false">F14+$C$35*F47</f>
        <v>0.4143884</v>
      </c>
      <c r="G190" s="25" t="n">
        <f aca="false">G14+$C$35*G47</f>
        <v>0.3906024</v>
      </c>
      <c r="H190" s="25" t="n">
        <f aca="false">H14+$C$35*H47</f>
        <v>0.3605272</v>
      </c>
      <c r="I190" s="25" t="n">
        <f aca="false">I14+$C$35*I47</f>
        <v>0.3388876</v>
      </c>
      <c r="J190" s="25" t="n">
        <f aca="false">J14+$C$35*J47</f>
        <v>0.3197804</v>
      </c>
      <c r="K190" s="25" t="n">
        <f aca="false">K14+$C$35*K47</f>
        <v>0.31679</v>
      </c>
      <c r="L190" s="25" t="n">
        <f aca="false">L14+$C$35*L47</f>
        <v>0.2951564</v>
      </c>
      <c r="N190" s="34" t="s">
        <v>79</v>
      </c>
      <c r="O190" s="25" t="n">
        <f aca="false">O14+$D$35*O47</f>
        <v>-0.221</v>
      </c>
      <c r="P190" s="25" t="n">
        <f aca="false">P14+$D$35*P47</f>
        <v>-0.1879</v>
      </c>
      <c r="Q190" s="25" t="n">
        <f aca="false">Q14+$D$35*Q47</f>
        <v>-0.1654</v>
      </c>
      <c r="R190" s="25" t="n">
        <f aca="false">R14+$D$35*R47</f>
        <v>-0.1524</v>
      </c>
      <c r="S190" s="25" t="n">
        <f aca="false">S14+$D$35*S47</f>
        <v>-0.1391</v>
      </c>
      <c r="T190" s="25" t="n">
        <f aca="false">T14+$D$35*T47</f>
        <v>-0.1157</v>
      </c>
      <c r="U190" s="25" t="n">
        <f aca="false">U14+$D$35*U47</f>
        <v>-0.1046</v>
      </c>
      <c r="V190" s="25" t="n">
        <f aca="false">V14+$D$35*V47</f>
        <v>-0.0875</v>
      </c>
      <c r="W190" s="25" t="n">
        <f aca="false">W14+$D$35*W47</f>
        <v>-0.0489</v>
      </c>
      <c r="X190" s="25" t="n">
        <f aca="false">X14+$D$35*X47</f>
        <v>-0.0359</v>
      </c>
      <c r="Z190" s="34" t="s">
        <v>79</v>
      </c>
      <c r="AA190" s="25" t="n">
        <f aca="false">AA14+$E$35*AA47</f>
        <v>0.695</v>
      </c>
      <c r="AB190" s="25" t="n">
        <f aca="false">AB14+$E$35*AB47</f>
        <v>0.6809</v>
      </c>
      <c r="AC190" s="25" t="n">
        <f aca="false">AC14+$E$35*AC47</f>
        <v>0.6487</v>
      </c>
      <c r="AD190" s="25" t="n">
        <f aca="false">AD14+$E$35*AD47</f>
        <v>0.6352</v>
      </c>
      <c r="AE190" s="25" t="n">
        <f aca="false">AE14+$E$35*AE47</f>
        <v>0.6121</v>
      </c>
      <c r="AF190" s="25" t="n">
        <f aca="false">AF14+$E$35*AF47</f>
        <v>0.5776</v>
      </c>
      <c r="AG190" s="25" t="n">
        <f aca="false">AG14+$E$35*AG47</f>
        <v>0.5561</v>
      </c>
      <c r="AH190" s="25" t="n">
        <f aca="false">AH14+$E$35*AH47</f>
        <v>0.5347</v>
      </c>
      <c r="AI190" s="25" t="n">
        <f aca="false">AI14+$E$35*AI47</f>
        <v>0.5115</v>
      </c>
      <c r="AJ190" s="25" t="n">
        <f aca="false">AJ14+$E$35*AJ47</f>
        <v>0.4962</v>
      </c>
      <c r="AL190" s="34" t="s">
        <v>79</v>
      </c>
      <c r="AM190" s="36" t="n">
        <f aca="false">C190*(1+(((2-3*O190^2)/24*AA190^2)+(O190*AA190*C190/4))*10)</f>
        <v>0.563735918139674</v>
      </c>
      <c r="AN190" s="36" t="n">
        <f aca="false">D190*(1+(((2-3*P190^2)/24*AB190^2)+(P190*AB190*D190/4))*10)</f>
        <v>0.541576130644283</v>
      </c>
      <c r="AO190" s="36" t="n">
        <f aca="false">E190*(1+(((2-3*Q190^2)/24*AC190^2)+(Q190*AC190*E190/4))*10)</f>
        <v>0.518195008738579</v>
      </c>
      <c r="AP190" s="36" t="n">
        <f aca="false">F190*(1+(((2-3*R190^2)/24*AD190^2)+(R190*AD190*F190/4))*10)</f>
        <v>0.507307546006743</v>
      </c>
      <c r="AQ190" s="36" t="n">
        <f aca="false">G190*(1+(((2-3*S190^2)/24*AE190^2)+(S190*AE190*G190/4))*10)</f>
        <v>0.476541788573397</v>
      </c>
      <c r="AR190" s="36" t="n">
        <f aca="false">H190*(1+(((2-3*T190^2)/24*AF190^2)+(T190*AF190*H190/4))*10)</f>
        <v>0.437031805572355</v>
      </c>
      <c r="AS190" s="36" t="n">
        <f aca="false">I190*(1+(((2-3*U190^2)/24*AG190^2)+(U190*AG190*I190/4))*10)</f>
        <v>0.408086929264011</v>
      </c>
      <c r="AT190" s="36" t="n">
        <f aca="false">J190*(1+(((2-3*V190^2)/24*AH190^2)+(V190*AH190*J190/4))*10)</f>
        <v>0.383133342986453</v>
      </c>
      <c r="AU190" s="36" t="n">
        <f aca="false">K190*(1+(((2-3*W190^2)/24*AI190^2)+(W190*AI190*K190/4))*10)</f>
        <v>0.379335654466283</v>
      </c>
      <c r="AV190" s="36" t="n">
        <f aca="false">L190*(1+(((2-3*X190^2)/24*AJ190^2)+(X190*AJ190*L190/4))*10)</f>
        <v>0.351719453819593</v>
      </c>
    </row>
    <row r="191" customFormat="false" ht="15" hidden="false" customHeight="true" outlineLevel="0" collapsed="false">
      <c r="B191" s="34" t="s">
        <v>80</v>
      </c>
      <c r="C191" s="25" t="n">
        <f aca="false">C15+$C$35*C48</f>
        <v>0.439234</v>
      </c>
      <c r="D191" s="25" t="n">
        <f aca="false">D15+$C$35*D48</f>
        <v>0.4227636</v>
      </c>
      <c r="E191" s="25" t="n">
        <f aca="false">E15+$C$35*E48</f>
        <v>0.3985624</v>
      </c>
      <c r="F191" s="25" t="n">
        <f aca="false">F15+$C$35*F48</f>
        <v>0.3949976</v>
      </c>
      <c r="G191" s="25" t="n">
        <f aca="false">G15+$C$35*G48</f>
        <v>0.3629632</v>
      </c>
      <c r="H191" s="25" t="n">
        <f aca="false">H15+$C$35*H48</f>
        <v>0.3469412</v>
      </c>
      <c r="I191" s="25" t="n">
        <f aca="false">I15+$C$35*I48</f>
        <v>0.3297708</v>
      </c>
      <c r="J191" s="25" t="n">
        <f aca="false">J15+$C$35*J48</f>
        <v>0.3161896</v>
      </c>
      <c r="K191" s="25" t="n">
        <f aca="false">K15+$C$35*K48</f>
        <v>0.286598</v>
      </c>
      <c r="L191" s="25" t="n">
        <f aca="false">L15+$C$35*L48</f>
        <v>0.27974</v>
      </c>
      <c r="N191" s="34" t="s">
        <v>80</v>
      </c>
      <c r="O191" s="25" t="n">
        <f aca="false">O15+$D$35*O48</f>
        <v>-0.1944</v>
      </c>
      <c r="P191" s="25" t="n">
        <f aca="false">P15+$D$35*P48</f>
        <v>-0.1744</v>
      </c>
      <c r="Q191" s="25" t="n">
        <f aca="false">Q15+$D$35*Q48</f>
        <v>-0.1551</v>
      </c>
      <c r="R191" s="25" t="n">
        <f aca="false">R15+$D$35*R48</f>
        <v>-0.1457</v>
      </c>
      <c r="S191" s="25" t="n">
        <f aca="false">S15+$D$35*S48</f>
        <v>-0.1179</v>
      </c>
      <c r="T191" s="25" t="n">
        <f aca="false">T15+$D$35*T48</f>
        <v>-0.1036</v>
      </c>
      <c r="U191" s="25" t="n">
        <f aca="false">U15+$D$35*U48</f>
        <v>-0.0877</v>
      </c>
      <c r="V191" s="25" t="n">
        <f aca="false">V15+$D$35*V48</f>
        <v>-0.0523</v>
      </c>
      <c r="W191" s="25" t="n">
        <f aca="false">W15+$D$35*W48</f>
        <v>-0.0454</v>
      </c>
      <c r="X191" s="25" t="n">
        <f aca="false">X15+$D$35*X48</f>
        <v>-0.02</v>
      </c>
      <c r="Z191" s="34" t="s">
        <v>80</v>
      </c>
      <c r="AA191" s="25" t="n">
        <f aca="false">AA15+$E$35*AA48</f>
        <v>0.6767</v>
      </c>
      <c r="AB191" s="25" t="n">
        <f aca="false">AB15+$E$35*AB48</f>
        <v>0.6511</v>
      </c>
      <c r="AC191" s="25" t="n">
        <f aca="false">AC15+$E$35*AC48</f>
        <v>0.6243</v>
      </c>
      <c r="AD191" s="25" t="n">
        <f aca="false">AD15+$E$35*AD48</f>
        <v>0.6059</v>
      </c>
      <c r="AE191" s="25" t="n">
        <f aca="false">AE15+$E$35*AE48</f>
        <v>0.5844</v>
      </c>
      <c r="AF191" s="25" t="n">
        <f aca="false">AF15+$E$35*AF48</f>
        <v>0.5668</v>
      </c>
      <c r="AG191" s="25" t="n">
        <f aca="false">AG15+$E$35*AG48</f>
        <v>0.531</v>
      </c>
      <c r="AH191" s="25" t="n">
        <f aca="false">AH15+$E$35*AH48</f>
        <v>0.5179</v>
      </c>
      <c r="AI191" s="25" t="n">
        <f aca="false">AI15+$E$35*AI48</f>
        <v>0.4894</v>
      </c>
      <c r="AJ191" s="25" t="n">
        <f aca="false">AJ15+$E$35*AJ48</f>
        <v>0.4678</v>
      </c>
      <c r="AL191" s="34" t="s">
        <v>80</v>
      </c>
      <c r="AM191" s="36" t="n">
        <f aca="false">C191*(1+(((2-3*O191^2)/24*AA191^2)+(O191*AA191*C191/4))*20)</f>
        <v>0.628558690021968</v>
      </c>
      <c r="AN191" s="36" t="n">
        <f aca="false">D191*(1+(((2-3*P191^2)/24*AB191^2)+(P191*AB191*D191/4))*20)</f>
        <v>0.606365199015335</v>
      </c>
      <c r="AO191" s="36" t="n">
        <f aca="false">E191*(1+(((2-3*Q191^2)/24*AC191^2)+(Q191*AC191*E191/4))*20)</f>
        <v>0.571212733416376</v>
      </c>
      <c r="AP191" s="36" t="n">
        <f aca="false">F191*(1+(((2-3*R191^2)/24*AD191^2)+(R191*AD191*F191/4))*20)</f>
        <v>0.560115908508927</v>
      </c>
      <c r="AQ191" s="36" t="n">
        <f aca="false">G191*(1+(((2-3*S191^2)/24*AE191^2)+(S191*AE191*G191/4))*20)</f>
        <v>0.519870417021074</v>
      </c>
      <c r="AR191" s="36" t="n">
        <f aca="false">H191*(1+(((2-3*T191^2)/24*AF191^2)+(T191*AF191*H191/4))*20)</f>
        <v>0.494375271784673</v>
      </c>
      <c r="AS191" s="36" t="n">
        <f aca="false">I191*(1+(((2-3*U191^2)/24*AG191^2)+(U191*AG191*I191/4))*20)</f>
        <v>0.457632305699713</v>
      </c>
      <c r="AT191" s="36" t="n">
        <f aca="false">J191*(1+(((2-3*V191^2)/24*AH191^2)+(V191*AH191*J191/4))*20)</f>
        <v>0.443417351157298</v>
      </c>
      <c r="AU191" s="36" t="n">
        <f aca="false">K191*(1+(((2-3*W191^2)/24*AI191^2)+(W191*AI191*K191/4))*20)</f>
        <v>0.391525489310721</v>
      </c>
      <c r="AV191" s="36" t="n">
        <f aca="false">L191*(1+(((2-3*X191^2)/24*AJ191^2)+(X191*AJ191*L191/4))*20)</f>
        <v>0.378047067957384</v>
      </c>
    </row>
    <row r="192" customFormat="false" ht="15" hidden="false" customHeight="true" outlineLevel="0" collapsed="false">
      <c r="B192" s="34" t="s">
        <v>81</v>
      </c>
      <c r="C192" s="25" t="n">
        <f aca="false">C16+$C$35*C49</f>
        <v>0.4294792</v>
      </c>
      <c r="D192" s="25" t="n">
        <f aca="false">D16+$C$35*D49</f>
        <v>0.4065048</v>
      </c>
      <c r="E192" s="25" t="n">
        <f aca="false">E16+$C$35*E49</f>
        <v>0.3866704</v>
      </c>
      <c r="F192" s="25" t="n">
        <f aca="false">F16+$C$35*F49</f>
        <v>0.3720112</v>
      </c>
      <c r="G192" s="25" t="n">
        <f aca="false">G16+$C$35*G49</f>
        <v>0.354714</v>
      </c>
      <c r="H192" s="25" t="n">
        <f aca="false">H16+$C$35*H49</f>
        <v>0.3268444</v>
      </c>
      <c r="I192" s="25" t="n">
        <f aca="false">I16+$C$35*I49</f>
        <v>0.3103896</v>
      </c>
      <c r="J192" s="25" t="n">
        <f aca="false">J16+$C$35*J49</f>
        <v>0.28814</v>
      </c>
      <c r="K192" s="25" t="n">
        <f aca="false">K16+$C$35*K49</f>
        <v>0.27164</v>
      </c>
      <c r="L192" s="25" t="n">
        <f aca="false">L16+$C$35*L49</f>
        <v>0.25864</v>
      </c>
      <c r="N192" s="34" t="s">
        <v>81</v>
      </c>
      <c r="O192" s="25" t="n">
        <f aca="false">O16+$D$35*O49</f>
        <v>-0.176</v>
      </c>
      <c r="P192" s="25" t="n">
        <f aca="false">P16+$D$35*P49</f>
        <v>-0.1549</v>
      </c>
      <c r="Q192" s="25" t="n">
        <f aca="false">Q16+$D$35*Q49</f>
        <v>-0.1366</v>
      </c>
      <c r="R192" s="25" t="n">
        <f aca="false">R16+$D$35*R49</f>
        <v>-0.1078</v>
      </c>
      <c r="S192" s="25" t="n">
        <f aca="false">S16+$D$35*S49</f>
        <v>-0.0932</v>
      </c>
      <c r="T192" s="25" t="n">
        <f aca="false">T16+$D$35*T49</f>
        <v>-0.0702</v>
      </c>
      <c r="U192" s="25" t="n">
        <f aca="false">U16+$D$35*U49</f>
        <v>-0.0495</v>
      </c>
      <c r="V192" s="25" t="n">
        <f aca="false">V16+$D$35*V49</f>
        <v>-0.0437</v>
      </c>
      <c r="W192" s="25" t="n">
        <f aca="false">W16+$D$35*W49</f>
        <v>-0.0183</v>
      </c>
      <c r="X192" s="25" t="n">
        <f aca="false">X16+$D$35*X49</f>
        <v>0.0089</v>
      </c>
      <c r="Z192" s="34" t="s">
        <v>81</v>
      </c>
      <c r="AA192" s="25" t="n">
        <f aca="false">AA16+$E$35*AA49</f>
        <v>0.6568</v>
      </c>
      <c r="AB192" s="25" t="n">
        <f aca="false">AB16+$E$35*AB49</f>
        <v>0.6205</v>
      </c>
      <c r="AC192" s="25" t="n">
        <f aca="false">AC16+$E$35*AC49</f>
        <v>0.598</v>
      </c>
      <c r="AD192" s="25" t="n">
        <f aca="false">AD16+$E$35*AD49</f>
        <v>0.5822</v>
      </c>
      <c r="AE192" s="25" t="n">
        <f aca="false">AE16+$E$35*AE49</f>
        <v>0.5526</v>
      </c>
      <c r="AF192" s="25" t="n">
        <f aca="false">AF16+$E$35*AF49</f>
        <v>0.5337</v>
      </c>
      <c r="AG192" s="25" t="n">
        <f aca="false">AG16+$E$35*AG49</f>
        <v>0.5081</v>
      </c>
      <c r="AH192" s="25" t="n">
        <f aca="false">AH16+$E$35*AH49</f>
        <v>0.4978</v>
      </c>
      <c r="AI192" s="25" t="n">
        <f aca="false">AI16+$E$35*AI49</f>
        <v>0.4779</v>
      </c>
      <c r="AJ192" s="25" t="n">
        <f aca="false">AJ16+$E$35*AJ49</f>
        <v>0.4579</v>
      </c>
      <c r="AL192" s="34" t="s">
        <v>81</v>
      </c>
      <c r="AM192" s="36" t="n">
        <f aca="false">C192*(1+(((2-3*O192^2)/24*AA192^2)+(O192*AA192*C192/4))*30)</f>
        <v>0.711220825882699</v>
      </c>
      <c r="AN192" s="36" t="n">
        <f aca="false">D192*(1+(((2-3*P192^2)/24*AB192^2)+(P192*AB192*D192/4))*30)</f>
        <v>0.664583320537506</v>
      </c>
      <c r="AO192" s="36" t="n">
        <f aca="false">E192*(1+(((2-3*Q192^2)/24*AC192^2)+(Q192*AC192*E192/4))*30)</f>
        <v>0.631082147075704</v>
      </c>
      <c r="AP192" s="36" t="n">
        <f aca="false">F192*(1+(((2-3*R192^2)/24*AD192^2)+(R192*AD192*F192/4))*30)</f>
        <v>0.616613057763423</v>
      </c>
      <c r="AQ192" s="36" t="n">
        <f aca="false">G192*(1+(((2-3*S192^2)/24*AE192^2)+(S192*AE192*G192/4))*30)</f>
        <v>0.573379435903966</v>
      </c>
      <c r="AR192" s="36" t="n">
        <f aca="false">H192*(1+(((2-3*T192^2)/24*AF192^2)+(T192*AF192*H192/4))*30)</f>
        <v>0.527848611767891</v>
      </c>
      <c r="AS192" s="36" t="n">
        <f aca="false">I192*(1+(((2-3*U192^2)/24*AG192^2)+(U192*AG192*I192/4))*30)</f>
        <v>0.491809973599909</v>
      </c>
      <c r="AT192" s="36" t="n">
        <f aca="false">J192*(1+(((2-3*V192^2)/24*AH192^2)+(V192*AH192*J192/4))*30)</f>
        <v>0.45258907802799</v>
      </c>
      <c r="AU192" s="36" t="n">
        <f aca="false">K192*(1+(((2-3*W192^2)/24*AI192^2)+(W192*AI192*K192/4))*30)</f>
        <v>0.421820752902147</v>
      </c>
      <c r="AV192" s="36" t="n">
        <f aca="false">L192*(1+(((2-3*X192^2)/24*AJ192^2)+(X192*AJ192*L192/4))*30)</f>
        <v>0.396242695318227</v>
      </c>
    </row>
  </sheetData>
  <mergeCells count="61">
    <mergeCell ref="A3:AU3"/>
    <mergeCell ref="B5:L5"/>
    <mergeCell ref="N5:X5"/>
    <mergeCell ref="Z5:AJ5"/>
    <mergeCell ref="AL5:AV5"/>
    <mergeCell ref="A18:AU18"/>
    <mergeCell ref="A20:AU20"/>
    <mergeCell ref="B21:X22"/>
    <mergeCell ref="B24:E24"/>
    <mergeCell ref="B38:L38"/>
    <mergeCell ref="A51:AU51"/>
    <mergeCell ref="A54:AU54"/>
    <mergeCell ref="B55:L55"/>
    <mergeCell ref="N55:X55"/>
    <mergeCell ref="Z55:AJ55"/>
    <mergeCell ref="AL55:AV55"/>
    <mergeCell ref="A68:AU68"/>
    <mergeCell ref="B69:L69"/>
    <mergeCell ref="N69:X69"/>
    <mergeCell ref="Z69:AJ69"/>
    <mergeCell ref="AL69:AV69"/>
    <mergeCell ref="A82:AU82"/>
    <mergeCell ref="B83:L83"/>
    <mergeCell ref="N83:X83"/>
    <mergeCell ref="Z83:AJ83"/>
    <mergeCell ref="AL83:AV83"/>
    <mergeCell ref="A96:AU96"/>
    <mergeCell ref="B97:L97"/>
    <mergeCell ref="N97:X97"/>
    <mergeCell ref="Z97:AJ97"/>
    <mergeCell ref="AL97:AV97"/>
    <mergeCell ref="A110:AU110"/>
    <mergeCell ref="B111:L111"/>
    <mergeCell ref="N111:X111"/>
    <mergeCell ref="Z111:AJ111"/>
    <mergeCell ref="AL111:AV111"/>
    <mergeCell ref="A124:AU124"/>
    <mergeCell ref="B125:L125"/>
    <mergeCell ref="N125:X125"/>
    <mergeCell ref="Z125:AJ125"/>
    <mergeCell ref="AL125:AV125"/>
    <mergeCell ref="A138:AU138"/>
    <mergeCell ref="B139:L139"/>
    <mergeCell ref="N139:X139"/>
    <mergeCell ref="Z139:AJ139"/>
    <mergeCell ref="AL139:AV139"/>
    <mergeCell ref="A152:AU152"/>
    <mergeCell ref="B153:L153"/>
    <mergeCell ref="N153:X153"/>
    <mergeCell ref="Z153:AJ153"/>
    <mergeCell ref="AL153:AV153"/>
    <mergeCell ref="A166:AU166"/>
    <mergeCell ref="B167:L167"/>
    <mergeCell ref="N167:X167"/>
    <mergeCell ref="Z167:AJ167"/>
    <mergeCell ref="AL167:AV167"/>
    <mergeCell ref="A180:AU180"/>
    <mergeCell ref="B181:L181"/>
    <mergeCell ref="N181:X181"/>
    <mergeCell ref="Z181:AJ181"/>
    <mergeCell ref="AL181:AV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38" t="s">
        <v>158</v>
      </c>
      <c r="B1" s="38"/>
      <c r="C1" s="38"/>
      <c r="D1" s="38"/>
      <c r="E1" s="38"/>
      <c r="F1" s="38"/>
      <c r="G1" s="38"/>
      <c r="H1" s="38"/>
      <c r="I1" s="38"/>
    </row>
    <row r="2" customFormat="false" ht="54.75" hidden="false" customHeight="true" outlineLevel="0" collapsed="false">
      <c r="A2" s="15" t="s">
        <v>159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true" outlineLevel="0" collapsed="false">
      <c r="A4" s="4" t="s">
        <v>26</v>
      </c>
      <c r="B4" s="39" t="n">
        <f aca="false">Trade_Info!B7</f>
        <v>10000000</v>
      </c>
    </row>
    <row r="6" customFormat="false" ht="15" hidden="false" customHeight="true" outlineLevel="0" collapsed="false">
      <c r="A6" s="4" t="s">
        <v>160</v>
      </c>
    </row>
    <row r="7" customFormat="false" ht="15" hidden="false" customHeight="true" outlineLevel="0" collapsed="false">
      <c r="A7" s="9" t="s">
        <v>161</v>
      </c>
      <c r="B7" s="40" t="n">
        <f aca="false">Curves!E8</f>
        <v>0.957768</v>
      </c>
    </row>
    <row r="8" customFormat="false" ht="15" hidden="false" customHeight="true" outlineLevel="0" collapsed="false">
      <c r="A8" s="9" t="s">
        <v>162</v>
      </c>
      <c r="B8" s="40" t="n">
        <f aca="false">Curves!E9</f>
        <v>0.96933</v>
      </c>
    </row>
    <row r="9" customFormat="false" ht="15" hidden="false" customHeight="true" outlineLevel="0" collapsed="false">
      <c r="A9" s="9" t="s">
        <v>163</v>
      </c>
      <c r="B9" s="40" t="n">
        <f aca="false">Curves!E10</f>
        <v>0.958726</v>
      </c>
    </row>
    <row r="10" customFormat="false" ht="15" hidden="false" customHeight="true" outlineLevel="0" collapsed="false">
      <c r="A10" s="9" t="s">
        <v>164</v>
      </c>
      <c r="B10" s="40" t="n">
        <f aca="false">Curves!E11</f>
        <v>0.954899</v>
      </c>
    </row>
    <row r="11" customFormat="false" ht="15" hidden="false" customHeight="true" outlineLevel="0" collapsed="false">
      <c r="A11" s="9" t="s">
        <v>165</v>
      </c>
      <c r="B11" s="40" t="n">
        <f aca="false">Curves!E12</f>
        <v>0.967393</v>
      </c>
    </row>
    <row r="12" customFormat="false" ht="15" hidden="false" customHeight="true" outlineLevel="0" collapsed="false">
      <c r="A12" s="9" t="s">
        <v>166</v>
      </c>
      <c r="B12" s="40" t="n">
        <f aca="false">Curves!E13</f>
        <v>0.960645</v>
      </c>
    </row>
    <row r="13" customFormat="false" ht="15" hidden="false" customHeight="true" outlineLevel="0" collapsed="false">
      <c r="A13" s="9" t="s">
        <v>167</v>
      </c>
      <c r="B13" s="40" t="n">
        <f aca="false">SABR!AT10</f>
        <v>0.39978211956629</v>
      </c>
    </row>
    <row r="16" customFormat="false" ht="15" hidden="false" customHeight="true" outlineLevel="0" collapsed="false">
      <c r="A16" s="41" t="s">
        <v>168</v>
      </c>
      <c r="B16" s="41"/>
      <c r="C16" s="41"/>
      <c r="D16" s="41"/>
      <c r="E16" s="41"/>
      <c r="F16" s="41"/>
      <c r="G16" s="41"/>
      <c r="H16" s="41"/>
      <c r="I16" s="41"/>
    </row>
    <row r="17" customFormat="false" ht="26.25" hidden="false" customHeight="true" outlineLevel="0" collapsed="false">
      <c r="A17" s="22" t="s">
        <v>169</v>
      </c>
      <c r="B17" s="22" t="s">
        <v>170</v>
      </c>
      <c r="C17" s="22" t="s">
        <v>171</v>
      </c>
      <c r="D17" s="22" t="s">
        <v>172</v>
      </c>
      <c r="E17" s="22" t="s">
        <v>173</v>
      </c>
      <c r="F17" s="22" t="s">
        <v>174</v>
      </c>
      <c r="G17" s="22" t="s">
        <v>175</v>
      </c>
      <c r="H17" s="22" t="s">
        <v>176</v>
      </c>
      <c r="I17" s="22" t="s">
        <v>177</v>
      </c>
    </row>
    <row r="18" customFormat="false" ht="15" hidden="false" customHeight="true" outlineLevel="0" collapsed="false">
      <c r="A18" s="4" t="s">
        <v>178</v>
      </c>
      <c r="B18" s="32" t="n">
        <f aca="false">$B$7</f>
        <v>0.957768</v>
      </c>
      <c r="C18" s="32" t="n">
        <f aca="false">$B$8</f>
        <v>0.96933</v>
      </c>
      <c r="D18" s="32" t="n">
        <f aca="false">$B$13</f>
        <v>0.39978211956629</v>
      </c>
      <c r="E18" s="32" t="n">
        <f aca="false">$B$9</f>
        <v>0.958726</v>
      </c>
      <c r="F18" s="32" t="n">
        <f aca="false">$B$10</f>
        <v>0.954899</v>
      </c>
      <c r="G18" s="32" t="n">
        <f aca="false">$B$11</f>
        <v>0.967393</v>
      </c>
      <c r="H18" s="32" t="n">
        <f aca="false">$B$12</f>
        <v>0.960645</v>
      </c>
      <c r="I18" s="42" t="n">
        <f aca="false">$B$4*B18*(C18/$B$8)*(1+0.5*(D18-$B$13))*(AVERAGE(E18,F18,G18)/B18)*(H18/$B$12)</f>
        <v>9603393.33333333</v>
      </c>
    </row>
    <row r="19" customFormat="false" ht="15" hidden="false" customHeight="true" outlineLevel="0" collapsed="false">
      <c r="A19" s="9" t="s">
        <v>117</v>
      </c>
      <c r="B19" s="24" t="n">
        <f aca="false">Curves!Q37</f>
        <v>0.95645567308242</v>
      </c>
      <c r="C19" s="24" t="n">
        <f aca="false">Curves!Q38</f>
        <v>0.968268575053369</v>
      </c>
      <c r="D19" s="43" t="n">
        <f aca="false">SABR!AT60</f>
        <v>0.406538537771067</v>
      </c>
      <c r="E19" s="24" t="n">
        <f aca="false">Curves!Q39</f>
        <v>0.958061825595622</v>
      </c>
      <c r="F19" s="24" t="n">
        <f aca="false">Curves!Q40</f>
        <v>0.949311346582243</v>
      </c>
      <c r="G19" s="24" t="n">
        <f aca="false">Curves!Q41</f>
        <v>0.962297088758501</v>
      </c>
      <c r="H19" s="24" t="n">
        <f aca="false">Curves!Q42</f>
        <v>0.958550489609229</v>
      </c>
      <c r="I19" s="42" t="n">
        <f aca="false">$B$4*B19*(C19/$B$8)*(1+0.5*(D19-$B$13))*(AVERAGE(E19,F19,G19)/B19)*(H19/$B$12)</f>
        <v>9566468.7494528</v>
      </c>
    </row>
    <row r="20" customFormat="false" ht="15" hidden="false" customHeight="true" outlineLevel="0" collapsed="false">
      <c r="A20" s="9" t="s">
        <v>118</v>
      </c>
      <c r="B20" s="24" t="n">
        <f aca="false">Curves!Q45</f>
        <v>0.953984470417811</v>
      </c>
      <c r="C20" s="24" t="n">
        <f aca="false">Curves!Q46</f>
        <v>0.968938897143004</v>
      </c>
      <c r="D20" s="43" t="n">
        <f aca="false">SABR!AT74</f>
        <v>0.408312583119033</v>
      </c>
      <c r="E20" s="24" t="n">
        <f aca="false">Curves!Q47</f>
        <v>0.954588922832977</v>
      </c>
      <c r="F20" s="24" t="n">
        <f aca="false">Curves!Q48</f>
        <v>0.952091864437955</v>
      </c>
      <c r="G20" s="24" t="n">
        <f aca="false">Curves!Q49</f>
        <v>0.964955584066973</v>
      </c>
      <c r="H20" s="24" t="n">
        <f aca="false">Curves!Q50</f>
        <v>0.957836117465444</v>
      </c>
      <c r="I20" s="42" t="n">
        <f aca="false">$B$4*B20*(C20/$B$8)*(1+0.5*(D20-$B$13))*(AVERAGE(E20,F20,G20)/B20)*(H20/$B$12)</f>
        <v>9580973.45894958</v>
      </c>
    </row>
    <row r="21" customFormat="false" ht="15" hidden="false" customHeight="true" outlineLevel="0" collapsed="false">
      <c r="A21" s="9" t="s">
        <v>119</v>
      </c>
      <c r="B21" s="24" t="n">
        <f aca="false">Curves!Q53</f>
        <v>0.953428257833193</v>
      </c>
      <c r="C21" s="24" t="n">
        <f aca="false">Curves!Q54</f>
        <v>0.967699452636081</v>
      </c>
      <c r="D21" s="43" t="n">
        <f aca="false">SABR!AT88</f>
        <v>0.407971432425642</v>
      </c>
      <c r="E21" s="24" t="n">
        <f aca="false">Curves!Q55</f>
        <v>0.954008957495664</v>
      </c>
      <c r="F21" s="24" t="n">
        <f aca="false">Curves!Q56</f>
        <v>0.953612707835657</v>
      </c>
      <c r="G21" s="24" t="n">
        <f aca="false">Curves!Q57</f>
        <v>0.961223663488055</v>
      </c>
      <c r="H21" s="24" t="n">
        <f aca="false">Curves!Q58</f>
        <v>0.95758460198965</v>
      </c>
      <c r="I21" s="42" t="n">
        <f aca="false">$B$4*B21*(C21/$B$8)*(1+0.5*(D21-$B$13))*(AVERAGE(E21,F21,G21)/B21)*(H21/$B$12)</f>
        <v>9555284.09983533</v>
      </c>
    </row>
    <row r="22" customFormat="false" ht="15" hidden="false" customHeight="true" outlineLevel="0" collapsed="false">
      <c r="A22" s="9" t="s">
        <v>120</v>
      </c>
      <c r="B22" s="24" t="n">
        <f aca="false">Curves!Q61</f>
        <v>0.953041785744194</v>
      </c>
      <c r="C22" s="24" t="n">
        <f aca="false">Curves!Q62</f>
        <v>0.965269080950153</v>
      </c>
      <c r="D22" s="43" t="n">
        <f aca="false">SABR!AT102</f>
        <v>0.413770225261134</v>
      </c>
      <c r="E22" s="24" t="n">
        <f aca="false">Curves!Q63</f>
        <v>0.95320762385314</v>
      </c>
      <c r="F22" s="24" t="n">
        <f aca="false">Curves!Q64</f>
        <v>0.946234479809646</v>
      </c>
      <c r="G22" s="24" t="n">
        <f aca="false">Curves!Q65</f>
        <v>0.960336700770215</v>
      </c>
      <c r="H22" s="24" t="n">
        <f aca="false">Curves!Q66</f>
        <v>0.962263559855125</v>
      </c>
      <c r="I22" s="42" t="n">
        <f aca="false">$B$4*B22*(C22/$B$8)*(1+0.5*(D22-$B$13))*(AVERAGE(E22,F22,G22)/B22)*(H22/$B$12)</f>
        <v>9575157.98472471</v>
      </c>
    </row>
    <row r="23" customFormat="false" ht="15" hidden="false" customHeight="true" outlineLevel="0" collapsed="false">
      <c r="A23" s="9" t="s">
        <v>121</v>
      </c>
      <c r="B23" s="24" t="n">
        <f aca="false">Curves!Q69</f>
        <v>0.955487984146696</v>
      </c>
      <c r="C23" s="24" t="n">
        <f aca="false">Curves!Q70</f>
        <v>0.964836228667716</v>
      </c>
      <c r="D23" s="43" t="n">
        <f aca="false">SABR!AT116</f>
        <v>0.41063225788842</v>
      </c>
      <c r="E23" s="24" t="n">
        <f aca="false">Curves!Q71</f>
        <v>0.9563957060858</v>
      </c>
      <c r="F23" s="24" t="n">
        <f aca="false">Curves!Q72</f>
        <v>0.945344255389449</v>
      </c>
      <c r="G23" s="24" t="n">
        <f aca="false">Curves!Q73</f>
        <v>0.960043506585016</v>
      </c>
      <c r="H23" s="24" t="n">
        <f aca="false">Curves!Q74</f>
        <v>0.956804885239764</v>
      </c>
      <c r="I23" s="42" t="n">
        <f aca="false">$B$4*B23*(C23/$B$8)*(1+0.5*(D23-$B$13))*(AVERAGE(E23,F23,G23)/B23)*(H23/$B$12)</f>
        <v>9508404.11455907</v>
      </c>
    </row>
    <row r="24" customFormat="false" ht="15" hidden="false" customHeight="true" outlineLevel="0" collapsed="false">
      <c r="A24" s="9" t="s">
        <v>122</v>
      </c>
      <c r="B24" s="24" t="n">
        <f aca="false">Curves!Q77</f>
        <v>0.954991103789659</v>
      </c>
      <c r="C24" s="24" t="n">
        <f aca="false">Curves!Q78</f>
        <v>0.96434631914572</v>
      </c>
      <c r="D24" s="43" t="n">
        <f aca="false">SABR!AT130</f>
        <v>0.411928432857369</v>
      </c>
      <c r="E24" s="24" t="n">
        <f aca="false">Curves!Q79</f>
        <v>0.952137896569466</v>
      </c>
      <c r="F24" s="24" t="n">
        <f aca="false">Curves!Q80</f>
        <v>0.944482088523894</v>
      </c>
      <c r="G24" s="24" t="n">
        <f aca="false">Curves!Q81</f>
        <v>0.958612050918359</v>
      </c>
      <c r="H24" s="24" t="n">
        <f aca="false">Curves!Q82</f>
        <v>0.958736934866277</v>
      </c>
      <c r="I24" s="42" t="n">
        <f aca="false">$B$4*B24*(C24/$B$8)*(1+0.5*(D24-$B$13))*(AVERAGE(E24,F24,G24)/B24)*(H24/$B$12)</f>
        <v>9507090.31956645</v>
      </c>
    </row>
    <row r="25" customFormat="false" ht="15" hidden="false" customHeight="true" outlineLevel="0" collapsed="false">
      <c r="A25" s="9" t="s">
        <v>123</v>
      </c>
      <c r="B25" s="24" t="n">
        <f aca="false">Curves!Q85</f>
        <v>0.954631571739291</v>
      </c>
      <c r="C25" s="24" t="n">
        <f aca="false">Curves!Q86</f>
        <v>0.963898937861947</v>
      </c>
      <c r="D25" s="43" t="n">
        <f aca="false">SABR!AT144</f>
        <v>0.417726110712245</v>
      </c>
      <c r="E25" s="24" t="n">
        <f aca="false">Curves!Q87</f>
        <v>0.951644904713199</v>
      </c>
      <c r="F25" s="24" t="n">
        <f aca="false">Curves!Q88</f>
        <v>0.950115469489328</v>
      </c>
      <c r="G25" s="24" t="n">
        <f aca="false">Curves!Q89</f>
        <v>0.957808375985025</v>
      </c>
      <c r="H25" s="24" t="n">
        <f aca="false">Curves!Q90</f>
        <v>0.956260628257328</v>
      </c>
      <c r="I25" s="42" t="n">
        <f aca="false">$B$4*B25*(C25/$B$8)*(1+0.5*(D25-$B$13))*(AVERAGE(E25,F25,G25)/B25)*(H25/$B$12)</f>
        <v>9519882.67730916</v>
      </c>
    </row>
    <row r="26" customFormat="false" ht="15" hidden="false" customHeight="true" outlineLevel="0" collapsed="false">
      <c r="A26" s="9" t="s">
        <v>124</v>
      </c>
      <c r="B26" s="24" t="n">
        <f aca="false">Curves!Q93</f>
        <v>0.950859692250137</v>
      </c>
      <c r="C26" s="24" t="n">
        <f aca="false">Curves!Q94</f>
        <v>0.972017712190285</v>
      </c>
      <c r="D26" s="43" t="n">
        <f aca="false">SABR!AT158</f>
        <v>0.415066202564148</v>
      </c>
      <c r="E26" s="24" t="n">
        <f aca="false">Curves!Q95</f>
        <v>0.950824572103433</v>
      </c>
      <c r="F26" s="24" t="n">
        <f aca="false">Curves!Q96</f>
        <v>0.942346869047631</v>
      </c>
      <c r="G26" s="24" t="n">
        <f aca="false">Curves!Q97</f>
        <v>0.957056963924134</v>
      </c>
      <c r="H26" s="24" t="n">
        <f aca="false">Curves!Q98</f>
        <v>0.960229712665626</v>
      </c>
      <c r="I26" s="42" t="n">
        <f aca="false">$B$4*B26*(C26/$B$8)*(1+0.5*(D26-$B$13))*(AVERAGE(E26,F26,G26)/B26)*(H26/$B$12)</f>
        <v>9595761.09233375</v>
      </c>
    </row>
    <row r="27" customFormat="false" ht="15" hidden="false" customHeight="true" outlineLevel="0" collapsed="false">
      <c r="A27" s="9" t="s">
        <v>125</v>
      </c>
      <c r="B27" s="24" t="n">
        <f aca="false">Curves!Q101</f>
        <v>0.950629998326299</v>
      </c>
      <c r="C27" s="24" t="n">
        <f aca="false">Curves!Q102</f>
        <v>0.963171513076289</v>
      </c>
      <c r="D27" s="43" t="n">
        <f aca="false">SABR!AT172</f>
        <v>0.417862506985643</v>
      </c>
      <c r="E27" s="24" t="n">
        <f aca="false">Curves!Q103</f>
        <v>0.950069418905633</v>
      </c>
      <c r="F27" s="24" t="n">
        <f aca="false">Curves!Q104</f>
        <v>0.941085187512815</v>
      </c>
      <c r="G27" s="24" t="n">
        <f aca="false">Curves!Q105</f>
        <v>0.956168103382636</v>
      </c>
      <c r="H27" s="24" t="n">
        <f aca="false">Curves!Q106</f>
        <v>0.955591148630945</v>
      </c>
      <c r="I27" s="42" t="n">
        <f aca="false">$B$4*B27*(C27/$B$8)*(1+0.5*(D27-$B$13))*(AVERAGE(E27,F27,G27)/B27)*(H27/$B$12)</f>
        <v>9465968.836727</v>
      </c>
    </row>
    <row r="28" customFormat="false" ht="15" hidden="false" customHeight="true" outlineLevel="0" collapsed="false">
      <c r="A28" s="9" t="s">
        <v>126</v>
      </c>
      <c r="B28" s="24" t="n">
        <f aca="false">Curves!Q109</f>
        <v>0.949924622570429</v>
      </c>
      <c r="C28" s="24" t="n">
        <f aca="false">Curves!Q110</f>
        <v>0.972647724846082</v>
      </c>
      <c r="D28" s="43" t="n">
        <f aca="false">SABR!AT186</f>
        <v>0.421340306298811</v>
      </c>
      <c r="E28" s="24" t="n">
        <f aca="false">Curves!Q111</f>
        <v>0.957237796944819</v>
      </c>
      <c r="F28" s="24" t="n">
        <f aca="false">Curves!Q112</f>
        <v>0.94825631913984</v>
      </c>
      <c r="G28" s="24" t="n">
        <f aca="false">Curves!Q113</f>
        <v>0.966039723186702</v>
      </c>
      <c r="H28" s="24" t="n">
        <f aca="false">Curves!Q114</f>
        <v>0.955213344747142</v>
      </c>
      <c r="I28" s="42" t="n">
        <f aca="false">$B$4*B28*(C28/$B$8)*(1+0.5*(D28-$B$13))*(AVERAGE(E28,F28,G28)/B28)*(H28/$B$12)</f>
        <v>9653177.90201575</v>
      </c>
    </row>
    <row r="31" customFormat="false" ht="15" hidden="false" customHeight="true" outlineLevel="0" collapsed="false">
      <c r="A31" s="44" t="s">
        <v>179</v>
      </c>
      <c r="B31" s="44"/>
      <c r="C31" s="44"/>
      <c r="D31" s="44"/>
      <c r="E31" s="44"/>
      <c r="F31" s="44"/>
      <c r="G31" s="44"/>
      <c r="H31" s="44"/>
      <c r="I31" s="44"/>
    </row>
    <row r="32" customFormat="false" ht="26.25" hidden="false" customHeight="true" outlineLevel="0" collapsed="false">
      <c r="A32" s="22" t="s">
        <v>169</v>
      </c>
      <c r="B32" s="22" t="s">
        <v>170</v>
      </c>
      <c r="C32" s="22" t="s">
        <v>171</v>
      </c>
      <c r="D32" s="22" t="s">
        <v>172</v>
      </c>
      <c r="E32" s="22" t="s">
        <v>173</v>
      </c>
      <c r="F32" s="22" t="s">
        <v>174</v>
      </c>
      <c r="G32" s="22" t="s">
        <v>175</v>
      </c>
      <c r="H32" s="22" t="s">
        <v>176</v>
      </c>
      <c r="I32" s="22" t="s">
        <v>177</v>
      </c>
    </row>
    <row r="33" customFormat="false" ht="15" hidden="false" customHeight="true" outlineLevel="0" collapsed="false">
      <c r="A33" s="4" t="s">
        <v>178</v>
      </c>
      <c r="B33" s="32" t="n">
        <f aca="false">$B$7</f>
        <v>0.957768</v>
      </c>
      <c r="C33" s="32" t="n">
        <f aca="false">$B$8</f>
        <v>0.96933</v>
      </c>
      <c r="D33" s="32" t="n">
        <f aca="false">$B$13</f>
        <v>0.39978211956629</v>
      </c>
      <c r="E33" s="32" t="n">
        <f aca="false">$B$9</f>
        <v>0.958726</v>
      </c>
      <c r="F33" s="32" t="n">
        <f aca="false">$B$10</f>
        <v>0.954899</v>
      </c>
      <c r="G33" s="32" t="n">
        <f aca="false">$B$11</f>
        <v>0.967393</v>
      </c>
      <c r="H33" s="32" t="n">
        <f aca="false">$B$12</f>
        <v>0.960645</v>
      </c>
      <c r="I33" s="42" t="n">
        <f aca="false">$B$4*B33*(C33/$B$8)*(1+0.5*(D33-$B$13))*(AVERAGE(E33,F33,G33)/B33)*(H33/$B$12)</f>
        <v>9603393.33333333</v>
      </c>
    </row>
    <row r="34" customFormat="false" ht="15" hidden="false" customHeight="true" outlineLevel="0" collapsed="false">
      <c r="A34" s="9" t="s">
        <v>117</v>
      </c>
      <c r="B34" s="24" t="n">
        <f aca="false">Curves!Q37</f>
        <v>0.95645567308242</v>
      </c>
      <c r="C34" s="24" t="n">
        <f aca="false">Curves!Q38</f>
        <v>0.968268575053369</v>
      </c>
      <c r="D34" s="43" t="n">
        <f aca="false">SABR!AT60</f>
        <v>0.406538537771067</v>
      </c>
      <c r="E34" s="32" t="n">
        <f aca="false">$B$9</f>
        <v>0.958726</v>
      </c>
      <c r="F34" s="32" t="n">
        <f aca="false">$B$10</f>
        <v>0.954899</v>
      </c>
      <c r="G34" s="32" t="n">
        <f aca="false">$B$11</f>
        <v>0.967393</v>
      </c>
      <c r="H34" s="32" t="n">
        <f aca="false">$B$12</f>
        <v>0.960645</v>
      </c>
      <c r="I34" s="42" t="n">
        <f aca="false">$B$4*B34*(C34/$B$8)*(1+0.5*(D34-$B$13))*(AVERAGE(E34,F34,G34)/B34)*(H34/$B$12)</f>
        <v>9625284.27866264</v>
      </c>
    </row>
    <row r="35" customFormat="false" ht="15" hidden="false" customHeight="true" outlineLevel="0" collapsed="false">
      <c r="A35" s="9" t="s">
        <v>118</v>
      </c>
      <c r="B35" s="24" t="n">
        <f aca="false">Curves!Q45</f>
        <v>0.953984470417811</v>
      </c>
      <c r="C35" s="24" t="n">
        <f aca="false">Curves!Q46</f>
        <v>0.968938897143004</v>
      </c>
      <c r="D35" s="43" t="n">
        <f aca="false">SABR!AT74</f>
        <v>0.408312583119033</v>
      </c>
      <c r="E35" s="32" t="n">
        <f aca="false">$B$9</f>
        <v>0.958726</v>
      </c>
      <c r="F35" s="32" t="n">
        <f aca="false">$B$10</f>
        <v>0.954899</v>
      </c>
      <c r="G35" s="32" t="n">
        <f aca="false">$B$11</f>
        <v>0.967393</v>
      </c>
      <c r="H35" s="32" t="n">
        <f aca="false">$B$12</f>
        <v>0.960645</v>
      </c>
      <c r="I35" s="42" t="n">
        <f aca="false">$B$4*B35*(C35/$B$8)*(1+0.5*(D35-$B$13))*(AVERAGE(E35,F35,G35)/B35)*(H35/$B$12)</f>
        <v>9640462.75176721</v>
      </c>
    </row>
    <row r="36" customFormat="false" ht="15" hidden="false" customHeight="true" outlineLevel="0" collapsed="false">
      <c r="A36" s="9" t="s">
        <v>119</v>
      </c>
      <c r="B36" s="24" t="n">
        <f aca="false">Curves!Q53</f>
        <v>0.953428257833193</v>
      </c>
      <c r="C36" s="24" t="n">
        <f aca="false">Curves!Q54</f>
        <v>0.967699452636081</v>
      </c>
      <c r="D36" s="43" t="n">
        <f aca="false">SABR!AT88</f>
        <v>0.407971432425642</v>
      </c>
      <c r="E36" s="32" t="n">
        <f aca="false">$B$9</f>
        <v>0.958726</v>
      </c>
      <c r="F36" s="32" t="n">
        <f aca="false">$B$10</f>
        <v>0.954899</v>
      </c>
      <c r="G36" s="32" t="n">
        <f aca="false">$B$11</f>
        <v>0.967393</v>
      </c>
      <c r="H36" s="32" t="n">
        <f aca="false">$B$12</f>
        <v>0.960645</v>
      </c>
      <c r="I36" s="42" t="n">
        <f aca="false">$B$4*B36*(C36/$B$8)*(1+0.5*(D36-$B$13))*(AVERAGE(E36,F36,G36)/B36)*(H36/$B$12)</f>
        <v>9626495.5453682</v>
      </c>
    </row>
    <row r="37" customFormat="false" ht="15" hidden="false" customHeight="true" outlineLevel="0" collapsed="false">
      <c r="A37" s="9" t="s">
        <v>120</v>
      </c>
      <c r="B37" s="24" t="n">
        <f aca="false">Curves!Q61</f>
        <v>0.953041785744194</v>
      </c>
      <c r="C37" s="24" t="n">
        <f aca="false">Curves!Q62</f>
        <v>0.965269080950153</v>
      </c>
      <c r="D37" s="43" t="n">
        <f aca="false">SABR!AT102</f>
        <v>0.413770225261134</v>
      </c>
      <c r="E37" s="32" t="n">
        <f aca="false">$B$9</f>
        <v>0.958726</v>
      </c>
      <c r="F37" s="32" t="n">
        <f aca="false">$B$10</f>
        <v>0.954899</v>
      </c>
      <c r="G37" s="32" t="n">
        <f aca="false">$B$11</f>
        <v>0.967393</v>
      </c>
      <c r="H37" s="32" t="n">
        <f aca="false">$B$12</f>
        <v>0.960645</v>
      </c>
      <c r="I37" s="42" t="n">
        <f aca="false">$B$4*B37*(C37/$B$8)*(1+0.5*(D37-$B$13))*(AVERAGE(E37,F37,G37)/B37)*(H37/$B$12)</f>
        <v>9630046.0505749</v>
      </c>
    </row>
    <row r="38" customFormat="false" ht="15" hidden="false" customHeight="true" outlineLevel="0" collapsed="false">
      <c r="A38" s="9" t="s">
        <v>121</v>
      </c>
      <c r="B38" s="24" t="n">
        <f aca="false">Curves!Q69</f>
        <v>0.955487984146696</v>
      </c>
      <c r="C38" s="24" t="n">
        <f aca="false">Curves!Q70</f>
        <v>0.964836228667716</v>
      </c>
      <c r="D38" s="43" t="n">
        <f aca="false">SABR!AT116</f>
        <v>0.41063225788842</v>
      </c>
      <c r="E38" s="32" t="n">
        <f aca="false">$B$9</f>
        <v>0.958726</v>
      </c>
      <c r="F38" s="32" t="n">
        <f aca="false">$B$10</f>
        <v>0.954899</v>
      </c>
      <c r="G38" s="32" t="n">
        <f aca="false">$B$11</f>
        <v>0.967393</v>
      </c>
      <c r="H38" s="32" t="n">
        <f aca="false">$B$12</f>
        <v>0.960645</v>
      </c>
      <c r="I38" s="42" t="n">
        <f aca="false">$B$4*B38*(C38/$B$8)*(1+0.5*(D38-$B$13))*(AVERAGE(E38,F38,G38)/B38)*(H38/$B$12)</f>
        <v>9610729.96736938</v>
      </c>
    </row>
    <row r="39" customFormat="false" ht="15" hidden="false" customHeight="true" outlineLevel="0" collapsed="false">
      <c r="A39" s="9" t="s">
        <v>122</v>
      </c>
      <c r="B39" s="24" t="n">
        <f aca="false">Curves!Q77</f>
        <v>0.954991103789659</v>
      </c>
      <c r="C39" s="24" t="n">
        <f aca="false">Curves!Q78</f>
        <v>0.96434631914572</v>
      </c>
      <c r="D39" s="43" t="n">
        <f aca="false">SABR!AT130</f>
        <v>0.411928432857369</v>
      </c>
      <c r="E39" s="32" t="n">
        <f aca="false">$B$9</f>
        <v>0.958726</v>
      </c>
      <c r="F39" s="32" t="n">
        <f aca="false">$B$10</f>
        <v>0.954899</v>
      </c>
      <c r="G39" s="32" t="n">
        <f aca="false">$B$11</f>
        <v>0.967393</v>
      </c>
      <c r="H39" s="32" t="n">
        <f aca="false">$B$12</f>
        <v>0.960645</v>
      </c>
      <c r="I39" s="42" t="n">
        <f aca="false">$B$4*B39*(C39/$B$8)*(1+0.5*(D39-$B$13))*(AVERAGE(E39,F39,G39)/B39)*(H39/$B$12)</f>
        <v>9612041.82049268</v>
      </c>
    </row>
    <row r="40" customFormat="false" ht="15" hidden="false" customHeight="true" outlineLevel="0" collapsed="false">
      <c r="A40" s="9" t="s">
        <v>123</v>
      </c>
      <c r="B40" s="24" t="n">
        <f aca="false">Curves!Q85</f>
        <v>0.954631571739291</v>
      </c>
      <c r="C40" s="24" t="n">
        <f aca="false">Curves!Q86</f>
        <v>0.963898937861947</v>
      </c>
      <c r="D40" s="43" t="n">
        <f aca="false">SABR!AT144</f>
        <v>0.417726110712245</v>
      </c>
      <c r="E40" s="32" t="n">
        <f aca="false">$B$9</f>
        <v>0.958726</v>
      </c>
      <c r="F40" s="32" t="n">
        <f aca="false">$B$10</f>
        <v>0.954899</v>
      </c>
      <c r="G40" s="32" t="n">
        <f aca="false">$B$11</f>
        <v>0.967393</v>
      </c>
      <c r="H40" s="32" t="n">
        <f aca="false">$B$12</f>
        <v>0.960645</v>
      </c>
      <c r="I40" s="42" t="n">
        <f aca="false">$B$4*B40*(C40/$B$8)*(1+0.5*(D40-$B$13))*(AVERAGE(E40,F40,G40)/B40)*(H40/$B$12)</f>
        <v>9635265.29765711</v>
      </c>
    </row>
    <row r="41" customFormat="false" ht="15" hidden="false" customHeight="true" outlineLevel="0" collapsed="false">
      <c r="A41" s="9" t="s">
        <v>124</v>
      </c>
      <c r="B41" s="24" t="n">
        <f aca="false">Curves!Q93</f>
        <v>0.950859692250137</v>
      </c>
      <c r="C41" s="24" t="n">
        <f aca="false">Curves!Q94</f>
        <v>0.972017712190285</v>
      </c>
      <c r="D41" s="43" t="n">
        <f aca="false">SABR!AT158</f>
        <v>0.415066202564148</v>
      </c>
      <c r="E41" s="32" t="n">
        <f aca="false">$B$9</f>
        <v>0.958726</v>
      </c>
      <c r="F41" s="32" t="n">
        <f aca="false">$B$10</f>
        <v>0.954899</v>
      </c>
      <c r="G41" s="32" t="n">
        <f aca="false">$B$11</f>
        <v>0.967393</v>
      </c>
      <c r="H41" s="32" t="n">
        <f aca="false">$B$12</f>
        <v>0.960645</v>
      </c>
      <c r="I41" s="42" t="n">
        <f aca="false">$B$4*B41*(C41/$B$8)*(1+0.5*(D41-$B$13))*(AVERAGE(E41,F41,G41)/B41)*(H41/$B$12)</f>
        <v>9703614.18768897</v>
      </c>
    </row>
    <row r="42" customFormat="false" ht="15" hidden="false" customHeight="true" outlineLevel="0" collapsed="false">
      <c r="A42" s="9" t="s">
        <v>125</v>
      </c>
      <c r="B42" s="24" t="n">
        <f aca="false">Curves!Q101</f>
        <v>0.950629998326299</v>
      </c>
      <c r="C42" s="24" t="n">
        <f aca="false">Curves!Q102</f>
        <v>0.963171513076289</v>
      </c>
      <c r="D42" s="43" t="n">
        <f aca="false">SABR!AT172</f>
        <v>0.417862506985643</v>
      </c>
      <c r="E42" s="32" t="n">
        <f aca="false">$B$9</f>
        <v>0.958726</v>
      </c>
      <c r="F42" s="32" t="n">
        <f aca="false">$B$10</f>
        <v>0.954899</v>
      </c>
      <c r="G42" s="32" t="n">
        <f aca="false">$B$11</f>
        <v>0.967393</v>
      </c>
      <c r="H42" s="32" t="n">
        <f aca="false">$B$12</f>
        <v>0.960645</v>
      </c>
      <c r="I42" s="42" t="n">
        <f aca="false">$B$4*B42*(C42/$B$8)*(1+0.5*(D42-$B$13))*(AVERAGE(E42,F42,G42)/B42)*(H42/$B$12)</f>
        <v>9628644.63276283</v>
      </c>
    </row>
    <row r="43" customFormat="false" ht="15" hidden="false" customHeight="true" outlineLevel="0" collapsed="false">
      <c r="A43" s="9" t="s">
        <v>126</v>
      </c>
      <c r="B43" s="24" t="n">
        <f aca="false">Curves!Q109</f>
        <v>0.949924622570429</v>
      </c>
      <c r="C43" s="24" t="n">
        <f aca="false">Curves!Q110</f>
        <v>0.972647724846082</v>
      </c>
      <c r="D43" s="43" t="n">
        <f aca="false">SABR!AT186</f>
        <v>0.421340306298811</v>
      </c>
      <c r="E43" s="32" t="n">
        <f aca="false">$B$9</f>
        <v>0.958726</v>
      </c>
      <c r="F43" s="32" t="n">
        <f aca="false">$B$10</f>
        <v>0.954899</v>
      </c>
      <c r="G43" s="32" t="n">
        <f aca="false">$B$11</f>
        <v>0.967393</v>
      </c>
      <c r="H43" s="32" t="n">
        <f aca="false">$B$12</f>
        <v>0.960645</v>
      </c>
      <c r="I43" s="42" t="n">
        <f aca="false">$B$4*B43*(C43/$B$8)*(1+0.5*(D43-$B$13))*(AVERAGE(E43,F43,G43)/B43)*(H43/$B$12)</f>
        <v>9740133.0353856</v>
      </c>
    </row>
    <row r="46" customFormat="false" ht="15" hidden="false" customHeight="true" outlineLevel="0" collapsed="false">
      <c r="A46" s="45" t="s">
        <v>180</v>
      </c>
      <c r="B46" s="45"/>
      <c r="C46" s="45"/>
      <c r="D46" s="45"/>
      <c r="E46" s="45"/>
      <c r="F46" s="45"/>
      <c r="G46" s="45"/>
      <c r="H46" s="45"/>
      <c r="I46" s="45"/>
    </row>
    <row r="47" customFormat="false" ht="26.25" hidden="false" customHeight="true" outlineLevel="0" collapsed="false">
      <c r="A47" s="22" t="s">
        <v>169</v>
      </c>
      <c r="B47" s="22" t="s">
        <v>170</v>
      </c>
      <c r="C47" s="22" t="s">
        <v>171</v>
      </c>
      <c r="D47" s="22" t="s">
        <v>172</v>
      </c>
      <c r="E47" s="22" t="s">
        <v>173</v>
      </c>
      <c r="F47" s="22" t="s">
        <v>174</v>
      </c>
      <c r="G47" s="22" t="s">
        <v>175</v>
      </c>
      <c r="H47" s="22" t="s">
        <v>176</v>
      </c>
      <c r="I47" s="22" t="s">
        <v>177</v>
      </c>
    </row>
    <row r="48" customFormat="false" ht="15" hidden="false" customHeight="true" outlineLevel="0" collapsed="false">
      <c r="A48" s="4" t="s">
        <v>178</v>
      </c>
      <c r="B48" s="32" t="n">
        <f aca="false">$B$7</f>
        <v>0.957768</v>
      </c>
      <c r="C48" s="32" t="n">
        <f aca="false">$B$8</f>
        <v>0.96933</v>
      </c>
      <c r="D48" s="32" t="n">
        <f aca="false">$B$13</f>
        <v>0.39978211956629</v>
      </c>
      <c r="E48" s="32" t="n">
        <f aca="false">$B$9</f>
        <v>0.958726</v>
      </c>
      <c r="F48" s="32" t="n">
        <f aca="false">$B$10</f>
        <v>0.954899</v>
      </c>
      <c r="G48" s="32" t="n">
        <f aca="false">$B$11</f>
        <v>0.967393</v>
      </c>
      <c r="H48" s="32" t="n">
        <f aca="false">$B$12</f>
        <v>0.960645</v>
      </c>
      <c r="I48" s="42" t="n">
        <f aca="false">$B$4*B48*(C48/$B$8)*(1+0.5*(D48-$B$13))*(AVERAGE(E48,F48,G48)/B48)*(H48/$B$12)</f>
        <v>9603393.33333333</v>
      </c>
    </row>
    <row r="49" customFormat="false" ht="15" hidden="false" customHeight="true" outlineLevel="0" collapsed="false">
      <c r="A49" s="9" t="s">
        <v>117</v>
      </c>
      <c r="B49" s="32" t="n">
        <f aca="false">$B$7</f>
        <v>0.957768</v>
      </c>
      <c r="C49" s="32" t="n">
        <f aca="false">$B$8</f>
        <v>0.96933</v>
      </c>
      <c r="D49" s="25" t="n">
        <f aca="false">$B$13</f>
        <v>0.39978211956629</v>
      </c>
      <c r="E49" s="24" t="n">
        <f aca="false">Curves!Q39</f>
        <v>0.958061825595622</v>
      </c>
      <c r="F49" s="24" t="n">
        <f aca="false">Curves!Q40</f>
        <v>0.949311346582243</v>
      </c>
      <c r="G49" s="24" t="n">
        <f aca="false">Curves!Q41</f>
        <v>0.962297088758501</v>
      </c>
      <c r="H49" s="32" t="n">
        <f aca="false">$B$12</f>
        <v>0.960645</v>
      </c>
      <c r="I49" s="42" t="n">
        <f aca="false">$B$4*B49*(C49/$B$8)*(1+0.5*(D49-$B$13))*(AVERAGE(E49,F49,G49)/B49)*(H49/$B$12)</f>
        <v>9565567.53645455</v>
      </c>
    </row>
    <row r="50" customFormat="false" ht="15" hidden="false" customHeight="true" outlineLevel="0" collapsed="false">
      <c r="A50" s="9" t="s">
        <v>118</v>
      </c>
      <c r="B50" s="32" t="n">
        <f aca="false">$B$7</f>
        <v>0.957768</v>
      </c>
      <c r="C50" s="32" t="n">
        <f aca="false">$B$8</f>
        <v>0.96933</v>
      </c>
      <c r="D50" s="25" t="n">
        <f aca="false">$B$13</f>
        <v>0.39978211956629</v>
      </c>
      <c r="E50" s="24" t="n">
        <f aca="false">Curves!Q47</f>
        <v>0.954588922832977</v>
      </c>
      <c r="F50" s="24" t="n">
        <f aca="false">Curves!Q48</f>
        <v>0.952091864437955</v>
      </c>
      <c r="G50" s="24" t="n">
        <f aca="false">Curves!Q49</f>
        <v>0.964955584066973</v>
      </c>
      <c r="H50" s="32" t="n">
        <f aca="false">$B$12</f>
        <v>0.960645</v>
      </c>
      <c r="I50" s="42" t="n">
        <f aca="false">$B$4*B50*(C50/$B$8)*(1+0.5*(D50-$B$13))*(AVERAGE(E50,F50,G50)/B50)*(H50/$B$12)</f>
        <v>9572121.23779302</v>
      </c>
    </row>
    <row r="51" customFormat="false" ht="15" hidden="false" customHeight="true" outlineLevel="0" collapsed="false">
      <c r="A51" s="9" t="s">
        <v>119</v>
      </c>
      <c r="B51" s="32" t="n">
        <f aca="false">$B$7</f>
        <v>0.957768</v>
      </c>
      <c r="C51" s="32" t="n">
        <f aca="false">$B$8</f>
        <v>0.96933</v>
      </c>
      <c r="D51" s="25" t="n">
        <f aca="false">$B$13</f>
        <v>0.39978211956629</v>
      </c>
      <c r="E51" s="24" t="n">
        <f aca="false">Curves!Q55</f>
        <v>0.954008957495664</v>
      </c>
      <c r="F51" s="24" t="n">
        <f aca="false">Curves!Q56</f>
        <v>0.953612707835657</v>
      </c>
      <c r="G51" s="24" t="n">
        <f aca="false">Curves!Q57</f>
        <v>0.961223663488055</v>
      </c>
      <c r="H51" s="32" t="n">
        <f aca="false">$B$12</f>
        <v>0.960645</v>
      </c>
      <c r="I51" s="42" t="n">
        <f aca="false">$B$4*B51*(C51/$B$8)*(1+0.5*(D51-$B$13))*(AVERAGE(E51,F51,G51)/B51)*(H51/$B$12)</f>
        <v>9562817.76273125</v>
      </c>
    </row>
    <row r="52" customFormat="false" ht="15" hidden="false" customHeight="true" outlineLevel="0" collapsed="false">
      <c r="A52" s="9" t="s">
        <v>120</v>
      </c>
      <c r="B52" s="32" t="n">
        <f aca="false">$B$7</f>
        <v>0.957768</v>
      </c>
      <c r="C52" s="32" t="n">
        <f aca="false">$B$8</f>
        <v>0.96933</v>
      </c>
      <c r="D52" s="25" t="n">
        <f aca="false">$B$13</f>
        <v>0.39978211956629</v>
      </c>
      <c r="E52" s="24" t="n">
        <f aca="false">Curves!Q63</f>
        <v>0.95320762385314</v>
      </c>
      <c r="F52" s="24" t="n">
        <f aca="false">Curves!Q64</f>
        <v>0.946234479809646</v>
      </c>
      <c r="G52" s="24" t="n">
        <f aca="false">Curves!Q65</f>
        <v>0.960336700770215</v>
      </c>
      <c r="H52" s="32" t="n">
        <f aca="false">$B$12</f>
        <v>0.960645</v>
      </c>
      <c r="I52" s="42" t="n">
        <f aca="false">$B$4*B52*(C52/$B$8)*(1+0.5*(D52-$B$13))*(AVERAGE(E52,F52,G52)/B52)*(H52/$B$12)</f>
        <v>9532596.01477667</v>
      </c>
    </row>
    <row r="53" customFormat="false" ht="15" hidden="false" customHeight="true" outlineLevel="0" collapsed="false">
      <c r="A53" s="9" t="s">
        <v>121</v>
      </c>
      <c r="B53" s="32" t="n">
        <f aca="false">$B$7</f>
        <v>0.957768</v>
      </c>
      <c r="C53" s="32" t="n">
        <f aca="false">$B$8</f>
        <v>0.96933</v>
      </c>
      <c r="D53" s="25" t="n">
        <f aca="false">$B$13</f>
        <v>0.39978211956629</v>
      </c>
      <c r="E53" s="24" t="n">
        <f aca="false">Curves!Q71</f>
        <v>0.9563957060858</v>
      </c>
      <c r="F53" s="24" t="n">
        <f aca="false">Curves!Q72</f>
        <v>0.945344255389449</v>
      </c>
      <c r="G53" s="24" t="n">
        <f aca="false">Curves!Q73</f>
        <v>0.960043506585016</v>
      </c>
      <c r="H53" s="32" t="n">
        <f aca="false">$B$12</f>
        <v>0.960645</v>
      </c>
      <c r="I53" s="42" t="n">
        <f aca="false">$B$4*B53*(C53/$B$8)*(1+0.5*(D53-$B$13))*(AVERAGE(E53,F53,G53)/B53)*(H53/$B$12)</f>
        <v>9539278.22686755</v>
      </c>
    </row>
    <row r="54" customFormat="false" ht="15" hidden="false" customHeight="true" outlineLevel="0" collapsed="false">
      <c r="A54" s="9" t="s">
        <v>122</v>
      </c>
      <c r="B54" s="32" t="n">
        <f aca="false">$B$7</f>
        <v>0.957768</v>
      </c>
      <c r="C54" s="32" t="n">
        <f aca="false">$B$8</f>
        <v>0.96933</v>
      </c>
      <c r="D54" s="25" t="n">
        <f aca="false">$B$13</f>
        <v>0.39978211956629</v>
      </c>
      <c r="E54" s="24" t="n">
        <f aca="false">Curves!Q79</f>
        <v>0.952137896569466</v>
      </c>
      <c r="F54" s="24" t="n">
        <f aca="false">Curves!Q80</f>
        <v>0.944482088523894</v>
      </c>
      <c r="G54" s="24" t="n">
        <f aca="false">Curves!Q81</f>
        <v>0.958612050918359</v>
      </c>
      <c r="H54" s="32" t="n">
        <f aca="false">$B$12</f>
        <v>0.960645</v>
      </c>
      <c r="I54" s="42" t="n">
        <f aca="false">$B$4*B54*(C54/$B$8)*(1+0.5*(D54-$B$13))*(AVERAGE(E54,F54,G54)/B54)*(H54/$B$12)</f>
        <v>9517440.12003906</v>
      </c>
    </row>
    <row r="55" customFormat="false" ht="15" hidden="false" customHeight="true" outlineLevel="0" collapsed="false">
      <c r="A55" s="9" t="s">
        <v>123</v>
      </c>
      <c r="B55" s="32" t="n">
        <f aca="false">$B$7</f>
        <v>0.957768</v>
      </c>
      <c r="C55" s="32" t="n">
        <f aca="false">$B$8</f>
        <v>0.96933</v>
      </c>
      <c r="D55" s="25" t="n">
        <f aca="false">$B$13</f>
        <v>0.39978211956629</v>
      </c>
      <c r="E55" s="24" t="n">
        <f aca="false">Curves!Q87</f>
        <v>0.951644904713199</v>
      </c>
      <c r="F55" s="24" t="n">
        <f aca="false">Curves!Q88</f>
        <v>0.950115469489328</v>
      </c>
      <c r="G55" s="24" t="n">
        <f aca="false">Curves!Q89</f>
        <v>0.957808375985025</v>
      </c>
      <c r="H55" s="32" t="n">
        <f aca="false">$B$12</f>
        <v>0.960645</v>
      </c>
      <c r="I55" s="42" t="n">
        <f aca="false">$B$4*B55*(C55/$B$8)*(1+0.5*(D55-$B$13))*(AVERAGE(E55,F55,G55)/B55)*(H55/$B$12)</f>
        <v>9531895.83395851</v>
      </c>
    </row>
    <row r="56" customFormat="false" ht="15" hidden="false" customHeight="true" outlineLevel="0" collapsed="false">
      <c r="A56" s="9" t="s">
        <v>124</v>
      </c>
      <c r="B56" s="32" t="n">
        <f aca="false">$B$7</f>
        <v>0.957768</v>
      </c>
      <c r="C56" s="32" t="n">
        <f aca="false">$B$8</f>
        <v>0.96933</v>
      </c>
      <c r="D56" s="25" t="n">
        <f aca="false">$B$13</f>
        <v>0.39978211956629</v>
      </c>
      <c r="E56" s="24" t="n">
        <f aca="false">Curves!Q95</f>
        <v>0.950824572103433</v>
      </c>
      <c r="F56" s="24" t="n">
        <f aca="false">Curves!Q96</f>
        <v>0.942346869047631</v>
      </c>
      <c r="G56" s="24" t="n">
        <f aca="false">Curves!Q97</f>
        <v>0.957056963924134</v>
      </c>
      <c r="H56" s="32" t="n">
        <f aca="false">$B$12</f>
        <v>0.960645</v>
      </c>
      <c r="I56" s="42" t="n">
        <f aca="false">$B$4*B56*(C56/$B$8)*(1+0.5*(D56-$B$13))*(AVERAGE(E56,F56,G56)/B56)*(H56/$B$12)</f>
        <v>9500761.35025066</v>
      </c>
    </row>
    <row r="57" customFormat="false" ht="15" hidden="false" customHeight="true" outlineLevel="0" collapsed="false">
      <c r="A57" s="9" t="s">
        <v>125</v>
      </c>
      <c r="B57" s="32" t="n">
        <f aca="false">$B$7</f>
        <v>0.957768</v>
      </c>
      <c r="C57" s="32" t="n">
        <f aca="false">$B$8</f>
        <v>0.96933</v>
      </c>
      <c r="D57" s="25" t="n">
        <f aca="false">$B$13</f>
        <v>0.39978211956629</v>
      </c>
      <c r="E57" s="24" t="n">
        <f aca="false">Curves!Q103</f>
        <v>0.950069418905633</v>
      </c>
      <c r="F57" s="24" t="n">
        <f aca="false">Curves!Q104</f>
        <v>0.941085187512815</v>
      </c>
      <c r="G57" s="24" t="n">
        <f aca="false">Curves!Q105</f>
        <v>0.956168103382636</v>
      </c>
      <c r="H57" s="32" t="n">
        <f aca="false">$B$12</f>
        <v>0.960645</v>
      </c>
      <c r="I57" s="42" t="n">
        <f aca="false">$B$4*B57*(C57/$B$8)*(1+0.5*(D57-$B$13))*(AVERAGE(E57,F57,G57)/B57)*(H57/$B$12)</f>
        <v>9491075.69933695</v>
      </c>
    </row>
    <row r="58" customFormat="false" ht="15" hidden="false" customHeight="true" outlineLevel="0" collapsed="false">
      <c r="A58" s="9" t="s">
        <v>126</v>
      </c>
      <c r="B58" s="32" t="n">
        <f aca="false">$B$7</f>
        <v>0.957768</v>
      </c>
      <c r="C58" s="32" t="n">
        <f aca="false">$B$8</f>
        <v>0.96933</v>
      </c>
      <c r="D58" s="25" t="n">
        <f aca="false">$B$13</f>
        <v>0.39978211956629</v>
      </c>
      <c r="E58" s="24" t="n">
        <f aca="false">Curves!Q111</f>
        <v>0.957237796944819</v>
      </c>
      <c r="F58" s="24" t="n">
        <f aca="false">Curves!Q112</f>
        <v>0.94825631913984</v>
      </c>
      <c r="G58" s="24" t="n">
        <f aca="false">Curves!Q113</f>
        <v>0.966039723186702</v>
      </c>
      <c r="H58" s="32" t="n">
        <f aca="false">$B$12</f>
        <v>0.960645</v>
      </c>
      <c r="I58" s="42" t="n">
        <f aca="false">$B$4*B58*(C58/$B$8)*(1+0.5*(D58-$B$13))*(AVERAGE(E58,F58,G58)/B58)*(H58/$B$12)</f>
        <v>9571779.46423787</v>
      </c>
    </row>
    <row r="61" customFormat="false" ht="15" hidden="false" customHeight="true" outlineLevel="0" collapsed="false">
      <c r="A61" s="46" t="s">
        <v>181</v>
      </c>
      <c r="B61" s="46"/>
      <c r="C61" s="46"/>
      <c r="D61" s="46"/>
      <c r="E61" s="46"/>
      <c r="F61" s="46"/>
      <c r="G61" s="46"/>
      <c r="H61" s="46"/>
      <c r="I61" s="46"/>
    </row>
    <row r="62" customFormat="false" ht="26.25" hidden="false" customHeight="true" outlineLevel="0" collapsed="false">
      <c r="A62" s="22" t="s">
        <v>169</v>
      </c>
      <c r="B62" s="22" t="s">
        <v>170</v>
      </c>
      <c r="C62" s="22" t="s">
        <v>171</v>
      </c>
      <c r="D62" s="22" t="s">
        <v>172</v>
      </c>
      <c r="E62" s="22" t="s">
        <v>173</v>
      </c>
      <c r="F62" s="22" t="s">
        <v>174</v>
      </c>
      <c r="G62" s="22" t="s">
        <v>175</v>
      </c>
      <c r="H62" s="22" t="s">
        <v>176</v>
      </c>
      <c r="I62" s="22" t="s">
        <v>177</v>
      </c>
    </row>
    <row r="63" customFormat="false" ht="15" hidden="false" customHeight="true" outlineLevel="0" collapsed="false">
      <c r="A63" s="4" t="s">
        <v>178</v>
      </c>
      <c r="B63" s="32" t="n">
        <f aca="false">$B$7</f>
        <v>0.957768</v>
      </c>
      <c r="C63" s="32" t="n">
        <f aca="false">$B$8</f>
        <v>0.96933</v>
      </c>
      <c r="D63" s="32" t="n">
        <f aca="false">$B$13</f>
        <v>0.39978211956629</v>
      </c>
      <c r="E63" s="32" t="n">
        <f aca="false">$B$9</f>
        <v>0.958726</v>
      </c>
      <c r="F63" s="32" t="n">
        <f aca="false">$B$10</f>
        <v>0.954899</v>
      </c>
      <c r="G63" s="32" t="n">
        <f aca="false">$B$11</f>
        <v>0.967393</v>
      </c>
      <c r="H63" s="32" t="n">
        <f aca="false">$B$12</f>
        <v>0.960645</v>
      </c>
      <c r="I63" s="42" t="n">
        <f aca="false">$B$4*B63*(C63/$B$8)*(1+0.5*(D63-$B$13))*(AVERAGE(E63,F63,G63)/B63)*(H63/$B$12)</f>
        <v>9603393.33333333</v>
      </c>
    </row>
    <row r="64" customFormat="false" ht="15" hidden="false" customHeight="true" outlineLevel="0" collapsed="false">
      <c r="A64" s="9" t="s">
        <v>117</v>
      </c>
      <c r="B64" s="32" t="n">
        <f aca="false">$B$7</f>
        <v>0.957768</v>
      </c>
      <c r="C64" s="32" t="n">
        <f aca="false">$B$8</f>
        <v>0.96933</v>
      </c>
      <c r="D64" s="25" t="n">
        <f aca="false">$B$13</f>
        <v>0.39978211956629</v>
      </c>
      <c r="E64" s="32" t="n">
        <f aca="false">$B$9</f>
        <v>0.958726</v>
      </c>
      <c r="F64" s="32" t="n">
        <f aca="false">$B$10</f>
        <v>0.954899</v>
      </c>
      <c r="G64" s="32" t="n">
        <f aca="false">$B$11</f>
        <v>0.967393</v>
      </c>
      <c r="H64" s="24" t="n">
        <f aca="false">Curves!Q42</f>
        <v>0.958550489609229</v>
      </c>
      <c r="I64" s="42" t="n">
        <f aca="false">$B$4*B64*(C64/$B$8)*(1+0.5*(D64-$B$13))*(AVERAGE(E64,F64,G64)/B64)*(H64/$B$12)</f>
        <v>9582454.89392718</v>
      </c>
    </row>
    <row r="65" customFormat="false" ht="15" hidden="false" customHeight="true" outlineLevel="0" collapsed="false">
      <c r="A65" s="9" t="s">
        <v>118</v>
      </c>
      <c r="B65" s="32" t="n">
        <f aca="false">$B$7</f>
        <v>0.957768</v>
      </c>
      <c r="C65" s="32" t="n">
        <f aca="false">$B$8</f>
        <v>0.96933</v>
      </c>
      <c r="D65" s="25" t="n">
        <f aca="false">$B$13</f>
        <v>0.39978211956629</v>
      </c>
      <c r="E65" s="32" t="n">
        <f aca="false">$B$9</f>
        <v>0.958726</v>
      </c>
      <c r="F65" s="32" t="n">
        <f aca="false">$B$10</f>
        <v>0.954899</v>
      </c>
      <c r="G65" s="32" t="n">
        <f aca="false">$B$11</f>
        <v>0.967393</v>
      </c>
      <c r="H65" s="24" t="n">
        <f aca="false">Curves!Q50</f>
        <v>0.957836117465444</v>
      </c>
      <c r="I65" s="42" t="n">
        <f aca="false">$B$4*B65*(C65/$B$8)*(1+0.5*(D65-$B$13))*(AVERAGE(E65,F65,G65)/B65)*(H65/$B$12)</f>
        <v>9575313.44554287</v>
      </c>
    </row>
    <row r="66" customFormat="false" ht="15" hidden="false" customHeight="true" outlineLevel="0" collapsed="false">
      <c r="A66" s="9" t="s">
        <v>119</v>
      </c>
      <c r="B66" s="32" t="n">
        <f aca="false">$B$7</f>
        <v>0.957768</v>
      </c>
      <c r="C66" s="32" t="n">
        <f aca="false">$B$8</f>
        <v>0.96933</v>
      </c>
      <c r="D66" s="25" t="n">
        <f aca="false">$B$13</f>
        <v>0.39978211956629</v>
      </c>
      <c r="E66" s="32" t="n">
        <f aca="false">$B$9</f>
        <v>0.958726</v>
      </c>
      <c r="F66" s="32" t="n">
        <f aca="false">$B$10</f>
        <v>0.954899</v>
      </c>
      <c r="G66" s="32" t="n">
        <f aca="false">$B$11</f>
        <v>0.967393</v>
      </c>
      <c r="H66" s="24" t="n">
        <f aca="false">Curves!Q58</f>
        <v>0.95758460198965</v>
      </c>
      <c r="I66" s="42" t="n">
        <f aca="false">$B$4*B66*(C66/$B$8)*(1+0.5*(D66-$B$13))*(AVERAGE(E66,F66,G66)/B66)*(H66/$B$12)</f>
        <v>9572799.09107949</v>
      </c>
    </row>
    <row r="67" customFormat="false" ht="15" hidden="false" customHeight="true" outlineLevel="0" collapsed="false">
      <c r="A67" s="9" t="s">
        <v>120</v>
      </c>
      <c r="B67" s="32" t="n">
        <f aca="false">$B$7</f>
        <v>0.957768</v>
      </c>
      <c r="C67" s="32" t="n">
        <f aca="false">$B$8</f>
        <v>0.96933</v>
      </c>
      <c r="D67" s="25" t="n">
        <f aca="false">$B$13</f>
        <v>0.39978211956629</v>
      </c>
      <c r="E67" s="32" t="n">
        <f aca="false">$B$9</f>
        <v>0.958726</v>
      </c>
      <c r="F67" s="32" t="n">
        <f aca="false">$B$10</f>
        <v>0.954899</v>
      </c>
      <c r="G67" s="32" t="n">
        <f aca="false">$B$11</f>
        <v>0.967393</v>
      </c>
      <c r="H67" s="24" t="n">
        <f aca="false">Curves!Q66</f>
        <v>0.962263559855125</v>
      </c>
      <c r="I67" s="42" t="n">
        <f aca="false">$B$4*B67*(C67/$B$8)*(1+0.5*(D67-$B$13))*(AVERAGE(E67,F67,G67)/B67)*(H67/$B$12)</f>
        <v>9619573.78180526</v>
      </c>
    </row>
    <row r="68" customFormat="false" ht="15" hidden="false" customHeight="true" outlineLevel="0" collapsed="false">
      <c r="A68" s="9" t="s">
        <v>121</v>
      </c>
      <c r="B68" s="32" t="n">
        <f aca="false">$B$7</f>
        <v>0.957768</v>
      </c>
      <c r="C68" s="32" t="n">
        <f aca="false">$B$8</f>
        <v>0.96933</v>
      </c>
      <c r="D68" s="25" t="n">
        <f aca="false">$B$13</f>
        <v>0.39978211956629</v>
      </c>
      <c r="E68" s="32" t="n">
        <f aca="false">$B$9</f>
        <v>0.958726</v>
      </c>
      <c r="F68" s="32" t="n">
        <f aca="false">$B$10</f>
        <v>0.954899</v>
      </c>
      <c r="G68" s="32" t="n">
        <f aca="false">$B$11</f>
        <v>0.967393</v>
      </c>
      <c r="H68" s="24" t="n">
        <f aca="false">Curves!Q74</f>
        <v>0.956804885239764</v>
      </c>
      <c r="I68" s="42" t="n">
        <f aca="false">$B$4*B68*(C68/$B$8)*(1+0.5*(D68-$B$13))*(AVERAGE(E68,F68,G68)/B68)*(H68/$B$12)</f>
        <v>9565004.40455352</v>
      </c>
    </row>
    <row r="69" customFormat="false" ht="15" hidden="false" customHeight="true" outlineLevel="0" collapsed="false">
      <c r="A69" s="9" t="s">
        <v>122</v>
      </c>
      <c r="B69" s="32" t="n">
        <f aca="false">$B$7</f>
        <v>0.957768</v>
      </c>
      <c r="C69" s="32" t="n">
        <f aca="false">$B$8</f>
        <v>0.96933</v>
      </c>
      <c r="D69" s="25" t="n">
        <f aca="false">$B$13</f>
        <v>0.39978211956629</v>
      </c>
      <c r="E69" s="32" t="n">
        <f aca="false">$B$9</f>
        <v>0.958726</v>
      </c>
      <c r="F69" s="32" t="n">
        <f aca="false">$B$10</f>
        <v>0.954899</v>
      </c>
      <c r="G69" s="32" t="n">
        <f aca="false">$B$11</f>
        <v>0.967393</v>
      </c>
      <c r="H69" s="24" t="n">
        <f aca="false">Curves!Q82</f>
        <v>0.958736934866277</v>
      </c>
      <c r="I69" s="42" t="n">
        <f aca="false">$B$4*B69*(C69/$B$8)*(1+0.5*(D69-$B$13))*(AVERAGE(E69,F69,G69)/B69)*(H69/$B$12)</f>
        <v>9584318.75324937</v>
      </c>
    </row>
    <row r="70" customFormat="false" ht="15" hidden="false" customHeight="true" outlineLevel="0" collapsed="false">
      <c r="A70" s="9" t="s">
        <v>123</v>
      </c>
      <c r="B70" s="32" t="n">
        <f aca="false">$B$7</f>
        <v>0.957768</v>
      </c>
      <c r="C70" s="32" t="n">
        <f aca="false">$B$8</f>
        <v>0.96933</v>
      </c>
      <c r="D70" s="25" t="n">
        <f aca="false">$B$13</f>
        <v>0.39978211956629</v>
      </c>
      <c r="E70" s="32" t="n">
        <f aca="false">$B$9</f>
        <v>0.958726</v>
      </c>
      <c r="F70" s="32" t="n">
        <f aca="false">$B$10</f>
        <v>0.954899</v>
      </c>
      <c r="G70" s="32" t="n">
        <f aca="false">$B$11</f>
        <v>0.967393</v>
      </c>
      <c r="H70" s="24" t="n">
        <f aca="false">Curves!Q90</f>
        <v>0.956260628257328</v>
      </c>
      <c r="I70" s="42" t="n">
        <f aca="false">$B$4*B70*(C70/$B$8)*(1+0.5*(D70-$B$13))*(AVERAGE(E70,F70,G70)/B70)*(H70/$B$12)</f>
        <v>9559563.56649498</v>
      </c>
    </row>
    <row r="71" customFormat="false" ht="15" hidden="false" customHeight="true" outlineLevel="0" collapsed="false">
      <c r="A71" s="9" t="s">
        <v>124</v>
      </c>
      <c r="B71" s="32" t="n">
        <f aca="false">$B$7</f>
        <v>0.957768</v>
      </c>
      <c r="C71" s="32" t="n">
        <f aca="false">$B$8</f>
        <v>0.96933</v>
      </c>
      <c r="D71" s="25" t="n">
        <f aca="false">$B$13</f>
        <v>0.39978211956629</v>
      </c>
      <c r="E71" s="32" t="n">
        <f aca="false">$B$9</f>
        <v>0.958726</v>
      </c>
      <c r="F71" s="32" t="n">
        <f aca="false">$B$10</f>
        <v>0.954899</v>
      </c>
      <c r="G71" s="32" t="n">
        <f aca="false">$B$11</f>
        <v>0.967393</v>
      </c>
      <c r="H71" s="24" t="n">
        <f aca="false">Curves!Q98</f>
        <v>0.960229712665626</v>
      </c>
      <c r="I71" s="42" t="n">
        <f aca="false">$B$4*B71*(C71/$B$8)*(1+0.5*(D71-$B$13))*(AVERAGE(E71,F71,G71)/B71)*(H71/$B$12)</f>
        <v>9599241.78138819</v>
      </c>
    </row>
    <row r="72" customFormat="false" ht="15" hidden="false" customHeight="true" outlineLevel="0" collapsed="false">
      <c r="A72" s="9" t="s">
        <v>125</v>
      </c>
      <c r="B72" s="32" t="n">
        <f aca="false">$B$7</f>
        <v>0.957768</v>
      </c>
      <c r="C72" s="32" t="n">
        <f aca="false">$B$8</f>
        <v>0.96933</v>
      </c>
      <c r="D72" s="25" t="n">
        <f aca="false">$B$13</f>
        <v>0.39978211956629</v>
      </c>
      <c r="E72" s="32" t="n">
        <f aca="false">$B$9</f>
        <v>0.958726</v>
      </c>
      <c r="F72" s="32" t="n">
        <f aca="false">$B$10</f>
        <v>0.954899</v>
      </c>
      <c r="G72" s="32" t="n">
        <f aca="false">$B$11</f>
        <v>0.967393</v>
      </c>
      <c r="H72" s="24" t="n">
        <f aca="false">Curves!Q106</f>
        <v>0.955591148630945</v>
      </c>
      <c r="I72" s="42" t="n">
        <f aca="false">$B$4*B72*(C72/$B$8)*(1+0.5*(D72-$B$13))*(AVERAGE(E72,F72,G72)/B72)*(H72/$B$12)</f>
        <v>9552870.90044165</v>
      </c>
    </row>
    <row r="73" customFormat="false" ht="15" hidden="false" customHeight="true" outlineLevel="0" collapsed="false">
      <c r="A73" s="9" t="s">
        <v>126</v>
      </c>
      <c r="B73" s="32" t="n">
        <f aca="false">$B$7</f>
        <v>0.957768</v>
      </c>
      <c r="C73" s="32" t="n">
        <f aca="false">$B$8</f>
        <v>0.96933</v>
      </c>
      <c r="D73" s="25" t="n">
        <f aca="false">$B$13</f>
        <v>0.39978211956629</v>
      </c>
      <c r="E73" s="32" t="n">
        <f aca="false">$B$9</f>
        <v>0.958726</v>
      </c>
      <c r="F73" s="32" t="n">
        <f aca="false">$B$10</f>
        <v>0.954899</v>
      </c>
      <c r="G73" s="32" t="n">
        <f aca="false">$B$11</f>
        <v>0.967393</v>
      </c>
      <c r="H73" s="24" t="n">
        <f aca="false">Curves!Q114</f>
        <v>0.955213344747142</v>
      </c>
      <c r="I73" s="42" t="n">
        <f aca="false">$B$4*B73*(C73/$B$8)*(1+0.5*(D73-$B$13))*(AVERAGE(E73,F73,G73)/B73)*(H73/$B$12)</f>
        <v>9549094.06373399</v>
      </c>
    </row>
  </sheetData>
  <mergeCells count="6">
    <mergeCell ref="A1:I1"/>
    <mergeCell ref="A2:I2"/>
    <mergeCell ref="A16:I16"/>
    <mergeCell ref="A31:I31"/>
    <mergeCell ref="A46:I46"/>
    <mergeCell ref="A61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6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38" t="s">
        <v>182</v>
      </c>
      <c r="B1" s="38"/>
      <c r="C1" s="38"/>
      <c r="D1" s="38"/>
      <c r="E1" s="38"/>
    </row>
    <row r="2" customFormat="false" ht="27.75" hidden="false" customHeight="true" outlineLevel="0" collapsed="false">
      <c r="A2" s="15" t="s">
        <v>183</v>
      </c>
      <c r="B2" s="15"/>
      <c r="C2" s="15"/>
      <c r="D2" s="15"/>
      <c r="E2" s="15"/>
    </row>
    <row r="4" customFormat="false" ht="26.25" hidden="false" customHeight="true" outlineLevel="0" collapsed="false">
      <c r="A4" s="18" t="s">
        <v>141</v>
      </c>
      <c r="B4" s="22" t="s">
        <v>184</v>
      </c>
      <c r="C4" s="22" t="s">
        <v>185</v>
      </c>
      <c r="D4" s="22" t="s">
        <v>186</v>
      </c>
      <c r="E4" s="22" t="s">
        <v>187</v>
      </c>
      <c r="F4" s="22" t="s">
        <v>188</v>
      </c>
      <c r="G4" s="22" t="s">
        <v>189</v>
      </c>
    </row>
    <row r="5" customFormat="false" ht="15" hidden="false" customHeight="true" outlineLevel="0" collapsed="false">
      <c r="A5" s="9" t="s">
        <v>117</v>
      </c>
      <c r="B5" s="47" t="n">
        <f aca="false">NPV_Engine!I19-NPV_Engine!I18</f>
        <v>-36924.5838805307</v>
      </c>
      <c r="C5" s="47" t="n">
        <f aca="false">NPV_Engine!I34-NPV_Engine!I33</f>
        <v>21890.9453293066</v>
      </c>
      <c r="D5" s="47" t="n">
        <f aca="false">NPV_Engine!I49-NPV_Engine!I48</f>
        <v>-37825.7968787812</v>
      </c>
      <c r="E5" s="47" t="n">
        <f aca="false">NPV_Engine!I64-NPV_Engine!I63</f>
        <v>-20938.4394061528</v>
      </c>
      <c r="F5" s="47" t="n">
        <f aca="false">C5+D5+E5</f>
        <v>-36873.2909556273</v>
      </c>
      <c r="G5" s="47" t="n">
        <f aca="false">B5-F5</f>
        <v>-51.2929249033332</v>
      </c>
    </row>
    <row r="6" customFormat="false" ht="15" hidden="false" customHeight="true" outlineLevel="0" collapsed="false">
      <c r="A6" s="9" t="s">
        <v>118</v>
      </c>
      <c r="B6" s="47" t="n">
        <f aca="false">NPV_Engine!I20-NPV_Engine!I18</f>
        <v>-22419.874383755</v>
      </c>
      <c r="C6" s="47" t="n">
        <f aca="false">NPV_Engine!I35-NPV_Engine!I33</f>
        <v>37069.4184338767</v>
      </c>
      <c r="D6" s="47" t="n">
        <f aca="false">NPV_Engine!I50-NPV_Engine!I48</f>
        <v>-31272.0955403186</v>
      </c>
      <c r="E6" s="47" t="n">
        <f aca="false">NPV_Engine!I65-NPV_Engine!I63</f>
        <v>-28079.8877904695</v>
      </c>
      <c r="F6" s="47" t="n">
        <f aca="false">C6+D6+E6</f>
        <v>-22282.5648969114</v>
      </c>
      <c r="G6" s="47" t="n">
        <f aca="false">B6-F6</f>
        <v>-137.309486843646</v>
      </c>
    </row>
    <row r="7" customFormat="false" ht="15" hidden="false" customHeight="true" outlineLevel="0" collapsed="false">
      <c r="A7" s="9" t="s">
        <v>119</v>
      </c>
      <c r="B7" s="47" t="n">
        <f aca="false">NPV_Engine!I21-NPV_Engine!I18</f>
        <v>-48109.2334980071</v>
      </c>
      <c r="C7" s="47" t="n">
        <f aca="false">NPV_Engine!I36-NPV_Engine!I33</f>
        <v>23102.2120348606</v>
      </c>
      <c r="D7" s="47" t="n">
        <f aca="false">NPV_Engine!I51-NPV_Engine!I48</f>
        <v>-40575.5706020817</v>
      </c>
      <c r="E7" s="47" t="n">
        <f aca="false">NPV_Engine!I66-NPV_Engine!I63</f>
        <v>-30594.2422538474</v>
      </c>
      <c r="F7" s="47" t="n">
        <f aca="false">C7+D7+E7</f>
        <v>-48067.6008210685</v>
      </c>
      <c r="G7" s="47" t="n">
        <f aca="false">B7-F7</f>
        <v>-41.6326769385487</v>
      </c>
    </row>
    <row r="8" customFormat="false" ht="15" hidden="false" customHeight="true" outlineLevel="0" collapsed="false">
      <c r="A8" s="9" t="s">
        <v>120</v>
      </c>
      <c r="B8" s="47" t="n">
        <f aca="false">NPV_Engine!I22-NPV_Engine!I18</f>
        <v>-28235.3486086223</v>
      </c>
      <c r="C8" s="47" t="n">
        <f aca="false">NPV_Engine!I37-NPV_Engine!I33</f>
        <v>26652.7172415666</v>
      </c>
      <c r="D8" s="47" t="n">
        <f aca="false">NPV_Engine!I52-NPV_Engine!I48</f>
        <v>-70797.3185566664</v>
      </c>
      <c r="E8" s="47" t="n">
        <f aca="false">NPV_Engine!I67-NPV_Engine!I63</f>
        <v>16180.4484719206</v>
      </c>
      <c r="F8" s="47" t="n">
        <f aca="false">C8+D8+E8</f>
        <v>-27964.1528431792</v>
      </c>
      <c r="G8" s="47" t="n">
        <f aca="false">B8-F8</f>
        <v>-271.195765443146</v>
      </c>
    </row>
    <row r="9" customFormat="false" ht="15" hidden="false" customHeight="true" outlineLevel="0" collapsed="false">
      <c r="A9" s="9" t="s">
        <v>121</v>
      </c>
      <c r="B9" s="47" t="n">
        <f aca="false">NPV_Engine!I23-NPV_Engine!I18</f>
        <v>-94989.218774261</v>
      </c>
      <c r="C9" s="47" t="n">
        <f aca="false">NPV_Engine!I38-NPV_Engine!I33</f>
        <v>7336.63403604738</v>
      </c>
      <c r="D9" s="47" t="n">
        <f aca="false">NPV_Engine!I53-NPV_Engine!I48</f>
        <v>-64115.106465783</v>
      </c>
      <c r="E9" s="47" t="n">
        <f aca="false">NPV_Engine!I68-NPV_Engine!I63</f>
        <v>-38388.9287798144</v>
      </c>
      <c r="F9" s="47" t="n">
        <f aca="false">C9+D9+E9</f>
        <v>-95167.40120955</v>
      </c>
      <c r="G9" s="47" t="n">
        <f aca="false">B9-F9</f>
        <v>178.182435289025</v>
      </c>
    </row>
    <row r="10" customFormat="false" ht="15" hidden="false" customHeight="true" outlineLevel="0" collapsed="false">
      <c r="A10" s="9" t="s">
        <v>122</v>
      </c>
      <c r="B10" s="47" t="n">
        <f aca="false">NPV_Engine!I24-NPV_Engine!I18</f>
        <v>-96303.0137668867</v>
      </c>
      <c r="C10" s="47" t="n">
        <f aca="false">NPV_Engine!I39-NPV_Engine!I33</f>
        <v>8648.4871593453</v>
      </c>
      <c r="D10" s="47" t="n">
        <f aca="false">NPV_Engine!I54-NPV_Engine!I48</f>
        <v>-85953.2132942695</v>
      </c>
      <c r="E10" s="47" t="n">
        <f aca="false">NPV_Engine!I69-NPV_Engine!I63</f>
        <v>-19074.5800839607</v>
      </c>
      <c r="F10" s="47" t="n">
        <f aca="false">C10+D10+E10</f>
        <v>-96379.3062188849</v>
      </c>
      <c r="G10" s="47" t="n">
        <f aca="false">B10-F10</f>
        <v>76.2924519982189</v>
      </c>
    </row>
    <row r="11" customFormat="false" ht="15" hidden="false" customHeight="true" outlineLevel="0" collapsed="false">
      <c r="A11" s="9" t="s">
        <v>123</v>
      </c>
      <c r="B11" s="47" t="n">
        <f aca="false">NPV_Engine!I25-NPV_Engine!I18</f>
        <v>-83510.6560241785</v>
      </c>
      <c r="C11" s="47" t="n">
        <f aca="false">NPV_Engine!I40-NPV_Engine!I33</f>
        <v>31871.9643237777</v>
      </c>
      <c r="D11" s="47" t="n">
        <f aca="false">NPV_Engine!I55-NPV_Engine!I48</f>
        <v>-71497.4993748292</v>
      </c>
      <c r="E11" s="47" t="n">
        <f aca="false">NPV_Engine!I70-NPV_Engine!I63</f>
        <v>-43829.766838355</v>
      </c>
      <c r="F11" s="47" t="n">
        <f aca="false">C11+D11+E11</f>
        <v>-83455.3018894065</v>
      </c>
      <c r="G11" s="47" t="n">
        <f aca="false">B11-F11</f>
        <v>-55.3541347719729</v>
      </c>
    </row>
    <row r="12" customFormat="false" ht="15" hidden="false" customHeight="true" outlineLevel="0" collapsed="false">
      <c r="A12" s="9" t="s">
        <v>124</v>
      </c>
      <c r="B12" s="47" t="n">
        <f aca="false">NPV_Engine!I26-NPV_Engine!I18</f>
        <v>-7632.24099958688</v>
      </c>
      <c r="C12" s="47" t="n">
        <f aca="false">NPV_Engine!I41-NPV_Engine!I33</f>
        <v>100220.854355633</v>
      </c>
      <c r="D12" s="47" t="n">
        <f aca="false">NPV_Engine!I56-NPV_Engine!I48</f>
        <v>-102631.983082671</v>
      </c>
      <c r="E12" s="47" t="n">
        <f aca="false">NPV_Engine!I71-NPV_Engine!I63</f>
        <v>-4151.55194514617</v>
      </c>
      <c r="F12" s="47" t="n">
        <f aca="false">C12+D12+E12</f>
        <v>-6562.68067218363</v>
      </c>
      <c r="G12" s="47" t="n">
        <f aca="false">B12-F12</f>
        <v>-1069.56032740325</v>
      </c>
    </row>
    <row r="13" customFormat="false" ht="15" hidden="false" customHeight="true" outlineLevel="0" collapsed="false">
      <c r="A13" s="9" t="s">
        <v>125</v>
      </c>
      <c r="B13" s="47" t="n">
        <f aca="false">NPV_Engine!I27-NPV_Engine!I18</f>
        <v>-137424.496606329</v>
      </c>
      <c r="C13" s="47" t="n">
        <f aca="false">NPV_Engine!I42-NPV_Engine!I33</f>
        <v>25251.2994294968</v>
      </c>
      <c r="D13" s="47" t="n">
        <f aca="false">NPV_Engine!I57-NPV_Engine!I48</f>
        <v>-112317.633996386</v>
      </c>
      <c r="E13" s="47" t="n">
        <f aca="false">NPV_Engine!I72-NPV_Engine!I63</f>
        <v>-50522.4328916892</v>
      </c>
      <c r="F13" s="47" t="n">
        <f aca="false">C13+D13+E13</f>
        <v>-137588.767458579</v>
      </c>
      <c r="G13" s="47" t="n">
        <f aca="false">B13-F13</f>
        <v>164.270852249116</v>
      </c>
    </row>
    <row r="14" customFormat="false" ht="15" hidden="false" customHeight="true" outlineLevel="0" collapsed="false">
      <c r="A14" s="9" t="s">
        <v>126</v>
      </c>
      <c r="B14" s="47" t="n">
        <f aca="false">NPV_Engine!I28-NPV_Engine!I18</f>
        <v>49784.5686824136</v>
      </c>
      <c r="C14" s="47" t="n">
        <f aca="false">NPV_Engine!I43-NPV_Engine!I33</f>
        <v>136739.702052264</v>
      </c>
      <c r="D14" s="47" t="n">
        <f aca="false">NPV_Engine!I58-NPV_Engine!I48</f>
        <v>-31613.8690954633</v>
      </c>
      <c r="E14" s="47" t="n">
        <f aca="false">NPV_Engine!I73-NPV_Engine!I63</f>
        <v>-54299.2695993483</v>
      </c>
      <c r="F14" s="47" t="n">
        <f aca="false">C14+D14+E14</f>
        <v>50826.5633574519</v>
      </c>
      <c r="G14" s="47" t="n">
        <f aca="false">B14-F14</f>
        <v>-1041.99467503838</v>
      </c>
    </row>
    <row r="16" customFormat="false" ht="15" hidden="false" customHeight="true" outlineLevel="0" collapsed="false">
      <c r="A16" s="4" t="s">
        <v>190</v>
      </c>
      <c r="B16" s="48" t="n">
        <f aca="false">MIN(B5:B14)</f>
        <v>-137424.496606329</v>
      </c>
      <c r="C16" s="48" t="n">
        <f aca="false">MIN(C5:C14)</f>
        <v>7336.63403604738</v>
      </c>
      <c r="D16" s="48" t="n">
        <f aca="false">MIN(D5:D14)</f>
        <v>-112317.633996386</v>
      </c>
      <c r="E16" s="48" t="n">
        <f aca="false">MIN(E5:E14)</f>
        <v>-54299.2695993483</v>
      </c>
      <c r="F16" s="49" t="n">
        <f aca="false">MIN(F5:F14)</f>
        <v>-137588.767458579</v>
      </c>
      <c r="G16" s="49" t="n">
        <f aca="false">MIN(G5:G14)</f>
        <v>-1069.56032740325</v>
      </c>
    </row>
    <row r="17" customFormat="false" ht="15" hidden="false" customHeight="true" outlineLevel="0" collapsed="false">
      <c r="A17" s="4" t="s">
        <v>191</v>
      </c>
      <c r="B17" s="48" t="n">
        <f aca="false">MAX(B5:B14)</f>
        <v>49784.5686824136</v>
      </c>
      <c r="C17" s="48" t="n">
        <f aca="false">MAX(C5:C14)</f>
        <v>136739.702052264</v>
      </c>
      <c r="D17" s="48" t="n">
        <f aca="false">MAX(D5:D14)</f>
        <v>-31272.0955403186</v>
      </c>
      <c r="E17" s="48" t="n">
        <f aca="false">MAX(E5:E14)</f>
        <v>16180.4484719206</v>
      </c>
      <c r="F17" s="49" t="n">
        <f aca="false">MAX(F5:F14)</f>
        <v>50826.5633574519</v>
      </c>
      <c r="G17" s="49" t="n">
        <f aca="false">MAX(G5:G14)</f>
        <v>178.182435289025</v>
      </c>
    </row>
    <row r="18" customFormat="false" ht="15" hidden="false" customHeight="true" outlineLevel="0" collapsed="false">
      <c r="A18" s="50" t="s">
        <v>192</v>
      </c>
      <c r="B18" s="51" t="n">
        <f aca="false">SUMPRODUCT(SMALL($B$5:$B$14,{1,2,3,4,5,6}))/6</f>
        <v>-82876.8670916989</v>
      </c>
      <c r="C18" s="51" t="n">
        <f aca="false">SUMPRODUCT(SMALL($C$5:$C$14,{1,2,3,4,5,6}))/6</f>
        <v>18813.7158717706</v>
      </c>
      <c r="D18" s="51" t="n">
        <f aca="false">SUMPRODUCT(SMALL($D$5:$D$14,{1,2,3,4,5,6}))/6</f>
        <v>-84552.1257951008</v>
      </c>
      <c r="E18" s="51" t="n">
        <f aca="false">SUMPRODUCT(SMALL($E$5:$E$14,{1,2,3,4,5,6}))/6</f>
        <v>-40952.4213589206</v>
      </c>
      <c r="F18" s="49" t="n">
        <f aca="false">SUMPRODUCT(SMALL($F$5:$F$14,{1,2,3,4,5,6}))/6</f>
        <v>-82921.9447588526</v>
      </c>
      <c r="G18" s="49" t="n">
        <f aca="false">SUMPRODUCT(SMALL($G$5:$G$14,{1,2,3,4,5,6}))/6</f>
        <v>-437.784552400621</v>
      </c>
    </row>
    <row r="20" customFormat="false" ht="39.75" hidden="false" customHeight="true" outlineLevel="0" collapsed="false">
      <c r="A20" s="15" t="s">
        <v>193</v>
      </c>
      <c r="B20" s="15"/>
      <c r="C20" s="15"/>
      <c r="D20" s="15"/>
      <c r="E20" s="15"/>
      <c r="F20" s="15"/>
      <c r="G20" s="15"/>
    </row>
  </sheetData>
  <mergeCells count="3">
    <mergeCell ref="A1:E1"/>
    <mergeCell ref="A2:E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38" t="s">
        <v>194</v>
      </c>
      <c r="B1" s="38"/>
      <c r="C1" s="38"/>
      <c r="D1" s="38"/>
      <c r="E1" s="38"/>
      <c r="F1" s="38"/>
      <c r="G1" s="38"/>
      <c r="H1" s="38"/>
      <c r="I1" s="38"/>
    </row>
    <row r="2" customFormat="false" ht="54.75" hidden="false" customHeight="true" outlineLevel="0" collapsed="false">
      <c r="A2" s="15" t="s">
        <v>195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true" outlineLevel="0" collapsed="false">
      <c r="A4" s="45" t="s">
        <v>196</v>
      </c>
      <c r="B4" s="45"/>
      <c r="C4" s="45"/>
      <c r="D4" s="45"/>
      <c r="E4" s="45"/>
      <c r="F4" s="45"/>
      <c r="G4" s="45"/>
      <c r="H4" s="45"/>
      <c r="I4" s="45"/>
      <c r="J4" s="52" t="s">
        <v>197</v>
      </c>
    </row>
    <row r="5" customFormat="false" ht="39" hidden="false" customHeight="true" outlineLevel="0" collapsed="false">
      <c r="A5" s="22" t="s">
        <v>169</v>
      </c>
      <c r="B5" s="22" t="s">
        <v>170</v>
      </c>
      <c r="C5" s="22" t="s">
        <v>171</v>
      </c>
      <c r="D5" s="22" t="s">
        <v>172</v>
      </c>
      <c r="E5" s="22" t="s">
        <v>173</v>
      </c>
      <c r="F5" s="22" t="s">
        <v>174</v>
      </c>
      <c r="G5" s="22" t="s">
        <v>175</v>
      </c>
      <c r="H5" s="22" t="s">
        <v>176</v>
      </c>
      <c r="I5" s="22" t="s">
        <v>177</v>
      </c>
    </row>
    <row r="6" customFormat="false" ht="15" hidden="false" customHeight="true" outlineLevel="0" collapsed="false">
      <c r="A6" s="4" t="s">
        <v>178</v>
      </c>
      <c r="B6" s="32" t="n">
        <f aca="false">Curves!E8</f>
        <v>0.957768</v>
      </c>
      <c r="C6" s="32" t="n">
        <f aca="false">Curves!E9</f>
        <v>0.96933</v>
      </c>
      <c r="D6" s="25" t="n">
        <f aca="false">SABR!AT10</f>
        <v>0.39978211956629</v>
      </c>
      <c r="E6" s="32" t="n">
        <f aca="false">Curves!E10</f>
        <v>0.958726</v>
      </c>
      <c r="F6" s="32" t="n">
        <f aca="false">Curves!E11</f>
        <v>0.954899</v>
      </c>
      <c r="G6" s="32" t="n">
        <f aca="false">Curves!E12</f>
        <v>0.967393</v>
      </c>
      <c r="H6" s="32" t="n">
        <f aca="false">Curves!E13</f>
        <v>0.960645</v>
      </c>
      <c r="I6" s="42" t="n">
        <f aca="false">NPV_Engine!$B$4*B6*(C6/NPV_Engine!$B$8)*(1+0.5*(D6-NPV_Engine!$B$13))*(AVERAGE(E6,F6,G6)/B6)*(H6/NPV_Engine!$B$12)</f>
        <v>9603393.33333333</v>
      </c>
    </row>
    <row r="7" customFormat="false" ht="15" hidden="false" customHeight="true" outlineLevel="0" collapsed="false">
      <c r="A7" s="9" t="s">
        <v>117</v>
      </c>
      <c r="B7" s="32" t="n">
        <f aca="false">Curves!E8</f>
        <v>0.957768</v>
      </c>
      <c r="C7" s="32" t="n">
        <f aca="false">Curves!E9</f>
        <v>0.96933</v>
      </c>
      <c r="D7" s="25" t="n">
        <f aca="false">SABR!AT10</f>
        <v>0.39978211956629</v>
      </c>
      <c r="E7" s="32" t="n">
        <f aca="false">Curves!E10</f>
        <v>0.958726</v>
      </c>
      <c r="F7" s="24" t="n">
        <f aca="false">Curves!Q40</f>
        <v>0.949311346582243</v>
      </c>
      <c r="G7" s="24" t="n">
        <f aca="false">Curves!Q41</f>
        <v>0.962297088758501</v>
      </c>
      <c r="H7" s="32" t="n">
        <f aca="false">Curves!E13</f>
        <v>0.960645</v>
      </c>
      <c r="I7" s="42" t="n">
        <f aca="false">NPV_Engine!$B$4*B7*(C7/NPV_Engine!$B$8)*(1+0.5*(D7-NPV_Engine!$B$13))*(AVERAGE(E7,F7,G7)/B7)*(H7/NPV_Engine!$B$12)</f>
        <v>9567781.45113581</v>
      </c>
    </row>
    <row r="8" customFormat="false" ht="15" hidden="false" customHeight="true" outlineLevel="0" collapsed="false">
      <c r="A8" s="9" t="s">
        <v>118</v>
      </c>
      <c r="B8" s="32" t="n">
        <f aca="false">Curves!E8</f>
        <v>0.957768</v>
      </c>
      <c r="C8" s="32" t="n">
        <f aca="false">Curves!E9</f>
        <v>0.96933</v>
      </c>
      <c r="D8" s="25" t="n">
        <f aca="false">SABR!AT10</f>
        <v>0.39978211956629</v>
      </c>
      <c r="E8" s="32" t="n">
        <f aca="false">Curves!E10</f>
        <v>0.958726</v>
      </c>
      <c r="F8" s="24" t="n">
        <f aca="false">Curves!Q48</f>
        <v>0.952091864437955</v>
      </c>
      <c r="G8" s="24" t="n">
        <f aca="false">Curves!Q49</f>
        <v>0.964955584066973</v>
      </c>
      <c r="H8" s="32" t="n">
        <f aca="false">Curves!E13</f>
        <v>0.960645</v>
      </c>
      <c r="I8" s="42" t="n">
        <f aca="false">NPV_Engine!$B$4*B8*(C8/NPV_Engine!$B$8)*(1+0.5*(D8-NPV_Engine!$B$13))*(AVERAGE(E8,F8,G8)/B8)*(H8/NPV_Engine!$B$12)</f>
        <v>9585911.49501643</v>
      </c>
    </row>
    <row r="9" customFormat="false" ht="15" hidden="false" customHeight="true" outlineLevel="0" collapsed="false">
      <c r="A9" s="9" t="s">
        <v>119</v>
      </c>
      <c r="B9" s="32" t="n">
        <f aca="false">Curves!E8</f>
        <v>0.957768</v>
      </c>
      <c r="C9" s="32" t="n">
        <f aca="false">Curves!E9</f>
        <v>0.96933</v>
      </c>
      <c r="D9" s="25" t="n">
        <f aca="false">SABR!AT10</f>
        <v>0.39978211956629</v>
      </c>
      <c r="E9" s="32" t="n">
        <f aca="false">Curves!E10</f>
        <v>0.958726</v>
      </c>
      <c r="F9" s="24" t="n">
        <f aca="false">Curves!Q56</f>
        <v>0.953612707835657</v>
      </c>
      <c r="G9" s="24" t="n">
        <f aca="false">Curves!Q57</f>
        <v>0.961223663488055</v>
      </c>
      <c r="H9" s="32" t="n">
        <f aca="false">Curves!E13</f>
        <v>0.960645</v>
      </c>
      <c r="I9" s="42" t="n">
        <f aca="false">NPV_Engine!$B$4*B9*(C9/NPV_Engine!$B$8)*(1+0.5*(D9-NPV_Engine!$B$13))*(AVERAGE(E9,F9,G9)/B9)*(H9/NPV_Engine!$B$12)</f>
        <v>9578541.23774571</v>
      </c>
    </row>
    <row r="10" customFormat="false" ht="15" hidden="false" customHeight="true" outlineLevel="0" collapsed="false">
      <c r="A10" s="9" t="s">
        <v>120</v>
      </c>
      <c r="B10" s="32" t="n">
        <f aca="false">Curves!E8</f>
        <v>0.957768</v>
      </c>
      <c r="C10" s="32" t="n">
        <f aca="false">Curves!E9</f>
        <v>0.96933</v>
      </c>
      <c r="D10" s="25" t="n">
        <f aca="false">SABR!AT10</f>
        <v>0.39978211956629</v>
      </c>
      <c r="E10" s="32" t="n">
        <f aca="false">Curves!E10</f>
        <v>0.958726</v>
      </c>
      <c r="F10" s="24" t="n">
        <f aca="false">Curves!Q64</f>
        <v>0.946234479809646</v>
      </c>
      <c r="G10" s="24" t="n">
        <f aca="false">Curves!Q65</f>
        <v>0.960336700770215</v>
      </c>
      <c r="H10" s="32" t="n">
        <f aca="false">Curves!E13</f>
        <v>0.960645</v>
      </c>
      <c r="I10" s="42" t="n">
        <f aca="false">NPV_Engine!$B$4*B10*(C10/NPV_Engine!$B$8)*(1+0.5*(D10-NPV_Engine!$B$13))*(AVERAGE(E10,F10,G10)/B10)*(H10/NPV_Engine!$B$12)</f>
        <v>9550990.60193287</v>
      </c>
    </row>
    <row r="11" customFormat="false" ht="15" hidden="false" customHeight="true" outlineLevel="0" collapsed="false">
      <c r="A11" s="9" t="s">
        <v>121</v>
      </c>
      <c r="B11" s="32" t="n">
        <f aca="false">Curves!E8</f>
        <v>0.957768</v>
      </c>
      <c r="C11" s="32" t="n">
        <f aca="false">Curves!E9</f>
        <v>0.96933</v>
      </c>
      <c r="D11" s="25" t="n">
        <f aca="false">SABR!AT10</f>
        <v>0.39978211956629</v>
      </c>
      <c r="E11" s="32" t="n">
        <f aca="false">Curves!E10</f>
        <v>0.958726</v>
      </c>
      <c r="F11" s="24" t="n">
        <f aca="false">Curves!Q72</f>
        <v>0.945344255389449</v>
      </c>
      <c r="G11" s="24" t="n">
        <f aca="false">Curves!Q73</f>
        <v>0.960043506585016</v>
      </c>
      <c r="H11" s="32" t="n">
        <f aca="false">Curves!E13</f>
        <v>0.960645</v>
      </c>
      <c r="I11" s="42" t="n">
        <f aca="false">NPV_Engine!$B$4*B11*(C11/NPV_Engine!$B$8)*(1+0.5*(D11-NPV_Engine!$B$13))*(AVERAGE(E11,F11,G11)/B11)*(H11/NPV_Engine!$B$12)</f>
        <v>9547045.87324822</v>
      </c>
    </row>
    <row r="12" customFormat="false" ht="15" hidden="false" customHeight="true" outlineLevel="0" collapsed="false">
      <c r="A12" s="9" t="s">
        <v>122</v>
      </c>
      <c r="B12" s="32" t="n">
        <f aca="false">Curves!E8</f>
        <v>0.957768</v>
      </c>
      <c r="C12" s="32" t="n">
        <f aca="false">Curves!E9</f>
        <v>0.96933</v>
      </c>
      <c r="D12" s="25" t="n">
        <f aca="false">SABR!AT10</f>
        <v>0.39978211956629</v>
      </c>
      <c r="E12" s="32" t="n">
        <f aca="false">Curves!E10</f>
        <v>0.958726</v>
      </c>
      <c r="F12" s="24" t="n">
        <f aca="false">Curves!Q80</f>
        <v>0.944482088523894</v>
      </c>
      <c r="G12" s="24" t="n">
        <f aca="false">Curves!Q81</f>
        <v>0.958612050918359</v>
      </c>
      <c r="H12" s="32" t="n">
        <f aca="false">Curves!E13</f>
        <v>0.960645</v>
      </c>
      <c r="I12" s="42" t="n">
        <f aca="false">NPV_Engine!$B$4*B12*(C12/NPV_Engine!$B$8)*(1+0.5*(D12-NPV_Engine!$B$13))*(AVERAGE(E12,F12,G12)/B12)*(H12/NPV_Engine!$B$12)</f>
        <v>9539400.46480751</v>
      </c>
    </row>
    <row r="13" customFormat="false" ht="15" hidden="false" customHeight="true" outlineLevel="0" collapsed="false">
      <c r="A13" s="9" t="s">
        <v>123</v>
      </c>
      <c r="B13" s="32" t="n">
        <f aca="false">Curves!E8</f>
        <v>0.957768</v>
      </c>
      <c r="C13" s="32" t="n">
        <f aca="false">Curves!E9</f>
        <v>0.96933</v>
      </c>
      <c r="D13" s="25" t="n">
        <f aca="false">SABR!AT10</f>
        <v>0.39978211956629</v>
      </c>
      <c r="E13" s="32" t="n">
        <f aca="false">Curves!E10</f>
        <v>0.958726</v>
      </c>
      <c r="F13" s="24" t="n">
        <f aca="false">Curves!Q88</f>
        <v>0.950115469489328</v>
      </c>
      <c r="G13" s="24" t="n">
        <f aca="false">Curves!Q89</f>
        <v>0.957808375985025</v>
      </c>
      <c r="H13" s="32" t="n">
        <f aca="false">Curves!E13</f>
        <v>0.960645</v>
      </c>
      <c r="I13" s="42" t="n">
        <f aca="false">NPV_Engine!$B$4*B13*(C13/NPV_Engine!$B$8)*(1+0.5*(D13-NPV_Engine!$B$13))*(AVERAGE(E13,F13,G13)/B13)*(H13/NPV_Engine!$B$12)</f>
        <v>9555499.48491451</v>
      </c>
    </row>
    <row r="14" customFormat="false" ht="15" hidden="false" customHeight="true" outlineLevel="0" collapsed="false">
      <c r="A14" s="9" t="s">
        <v>124</v>
      </c>
      <c r="B14" s="32" t="n">
        <f aca="false">Curves!E8</f>
        <v>0.957768</v>
      </c>
      <c r="C14" s="32" t="n">
        <f aca="false">Curves!E9</f>
        <v>0.96933</v>
      </c>
      <c r="D14" s="25" t="n">
        <f aca="false">SABR!AT10</f>
        <v>0.39978211956629</v>
      </c>
      <c r="E14" s="32" t="n">
        <f aca="false">Curves!E10</f>
        <v>0.958726</v>
      </c>
      <c r="F14" s="24" t="n">
        <f aca="false">Curves!Q96</f>
        <v>0.942346869047631</v>
      </c>
      <c r="G14" s="24" t="n">
        <f aca="false">Curves!Q97</f>
        <v>0.957056963924134</v>
      </c>
      <c r="H14" s="32" t="n">
        <f aca="false">Curves!E13</f>
        <v>0.960645</v>
      </c>
      <c r="I14" s="42" t="n">
        <f aca="false">NPV_Engine!$B$4*B14*(C14/NPV_Engine!$B$8)*(1+0.5*(D14-NPV_Engine!$B$13))*(AVERAGE(E14,F14,G14)/B14)*(H14/NPV_Engine!$B$12)</f>
        <v>9527099.44323922</v>
      </c>
    </row>
    <row r="15" customFormat="false" ht="15" hidden="false" customHeight="true" outlineLevel="0" collapsed="false">
      <c r="A15" s="9" t="s">
        <v>125</v>
      </c>
      <c r="B15" s="32" t="n">
        <f aca="false">Curves!E8</f>
        <v>0.957768</v>
      </c>
      <c r="C15" s="32" t="n">
        <f aca="false">Curves!E9</f>
        <v>0.96933</v>
      </c>
      <c r="D15" s="25" t="n">
        <f aca="false">SABR!AT10</f>
        <v>0.39978211956629</v>
      </c>
      <c r="E15" s="32" t="n">
        <f aca="false">Curves!E10</f>
        <v>0.958726</v>
      </c>
      <c r="F15" s="24" t="n">
        <f aca="false">Curves!Q104</f>
        <v>0.941085187512815</v>
      </c>
      <c r="G15" s="24" t="n">
        <f aca="false">Curves!Q105</f>
        <v>0.956168103382636</v>
      </c>
      <c r="H15" s="32" t="n">
        <f aca="false">Curves!E13</f>
        <v>0.960645</v>
      </c>
      <c r="I15" s="42" t="n">
        <f aca="false">NPV_Engine!$B$4*B15*(C15/NPV_Engine!$B$8)*(1+0.5*(D15-NPV_Engine!$B$13))*(AVERAGE(E15,F15,G15)/B15)*(H15/NPV_Engine!$B$12)</f>
        <v>9519930.96965151</v>
      </c>
    </row>
    <row r="16" customFormat="false" ht="15" hidden="false" customHeight="true" outlineLevel="0" collapsed="false">
      <c r="A16" s="9" t="s">
        <v>126</v>
      </c>
      <c r="B16" s="32" t="n">
        <f aca="false">Curves!E8</f>
        <v>0.957768</v>
      </c>
      <c r="C16" s="32" t="n">
        <f aca="false">Curves!E9</f>
        <v>0.96933</v>
      </c>
      <c r="D16" s="25" t="n">
        <f aca="false">SABR!AT10</f>
        <v>0.39978211956629</v>
      </c>
      <c r="E16" s="32" t="n">
        <f aca="false">Curves!E10</f>
        <v>0.958726</v>
      </c>
      <c r="F16" s="24" t="n">
        <f aca="false">Curves!Q112</f>
        <v>0.94825631913984</v>
      </c>
      <c r="G16" s="24" t="n">
        <f aca="false">Curves!Q113</f>
        <v>0.966039723186702</v>
      </c>
      <c r="H16" s="32" t="n">
        <f aca="false">Curves!E13</f>
        <v>0.960645</v>
      </c>
      <c r="I16" s="42" t="n">
        <f aca="false">NPV_Engine!$B$4*B16*(C16/NPV_Engine!$B$8)*(1+0.5*(D16-NPV_Engine!$B$13))*(AVERAGE(E16,F16,G16)/B16)*(H16/NPV_Engine!$B$12)</f>
        <v>9576740.14108848</v>
      </c>
    </row>
    <row r="19" customFormat="false" ht="15" hidden="false" customHeight="true" outlineLevel="0" collapsed="false">
      <c r="A19" s="45" t="s">
        <v>198</v>
      </c>
      <c r="B19" s="45"/>
      <c r="C19" s="45"/>
      <c r="D19" s="45"/>
      <c r="E19" s="45"/>
      <c r="F19" s="45"/>
      <c r="G19" s="45"/>
      <c r="H19" s="45"/>
      <c r="I19" s="45"/>
      <c r="J19" s="52" t="s">
        <v>197</v>
      </c>
    </row>
    <row r="20" customFormat="false" ht="39" hidden="false" customHeight="true" outlineLevel="0" collapsed="false">
      <c r="A20" s="22" t="s">
        <v>169</v>
      </c>
      <c r="B20" s="22" t="s">
        <v>170</v>
      </c>
      <c r="C20" s="22" t="s">
        <v>171</v>
      </c>
      <c r="D20" s="22" t="s">
        <v>172</v>
      </c>
      <c r="E20" s="22" t="s">
        <v>173</v>
      </c>
      <c r="F20" s="22" t="s">
        <v>174</v>
      </c>
      <c r="G20" s="22" t="s">
        <v>175</v>
      </c>
      <c r="H20" s="22" t="s">
        <v>176</v>
      </c>
      <c r="I20" s="22" t="s">
        <v>177</v>
      </c>
    </row>
    <row r="21" customFormat="false" ht="15" hidden="false" customHeight="true" outlineLevel="0" collapsed="false">
      <c r="A21" s="4" t="s">
        <v>178</v>
      </c>
      <c r="B21" s="32" t="n">
        <f aca="false">Curves!E8</f>
        <v>0.957768</v>
      </c>
      <c r="C21" s="32" t="n">
        <f aca="false">Curves!E9</f>
        <v>0.96933</v>
      </c>
      <c r="D21" s="25" t="n">
        <f aca="false">SABR!AT10</f>
        <v>0.39978211956629</v>
      </c>
      <c r="E21" s="32" t="n">
        <f aca="false">Curves!E10</f>
        <v>0.958726</v>
      </c>
      <c r="F21" s="32" t="n">
        <f aca="false">Curves!E11</f>
        <v>0.954899</v>
      </c>
      <c r="G21" s="32" t="n">
        <f aca="false">Curves!E12</f>
        <v>0.967393</v>
      </c>
      <c r="H21" s="32" t="n">
        <f aca="false">Curves!E13</f>
        <v>0.960645</v>
      </c>
      <c r="I21" s="42" t="n">
        <f aca="false">NPV_Engine!$B$4*B21*(C21/NPV_Engine!$B$8)*(1+0.5*(D21-NPV_Engine!$B$13))*(AVERAGE(E21,F21,G21)/B21)*(H21/NPV_Engine!$B$12)</f>
        <v>9603393.33333333</v>
      </c>
    </row>
    <row r="22" customFormat="false" ht="15" hidden="false" customHeight="true" outlineLevel="0" collapsed="false">
      <c r="A22" s="9" t="s">
        <v>117</v>
      </c>
      <c r="B22" s="32" t="n">
        <f aca="false">Curves!E8</f>
        <v>0.957768</v>
      </c>
      <c r="C22" s="32" t="n">
        <f aca="false">Curves!E9</f>
        <v>0.96933</v>
      </c>
      <c r="D22" s="25" t="n">
        <f aca="false">SABR!AT10</f>
        <v>0.39978211956629</v>
      </c>
      <c r="E22" s="32" t="n">
        <f aca="false">Curves!E10</f>
        <v>0.958726</v>
      </c>
      <c r="F22" s="24" t="n">
        <f aca="false">Curves!Q40</f>
        <v>0.949311346582243</v>
      </c>
      <c r="G22" s="24" t="n">
        <f aca="false">Curves!Q41</f>
        <v>0.962297088758501</v>
      </c>
      <c r="H22" s="32" t="n">
        <f aca="false">Curves!E13</f>
        <v>0.960645</v>
      </c>
      <c r="I22" s="42" t="n">
        <f aca="false">NPV_Engine!$B$4*B22*(C22/NPV_Engine!$B$8)*(1+0.5*(D22-NPV_Engine!$B$13))*(AVERAGE(E22,F22,G22)/B22)*(H22/NPV_Engine!$B$12)</f>
        <v>9567781.45113581</v>
      </c>
    </row>
    <row r="23" customFormat="false" ht="15" hidden="false" customHeight="true" outlineLevel="0" collapsed="false">
      <c r="A23" s="9" t="s">
        <v>118</v>
      </c>
      <c r="B23" s="32" t="n">
        <f aca="false">Curves!E8</f>
        <v>0.957768</v>
      </c>
      <c r="C23" s="32" t="n">
        <f aca="false">Curves!E9</f>
        <v>0.96933</v>
      </c>
      <c r="D23" s="25" t="n">
        <f aca="false">SABR!AT10</f>
        <v>0.39978211956629</v>
      </c>
      <c r="E23" s="32" t="n">
        <f aca="false">Curves!E10</f>
        <v>0.958726</v>
      </c>
      <c r="F23" s="24" t="n">
        <f aca="false">Curves!Q48</f>
        <v>0.952091864437955</v>
      </c>
      <c r="G23" s="24" t="n">
        <f aca="false">Curves!Q49</f>
        <v>0.964955584066973</v>
      </c>
      <c r="H23" s="32" t="n">
        <f aca="false">Curves!E13</f>
        <v>0.960645</v>
      </c>
      <c r="I23" s="42" t="n">
        <f aca="false">NPV_Engine!$B$4*B23*(C23/NPV_Engine!$B$8)*(1+0.5*(D23-NPV_Engine!$B$13))*(AVERAGE(E23,F23,G23)/B23)*(H23/NPV_Engine!$B$12)</f>
        <v>9585911.49501643</v>
      </c>
    </row>
    <row r="24" customFormat="false" ht="15" hidden="false" customHeight="true" outlineLevel="0" collapsed="false">
      <c r="A24" s="9" t="s">
        <v>119</v>
      </c>
      <c r="B24" s="32" t="n">
        <f aca="false">Curves!E8</f>
        <v>0.957768</v>
      </c>
      <c r="C24" s="32" t="n">
        <f aca="false">Curves!E9</f>
        <v>0.96933</v>
      </c>
      <c r="D24" s="25" t="n">
        <f aca="false">SABR!AT10</f>
        <v>0.39978211956629</v>
      </c>
      <c r="E24" s="32" t="n">
        <f aca="false">Curves!E10</f>
        <v>0.958726</v>
      </c>
      <c r="F24" s="24" t="n">
        <f aca="false">Curves!Q56</f>
        <v>0.953612707835657</v>
      </c>
      <c r="G24" s="24" t="n">
        <f aca="false">Curves!Q57</f>
        <v>0.961223663488055</v>
      </c>
      <c r="H24" s="32" t="n">
        <f aca="false">Curves!E13</f>
        <v>0.960645</v>
      </c>
      <c r="I24" s="42" t="n">
        <f aca="false">NPV_Engine!$B$4*B24*(C24/NPV_Engine!$B$8)*(1+0.5*(D24-NPV_Engine!$B$13))*(AVERAGE(E24,F24,G24)/B24)*(H24/NPV_Engine!$B$12)</f>
        <v>9578541.23774571</v>
      </c>
    </row>
    <row r="25" customFormat="false" ht="15" hidden="false" customHeight="true" outlineLevel="0" collapsed="false">
      <c r="A25" s="9" t="s">
        <v>120</v>
      </c>
      <c r="B25" s="32" t="n">
        <f aca="false">Curves!E8</f>
        <v>0.957768</v>
      </c>
      <c r="C25" s="32" t="n">
        <f aca="false">Curves!E9</f>
        <v>0.96933</v>
      </c>
      <c r="D25" s="25" t="n">
        <f aca="false">SABR!AT10</f>
        <v>0.39978211956629</v>
      </c>
      <c r="E25" s="32" t="n">
        <f aca="false">Curves!E10</f>
        <v>0.958726</v>
      </c>
      <c r="F25" s="24" t="n">
        <f aca="false">Curves!Q64</f>
        <v>0.946234479809646</v>
      </c>
      <c r="G25" s="24" t="n">
        <f aca="false">Curves!Q65</f>
        <v>0.960336700770215</v>
      </c>
      <c r="H25" s="32" t="n">
        <f aca="false">Curves!E13</f>
        <v>0.960645</v>
      </c>
      <c r="I25" s="42" t="n">
        <f aca="false">NPV_Engine!$B$4*B25*(C25/NPV_Engine!$B$8)*(1+0.5*(D25-NPV_Engine!$B$13))*(AVERAGE(E25,F25,G25)/B25)*(H25/NPV_Engine!$B$12)</f>
        <v>9550990.60193287</v>
      </c>
    </row>
    <row r="26" customFormat="false" ht="15" hidden="false" customHeight="true" outlineLevel="0" collapsed="false">
      <c r="A26" s="9" t="s">
        <v>121</v>
      </c>
      <c r="B26" s="32" t="n">
        <f aca="false">Curves!E8</f>
        <v>0.957768</v>
      </c>
      <c r="C26" s="32" t="n">
        <f aca="false">Curves!E9</f>
        <v>0.96933</v>
      </c>
      <c r="D26" s="25" t="n">
        <f aca="false">SABR!AT10</f>
        <v>0.39978211956629</v>
      </c>
      <c r="E26" s="32" t="n">
        <f aca="false">Curves!E10</f>
        <v>0.958726</v>
      </c>
      <c r="F26" s="24" t="n">
        <f aca="false">Curves!Q72</f>
        <v>0.945344255389449</v>
      </c>
      <c r="G26" s="24" t="n">
        <f aca="false">Curves!Q73</f>
        <v>0.960043506585016</v>
      </c>
      <c r="H26" s="32" t="n">
        <f aca="false">Curves!E13</f>
        <v>0.960645</v>
      </c>
      <c r="I26" s="42" t="n">
        <f aca="false">NPV_Engine!$B$4*B26*(C26/NPV_Engine!$B$8)*(1+0.5*(D26-NPV_Engine!$B$13))*(AVERAGE(E26,F26,G26)/B26)*(H26/NPV_Engine!$B$12)</f>
        <v>9547045.87324822</v>
      </c>
    </row>
    <row r="27" customFormat="false" ht="15" hidden="false" customHeight="true" outlineLevel="0" collapsed="false">
      <c r="A27" s="9" t="s">
        <v>122</v>
      </c>
      <c r="B27" s="32" t="n">
        <f aca="false">Curves!E8</f>
        <v>0.957768</v>
      </c>
      <c r="C27" s="32" t="n">
        <f aca="false">Curves!E9</f>
        <v>0.96933</v>
      </c>
      <c r="D27" s="25" t="n">
        <f aca="false">SABR!AT10</f>
        <v>0.39978211956629</v>
      </c>
      <c r="E27" s="32" t="n">
        <f aca="false">Curves!E10</f>
        <v>0.958726</v>
      </c>
      <c r="F27" s="24" t="n">
        <f aca="false">Curves!Q80</f>
        <v>0.944482088523894</v>
      </c>
      <c r="G27" s="24" t="n">
        <f aca="false">Curves!Q81</f>
        <v>0.958612050918359</v>
      </c>
      <c r="H27" s="32" t="n">
        <f aca="false">Curves!E13</f>
        <v>0.960645</v>
      </c>
      <c r="I27" s="42" t="n">
        <f aca="false">NPV_Engine!$B$4*B27*(C27/NPV_Engine!$B$8)*(1+0.5*(D27-NPV_Engine!$B$13))*(AVERAGE(E27,F27,G27)/B27)*(H27/NPV_Engine!$B$12)</f>
        <v>9539400.46480751</v>
      </c>
    </row>
    <row r="28" customFormat="false" ht="15" hidden="false" customHeight="true" outlineLevel="0" collapsed="false">
      <c r="A28" s="9" t="s">
        <v>123</v>
      </c>
      <c r="B28" s="32" t="n">
        <f aca="false">Curves!E8</f>
        <v>0.957768</v>
      </c>
      <c r="C28" s="32" t="n">
        <f aca="false">Curves!E9</f>
        <v>0.96933</v>
      </c>
      <c r="D28" s="25" t="n">
        <f aca="false">SABR!AT10</f>
        <v>0.39978211956629</v>
      </c>
      <c r="E28" s="32" t="n">
        <f aca="false">Curves!E10</f>
        <v>0.958726</v>
      </c>
      <c r="F28" s="24" t="n">
        <f aca="false">Curves!Q88</f>
        <v>0.950115469489328</v>
      </c>
      <c r="G28" s="24" t="n">
        <f aca="false">Curves!Q89</f>
        <v>0.957808375985025</v>
      </c>
      <c r="H28" s="32" t="n">
        <f aca="false">Curves!E13</f>
        <v>0.960645</v>
      </c>
      <c r="I28" s="42" t="n">
        <f aca="false">NPV_Engine!$B$4*B28*(C28/NPV_Engine!$B$8)*(1+0.5*(D28-NPV_Engine!$B$13))*(AVERAGE(E28,F28,G28)/B28)*(H28/NPV_Engine!$B$12)</f>
        <v>9555499.48491451</v>
      </c>
    </row>
    <row r="29" customFormat="false" ht="15" hidden="false" customHeight="true" outlineLevel="0" collapsed="false">
      <c r="A29" s="9" t="s">
        <v>124</v>
      </c>
      <c r="B29" s="32" t="n">
        <f aca="false">Curves!E8</f>
        <v>0.957768</v>
      </c>
      <c r="C29" s="32" t="n">
        <f aca="false">Curves!E9</f>
        <v>0.96933</v>
      </c>
      <c r="D29" s="25" t="n">
        <f aca="false">SABR!AT10</f>
        <v>0.39978211956629</v>
      </c>
      <c r="E29" s="32" t="n">
        <f aca="false">Curves!E10</f>
        <v>0.958726</v>
      </c>
      <c r="F29" s="24" t="n">
        <f aca="false">Curves!Q96</f>
        <v>0.942346869047631</v>
      </c>
      <c r="G29" s="24" t="n">
        <f aca="false">Curves!Q97</f>
        <v>0.957056963924134</v>
      </c>
      <c r="H29" s="32" t="n">
        <f aca="false">Curves!E13</f>
        <v>0.960645</v>
      </c>
      <c r="I29" s="42" t="n">
        <f aca="false">NPV_Engine!$B$4*B29*(C29/NPV_Engine!$B$8)*(1+0.5*(D29-NPV_Engine!$B$13))*(AVERAGE(E29,F29,G29)/B29)*(H29/NPV_Engine!$B$12)</f>
        <v>9527099.44323922</v>
      </c>
    </row>
    <row r="30" customFormat="false" ht="15" hidden="false" customHeight="true" outlineLevel="0" collapsed="false">
      <c r="A30" s="9" t="s">
        <v>125</v>
      </c>
      <c r="B30" s="32" t="n">
        <f aca="false">Curves!E8</f>
        <v>0.957768</v>
      </c>
      <c r="C30" s="32" t="n">
        <f aca="false">Curves!E9</f>
        <v>0.96933</v>
      </c>
      <c r="D30" s="25" t="n">
        <f aca="false">SABR!AT10</f>
        <v>0.39978211956629</v>
      </c>
      <c r="E30" s="32" t="n">
        <f aca="false">Curves!E10</f>
        <v>0.958726</v>
      </c>
      <c r="F30" s="24" t="n">
        <f aca="false">Curves!Q104</f>
        <v>0.941085187512815</v>
      </c>
      <c r="G30" s="24" t="n">
        <f aca="false">Curves!Q105</f>
        <v>0.956168103382636</v>
      </c>
      <c r="H30" s="32" t="n">
        <f aca="false">Curves!E13</f>
        <v>0.960645</v>
      </c>
      <c r="I30" s="42" t="n">
        <f aca="false">NPV_Engine!$B$4*B30*(C30/NPV_Engine!$B$8)*(1+0.5*(D30-NPV_Engine!$B$13))*(AVERAGE(E30,F30,G30)/B30)*(H30/NPV_Engine!$B$12)</f>
        <v>9519930.96965151</v>
      </c>
    </row>
    <row r="31" customFormat="false" ht="15" hidden="false" customHeight="true" outlineLevel="0" collapsed="false">
      <c r="A31" s="9" t="s">
        <v>126</v>
      </c>
      <c r="B31" s="32" t="n">
        <f aca="false">Curves!E8</f>
        <v>0.957768</v>
      </c>
      <c r="C31" s="32" t="n">
        <f aca="false">Curves!E9</f>
        <v>0.96933</v>
      </c>
      <c r="D31" s="25" t="n">
        <f aca="false">SABR!AT10</f>
        <v>0.39978211956629</v>
      </c>
      <c r="E31" s="32" t="n">
        <f aca="false">Curves!E10</f>
        <v>0.958726</v>
      </c>
      <c r="F31" s="24" t="n">
        <f aca="false">Curves!Q112</f>
        <v>0.94825631913984</v>
      </c>
      <c r="G31" s="24" t="n">
        <f aca="false">Curves!Q113</f>
        <v>0.966039723186702</v>
      </c>
      <c r="H31" s="32" t="n">
        <f aca="false">Curves!E13</f>
        <v>0.960645</v>
      </c>
      <c r="I31" s="42" t="n">
        <f aca="false">NPV_Engine!$B$4*B31*(C31/NPV_Engine!$B$8)*(1+0.5*(D31-NPV_Engine!$B$13))*(AVERAGE(E31,F31,G31)/B31)*(H31/NPV_Engine!$B$12)</f>
        <v>9576740.14108848</v>
      </c>
    </row>
    <row r="34" customFormat="false" ht="15" hidden="false" customHeight="true" outlineLevel="0" collapsed="false">
      <c r="A34" s="45" t="s">
        <v>199</v>
      </c>
      <c r="B34" s="45"/>
      <c r="C34" s="45"/>
      <c r="D34" s="45"/>
      <c r="E34" s="45"/>
      <c r="F34" s="45"/>
      <c r="G34" s="45"/>
      <c r="H34" s="45"/>
      <c r="I34" s="45"/>
      <c r="J34" s="52" t="s">
        <v>200</v>
      </c>
    </row>
    <row r="35" customFormat="false" ht="39" hidden="false" customHeight="true" outlineLevel="0" collapsed="false">
      <c r="A35" s="22" t="s">
        <v>169</v>
      </c>
      <c r="B35" s="22" t="s">
        <v>170</v>
      </c>
      <c r="C35" s="22" t="s">
        <v>171</v>
      </c>
      <c r="D35" s="22" t="s">
        <v>172</v>
      </c>
      <c r="E35" s="22" t="s">
        <v>173</v>
      </c>
      <c r="F35" s="22" t="s">
        <v>174</v>
      </c>
      <c r="G35" s="22" t="s">
        <v>175</v>
      </c>
      <c r="H35" s="22" t="s">
        <v>176</v>
      </c>
      <c r="I35" s="22" t="s">
        <v>177</v>
      </c>
    </row>
    <row r="36" customFormat="false" ht="15" hidden="false" customHeight="true" outlineLevel="0" collapsed="false">
      <c r="A36" s="4" t="s">
        <v>178</v>
      </c>
      <c r="B36" s="32" t="n">
        <f aca="false">Curves!E8</f>
        <v>0.957768</v>
      </c>
      <c r="C36" s="32" t="n">
        <f aca="false">Curves!E9</f>
        <v>0.96933</v>
      </c>
      <c r="D36" s="25" t="n">
        <f aca="false">SABR!AT10</f>
        <v>0.39978211956629</v>
      </c>
      <c r="E36" s="32" t="n">
        <f aca="false">Curves!E10</f>
        <v>0.958726</v>
      </c>
      <c r="F36" s="32" t="n">
        <f aca="false">Curves!E11</f>
        <v>0.954899</v>
      </c>
      <c r="G36" s="32" t="n">
        <f aca="false">Curves!E12</f>
        <v>0.967393</v>
      </c>
      <c r="H36" s="32" t="n">
        <f aca="false">Curves!E13</f>
        <v>0.960645</v>
      </c>
      <c r="I36" s="42" t="n">
        <f aca="false">NPV_Engine!$B$4*B36*(C36/NPV_Engine!$B$8)*(1+0.5*(D36-NPV_Engine!$B$13))*(AVERAGE(E36,F36,G36)/B36)*(H36/NPV_Engine!$B$12)</f>
        <v>9603393.33333333</v>
      </c>
    </row>
    <row r="37" customFormat="false" ht="15" hidden="false" customHeight="true" outlineLevel="0" collapsed="false">
      <c r="A37" s="9" t="s">
        <v>117</v>
      </c>
      <c r="B37" s="32" t="n">
        <f aca="false">Curves!E8</f>
        <v>0.957768</v>
      </c>
      <c r="C37" s="32" t="n">
        <f aca="false">Curves!E9</f>
        <v>0.96933</v>
      </c>
      <c r="D37" s="25" t="n">
        <f aca="false">SABR!AT10</f>
        <v>0.39978211956629</v>
      </c>
      <c r="E37" s="32" t="n">
        <f aca="false">Curves!E10</f>
        <v>0.958726</v>
      </c>
      <c r="F37" s="24" t="n">
        <f aca="false">Curves!Q40</f>
        <v>0.949311346582243</v>
      </c>
      <c r="G37" s="32" t="n">
        <f aca="false">Curves!E12</f>
        <v>0.967393</v>
      </c>
      <c r="H37" s="32" t="n">
        <f aca="false">Curves!E13</f>
        <v>0.960645</v>
      </c>
      <c r="I37" s="42" t="n">
        <f aca="false">NPV_Engine!$B$4*B37*(C37/NPV_Engine!$B$8)*(1+0.5*(D37-NPV_Engine!$B$13))*(AVERAGE(E37,F37,G37)/B37)*(H37/NPV_Engine!$B$12)</f>
        <v>9584767.82194081</v>
      </c>
    </row>
    <row r="38" customFormat="false" ht="15" hidden="false" customHeight="true" outlineLevel="0" collapsed="false">
      <c r="A38" s="9" t="s">
        <v>118</v>
      </c>
      <c r="B38" s="32" t="n">
        <f aca="false">Curves!E8</f>
        <v>0.957768</v>
      </c>
      <c r="C38" s="32" t="n">
        <f aca="false">Curves!E9</f>
        <v>0.96933</v>
      </c>
      <c r="D38" s="25" t="n">
        <f aca="false">SABR!AT10</f>
        <v>0.39978211956629</v>
      </c>
      <c r="E38" s="32" t="n">
        <f aca="false">Curves!E10</f>
        <v>0.958726</v>
      </c>
      <c r="F38" s="24" t="n">
        <f aca="false">Curves!Q48</f>
        <v>0.952091864437955</v>
      </c>
      <c r="G38" s="32" t="n">
        <f aca="false">Curves!E12</f>
        <v>0.967393</v>
      </c>
      <c r="H38" s="32" t="n">
        <f aca="false">Curves!E13</f>
        <v>0.960645</v>
      </c>
      <c r="I38" s="42" t="n">
        <f aca="false">NPV_Engine!$B$4*B38*(C38/NPV_Engine!$B$8)*(1+0.5*(D38-NPV_Engine!$B$13))*(AVERAGE(E38,F38,G38)/B38)*(H38/NPV_Engine!$B$12)</f>
        <v>9594036.21479318</v>
      </c>
    </row>
    <row r="39" customFormat="false" ht="15" hidden="false" customHeight="true" outlineLevel="0" collapsed="false">
      <c r="A39" s="9" t="s">
        <v>119</v>
      </c>
      <c r="B39" s="32" t="n">
        <f aca="false">Curves!E8</f>
        <v>0.957768</v>
      </c>
      <c r="C39" s="32" t="n">
        <f aca="false">Curves!E9</f>
        <v>0.96933</v>
      </c>
      <c r="D39" s="25" t="n">
        <f aca="false">SABR!AT10</f>
        <v>0.39978211956629</v>
      </c>
      <c r="E39" s="32" t="n">
        <f aca="false">Curves!E10</f>
        <v>0.958726</v>
      </c>
      <c r="F39" s="24" t="n">
        <f aca="false">Curves!Q56</f>
        <v>0.953612707835657</v>
      </c>
      <c r="G39" s="32" t="n">
        <f aca="false">Curves!E12</f>
        <v>0.967393</v>
      </c>
      <c r="H39" s="32" t="n">
        <f aca="false">Curves!E13</f>
        <v>0.960645</v>
      </c>
      <c r="I39" s="42" t="n">
        <f aca="false">NPV_Engine!$B$4*B39*(C39/NPV_Engine!$B$8)*(1+0.5*(D39-NPV_Engine!$B$13))*(AVERAGE(E39,F39,G39)/B39)*(H39/NPV_Engine!$B$12)</f>
        <v>9599105.69278552</v>
      </c>
    </row>
    <row r="40" customFormat="false" ht="15" hidden="false" customHeight="true" outlineLevel="0" collapsed="false">
      <c r="A40" s="9" t="s">
        <v>120</v>
      </c>
      <c r="B40" s="32" t="n">
        <f aca="false">Curves!E8</f>
        <v>0.957768</v>
      </c>
      <c r="C40" s="32" t="n">
        <f aca="false">Curves!E9</f>
        <v>0.96933</v>
      </c>
      <c r="D40" s="25" t="n">
        <f aca="false">SABR!AT10</f>
        <v>0.39978211956629</v>
      </c>
      <c r="E40" s="32" t="n">
        <f aca="false">Curves!E10</f>
        <v>0.958726</v>
      </c>
      <c r="F40" s="24" t="n">
        <f aca="false">Curves!Q64</f>
        <v>0.946234479809646</v>
      </c>
      <c r="G40" s="32" t="n">
        <f aca="false">Curves!E12</f>
        <v>0.967393</v>
      </c>
      <c r="H40" s="32" t="n">
        <f aca="false">Curves!E13</f>
        <v>0.960645</v>
      </c>
      <c r="I40" s="42" t="n">
        <f aca="false">NPV_Engine!$B$4*B40*(C40/NPV_Engine!$B$8)*(1+0.5*(D40-NPV_Engine!$B$13))*(AVERAGE(E40,F40,G40)/B40)*(H40/NPV_Engine!$B$12)</f>
        <v>9574511.59936549</v>
      </c>
    </row>
    <row r="41" customFormat="false" ht="15" hidden="false" customHeight="true" outlineLevel="0" collapsed="false">
      <c r="A41" s="9" t="s">
        <v>121</v>
      </c>
      <c r="B41" s="32" t="n">
        <f aca="false">Curves!E8</f>
        <v>0.957768</v>
      </c>
      <c r="C41" s="32" t="n">
        <f aca="false">Curves!E9</f>
        <v>0.96933</v>
      </c>
      <c r="D41" s="25" t="n">
        <f aca="false">SABR!AT10</f>
        <v>0.39978211956629</v>
      </c>
      <c r="E41" s="32" t="n">
        <f aca="false">Curves!E10</f>
        <v>0.958726</v>
      </c>
      <c r="F41" s="24" t="n">
        <f aca="false">Curves!Q72</f>
        <v>0.945344255389449</v>
      </c>
      <c r="G41" s="32" t="n">
        <f aca="false">Curves!E12</f>
        <v>0.967393</v>
      </c>
      <c r="H41" s="32" t="n">
        <f aca="false">Curves!E13</f>
        <v>0.960645</v>
      </c>
      <c r="I41" s="42" t="n">
        <f aca="false">NPV_Engine!$B$4*B41*(C41/NPV_Engine!$B$8)*(1+0.5*(D41-NPV_Engine!$B$13))*(AVERAGE(E41,F41,G41)/B41)*(H41/NPV_Engine!$B$12)</f>
        <v>9571544.1846315</v>
      </c>
    </row>
    <row r="42" customFormat="false" ht="15" hidden="false" customHeight="true" outlineLevel="0" collapsed="false">
      <c r="A42" s="9" t="s">
        <v>122</v>
      </c>
      <c r="B42" s="32" t="n">
        <f aca="false">Curves!E8</f>
        <v>0.957768</v>
      </c>
      <c r="C42" s="32" t="n">
        <f aca="false">Curves!E9</f>
        <v>0.96933</v>
      </c>
      <c r="D42" s="25" t="n">
        <f aca="false">SABR!AT10</f>
        <v>0.39978211956629</v>
      </c>
      <c r="E42" s="32" t="n">
        <f aca="false">Curves!E10</f>
        <v>0.958726</v>
      </c>
      <c r="F42" s="24" t="n">
        <f aca="false">Curves!Q80</f>
        <v>0.944482088523894</v>
      </c>
      <c r="G42" s="32" t="n">
        <f aca="false">Curves!E12</f>
        <v>0.967393</v>
      </c>
      <c r="H42" s="32" t="n">
        <f aca="false">Curves!E13</f>
        <v>0.960645</v>
      </c>
      <c r="I42" s="42" t="n">
        <f aca="false">NPV_Engine!$B$4*B42*(C42/NPV_Engine!$B$8)*(1+0.5*(D42-NPV_Engine!$B$13))*(AVERAGE(E42,F42,G42)/B42)*(H42/NPV_Engine!$B$12)</f>
        <v>9568670.29507965</v>
      </c>
    </row>
    <row r="43" customFormat="false" ht="15" hidden="false" customHeight="true" outlineLevel="0" collapsed="false">
      <c r="A43" s="9" t="s">
        <v>123</v>
      </c>
      <c r="B43" s="32" t="n">
        <f aca="false">Curves!E8</f>
        <v>0.957768</v>
      </c>
      <c r="C43" s="32" t="n">
        <f aca="false">Curves!E9</f>
        <v>0.96933</v>
      </c>
      <c r="D43" s="25" t="n">
        <f aca="false">SABR!AT10</f>
        <v>0.39978211956629</v>
      </c>
      <c r="E43" s="32" t="n">
        <f aca="false">Curves!E10</f>
        <v>0.958726</v>
      </c>
      <c r="F43" s="24" t="n">
        <f aca="false">Curves!Q88</f>
        <v>0.950115469489328</v>
      </c>
      <c r="G43" s="32" t="n">
        <f aca="false">Curves!E12</f>
        <v>0.967393</v>
      </c>
      <c r="H43" s="32" t="n">
        <f aca="false">Curves!E13</f>
        <v>0.960645</v>
      </c>
      <c r="I43" s="42" t="n">
        <f aca="false">NPV_Engine!$B$4*B43*(C43/NPV_Engine!$B$8)*(1+0.5*(D43-NPV_Engine!$B$13))*(AVERAGE(E43,F43,G43)/B43)*(H43/NPV_Engine!$B$12)</f>
        <v>9587448.23163109</v>
      </c>
    </row>
    <row r="44" customFormat="false" ht="15" hidden="false" customHeight="true" outlineLevel="0" collapsed="false">
      <c r="A44" s="9" t="s">
        <v>124</v>
      </c>
      <c r="B44" s="32" t="n">
        <f aca="false">Curves!E8</f>
        <v>0.957768</v>
      </c>
      <c r="C44" s="32" t="n">
        <f aca="false">Curves!E9</f>
        <v>0.96933</v>
      </c>
      <c r="D44" s="25" t="n">
        <f aca="false">SABR!AT10</f>
        <v>0.39978211956629</v>
      </c>
      <c r="E44" s="32" t="n">
        <f aca="false">Curves!E10</f>
        <v>0.958726</v>
      </c>
      <c r="F44" s="24" t="n">
        <f aca="false">Curves!Q96</f>
        <v>0.942346869047631</v>
      </c>
      <c r="G44" s="32" t="n">
        <f aca="false">Curves!E12</f>
        <v>0.967393</v>
      </c>
      <c r="H44" s="32" t="n">
        <f aca="false">Curves!E13</f>
        <v>0.960645</v>
      </c>
      <c r="I44" s="42" t="n">
        <f aca="false">NPV_Engine!$B$4*B44*(C44/NPV_Engine!$B$8)*(1+0.5*(D44-NPV_Engine!$B$13))*(AVERAGE(E44,F44,G44)/B44)*(H44/NPV_Engine!$B$12)</f>
        <v>9561552.89682544</v>
      </c>
    </row>
    <row r="45" customFormat="false" ht="15" hidden="false" customHeight="true" outlineLevel="0" collapsed="false">
      <c r="A45" s="9" t="s">
        <v>125</v>
      </c>
      <c r="B45" s="32" t="n">
        <f aca="false">Curves!E8</f>
        <v>0.957768</v>
      </c>
      <c r="C45" s="32" t="n">
        <f aca="false">Curves!E9</f>
        <v>0.96933</v>
      </c>
      <c r="D45" s="25" t="n">
        <f aca="false">SABR!AT10</f>
        <v>0.39978211956629</v>
      </c>
      <c r="E45" s="32" t="n">
        <f aca="false">Curves!E10</f>
        <v>0.958726</v>
      </c>
      <c r="F45" s="24" t="n">
        <f aca="false">Curves!Q104</f>
        <v>0.941085187512815</v>
      </c>
      <c r="G45" s="32" t="n">
        <f aca="false">Curves!E12</f>
        <v>0.967393</v>
      </c>
      <c r="H45" s="32" t="n">
        <f aca="false">Curves!E13</f>
        <v>0.960645</v>
      </c>
      <c r="I45" s="42" t="n">
        <f aca="false">NPV_Engine!$B$4*B45*(C45/NPV_Engine!$B$8)*(1+0.5*(D45-NPV_Engine!$B$13))*(AVERAGE(E45,F45,G45)/B45)*(H45/NPV_Engine!$B$12)</f>
        <v>9557347.29170938</v>
      </c>
    </row>
    <row r="46" customFormat="false" ht="15" hidden="false" customHeight="true" outlineLevel="0" collapsed="false">
      <c r="A46" s="9" t="s">
        <v>126</v>
      </c>
      <c r="B46" s="32" t="n">
        <f aca="false">Curves!E8</f>
        <v>0.957768</v>
      </c>
      <c r="C46" s="32" t="n">
        <f aca="false">Curves!E9</f>
        <v>0.96933</v>
      </c>
      <c r="D46" s="25" t="n">
        <f aca="false">SABR!AT10</f>
        <v>0.39978211956629</v>
      </c>
      <c r="E46" s="32" t="n">
        <f aca="false">Curves!E10</f>
        <v>0.958726</v>
      </c>
      <c r="F46" s="24" t="n">
        <f aca="false">Curves!Q112</f>
        <v>0.94825631913984</v>
      </c>
      <c r="G46" s="32" t="n">
        <f aca="false">Curves!E12</f>
        <v>0.967393</v>
      </c>
      <c r="H46" s="32" t="n">
        <f aca="false">Curves!E13</f>
        <v>0.960645</v>
      </c>
      <c r="I46" s="42" t="n">
        <f aca="false">NPV_Engine!$B$4*B46*(C46/NPV_Engine!$B$8)*(1+0.5*(D46-NPV_Engine!$B$13))*(AVERAGE(E46,F46,G46)/B46)*(H46/NPV_Engine!$B$12)</f>
        <v>9581251.06379947</v>
      </c>
    </row>
    <row r="49" customFormat="false" ht="15" hidden="false" customHeight="true" outlineLevel="0" collapsed="false">
      <c r="A49" s="44" t="s">
        <v>201</v>
      </c>
      <c r="B49" s="44"/>
      <c r="C49" s="44"/>
      <c r="D49" s="44"/>
      <c r="E49" s="44"/>
      <c r="F49" s="44"/>
      <c r="G49" s="44"/>
      <c r="H49" s="44"/>
      <c r="I49" s="44"/>
      <c r="J49" s="52" t="s">
        <v>202</v>
      </c>
    </row>
    <row r="50" customFormat="false" ht="39" hidden="false" customHeight="true" outlineLevel="0" collapsed="false">
      <c r="A50" s="22" t="s">
        <v>169</v>
      </c>
      <c r="B50" s="22" t="s">
        <v>170</v>
      </c>
      <c r="C50" s="22" t="s">
        <v>171</v>
      </c>
      <c r="D50" s="22" t="s">
        <v>172</v>
      </c>
      <c r="E50" s="22" t="s">
        <v>173</v>
      </c>
      <c r="F50" s="22" t="s">
        <v>174</v>
      </c>
      <c r="G50" s="22" t="s">
        <v>175</v>
      </c>
      <c r="H50" s="22" t="s">
        <v>176</v>
      </c>
      <c r="I50" s="22" t="s">
        <v>177</v>
      </c>
    </row>
    <row r="51" customFormat="false" ht="15" hidden="false" customHeight="true" outlineLevel="0" collapsed="false">
      <c r="A51" s="4" t="s">
        <v>178</v>
      </c>
      <c r="B51" s="32" t="n">
        <f aca="false">Curves!E8</f>
        <v>0.957768</v>
      </c>
      <c r="C51" s="32" t="n">
        <f aca="false">Curves!E9</f>
        <v>0.96933</v>
      </c>
      <c r="D51" s="25" t="n">
        <f aca="false">SABR!AT10</f>
        <v>0.39978211956629</v>
      </c>
      <c r="E51" s="32" t="n">
        <f aca="false">Curves!E10</f>
        <v>0.958726</v>
      </c>
      <c r="F51" s="32" t="n">
        <f aca="false">Curves!E11</f>
        <v>0.954899</v>
      </c>
      <c r="G51" s="32" t="n">
        <f aca="false">Curves!E12</f>
        <v>0.967393</v>
      </c>
      <c r="H51" s="32" t="n">
        <f aca="false">Curves!E13</f>
        <v>0.960645</v>
      </c>
      <c r="I51" s="42" t="n">
        <f aca="false">NPV_Engine!$B$4*B51*(C51/NPV_Engine!$B$8)*(1+0.5*(D51-NPV_Engine!$B$13))*(AVERAGE(E51,F51,G51)/B51)*(H51/NPV_Engine!$B$12)</f>
        <v>9603393.33333333</v>
      </c>
    </row>
    <row r="52" customFormat="false" ht="15" hidden="false" customHeight="true" outlineLevel="0" collapsed="false">
      <c r="A52" s="9" t="s">
        <v>117</v>
      </c>
      <c r="B52" s="24" t="n">
        <f aca="false">Curves!Q37</f>
        <v>0.95645567308242</v>
      </c>
      <c r="C52" s="24" t="n">
        <f aca="false">Curves!Q38</f>
        <v>0.968268575053369</v>
      </c>
      <c r="D52" s="43" t="n">
        <f aca="false">SABR!AT60</f>
        <v>0.406538537771067</v>
      </c>
      <c r="E52" s="32" t="n">
        <f aca="false">Curves!E10</f>
        <v>0.958726</v>
      </c>
      <c r="F52" s="32" t="n">
        <f aca="false">Curves!E11</f>
        <v>0.954899</v>
      </c>
      <c r="G52" s="32" t="n">
        <f aca="false">Curves!E12</f>
        <v>0.967393</v>
      </c>
      <c r="H52" s="32" t="n">
        <f aca="false">Curves!E13</f>
        <v>0.960645</v>
      </c>
      <c r="I52" s="42" t="n">
        <f aca="false">NPV_Engine!$B$4*B52*(C52/NPV_Engine!$B$8)*(1+0.5*(D52-NPV_Engine!$B$13))*(AVERAGE(E52,F52,G52)/B52)*(H52/NPV_Engine!$B$12)</f>
        <v>9625284.27866264</v>
      </c>
    </row>
    <row r="53" customFormat="false" ht="15" hidden="false" customHeight="true" outlineLevel="0" collapsed="false">
      <c r="A53" s="9" t="s">
        <v>118</v>
      </c>
      <c r="B53" s="24" t="n">
        <f aca="false">Curves!Q45</f>
        <v>0.953984470417811</v>
      </c>
      <c r="C53" s="24" t="n">
        <f aca="false">Curves!Q46</f>
        <v>0.968938897143004</v>
      </c>
      <c r="D53" s="43" t="n">
        <f aca="false">SABR!AT74</f>
        <v>0.408312583119033</v>
      </c>
      <c r="E53" s="32" t="n">
        <f aca="false">Curves!E10</f>
        <v>0.958726</v>
      </c>
      <c r="F53" s="32" t="n">
        <f aca="false">Curves!E11</f>
        <v>0.954899</v>
      </c>
      <c r="G53" s="32" t="n">
        <f aca="false">Curves!E12</f>
        <v>0.967393</v>
      </c>
      <c r="H53" s="32" t="n">
        <f aca="false">Curves!E13</f>
        <v>0.960645</v>
      </c>
      <c r="I53" s="42" t="n">
        <f aca="false">NPV_Engine!$B$4*B53*(C53/NPV_Engine!$B$8)*(1+0.5*(D53-NPV_Engine!$B$13))*(AVERAGE(E53,F53,G53)/B53)*(H53/NPV_Engine!$B$12)</f>
        <v>9640462.75176721</v>
      </c>
    </row>
    <row r="54" customFormat="false" ht="15" hidden="false" customHeight="true" outlineLevel="0" collapsed="false">
      <c r="A54" s="9" t="s">
        <v>119</v>
      </c>
      <c r="B54" s="24" t="n">
        <f aca="false">Curves!Q53</f>
        <v>0.953428257833193</v>
      </c>
      <c r="C54" s="24" t="n">
        <f aca="false">Curves!Q54</f>
        <v>0.967699452636081</v>
      </c>
      <c r="D54" s="43" t="n">
        <f aca="false">SABR!AT88</f>
        <v>0.407971432425642</v>
      </c>
      <c r="E54" s="32" t="n">
        <f aca="false">Curves!E10</f>
        <v>0.958726</v>
      </c>
      <c r="F54" s="32" t="n">
        <f aca="false">Curves!E11</f>
        <v>0.954899</v>
      </c>
      <c r="G54" s="32" t="n">
        <f aca="false">Curves!E12</f>
        <v>0.967393</v>
      </c>
      <c r="H54" s="32" t="n">
        <f aca="false">Curves!E13</f>
        <v>0.960645</v>
      </c>
      <c r="I54" s="42" t="n">
        <f aca="false">NPV_Engine!$B$4*B54*(C54/NPV_Engine!$B$8)*(1+0.5*(D54-NPV_Engine!$B$13))*(AVERAGE(E54,F54,G54)/B54)*(H54/NPV_Engine!$B$12)</f>
        <v>9626495.5453682</v>
      </c>
    </row>
    <row r="55" customFormat="false" ht="15" hidden="false" customHeight="true" outlineLevel="0" collapsed="false">
      <c r="A55" s="9" t="s">
        <v>120</v>
      </c>
      <c r="B55" s="24" t="n">
        <f aca="false">Curves!Q61</f>
        <v>0.953041785744194</v>
      </c>
      <c r="C55" s="24" t="n">
        <f aca="false">Curves!Q62</f>
        <v>0.965269080950153</v>
      </c>
      <c r="D55" s="43" t="n">
        <f aca="false">SABR!AT102</f>
        <v>0.413770225261134</v>
      </c>
      <c r="E55" s="32" t="n">
        <f aca="false">Curves!E10</f>
        <v>0.958726</v>
      </c>
      <c r="F55" s="32" t="n">
        <f aca="false">Curves!E11</f>
        <v>0.954899</v>
      </c>
      <c r="G55" s="32" t="n">
        <f aca="false">Curves!E12</f>
        <v>0.967393</v>
      </c>
      <c r="H55" s="32" t="n">
        <f aca="false">Curves!E13</f>
        <v>0.960645</v>
      </c>
      <c r="I55" s="42" t="n">
        <f aca="false">NPV_Engine!$B$4*B55*(C55/NPV_Engine!$B$8)*(1+0.5*(D55-NPV_Engine!$B$13))*(AVERAGE(E55,F55,G55)/B55)*(H55/NPV_Engine!$B$12)</f>
        <v>9630046.0505749</v>
      </c>
    </row>
    <row r="56" customFormat="false" ht="15" hidden="false" customHeight="true" outlineLevel="0" collapsed="false">
      <c r="A56" s="9" t="s">
        <v>121</v>
      </c>
      <c r="B56" s="24" t="n">
        <f aca="false">Curves!Q69</f>
        <v>0.955487984146696</v>
      </c>
      <c r="C56" s="24" t="n">
        <f aca="false">Curves!Q70</f>
        <v>0.964836228667716</v>
      </c>
      <c r="D56" s="43" t="n">
        <f aca="false">SABR!AT116</f>
        <v>0.41063225788842</v>
      </c>
      <c r="E56" s="32" t="n">
        <f aca="false">Curves!E10</f>
        <v>0.958726</v>
      </c>
      <c r="F56" s="32" t="n">
        <f aca="false">Curves!E11</f>
        <v>0.954899</v>
      </c>
      <c r="G56" s="32" t="n">
        <f aca="false">Curves!E12</f>
        <v>0.967393</v>
      </c>
      <c r="H56" s="32" t="n">
        <f aca="false">Curves!E13</f>
        <v>0.960645</v>
      </c>
      <c r="I56" s="42" t="n">
        <f aca="false">NPV_Engine!$B$4*B56*(C56/NPV_Engine!$B$8)*(1+0.5*(D56-NPV_Engine!$B$13))*(AVERAGE(E56,F56,G56)/B56)*(H56/NPV_Engine!$B$12)</f>
        <v>9610729.96736938</v>
      </c>
    </row>
    <row r="57" customFormat="false" ht="15" hidden="false" customHeight="true" outlineLevel="0" collapsed="false">
      <c r="A57" s="9" t="s">
        <v>122</v>
      </c>
      <c r="B57" s="24" t="n">
        <f aca="false">Curves!Q77</f>
        <v>0.954991103789659</v>
      </c>
      <c r="C57" s="24" t="n">
        <f aca="false">Curves!Q78</f>
        <v>0.96434631914572</v>
      </c>
      <c r="D57" s="43" t="n">
        <f aca="false">SABR!AT130</f>
        <v>0.411928432857369</v>
      </c>
      <c r="E57" s="32" t="n">
        <f aca="false">Curves!E10</f>
        <v>0.958726</v>
      </c>
      <c r="F57" s="32" t="n">
        <f aca="false">Curves!E11</f>
        <v>0.954899</v>
      </c>
      <c r="G57" s="32" t="n">
        <f aca="false">Curves!E12</f>
        <v>0.967393</v>
      </c>
      <c r="H57" s="32" t="n">
        <f aca="false">Curves!E13</f>
        <v>0.960645</v>
      </c>
      <c r="I57" s="42" t="n">
        <f aca="false">NPV_Engine!$B$4*B57*(C57/NPV_Engine!$B$8)*(1+0.5*(D57-NPV_Engine!$B$13))*(AVERAGE(E57,F57,G57)/B57)*(H57/NPV_Engine!$B$12)</f>
        <v>9612041.82049268</v>
      </c>
    </row>
    <row r="58" customFormat="false" ht="15" hidden="false" customHeight="true" outlineLevel="0" collapsed="false">
      <c r="A58" s="9" t="s">
        <v>123</v>
      </c>
      <c r="B58" s="24" t="n">
        <f aca="false">Curves!Q85</f>
        <v>0.954631571739291</v>
      </c>
      <c r="C58" s="24" t="n">
        <f aca="false">Curves!Q86</f>
        <v>0.963898937861947</v>
      </c>
      <c r="D58" s="43" t="n">
        <f aca="false">SABR!AT144</f>
        <v>0.417726110712245</v>
      </c>
      <c r="E58" s="32" t="n">
        <f aca="false">Curves!E10</f>
        <v>0.958726</v>
      </c>
      <c r="F58" s="32" t="n">
        <f aca="false">Curves!E11</f>
        <v>0.954899</v>
      </c>
      <c r="G58" s="32" t="n">
        <f aca="false">Curves!E12</f>
        <v>0.967393</v>
      </c>
      <c r="H58" s="32" t="n">
        <f aca="false">Curves!E13</f>
        <v>0.960645</v>
      </c>
      <c r="I58" s="42" t="n">
        <f aca="false">NPV_Engine!$B$4*B58*(C58/NPV_Engine!$B$8)*(1+0.5*(D58-NPV_Engine!$B$13))*(AVERAGE(E58,F58,G58)/B58)*(H58/NPV_Engine!$B$12)</f>
        <v>9635265.29765711</v>
      </c>
    </row>
    <row r="59" customFormat="false" ht="15" hidden="false" customHeight="true" outlineLevel="0" collapsed="false">
      <c r="A59" s="9" t="s">
        <v>124</v>
      </c>
      <c r="B59" s="24" t="n">
        <f aca="false">Curves!Q93</f>
        <v>0.950859692250137</v>
      </c>
      <c r="C59" s="24" t="n">
        <f aca="false">Curves!Q94</f>
        <v>0.972017712190285</v>
      </c>
      <c r="D59" s="43" t="n">
        <f aca="false">SABR!AT158</f>
        <v>0.415066202564148</v>
      </c>
      <c r="E59" s="32" t="n">
        <f aca="false">Curves!E10</f>
        <v>0.958726</v>
      </c>
      <c r="F59" s="32" t="n">
        <f aca="false">Curves!E11</f>
        <v>0.954899</v>
      </c>
      <c r="G59" s="32" t="n">
        <f aca="false">Curves!E12</f>
        <v>0.967393</v>
      </c>
      <c r="H59" s="32" t="n">
        <f aca="false">Curves!E13</f>
        <v>0.960645</v>
      </c>
      <c r="I59" s="42" t="n">
        <f aca="false">NPV_Engine!$B$4*B59*(C59/NPV_Engine!$B$8)*(1+0.5*(D59-NPV_Engine!$B$13))*(AVERAGE(E59,F59,G59)/B59)*(H59/NPV_Engine!$B$12)</f>
        <v>9703614.18768897</v>
      </c>
    </row>
    <row r="60" customFormat="false" ht="15" hidden="false" customHeight="true" outlineLevel="0" collapsed="false">
      <c r="A60" s="9" t="s">
        <v>125</v>
      </c>
      <c r="B60" s="24" t="n">
        <f aca="false">Curves!Q101</f>
        <v>0.950629998326299</v>
      </c>
      <c r="C60" s="24" t="n">
        <f aca="false">Curves!Q102</f>
        <v>0.963171513076289</v>
      </c>
      <c r="D60" s="43" t="n">
        <f aca="false">SABR!AT172</f>
        <v>0.417862506985643</v>
      </c>
      <c r="E60" s="32" t="n">
        <f aca="false">Curves!E10</f>
        <v>0.958726</v>
      </c>
      <c r="F60" s="32" t="n">
        <f aca="false">Curves!E11</f>
        <v>0.954899</v>
      </c>
      <c r="G60" s="32" t="n">
        <f aca="false">Curves!E12</f>
        <v>0.967393</v>
      </c>
      <c r="H60" s="32" t="n">
        <f aca="false">Curves!E13</f>
        <v>0.960645</v>
      </c>
      <c r="I60" s="42" t="n">
        <f aca="false">NPV_Engine!$B$4*B60*(C60/NPV_Engine!$B$8)*(1+0.5*(D60-NPV_Engine!$B$13))*(AVERAGE(E60,F60,G60)/B60)*(H60/NPV_Engine!$B$12)</f>
        <v>9628644.63276283</v>
      </c>
    </row>
    <row r="61" customFormat="false" ht="15" hidden="false" customHeight="true" outlineLevel="0" collapsed="false">
      <c r="A61" s="9" t="s">
        <v>126</v>
      </c>
      <c r="B61" s="24" t="n">
        <f aca="false">Curves!Q109</f>
        <v>0.949924622570429</v>
      </c>
      <c r="C61" s="24" t="n">
        <f aca="false">Curves!Q110</f>
        <v>0.972647724846082</v>
      </c>
      <c r="D61" s="43" t="n">
        <f aca="false">SABR!AT186</f>
        <v>0.421340306298811</v>
      </c>
      <c r="E61" s="32" t="n">
        <f aca="false">Curves!E10</f>
        <v>0.958726</v>
      </c>
      <c r="F61" s="32" t="n">
        <f aca="false">Curves!E11</f>
        <v>0.954899</v>
      </c>
      <c r="G61" s="32" t="n">
        <f aca="false">Curves!E12</f>
        <v>0.967393</v>
      </c>
      <c r="H61" s="32" t="n">
        <f aca="false">Curves!E13</f>
        <v>0.960645</v>
      </c>
      <c r="I61" s="42" t="n">
        <f aca="false">NPV_Engine!$B$4*B61*(C61/NPV_Engine!$B$8)*(1+0.5*(D61-NPV_Engine!$B$13))*(AVERAGE(E61,F61,G61)/B61)*(H61/NPV_Engine!$B$12)</f>
        <v>9740133.0353856</v>
      </c>
    </row>
    <row r="64" customFormat="false" ht="15" hidden="false" customHeight="true" outlineLevel="0" collapsed="false">
      <c r="A64" s="44" t="s">
        <v>203</v>
      </c>
      <c r="B64" s="44"/>
      <c r="C64" s="44"/>
      <c r="D64" s="44"/>
      <c r="E64" s="44"/>
      <c r="F64" s="44"/>
      <c r="G64" s="44"/>
      <c r="H64" s="44"/>
      <c r="I64" s="44"/>
      <c r="J64" s="52" t="s">
        <v>204</v>
      </c>
    </row>
    <row r="65" customFormat="false" ht="39" hidden="false" customHeight="true" outlineLevel="0" collapsed="false">
      <c r="A65" s="22" t="s">
        <v>169</v>
      </c>
      <c r="B65" s="22" t="s">
        <v>170</v>
      </c>
      <c r="C65" s="22" t="s">
        <v>171</v>
      </c>
      <c r="D65" s="22" t="s">
        <v>172</v>
      </c>
      <c r="E65" s="22" t="s">
        <v>173</v>
      </c>
      <c r="F65" s="22" t="s">
        <v>174</v>
      </c>
      <c r="G65" s="22" t="s">
        <v>175</v>
      </c>
      <c r="H65" s="22" t="s">
        <v>176</v>
      </c>
      <c r="I65" s="22" t="s">
        <v>177</v>
      </c>
    </row>
    <row r="66" customFormat="false" ht="15" hidden="false" customHeight="true" outlineLevel="0" collapsed="false">
      <c r="A66" s="4" t="s">
        <v>178</v>
      </c>
      <c r="B66" s="32" t="n">
        <f aca="false">Curves!E8</f>
        <v>0.957768</v>
      </c>
      <c r="C66" s="32" t="n">
        <f aca="false">Curves!E9</f>
        <v>0.96933</v>
      </c>
      <c r="D66" s="25" t="n">
        <f aca="false">SABR!AT10</f>
        <v>0.39978211956629</v>
      </c>
      <c r="E66" s="32" t="n">
        <f aca="false">Curves!E10</f>
        <v>0.958726</v>
      </c>
      <c r="F66" s="32" t="n">
        <f aca="false">Curves!E11</f>
        <v>0.954899</v>
      </c>
      <c r="G66" s="32" t="n">
        <f aca="false">Curves!E12</f>
        <v>0.967393</v>
      </c>
      <c r="H66" s="32" t="n">
        <f aca="false">Curves!E13</f>
        <v>0.960645</v>
      </c>
      <c r="I66" s="42" t="n">
        <f aca="false">NPV_Engine!$B$4*B66*(C66/NPV_Engine!$B$8)*(1+0.5*(D66-NPV_Engine!$B$13))*(AVERAGE(E66,F66,G66)/B66)*(H66/NPV_Engine!$B$12)</f>
        <v>9603393.33333333</v>
      </c>
    </row>
    <row r="67" customFormat="false" ht="15" hidden="false" customHeight="true" outlineLevel="0" collapsed="false">
      <c r="A67" s="9" t="s">
        <v>117</v>
      </c>
      <c r="B67" s="32" t="n">
        <f aca="false">Curves!E8</f>
        <v>0.957768</v>
      </c>
      <c r="C67" s="32" t="n">
        <f aca="false">Curves!E9</f>
        <v>0.96933</v>
      </c>
      <c r="D67" s="43" t="n">
        <f aca="false">SABR!AT60</f>
        <v>0.406538537771067</v>
      </c>
      <c r="E67" s="32" t="n">
        <f aca="false">Curves!E10</f>
        <v>0.958726</v>
      </c>
      <c r="F67" s="32" t="n">
        <f aca="false">Curves!E11</f>
        <v>0.954899</v>
      </c>
      <c r="G67" s="32" t="n">
        <f aca="false">Curves!E12</f>
        <v>0.967393</v>
      </c>
      <c r="H67" s="32" t="n">
        <f aca="false">Curves!E13</f>
        <v>0.960645</v>
      </c>
      <c r="I67" s="42" t="n">
        <f aca="false">NPV_Engine!$B$4*B67*(C67/NPV_Engine!$B$8)*(1+0.5*(D67-NPV_Engine!$B$13))*(AVERAGE(E67,F67,G67)/B67)*(H67/NPV_Engine!$B$12)</f>
        <v>9635835.60410582</v>
      </c>
    </row>
    <row r="68" customFormat="false" ht="15" hidden="false" customHeight="true" outlineLevel="0" collapsed="false">
      <c r="A68" s="9" t="s">
        <v>118</v>
      </c>
      <c r="B68" s="32" t="n">
        <f aca="false">Curves!E8</f>
        <v>0.957768</v>
      </c>
      <c r="C68" s="32" t="n">
        <f aca="false">Curves!E9</f>
        <v>0.96933</v>
      </c>
      <c r="D68" s="43" t="n">
        <f aca="false">SABR!AT74</f>
        <v>0.408312583119033</v>
      </c>
      <c r="E68" s="32" t="n">
        <f aca="false">Curves!E10</f>
        <v>0.958726</v>
      </c>
      <c r="F68" s="32" t="n">
        <f aca="false">Curves!E11</f>
        <v>0.954899</v>
      </c>
      <c r="G68" s="32" t="n">
        <f aca="false">Curves!E12</f>
        <v>0.967393</v>
      </c>
      <c r="H68" s="32" t="n">
        <f aca="false">Curves!E13</f>
        <v>0.960645</v>
      </c>
      <c r="I68" s="42" t="n">
        <f aca="false">NPV_Engine!$B$4*B68*(C68/NPV_Engine!$B$8)*(1+0.5*(D68-NPV_Engine!$B$13))*(AVERAGE(E68,F68,G68)/B68)*(H68/NPV_Engine!$B$12)</f>
        <v>9644354.03173966</v>
      </c>
    </row>
    <row r="69" customFormat="false" ht="15" hidden="false" customHeight="true" outlineLevel="0" collapsed="false">
      <c r="A69" s="9" t="s">
        <v>119</v>
      </c>
      <c r="B69" s="32" t="n">
        <f aca="false">Curves!E8</f>
        <v>0.957768</v>
      </c>
      <c r="C69" s="32" t="n">
        <f aca="false">Curves!E9</f>
        <v>0.96933</v>
      </c>
      <c r="D69" s="43" t="n">
        <f aca="false">SABR!AT88</f>
        <v>0.407971432425642</v>
      </c>
      <c r="E69" s="32" t="n">
        <f aca="false">Curves!E10</f>
        <v>0.958726</v>
      </c>
      <c r="F69" s="32" t="n">
        <f aca="false">Curves!E11</f>
        <v>0.954899</v>
      </c>
      <c r="G69" s="32" t="n">
        <f aca="false">Curves!E12</f>
        <v>0.967393</v>
      </c>
      <c r="H69" s="32" t="n">
        <f aca="false">Curves!E13</f>
        <v>0.960645</v>
      </c>
      <c r="I69" s="42" t="n">
        <f aca="false">NPV_Engine!$B$4*B69*(C69/NPV_Engine!$B$8)*(1+0.5*(D69-NPV_Engine!$B$13))*(AVERAGE(E69,F69,G69)/B69)*(H69/NPV_Engine!$B$12)</f>
        <v>9642715.92959238</v>
      </c>
    </row>
    <row r="70" customFormat="false" ht="15" hidden="false" customHeight="true" outlineLevel="0" collapsed="false">
      <c r="A70" s="9" t="s">
        <v>120</v>
      </c>
      <c r="B70" s="32" t="n">
        <f aca="false">Curves!E8</f>
        <v>0.957768</v>
      </c>
      <c r="C70" s="32" t="n">
        <f aca="false">Curves!E9</f>
        <v>0.96933</v>
      </c>
      <c r="D70" s="43" t="n">
        <f aca="false">SABR!AT102</f>
        <v>0.413770225261134</v>
      </c>
      <c r="E70" s="32" t="n">
        <f aca="false">Curves!E10</f>
        <v>0.958726</v>
      </c>
      <c r="F70" s="32" t="n">
        <f aca="false">Curves!E11</f>
        <v>0.954899</v>
      </c>
      <c r="G70" s="32" t="n">
        <f aca="false">Curves!E12</f>
        <v>0.967393</v>
      </c>
      <c r="H70" s="32" t="n">
        <f aca="false">Curves!E13</f>
        <v>0.960645</v>
      </c>
      <c r="I70" s="42" t="n">
        <f aca="false">NPV_Engine!$B$4*B70*(C70/NPV_Engine!$B$8)*(1+0.5*(D70-NPV_Engine!$B$13))*(AVERAGE(E70,F70,G70)/B70)*(H70/NPV_Engine!$B$12)</f>
        <v>9670559.97382125</v>
      </c>
    </row>
    <row r="71" customFormat="false" ht="15" hidden="false" customHeight="true" outlineLevel="0" collapsed="false">
      <c r="A71" s="9" t="s">
        <v>121</v>
      </c>
      <c r="B71" s="32" t="n">
        <f aca="false">Curves!E8</f>
        <v>0.957768</v>
      </c>
      <c r="C71" s="32" t="n">
        <f aca="false">Curves!E9</f>
        <v>0.96933</v>
      </c>
      <c r="D71" s="43" t="n">
        <f aca="false">SABR!AT116</f>
        <v>0.41063225788842</v>
      </c>
      <c r="E71" s="32" t="n">
        <f aca="false">Curves!E10</f>
        <v>0.958726</v>
      </c>
      <c r="F71" s="32" t="n">
        <f aca="false">Curves!E11</f>
        <v>0.954899</v>
      </c>
      <c r="G71" s="32" t="n">
        <f aca="false">Curves!E12</f>
        <v>0.967393</v>
      </c>
      <c r="H71" s="32" t="n">
        <f aca="false">Curves!E13</f>
        <v>0.960645</v>
      </c>
      <c r="I71" s="42" t="n">
        <f aca="false">NPV_Engine!$B$4*B71*(C71/NPV_Engine!$B$8)*(1+0.5*(D71-NPV_Engine!$B$13))*(AVERAGE(E71,F71,G71)/B71)*(H71/NPV_Engine!$B$12)</f>
        <v>9655492.40634758</v>
      </c>
    </row>
    <row r="72" customFormat="false" ht="15" hidden="false" customHeight="true" outlineLevel="0" collapsed="false">
      <c r="A72" s="9" t="s">
        <v>122</v>
      </c>
      <c r="B72" s="32" t="n">
        <f aca="false">Curves!E8</f>
        <v>0.957768</v>
      </c>
      <c r="C72" s="32" t="n">
        <f aca="false">Curves!E9</f>
        <v>0.96933</v>
      </c>
      <c r="D72" s="43" t="n">
        <f aca="false">SABR!AT130</f>
        <v>0.411928432857369</v>
      </c>
      <c r="E72" s="32" t="n">
        <f aca="false">Curves!E10</f>
        <v>0.958726</v>
      </c>
      <c r="F72" s="32" t="n">
        <f aca="false">Curves!E11</f>
        <v>0.954899</v>
      </c>
      <c r="G72" s="32" t="n">
        <f aca="false">Curves!E12</f>
        <v>0.967393</v>
      </c>
      <c r="H72" s="32" t="n">
        <f aca="false">Curves!E13</f>
        <v>0.960645</v>
      </c>
      <c r="I72" s="42" t="n">
        <f aca="false">NPV_Engine!$B$4*B72*(C72/NPV_Engine!$B$8)*(1+0.5*(D72-NPV_Engine!$B$13))*(AVERAGE(E72,F72,G72)/B72)*(H72/NPV_Engine!$B$12)</f>
        <v>9661716.2453754</v>
      </c>
    </row>
    <row r="73" customFormat="false" ht="15" hidden="false" customHeight="true" outlineLevel="0" collapsed="false">
      <c r="A73" s="9" t="s">
        <v>123</v>
      </c>
      <c r="B73" s="32" t="n">
        <f aca="false">Curves!E8</f>
        <v>0.957768</v>
      </c>
      <c r="C73" s="32" t="n">
        <f aca="false">Curves!E9</f>
        <v>0.96933</v>
      </c>
      <c r="D73" s="43" t="n">
        <f aca="false">SABR!AT144</f>
        <v>0.417726110712245</v>
      </c>
      <c r="E73" s="32" t="n">
        <f aca="false">Curves!E10</f>
        <v>0.958726</v>
      </c>
      <c r="F73" s="32" t="n">
        <f aca="false">Curves!E11</f>
        <v>0.954899</v>
      </c>
      <c r="G73" s="32" t="n">
        <f aca="false">Curves!E12</f>
        <v>0.967393</v>
      </c>
      <c r="H73" s="32" t="n">
        <f aca="false">Curves!E13</f>
        <v>0.960645</v>
      </c>
      <c r="I73" s="42" t="n">
        <f aca="false">NPV_Engine!$B$4*B73*(C73/NPV_Engine!$B$8)*(1+0.5*(D73-NPV_Engine!$B$13))*(AVERAGE(E73,F73,G73)/B73)*(H73/NPV_Engine!$B$12)</f>
        <v>9689554.93580556</v>
      </c>
    </row>
    <row r="74" customFormat="false" ht="15" hidden="false" customHeight="true" outlineLevel="0" collapsed="false">
      <c r="A74" s="9" t="s">
        <v>124</v>
      </c>
      <c r="B74" s="32" t="n">
        <f aca="false">Curves!E8</f>
        <v>0.957768</v>
      </c>
      <c r="C74" s="32" t="n">
        <f aca="false">Curves!E9</f>
        <v>0.96933</v>
      </c>
      <c r="D74" s="43" t="n">
        <f aca="false">SABR!AT158</f>
        <v>0.415066202564148</v>
      </c>
      <c r="E74" s="32" t="n">
        <f aca="false">Curves!E10</f>
        <v>0.958726</v>
      </c>
      <c r="F74" s="32" t="n">
        <f aca="false">Curves!E11</f>
        <v>0.954899</v>
      </c>
      <c r="G74" s="32" t="n">
        <f aca="false">Curves!E12</f>
        <v>0.967393</v>
      </c>
      <c r="H74" s="32" t="n">
        <f aca="false">Curves!E13</f>
        <v>0.960645</v>
      </c>
      <c r="I74" s="42" t="n">
        <f aca="false">NPV_Engine!$B$4*B74*(C74/NPV_Engine!$B$8)*(1+0.5*(D74-NPV_Engine!$B$13))*(AVERAGE(E74,F74,G74)/B74)*(H74/NPV_Engine!$B$12)</f>
        <v>9676782.86371721</v>
      </c>
    </row>
    <row r="75" customFormat="false" ht="15" hidden="false" customHeight="true" outlineLevel="0" collapsed="false">
      <c r="A75" s="9" t="s">
        <v>125</v>
      </c>
      <c r="B75" s="32" t="n">
        <f aca="false">Curves!E8</f>
        <v>0.957768</v>
      </c>
      <c r="C75" s="32" t="n">
        <f aca="false">Curves!E9</f>
        <v>0.96933</v>
      </c>
      <c r="D75" s="43" t="n">
        <f aca="false">SABR!AT172</f>
        <v>0.417862506985643</v>
      </c>
      <c r="E75" s="32" t="n">
        <f aca="false">Curves!E10</f>
        <v>0.958726</v>
      </c>
      <c r="F75" s="32" t="n">
        <f aca="false">Curves!E11</f>
        <v>0.954899</v>
      </c>
      <c r="G75" s="32" t="n">
        <f aca="false">Curves!E12</f>
        <v>0.967393</v>
      </c>
      <c r="H75" s="32" t="n">
        <f aca="false">Curves!E13</f>
        <v>0.960645</v>
      </c>
      <c r="I75" s="42" t="n">
        <f aca="false">NPV_Engine!$B$4*B75*(C75/NPV_Engine!$B$8)*(1+0.5*(D75-NPV_Engine!$B$13))*(AVERAGE(E75,F75,G75)/B75)*(H75/NPV_Engine!$B$12)</f>
        <v>9690209.86933688</v>
      </c>
    </row>
    <row r="76" customFormat="false" ht="15" hidden="false" customHeight="true" outlineLevel="0" collapsed="false">
      <c r="A76" s="9" t="s">
        <v>126</v>
      </c>
      <c r="B76" s="32" t="n">
        <f aca="false">Curves!E8</f>
        <v>0.957768</v>
      </c>
      <c r="C76" s="32" t="n">
        <f aca="false">Curves!E9</f>
        <v>0.96933</v>
      </c>
      <c r="D76" s="43" t="n">
        <f aca="false">SABR!AT186</f>
        <v>0.421340306298811</v>
      </c>
      <c r="E76" s="32" t="n">
        <f aca="false">Curves!E10</f>
        <v>0.958726</v>
      </c>
      <c r="F76" s="32" t="n">
        <f aca="false">Curves!E11</f>
        <v>0.954899</v>
      </c>
      <c r="G76" s="32" t="n">
        <f aca="false">Curves!E12</f>
        <v>0.967393</v>
      </c>
      <c r="H76" s="32" t="n">
        <f aca="false">Curves!E13</f>
        <v>0.960645</v>
      </c>
      <c r="I76" s="42" t="n">
        <f aca="false">NPV_Engine!$B$4*B76*(C76/NPV_Engine!$B$8)*(1+0.5*(D76-NPV_Engine!$B$13))*(AVERAGE(E76,F76,G76)/B76)*(H76/NPV_Engine!$B$12)</f>
        <v>9706909.20670626</v>
      </c>
    </row>
    <row r="79" customFormat="false" ht="15" hidden="false" customHeight="true" outlineLevel="0" collapsed="false">
      <c r="A79" s="44" t="s">
        <v>205</v>
      </c>
      <c r="B79" s="44"/>
      <c r="C79" s="44"/>
      <c r="D79" s="44"/>
      <c r="E79" s="44"/>
      <c r="F79" s="44"/>
      <c r="G79" s="44"/>
      <c r="H79" s="44"/>
      <c r="I79" s="44"/>
      <c r="J79" s="52" t="s">
        <v>204</v>
      </c>
    </row>
    <row r="80" customFormat="false" ht="39" hidden="false" customHeight="true" outlineLevel="0" collapsed="false">
      <c r="A80" s="22" t="s">
        <v>169</v>
      </c>
      <c r="B80" s="22" t="s">
        <v>170</v>
      </c>
      <c r="C80" s="22" t="s">
        <v>171</v>
      </c>
      <c r="D80" s="22" t="s">
        <v>172</v>
      </c>
      <c r="E80" s="22" t="s">
        <v>173</v>
      </c>
      <c r="F80" s="22" t="s">
        <v>174</v>
      </c>
      <c r="G80" s="22" t="s">
        <v>175</v>
      </c>
      <c r="H80" s="22" t="s">
        <v>176</v>
      </c>
      <c r="I80" s="22" t="s">
        <v>177</v>
      </c>
    </row>
    <row r="81" customFormat="false" ht="15" hidden="false" customHeight="true" outlineLevel="0" collapsed="false">
      <c r="A81" s="4" t="s">
        <v>178</v>
      </c>
      <c r="B81" s="32" t="n">
        <f aca="false">Curves!E8</f>
        <v>0.957768</v>
      </c>
      <c r="C81" s="32" t="n">
        <f aca="false">Curves!E9</f>
        <v>0.96933</v>
      </c>
      <c r="D81" s="25" t="n">
        <f aca="false">SABR!AT10</f>
        <v>0.39978211956629</v>
      </c>
      <c r="E81" s="32" t="n">
        <f aca="false">Curves!E10</f>
        <v>0.958726</v>
      </c>
      <c r="F81" s="32" t="n">
        <f aca="false">Curves!E11</f>
        <v>0.954899</v>
      </c>
      <c r="G81" s="32" t="n">
        <f aca="false">Curves!E12</f>
        <v>0.967393</v>
      </c>
      <c r="H81" s="32" t="n">
        <f aca="false">Curves!E13</f>
        <v>0.960645</v>
      </c>
      <c r="I81" s="42" t="n">
        <f aca="false">NPV_Engine!$B$4*B81*(C81/NPV_Engine!$B$8)*(1+0.5*(D81-NPV_Engine!$B$13))*(AVERAGE(E81,F81,G81)/B81)*(H81/NPV_Engine!$B$12)</f>
        <v>9603393.33333333</v>
      </c>
    </row>
    <row r="82" customFormat="false" ht="15" hidden="false" customHeight="true" outlineLevel="0" collapsed="false">
      <c r="A82" s="9" t="s">
        <v>117</v>
      </c>
      <c r="B82" s="32" t="n">
        <f aca="false">Curves!E8</f>
        <v>0.957768</v>
      </c>
      <c r="C82" s="32" t="n">
        <f aca="false">Curves!E9</f>
        <v>0.96933</v>
      </c>
      <c r="D82" s="43" t="n">
        <f aca="false">SABR!AT60</f>
        <v>0.406538537771067</v>
      </c>
      <c r="E82" s="32" t="n">
        <f aca="false">Curves!E10</f>
        <v>0.958726</v>
      </c>
      <c r="F82" s="32" t="n">
        <f aca="false">Curves!E11</f>
        <v>0.954899</v>
      </c>
      <c r="G82" s="32" t="n">
        <f aca="false">Curves!E12</f>
        <v>0.967393</v>
      </c>
      <c r="H82" s="32" t="n">
        <f aca="false">Curves!E13</f>
        <v>0.960645</v>
      </c>
      <c r="I82" s="42" t="n">
        <f aca="false">NPV_Engine!$B$4*B82*(C82/NPV_Engine!$B$8)*(1+0.5*(D82-NPV_Engine!$B$13))*(AVERAGE(E82,F82,G82)/B82)*(H82/NPV_Engine!$B$12)</f>
        <v>9635835.60410582</v>
      </c>
    </row>
    <row r="83" customFormat="false" ht="15" hidden="false" customHeight="true" outlineLevel="0" collapsed="false">
      <c r="A83" s="9" t="s">
        <v>118</v>
      </c>
      <c r="B83" s="32" t="n">
        <f aca="false">Curves!E8</f>
        <v>0.957768</v>
      </c>
      <c r="C83" s="32" t="n">
        <f aca="false">Curves!E9</f>
        <v>0.96933</v>
      </c>
      <c r="D83" s="43" t="n">
        <f aca="false">SABR!AT74</f>
        <v>0.408312583119033</v>
      </c>
      <c r="E83" s="32" t="n">
        <f aca="false">Curves!E10</f>
        <v>0.958726</v>
      </c>
      <c r="F83" s="32" t="n">
        <f aca="false">Curves!E11</f>
        <v>0.954899</v>
      </c>
      <c r="G83" s="32" t="n">
        <f aca="false">Curves!E12</f>
        <v>0.967393</v>
      </c>
      <c r="H83" s="32" t="n">
        <f aca="false">Curves!E13</f>
        <v>0.960645</v>
      </c>
      <c r="I83" s="42" t="n">
        <f aca="false">NPV_Engine!$B$4*B83*(C83/NPV_Engine!$B$8)*(1+0.5*(D83-NPV_Engine!$B$13))*(AVERAGE(E83,F83,G83)/B83)*(H83/NPV_Engine!$B$12)</f>
        <v>9644354.03173966</v>
      </c>
    </row>
    <row r="84" customFormat="false" ht="15" hidden="false" customHeight="true" outlineLevel="0" collapsed="false">
      <c r="A84" s="9" t="s">
        <v>119</v>
      </c>
      <c r="B84" s="32" t="n">
        <f aca="false">Curves!E8</f>
        <v>0.957768</v>
      </c>
      <c r="C84" s="32" t="n">
        <f aca="false">Curves!E9</f>
        <v>0.96933</v>
      </c>
      <c r="D84" s="43" t="n">
        <f aca="false">SABR!AT88</f>
        <v>0.407971432425642</v>
      </c>
      <c r="E84" s="32" t="n">
        <f aca="false">Curves!E10</f>
        <v>0.958726</v>
      </c>
      <c r="F84" s="32" t="n">
        <f aca="false">Curves!E11</f>
        <v>0.954899</v>
      </c>
      <c r="G84" s="32" t="n">
        <f aca="false">Curves!E12</f>
        <v>0.967393</v>
      </c>
      <c r="H84" s="32" t="n">
        <f aca="false">Curves!E13</f>
        <v>0.960645</v>
      </c>
      <c r="I84" s="42" t="n">
        <f aca="false">NPV_Engine!$B$4*B84*(C84/NPV_Engine!$B$8)*(1+0.5*(D84-NPV_Engine!$B$13))*(AVERAGE(E84,F84,G84)/B84)*(H84/NPV_Engine!$B$12)</f>
        <v>9642715.92959238</v>
      </c>
    </row>
    <row r="85" customFormat="false" ht="15" hidden="false" customHeight="true" outlineLevel="0" collapsed="false">
      <c r="A85" s="9" t="s">
        <v>120</v>
      </c>
      <c r="B85" s="32" t="n">
        <f aca="false">Curves!E8</f>
        <v>0.957768</v>
      </c>
      <c r="C85" s="32" t="n">
        <f aca="false">Curves!E9</f>
        <v>0.96933</v>
      </c>
      <c r="D85" s="43" t="n">
        <f aca="false">SABR!AT102</f>
        <v>0.413770225261134</v>
      </c>
      <c r="E85" s="32" t="n">
        <f aca="false">Curves!E10</f>
        <v>0.958726</v>
      </c>
      <c r="F85" s="32" t="n">
        <f aca="false">Curves!E11</f>
        <v>0.954899</v>
      </c>
      <c r="G85" s="32" t="n">
        <f aca="false">Curves!E12</f>
        <v>0.967393</v>
      </c>
      <c r="H85" s="32" t="n">
        <f aca="false">Curves!E13</f>
        <v>0.960645</v>
      </c>
      <c r="I85" s="42" t="n">
        <f aca="false">NPV_Engine!$B$4*B85*(C85/NPV_Engine!$B$8)*(1+0.5*(D85-NPV_Engine!$B$13))*(AVERAGE(E85,F85,G85)/B85)*(H85/NPV_Engine!$B$12)</f>
        <v>9670559.97382125</v>
      </c>
    </row>
    <row r="86" customFormat="false" ht="15" hidden="false" customHeight="true" outlineLevel="0" collapsed="false">
      <c r="A86" s="9" t="s">
        <v>121</v>
      </c>
      <c r="B86" s="32" t="n">
        <f aca="false">Curves!E8</f>
        <v>0.957768</v>
      </c>
      <c r="C86" s="32" t="n">
        <f aca="false">Curves!E9</f>
        <v>0.96933</v>
      </c>
      <c r="D86" s="43" t="n">
        <f aca="false">SABR!AT116</f>
        <v>0.41063225788842</v>
      </c>
      <c r="E86" s="32" t="n">
        <f aca="false">Curves!E10</f>
        <v>0.958726</v>
      </c>
      <c r="F86" s="32" t="n">
        <f aca="false">Curves!E11</f>
        <v>0.954899</v>
      </c>
      <c r="G86" s="32" t="n">
        <f aca="false">Curves!E12</f>
        <v>0.967393</v>
      </c>
      <c r="H86" s="32" t="n">
        <f aca="false">Curves!E13</f>
        <v>0.960645</v>
      </c>
      <c r="I86" s="42" t="n">
        <f aca="false">NPV_Engine!$B$4*B86*(C86/NPV_Engine!$B$8)*(1+0.5*(D86-NPV_Engine!$B$13))*(AVERAGE(E86,F86,G86)/B86)*(H86/NPV_Engine!$B$12)</f>
        <v>9655492.40634758</v>
      </c>
    </row>
    <row r="87" customFormat="false" ht="15" hidden="false" customHeight="true" outlineLevel="0" collapsed="false">
      <c r="A87" s="9" t="s">
        <v>122</v>
      </c>
      <c r="B87" s="32" t="n">
        <f aca="false">Curves!E8</f>
        <v>0.957768</v>
      </c>
      <c r="C87" s="32" t="n">
        <f aca="false">Curves!E9</f>
        <v>0.96933</v>
      </c>
      <c r="D87" s="43" t="n">
        <f aca="false">SABR!AT130</f>
        <v>0.411928432857369</v>
      </c>
      <c r="E87" s="32" t="n">
        <f aca="false">Curves!E10</f>
        <v>0.958726</v>
      </c>
      <c r="F87" s="32" t="n">
        <f aca="false">Curves!E11</f>
        <v>0.954899</v>
      </c>
      <c r="G87" s="32" t="n">
        <f aca="false">Curves!E12</f>
        <v>0.967393</v>
      </c>
      <c r="H87" s="32" t="n">
        <f aca="false">Curves!E13</f>
        <v>0.960645</v>
      </c>
      <c r="I87" s="42" t="n">
        <f aca="false">NPV_Engine!$B$4*B87*(C87/NPV_Engine!$B$8)*(1+0.5*(D87-NPV_Engine!$B$13))*(AVERAGE(E87,F87,G87)/B87)*(H87/NPV_Engine!$B$12)</f>
        <v>9661716.2453754</v>
      </c>
    </row>
    <row r="88" customFormat="false" ht="15" hidden="false" customHeight="true" outlineLevel="0" collapsed="false">
      <c r="A88" s="9" t="s">
        <v>123</v>
      </c>
      <c r="B88" s="32" t="n">
        <f aca="false">Curves!E8</f>
        <v>0.957768</v>
      </c>
      <c r="C88" s="32" t="n">
        <f aca="false">Curves!E9</f>
        <v>0.96933</v>
      </c>
      <c r="D88" s="43" t="n">
        <f aca="false">SABR!AT144</f>
        <v>0.417726110712245</v>
      </c>
      <c r="E88" s="32" t="n">
        <f aca="false">Curves!E10</f>
        <v>0.958726</v>
      </c>
      <c r="F88" s="32" t="n">
        <f aca="false">Curves!E11</f>
        <v>0.954899</v>
      </c>
      <c r="G88" s="32" t="n">
        <f aca="false">Curves!E12</f>
        <v>0.967393</v>
      </c>
      <c r="H88" s="32" t="n">
        <f aca="false">Curves!E13</f>
        <v>0.960645</v>
      </c>
      <c r="I88" s="42" t="n">
        <f aca="false">NPV_Engine!$B$4*B88*(C88/NPV_Engine!$B$8)*(1+0.5*(D88-NPV_Engine!$B$13))*(AVERAGE(E88,F88,G88)/B88)*(H88/NPV_Engine!$B$12)</f>
        <v>9689554.93580556</v>
      </c>
    </row>
    <row r="89" customFormat="false" ht="15" hidden="false" customHeight="true" outlineLevel="0" collapsed="false">
      <c r="A89" s="9" t="s">
        <v>124</v>
      </c>
      <c r="B89" s="32" t="n">
        <f aca="false">Curves!E8</f>
        <v>0.957768</v>
      </c>
      <c r="C89" s="32" t="n">
        <f aca="false">Curves!E9</f>
        <v>0.96933</v>
      </c>
      <c r="D89" s="43" t="n">
        <f aca="false">SABR!AT158</f>
        <v>0.415066202564148</v>
      </c>
      <c r="E89" s="32" t="n">
        <f aca="false">Curves!E10</f>
        <v>0.958726</v>
      </c>
      <c r="F89" s="32" t="n">
        <f aca="false">Curves!E11</f>
        <v>0.954899</v>
      </c>
      <c r="G89" s="32" t="n">
        <f aca="false">Curves!E12</f>
        <v>0.967393</v>
      </c>
      <c r="H89" s="32" t="n">
        <f aca="false">Curves!E13</f>
        <v>0.960645</v>
      </c>
      <c r="I89" s="42" t="n">
        <f aca="false">NPV_Engine!$B$4*B89*(C89/NPV_Engine!$B$8)*(1+0.5*(D89-NPV_Engine!$B$13))*(AVERAGE(E89,F89,G89)/B89)*(H89/NPV_Engine!$B$12)</f>
        <v>9676782.86371721</v>
      </c>
    </row>
    <row r="90" customFormat="false" ht="15" hidden="false" customHeight="true" outlineLevel="0" collapsed="false">
      <c r="A90" s="9" t="s">
        <v>125</v>
      </c>
      <c r="B90" s="32" t="n">
        <f aca="false">Curves!E8</f>
        <v>0.957768</v>
      </c>
      <c r="C90" s="32" t="n">
        <f aca="false">Curves!E9</f>
        <v>0.96933</v>
      </c>
      <c r="D90" s="43" t="n">
        <f aca="false">SABR!AT172</f>
        <v>0.417862506985643</v>
      </c>
      <c r="E90" s="32" t="n">
        <f aca="false">Curves!E10</f>
        <v>0.958726</v>
      </c>
      <c r="F90" s="32" t="n">
        <f aca="false">Curves!E11</f>
        <v>0.954899</v>
      </c>
      <c r="G90" s="32" t="n">
        <f aca="false">Curves!E12</f>
        <v>0.967393</v>
      </c>
      <c r="H90" s="32" t="n">
        <f aca="false">Curves!E13</f>
        <v>0.960645</v>
      </c>
      <c r="I90" s="42" t="n">
        <f aca="false">NPV_Engine!$B$4*B90*(C90/NPV_Engine!$B$8)*(1+0.5*(D90-NPV_Engine!$B$13))*(AVERAGE(E90,F90,G90)/B90)*(H90/NPV_Engine!$B$12)</f>
        <v>9690209.86933688</v>
      </c>
    </row>
    <row r="91" customFormat="false" ht="15" hidden="false" customHeight="true" outlineLevel="0" collapsed="false">
      <c r="A91" s="9" t="s">
        <v>126</v>
      </c>
      <c r="B91" s="32" t="n">
        <f aca="false">Curves!E8</f>
        <v>0.957768</v>
      </c>
      <c r="C91" s="32" t="n">
        <f aca="false">Curves!E9</f>
        <v>0.96933</v>
      </c>
      <c r="D91" s="43" t="n">
        <f aca="false">SABR!AT186</f>
        <v>0.421340306298811</v>
      </c>
      <c r="E91" s="32" t="n">
        <f aca="false">Curves!E10</f>
        <v>0.958726</v>
      </c>
      <c r="F91" s="32" t="n">
        <f aca="false">Curves!E11</f>
        <v>0.954899</v>
      </c>
      <c r="G91" s="32" t="n">
        <f aca="false">Curves!E12</f>
        <v>0.967393</v>
      </c>
      <c r="H91" s="32" t="n">
        <f aca="false">Curves!E13</f>
        <v>0.960645</v>
      </c>
      <c r="I91" s="42" t="n">
        <f aca="false">NPV_Engine!$B$4*B91*(C91/NPV_Engine!$B$8)*(1+0.5*(D91-NPV_Engine!$B$13))*(AVERAGE(E91,F91,G91)/B91)*(H91/NPV_Engine!$B$12)</f>
        <v>9706909.20670626</v>
      </c>
    </row>
    <row r="94" customFormat="false" ht="15" hidden="false" customHeight="true" outlineLevel="0" collapsed="false">
      <c r="A94" s="44" t="s">
        <v>206</v>
      </c>
      <c r="B94" s="44"/>
      <c r="C94" s="44"/>
      <c r="D94" s="44"/>
      <c r="E94" s="44"/>
      <c r="F94" s="44"/>
      <c r="G94" s="44"/>
      <c r="H94" s="44"/>
      <c r="I94" s="44"/>
      <c r="J94" s="52" t="s">
        <v>204</v>
      </c>
    </row>
    <row r="95" customFormat="false" ht="39" hidden="false" customHeight="true" outlineLevel="0" collapsed="false">
      <c r="A95" s="22" t="s">
        <v>169</v>
      </c>
      <c r="B95" s="22" t="s">
        <v>170</v>
      </c>
      <c r="C95" s="22" t="s">
        <v>171</v>
      </c>
      <c r="D95" s="22" t="s">
        <v>172</v>
      </c>
      <c r="E95" s="22" t="s">
        <v>173</v>
      </c>
      <c r="F95" s="22" t="s">
        <v>174</v>
      </c>
      <c r="G95" s="22" t="s">
        <v>175</v>
      </c>
      <c r="H95" s="22" t="s">
        <v>176</v>
      </c>
      <c r="I95" s="22" t="s">
        <v>177</v>
      </c>
    </row>
    <row r="96" customFormat="false" ht="15" hidden="false" customHeight="true" outlineLevel="0" collapsed="false">
      <c r="A96" s="4" t="s">
        <v>178</v>
      </c>
      <c r="B96" s="32" t="n">
        <f aca="false">Curves!E8</f>
        <v>0.957768</v>
      </c>
      <c r="C96" s="32" t="n">
        <f aca="false">Curves!E9</f>
        <v>0.96933</v>
      </c>
      <c r="D96" s="25" t="n">
        <f aca="false">SABR!AT10</f>
        <v>0.39978211956629</v>
      </c>
      <c r="E96" s="32" t="n">
        <f aca="false">Curves!E10</f>
        <v>0.958726</v>
      </c>
      <c r="F96" s="32" t="n">
        <f aca="false">Curves!E11</f>
        <v>0.954899</v>
      </c>
      <c r="G96" s="32" t="n">
        <f aca="false">Curves!E12</f>
        <v>0.967393</v>
      </c>
      <c r="H96" s="32" t="n">
        <f aca="false">Curves!E13</f>
        <v>0.960645</v>
      </c>
      <c r="I96" s="42" t="n">
        <f aca="false">NPV_Engine!$B$4*B96*(C96/NPV_Engine!$B$8)*(1+0.5*(D96-NPV_Engine!$B$13))*(AVERAGE(E96,F96,G96)/B96)*(H96/NPV_Engine!$B$12)</f>
        <v>9603393.33333333</v>
      </c>
    </row>
    <row r="97" customFormat="false" ht="15" hidden="false" customHeight="true" outlineLevel="0" collapsed="false">
      <c r="A97" s="9" t="s">
        <v>117</v>
      </c>
      <c r="B97" s="32" t="n">
        <f aca="false">Curves!E8</f>
        <v>0.957768</v>
      </c>
      <c r="C97" s="32" t="n">
        <f aca="false">Curves!E9</f>
        <v>0.96933</v>
      </c>
      <c r="D97" s="43" t="n">
        <f aca="false">SABR!AT60</f>
        <v>0.406538537771067</v>
      </c>
      <c r="E97" s="32" t="n">
        <f aca="false">Curves!E10</f>
        <v>0.958726</v>
      </c>
      <c r="F97" s="32" t="n">
        <f aca="false">Curves!E11</f>
        <v>0.954899</v>
      </c>
      <c r="G97" s="32" t="n">
        <f aca="false">Curves!E12</f>
        <v>0.967393</v>
      </c>
      <c r="H97" s="32" t="n">
        <f aca="false">Curves!E13</f>
        <v>0.960645</v>
      </c>
      <c r="I97" s="42" t="n">
        <f aca="false">NPV_Engine!$B$4*B97*(C97/NPV_Engine!$B$8)*(1+0.5*(D97-NPV_Engine!$B$13))*(AVERAGE(E97,F97,G97)/B97)*(H97/NPV_Engine!$B$12)</f>
        <v>9635835.60410582</v>
      </c>
    </row>
    <row r="98" customFormat="false" ht="15" hidden="false" customHeight="true" outlineLevel="0" collapsed="false">
      <c r="A98" s="9" t="s">
        <v>118</v>
      </c>
      <c r="B98" s="32" t="n">
        <f aca="false">Curves!E8</f>
        <v>0.957768</v>
      </c>
      <c r="C98" s="32" t="n">
        <f aca="false">Curves!E9</f>
        <v>0.96933</v>
      </c>
      <c r="D98" s="43" t="n">
        <f aca="false">SABR!AT74</f>
        <v>0.408312583119033</v>
      </c>
      <c r="E98" s="32" t="n">
        <f aca="false">Curves!E10</f>
        <v>0.958726</v>
      </c>
      <c r="F98" s="32" t="n">
        <f aca="false">Curves!E11</f>
        <v>0.954899</v>
      </c>
      <c r="G98" s="32" t="n">
        <f aca="false">Curves!E12</f>
        <v>0.967393</v>
      </c>
      <c r="H98" s="32" t="n">
        <f aca="false">Curves!E13</f>
        <v>0.960645</v>
      </c>
      <c r="I98" s="42" t="n">
        <f aca="false">NPV_Engine!$B$4*B98*(C98/NPV_Engine!$B$8)*(1+0.5*(D98-NPV_Engine!$B$13))*(AVERAGE(E98,F98,G98)/B98)*(H98/NPV_Engine!$B$12)</f>
        <v>9644354.03173966</v>
      </c>
    </row>
    <row r="99" customFormat="false" ht="15" hidden="false" customHeight="true" outlineLevel="0" collapsed="false">
      <c r="A99" s="9" t="s">
        <v>119</v>
      </c>
      <c r="B99" s="32" t="n">
        <f aca="false">Curves!E8</f>
        <v>0.957768</v>
      </c>
      <c r="C99" s="32" t="n">
        <f aca="false">Curves!E9</f>
        <v>0.96933</v>
      </c>
      <c r="D99" s="43" t="n">
        <f aca="false">SABR!AT88</f>
        <v>0.407971432425642</v>
      </c>
      <c r="E99" s="32" t="n">
        <f aca="false">Curves!E10</f>
        <v>0.958726</v>
      </c>
      <c r="F99" s="32" t="n">
        <f aca="false">Curves!E11</f>
        <v>0.954899</v>
      </c>
      <c r="G99" s="32" t="n">
        <f aca="false">Curves!E12</f>
        <v>0.967393</v>
      </c>
      <c r="H99" s="32" t="n">
        <f aca="false">Curves!E13</f>
        <v>0.960645</v>
      </c>
      <c r="I99" s="42" t="n">
        <f aca="false">NPV_Engine!$B$4*B99*(C99/NPV_Engine!$B$8)*(1+0.5*(D99-NPV_Engine!$B$13))*(AVERAGE(E99,F99,G99)/B99)*(H99/NPV_Engine!$B$12)</f>
        <v>9642715.92959238</v>
      </c>
    </row>
    <row r="100" customFormat="false" ht="15" hidden="false" customHeight="true" outlineLevel="0" collapsed="false">
      <c r="A100" s="9" t="s">
        <v>120</v>
      </c>
      <c r="B100" s="32" t="n">
        <f aca="false">Curves!E8</f>
        <v>0.957768</v>
      </c>
      <c r="C100" s="32" t="n">
        <f aca="false">Curves!E9</f>
        <v>0.96933</v>
      </c>
      <c r="D100" s="43" t="n">
        <f aca="false">SABR!AT102</f>
        <v>0.413770225261134</v>
      </c>
      <c r="E100" s="32" t="n">
        <f aca="false">Curves!E10</f>
        <v>0.958726</v>
      </c>
      <c r="F100" s="32" t="n">
        <f aca="false">Curves!E11</f>
        <v>0.954899</v>
      </c>
      <c r="G100" s="32" t="n">
        <f aca="false">Curves!E12</f>
        <v>0.967393</v>
      </c>
      <c r="H100" s="32" t="n">
        <f aca="false">Curves!E13</f>
        <v>0.960645</v>
      </c>
      <c r="I100" s="42" t="n">
        <f aca="false">NPV_Engine!$B$4*B100*(C100/NPV_Engine!$B$8)*(1+0.5*(D100-NPV_Engine!$B$13))*(AVERAGE(E100,F100,G100)/B100)*(H100/NPV_Engine!$B$12)</f>
        <v>9670559.97382125</v>
      </c>
    </row>
    <row r="101" customFormat="false" ht="15" hidden="false" customHeight="true" outlineLevel="0" collapsed="false">
      <c r="A101" s="9" t="s">
        <v>121</v>
      </c>
      <c r="B101" s="32" t="n">
        <f aca="false">Curves!E8</f>
        <v>0.957768</v>
      </c>
      <c r="C101" s="32" t="n">
        <f aca="false">Curves!E9</f>
        <v>0.96933</v>
      </c>
      <c r="D101" s="43" t="n">
        <f aca="false">SABR!AT116</f>
        <v>0.41063225788842</v>
      </c>
      <c r="E101" s="32" t="n">
        <f aca="false">Curves!E10</f>
        <v>0.958726</v>
      </c>
      <c r="F101" s="32" t="n">
        <f aca="false">Curves!E11</f>
        <v>0.954899</v>
      </c>
      <c r="G101" s="32" t="n">
        <f aca="false">Curves!E12</f>
        <v>0.967393</v>
      </c>
      <c r="H101" s="32" t="n">
        <f aca="false">Curves!E13</f>
        <v>0.960645</v>
      </c>
      <c r="I101" s="42" t="n">
        <f aca="false">NPV_Engine!$B$4*B101*(C101/NPV_Engine!$B$8)*(1+0.5*(D101-NPV_Engine!$B$13))*(AVERAGE(E101,F101,G101)/B101)*(H101/NPV_Engine!$B$12)</f>
        <v>9655492.40634758</v>
      </c>
    </row>
    <row r="102" customFormat="false" ht="15" hidden="false" customHeight="true" outlineLevel="0" collapsed="false">
      <c r="A102" s="9" t="s">
        <v>122</v>
      </c>
      <c r="B102" s="32" t="n">
        <f aca="false">Curves!E8</f>
        <v>0.957768</v>
      </c>
      <c r="C102" s="32" t="n">
        <f aca="false">Curves!E9</f>
        <v>0.96933</v>
      </c>
      <c r="D102" s="43" t="n">
        <f aca="false">SABR!AT130</f>
        <v>0.411928432857369</v>
      </c>
      <c r="E102" s="32" t="n">
        <f aca="false">Curves!E10</f>
        <v>0.958726</v>
      </c>
      <c r="F102" s="32" t="n">
        <f aca="false">Curves!E11</f>
        <v>0.954899</v>
      </c>
      <c r="G102" s="32" t="n">
        <f aca="false">Curves!E12</f>
        <v>0.967393</v>
      </c>
      <c r="H102" s="32" t="n">
        <f aca="false">Curves!E13</f>
        <v>0.960645</v>
      </c>
      <c r="I102" s="42" t="n">
        <f aca="false">NPV_Engine!$B$4*B102*(C102/NPV_Engine!$B$8)*(1+0.5*(D102-NPV_Engine!$B$13))*(AVERAGE(E102,F102,G102)/B102)*(H102/NPV_Engine!$B$12)</f>
        <v>9661716.2453754</v>
      </c>
    </row>
    <row r="103" customFormat="false" ht="15" hidden="false" customHeight="true" outlineLevel="0" collapsed="false">
      <c r="A103" s="9" t="s">
        <v>123</v>
      </c>
      <c r="B103" s="32" t="n">
        <f aca="false">Curves!E8</f>
        <v>0.957768</v>
      </c>
      <c r="C103" s="32" t="n">
        <f aca="false">Curves!E9</f>
        <v>0.96933</v>
      </c>
      <c r="D103" s="43" t="n">
        <f aca="false">SABR!AT144</f>
        <v>0.417726110712245</v>
      </c>
      <c r="E103" s="32" t="n">
        <f aca="false">Curves!E10</f>
        <v>0.958726</v>
      </c>
      <c r="F103" s="32" t="n">
        <f aca="false">Curves!E11</f>
        <v>0.954899</v>
      </c>
      <c r="G103" s="32" t="n">
        <f aca="false">Curves!E12</f>
        <v>0.967393</v>
      </c>
      <c r="H103" s="32" t="n">
        <f aca="false">Curves!E13</f>
        <v>0.960645</v>
      </c>
      <c r="I103" s="42" t="n">
        <f aca="false">NPV_Engine!$B$4*B103*(C103/NPV_Engine!$B$8)*(1+0.5*(D103-NPV_Engine!$B$13))*(AVERAGE(E103,F103,G103)/B103)*(H103/NPV_Engine!$B$12)</f>
        <v>9689554.93580556</v>
      </c>
    </row>
    <row r="104" customFormat="false" ht="15" hidden="false" customHeight="true" outlineLevel="0" collapsed="false">
      <c r="A104" s="9" t="s">
        <v>124</v>
      </c>
      <c r="B104" s="32" t="n">
        <f aca="false">Curves!E8</f>
        <v>0.957768</v>
      </c>
      <c r="C104" s="32" t="n">
        <f aca="false">Curves!E9</f>
        <v>0.96933</v>
      </c>
      <c r="D104" s="43" t="n">
        <f aca="false">SABR!AT158</f>
        <v>0.415066202564148</v>
      </c>
      <c r="E104" s="32" t="n">
        <f aca="false">Curves!E10</f>
        <v>0.958726</v>
      </c>
      <c r="F104" s="32" t="n">
        <f aca="false">Curves!E11</f>
        <v>0.954899</v>
      </c>
      <c r="G104" s="32" t="n">
        <f aca="false">Curves!E12</f>
        <v>0.967393</v>
      </c>
      <c r="H104" s="32" t="n">
        <f aca="false">Curves!E13</f>
        <v>0.960645</v>
      </c>
      <c r="I104" s="42" t="n">
        <f aca="false">NPV_Engine!$B$4*B104*(C104/NPV_Engine!$B$8)*(1+0.5*(D104-NPV_Engine!$B$13))*(AVERAGE(E104,F104,G104)/B104)*(H104/NPV_Engine!$B$12)</f>
        <v>9676782.86371721</v>
      </c>
    </row>
    <row r="105" customFormat="false" ht="15" hidden="false" customHeight="true" outlineLevel="0" collapsed="false">
      <c r="A105" s="9" t="s">
        <v>125</v>
      </c>
      <c r="B105" s="32" t="n">
        <f aca="false">Curves!E8</f>
        <v>0.957768</v>
      </c>
      <c r="C105" s="32" t="n">
        <f aca="false">Curves!E9</f>
        <v>0.96933</v>
      </c>
      <c r="D105" s="43" t="n">
        <f aca="false">SABR!AT172</f>
        <v>0.417862506985643</v>
      </c>
      <c r="E105" s="32" t="n">
        <f aca="false">Curves!E10</f>
        <v>0.958726</v>
      </c>
      <c r="F105" s="32" t="n">
        <f aca="false">Curves!E11</f>
        <v>0.954899</v>
      </c>
      <c r="G105" s="32" t="n">
        <f aca="false">Curves!E12</f>
        <v>0.967393</v>
      </c>
      <c r="H105" s="32" t="n">
        <f aca="false">Curves!E13</f>
        <v>0.960645</v>
      </c>
      <c r="I105" s="42" t="n">
        <f aca="false">NPV_Engine!$B$4*B105*(C105/NPV_Engine!$B$8)*(1+0.5*(D105-NPV_Engine!$B$13))*(AVERAGE(E105,F105,G105)/B105)*(H105/NPV_Engine!$B$12)</f>
        <v>9690209.86933688</v>
      </c>
    </row>
    <row r="106" customFormat="false" ht="15" hidden="false" customHeight="true" outlineLevel="0" collapsed="false">
      <c r="A106" s="9" t="s">
        <v>126</v>
      </c>
      <c r="B106" s="32" t="n">
        <f aca="false">Curves!E8</f>
        <v>0.957768</v>
      </c>
      <c r="C106" s="32" t="n">
        <f aca="false">Curves!E9</f>
        <v>0.96933</v>
      </c>
      <c r="D106" s="43" t="n">
        <f aca="false">SABR!AT186</f>
        <v>0.421340306298811</v>
      </c>
      <c r="E106" s="32" t="n">
        <f aca="false">Curves!E10</f>
        <v>0.958726</v>
      </c>
      <c r="F106" s="32" t="n">
        <f aca="false">Curves!E11</f>
        <v>0.954899</v>
      </c>
      <c r="G106" s="32" t="n">
        <f aca="false">Curves!E12</f>
        <v>0.967393</v>
      </c>
      <c r="H106" s="32" t="n">
        <f aca="false">Curves!E13</f>
        <v>0.960645</v>
      </c>
      <c r="I106" s="42" t="n">
        <f aca="false">NPV_Engine!$B$4*B106*(C106/NPV_Engine!$B$8)*(1+0.5*(D106-NPV_Engine!$B$13))*(AVERAGE(E106,F106,G106)/B106)*(H106/NPV_Engine!$B$12)</f>
        <v>9706909.20670626</v>
      </c>
    </row>
    <row r="109" customFormat="false" ht="15" hidden="false" customHeight="true" outlineLevel="0" collapsed="false">
      <c r="A109" s="46" t="s">
        <v>207</v>
      </c>
      <c r="B109" s="46"/>
      <c r="C109" s="46"/>
      <c r="D109" s="46"/>
      <c r="E109" s="46"/>
      <c r="F109" s="46"/>
      <c r="G109" s="46"/>
      <c r="H109" s="46"/>
      <c r="I109" s="46"/>
      <c r="J109" s="52" t="s">
        <v>208</v>
      </c>
    </row>
    <row r="110" customFormat="false" ht="39" hidden="false" customHeight="true" outlineLevel="0" collapsed="false">
      <c r="A110" s="22" t="s">
        <v>169</v>
      </c>
      <c r="B110" s="22" t="s">
        <v>170</v>
      </c>
      <c r="C110" s="22" t="s">
        <v>171</v>
      </c>
      <c r="D110" s="22" t="s">
        <v>172</v>
      </c>
      <c r="E110" s="22" t="s">
        <v>173</v>
      </c>
      <c r="F110" s="22" t="s">
        <v>174</v>
      </c>
      <c r="G110" s="22" t="s">
        <v>175</v>
      </c>
      <c r="H110" s="22" t="s">
        <v>176</v>
      </c>
      <c r="I110" s="22" t="s">
        <v>177</v>
      </c>
    </row>
    <row r="111" customFormat="false" ht="15" hidden="false" customHeight="true" outlineLevel="0" collapsed="false">
      <c r="A111" s="4" t="s">
        <v>178</v>
      </c>
      <c r="B111" s="32" t="n">
        <f aca="false">Curves!E8</f>
        <v>0.957768</v>
      </c>
      <c r="C111" s="32" t="n">
        <f aca="false">Curves!E9</f>
        <v>0.96933</v>
      </c>
      <c r="D111" s="25" t="n">
        <f aca="false">SABR!AT10</f>
        <v>0.39978211956629</v>
      </c>
      <c r="E111" s="32" t="n">
        <f aca="false">Curves!E10</f>
        <v>0.958726</v>
      </c>
      <c r="F111" s="32" t="n">
        <f aca="false">Curves!E11</f>
        <v>0.954899</v>
      </c>
      <c r="G111" s="32" t="n">
        <f aca="false">Curves!E12</f>
        <v>0.967393</v>
      </c>
      <c r="H111" s="32" t="n">
        <f aca="false">Curves!E13</f>
        <v>0.960645</v>
      </c>
      <c r="I111" s="42" t="n">
        <f aca="false">NPV_Engine!$B$4*B111*(C111/NPV_Engine!$B$8)*(1+0.5*(D111-NPV_Engine!$B$13))*(AVERAGE(E111,F111,G111)/B111)*(H111/NPV_Engine!$B$12)</f>
        <v>9603393.33333333</v>
      </c>
    </row>
    <row r="112" customFormat="false" ht="15" hidden="false" customHeight="true" outlineLevel="0" collapsed="false">
      <c r="A112" s="9" t="s">
        <v>117</v>
      </c>
      <c r="B112" s="32" t="n">
        <f aca="false">Curves!E8</f>
        <v>0.957768</v>
      </c>
      <c r="C112" s="32" t="n">
        <f aca="false">Curves!E9</f>
        <v>0.96933</v>
      </c>
      <c r="D112" s="25" t="n">
        <f aca="false">SABR!AT10</f>
        <v>0.39978211956629</v>
      </c>
      <c r="E112" s="32" t="n">
        <f aca="false">Curves!E10</f>
        <v>0.958726</v>
      </c>
      <c r="F112" s="32" t="n">
        <f aca="false">Curves!E11</f>
        <v>0.954899</v>
      </c>
      <c r="G112" s="32" t="n">
        <f aca="false">Curves!E12</f>
        <v>0.967393</v>
      </c>
      <c r="H112" s="24" t="n">
        <f aca="false">Curves!Q42</f>
        <v>0.958550489609229</v>
      </c>
      <c r="I112" s="42" t="n">
        <f aca="false">NPV_Engine!$B$4*B112*(C112/NPV_Engine!$B$8)*(1+0.5*(D112-NPV_Engine!$B$13))*(AVERAGE(E112,F112,G112)/B112)*(H112/NPV_Engine!$B$12)</f>
        <v>9582454.89392718</v>
      </c>
    </row>
    <row r="113" customFormat="false" ht="15" hidden="false" customHeight="true" outlineLevel="0" collapsed="false">
      <c r="A113" s="9" t="s">
        <v>118</v>
      </c>
      <c r="B113" s="32" t="n">
        <f aca="false">Curves!E8</f>
        <v>0.957768</v>
      </c>
      <c r="C113" s="32" t="n">
        <f aca="false">Curves!E9</f>
        <v>0.96933</v>
      </c>
      <c r="D113" s="25" t="n">
        <f aca="false">SABR!AT10</f>
        <v>0.39978211956629</v>
      </c>
      <c r="E113" s="32" t="n">
        <f aca="false">Curves!E10</f>
        <v>0.958726</v>
      </c>
      <c r="F113" s="32" t="n">
        <f aca="false">Curves!E11</f>
        <v>0.954899</v>
      </c>
      <c r="G113" s="32" t="n">
        <f aca="false">Curves!E12</f>
        <v>0.967393</v>
      </c>
      <c r="H113" s="24" t="n">
        <f aca="false">Curves!Q50</f>
        <v>0.957836117465444</v>
      </c>
      <c r="I113" s="42" t="n">
        <f aca="false">NPV_Engine!$B$4*B113*(C113/NPV_Engine!$B$8)*(1+0.5*(D113-NPV_Engine!$B$13))*(AVERAGE(E113,F113,G113)/B113)*(H113/NPV_Engine!$B$12)</f>
        <v>9575313.44554287</v>
      </c>
    </row>
    <row r="114" customFormat="false" ht="15" hidden="false" customHeight="true" outlineLevel="0" collapsed="false">
      <c r="A114" s="9" t="s">
        <v>119</v>
      </c>
      <c r="B114" s="32" t="n">
        <f aca="false">Curves!E8</f>
        <v>0.957768</v>
      </c>
      <c r="C114" s="32" t="n">
        <f aca="false">Curves!E9</f>
        <v>0.96933</v>
      </c>
      <c r="D114" s="25" t="n">
        <f aca="false">SABR!AT10</f>
        <v>0.39978211956629</v>
      </c>
      <c r="E114" s="32" t="n">
        <f aca="false">Curves!E10</f>
        <v>0.958726</v>
      </c>
      <c r="F114" s="32" t="n">
        <f aca="false">Curves!E11</f>
        <v>0.954899</v>
      </c>
      <c r="G114" s="32" t="n">
        <f aca="false">Curves!E12</f>
        <v>0.967393</v>
      </c>
      <c r="H114" s="24" t="n">
        <f aca="false">Curves!Q58</f>
        <v>0.95758460198965</v>
      </c>
      <c r="I114" s="42" t="n">
        <f aca="false">NPV_Engine!$B$4*B114*(C114/NPV_Engine!$B$8)*(1+0.5*(D114-NPV_Engine!$B$13))*(AVERAGE(E114,F114,G114)/B114)*(H114/NPV_Engine!$B$12)</f>
        <v>9572799.09107949</v>
      </c>
    </row>
    <row r="115" customFormat="false" ht="15" hidden="false" customHeight="true" outlineLevel="0" collapsed="false">
      <c r="A115" s="9" t="s">
        <v>120</v>
      </c>
      <c r="B115" s="32" t="n">
        <f aca="false">Curves!E8</f>
        <v>0.957768</v>
      </c>
      <c r="C115" s="32" t="n">
        <f aca="false">Curves!E9</f>
        <v>0.96933</v>
      </c>
      <c r="D115" s="25" t="n">
        <f aca="false">SABR!AT10</f>
        <v>0.39978211956629</v>
      </c>
      <c r="E115" s="32" t="n">
        <f aca="false">Curves!E10</f>
        <v>0.958726</v>
      </c>
      <c r="F115" s="32" t="n">
        <f aca="false">Curves!E11</f>
        <v>0.954899</v>
      </c>
      <c r="G115" s="32" t="n">
        <f aca="false">Curves!E12</f>
        <v>0.967393</v>
      </c>
      <c r="H115" s="24" t="n">
        <f aca="false">Curves!Q66</f>
        <v>0.962263559855125</v>
      </c>
      <c r="I115" s="42" t="n">
        <f aca="false">NPV_Engine!$B$4*B115*(C115/NPV_Engine!$B$8)*(1+0.5*(D115-NPV_Engine!$B$13))*(AVERAGE(E115,F115,G115)/B115)*(H115/NPV_Engine!$B$12)</f>
        <v>9619573.78180526</v>
      </c>
    </row>
    <row r="116" customFormat="false" ht="15" hidden="false" customHeight="true" outlineLevel="0" collapsed="false">
      <c r="A116" s="9" t="s">
        <v>121</v>
      </c>
      <c r="B116" s="32" t="n">
        <f aca="false">Curves!E8</f>
        <v>0.957768</v>
      </c>
      <c r="C116" s="32" t="n">
        <f aca="false">Curves!E9</f>
        <v>0.96933</v>
      </c>
      <c r="D116" s="25" t="n">
        <f aca="false">SABR!AT10</f>
        <v>0.39978211956629</v>
      </c>
      <c r="E116" s="32" t="n">
        <f aca="false">Curves!E10</f>
        <v>0.958726</v>
      </c>
      <c r="F116" s="32" t="n">
        <f aca="false">Curves!E11</f>
        <v>0.954899</v>
      </c>
      <c r="G116" s="32" t="n">
        <f aca="false">Curves!E12</f>
        <v>0.967393</v>
      </c>
      <c r="H116" s="24" t="n">
        <f aca="false">Curves!Q74</f>
        <v>0.956804885239764</v>
      </c>
      <c r="I116" s="42" t="n">
        <f aca="false">NPV_Engine!$B$4*B116*(C116/NPV_Engine!$B$8)*(1+0.5*(D116-NPV_Engine!$B$13))*(AVERAGE(E116,F116,G116)/B116)*(H116/NPV_Engine!$B$12)</f>
        <v>9565004.40455352</v>
      </c>
    </row>
    <row r="117" customFormat="false" ht="15" hidden="false" customHeight="true" outlineLevel="0" collapsed="false">
      <c r="A117" s="9" t="s">
        <v>122</v>
      </c>
      <c r="B117" s="32" t="n">
        <f aca="false">Curves!E8</f>
        <v>0.957768</v>
      </c>
      <c r="C117" s="32" t="n">
        <f aca="false">Curves!E9</f>
        <v>0.96933</v>
      </c>
      <c r="D117" s="25" t="n">
        <f aca="false">SABR!AT10</f>
        <v>0.39978211956629</v>
      </c>
      <c r="E117" s="32" t="n">
        <f aca="false">Curves!E10</f>
        <v>0.958726</v>
      </c>
      <c r="F117" s="32" t="n">
        <f aca="false">Curves!E11</f>
        <v>0.954899</v>
      </c>
      <c r="G117" s="32" t="n">
        <f aca="false">Curves!E12</f>
        <v>0.967393</v>
      </c>
      <c r="H117" s="24" t="n">
        <f aca="false">Curves!Q82</f>
        <v>0.958736934866277</v>
      </c>
      <c r="I117" s="42" t="n">
        <f aca="false">NPV_Engine!$B$4*B117*(C117/NPV_Engine!$B$8)*(1+0.5*(D117-NPV_Engine!$B$13))*(AVERAGE(E117,F117,G117)/B117)*(H117/NPV_Engine!$B$12)</f>
        <v>9584318.75324937</v>
      </c>
    </row>
    <row r="118" customFormat="false" ht="15" hidden="false" customHeight="true" outlineLevel="0" collapsed="false">
      <c r="A118" s="9" t="s">
        <v>123</v>
      </c>
      <c r="B118" s="32" t="n">
        <f aca="false">Curves!E8</f>
        <v>0.957768</v>
      </c>
      <c r="C118" s="32" t="n">
        <f aca="false">Curves!E9</f>
        <v>0.96933</v>
      </c>
      <c r="D118" s="25" t="n">
        <f aca="false">SABR!AT10</f>
        <v>0.39978211956629</v>
      </c>
      <c r="E118" s="32" t="n">
        <f aca="false">Curves!E10</f>
        <v>0.958726</v>
      </c>
      <c r="F118" s="32" t="n">
        <f aca="false">Curves!E11</f>
        <v>0.954899</v>
      </c>
      <c r="G118" s="32" t="n">
        <f aca="false">Curves!E12</f>
        <v>0.967393</v>
      </c>
      <c r="H118" s="24" t="n">
        <f aca="false">Curves!Q90</f>
        <v>0.956260628257328</v>
      </c>
      <c r="I118" s="42" t="n">
        <f aca="false">NPV_Engine!$B$4*B118*(C118/NPV_Engine!$B$8)*(1+0.5*(D118-NPV_Engine!$B$13))*(AVERAGE(E118,F118,G118)/B118)*(H118/NPV_Engine!$B$12)</f>
        <v>9559563.56649498</v>
      </c>
    </row>
    <row r="119" customFormat="false" ht="15" hidden="false" customHeight="true" outlineLevel="0" collapsed="false">
      <c r="A119" s="9" t="s">
        <v>124</v>
      </c>
      <c r="B119" s="32" t="n">
        <f aca="false">Curves!E8</f>
        <v>0.957768</v>
      </c>
      <c r="C119" s="32" t="n">
        <f aca="false">Curves!E9</f>
        <v>0.96933</v>
      </c>
      <c r="D119" s="25" t="n">
        <f aca="false">SABR!AT10</f>
        <v>0.39978211956629</v>
      </c>
      <c r="E119" s="32" t="n">
        <f aca="false">Curves!E10</f>
        <v>0.958726</v>
      </c>
      <c r="F119" s="32" t="n">
        <f aca="false">Curves!E11</f>
        <v>0.954899</v>
      </c>
      <c r="G119" s="32" t="n">
        <f aca="false">Curves!E12</f>
        <v>0.967393</v>
      </c>
      <c r="H119" s="24" t="n">
        <f aca="false">Curves!Q98</f>
        <v>0.960229712665626</v>
      </c>
      <c r="I119" s="42" t="n">
        <f aca="false">NPV_Engine!$B$4*B119*(C119/NPV_Engine!$B$8)*(1+0.5*(D119-NPV_Engine!$B$13))*(AVERAGE(E119,F119,G119)/B119)*(H119/NPV_Engine!$B$12)</f>
        <v>9599241.78138819</v>
      </c>
    </row>
    <row r="120" customFormat="false" ht="15" hidden="false" customHeight="true" outlineLevel="0" collapsed="false">
      <c r="A120" s="9" t="s">
        <v>125</v>
      </c>
      <c r="B120" s="32" t="n">
        <f aca="false">Curves!E8</f>
        <v>0.957768</v>
      </c>
      <c r="C120" s="32" t="n">
        <f aca="false">Curves!E9</f>
        <v>0.96933</v>
      </c>
      <c r="D120" s="25" t="n">
        <f aca="false">SABR!AT10</f>
        <v>0.39978211956629</v>
      </c>
      <c r="E120" s="32" t="n">
        <f aca="false">Curves!E10</f>
        <v>0.958726</v>
      </c>
      <c r="F120" s="32" t="n">
        <f aca="false">Curves!E11</f>
        <v>0.954899</v>
      </c>
      <c r="G120" s="32" t="n">
        <f aca="false">Curves!E12</f>
        <v>0.967393</v>
      </c>
      <c r="H120" s="24" t="n">
        <f aca="false">Curves!Q106</f>
        <v>0.955591148630945</v>
      </c>
      <c r="I120" s="42" t="n">
        <f aca="false">NPV_Engine!$B$4*B120*(C120/NPV_Engine!$B$8)*(1+0.5*(D120-NPV_Engine!$B$13))*(AVERAGE(E120,F120,G120)/B120)*(H120/NPV_Engine!$B$12)</f>
        <v>9552870.90044165</v>
      </c>
    </row>
    <row r="121" customFormat="false" ht="15" hidden="false" customHeight="true" outlineLevel="0" collapsed="false">
      <c r="A121" s="9" t="s">
        <v>126</v>
      </c>
      <c r="B121" s="32" t="n">
        <f aca="false">Curves!E8</f>
        <v>0.957768</v>
      </c>
      <c r="C121" s="32" t="n">
        <f aca="false">Curves!E9</f>
        <v>0.96933</v>
      </c>
      <c r="D121" s="25" t="n">
        <f aca="false">SABR!AT10</f>
        <v>0.39978211956629</v>
      </c>
      <c r="E121" s="32" t="n">
        <f aca="false">Curves!E10</f>
        <v>0.958726</v>
      </c>
      <c r="F121" s="32" t="n">
        <f aca="false">Curves!E11</f>
        <v>0.954899</v>
      </c>
      <c r="G121" s="32" t="n">
        <f aca="false">Curves!E12</f>
        <v>0.967393</v>
      </c>
      <c r="H121" s="24" t="n">
        <f aca="false">Curves!Q114</f>
        <v>0.955213344747142</v>
      </c>
      <c r="I121" s="42" t="n">
        <f aca="false">NPV_Engine!$B$4*B121*(C121/NPV_Engine!$B$8)*(1+0.5*(D121-NPV_Engine!$B$13))*(AVERAGE(E121,F121,G121)/B121)*(H121/NPV_Engine!$B$12)</f>
        <v>9549094.06373399</v>
      </c>
    </row>
    <row r="124" customFormat="false" ht="15" hidden="false" customHeight="true" outlineLevel="0" collapsed="false">
      <c r="A124" s="41" t="s">
        <v>209</v>
      </c>
      <c r="B124" s="41"/>
      <c r="C124" s="41"/>
      <c r="D124" s="41"/>
      <c r="E124" s="41"/>
      <c r="F124" s="41"/>
      <c r="G124" s="41"/>
      <c r="H124" s="41"/>
      <c r="I124" s="41"/>
      <c r="J124" s="52" t="s">
        <v>210</v>
      </c>
    </row>
    <row r="125" customFormat="false" ht="39" hidden="false" customHeight="true" outlineLevel="0" collapsed="false">
      <c r="A125" s="22" t="s">
        <v>169</v>
      </c>
      <c r="B125" s="22" t="s">
        <v>170</v>
      </c>
      <c r="C125" s="22" t="s">
        <v>171</v>
      </c>
      <c r="D125" s="22" t="s">
        <v>172</v>
      </c>
      <c r="E125" s="22" t="s">
        <v>173</v>
      </c>
      <c r="F125" s="22" t="s">
        <v>174</v>
      </c>
      <c r="G125" s="22" t="s">
        <v>175</v>
      </c>
      <c r="H125" s="22" t="s">
        <v>176</v>
      </c>
      <c r="I125" s="22" t="s">
        <v>177</v>
      </c>
    </row>
    <row r="126" customFormat="false" ht="15" hidden="false" customHeight="true" outlineLevel="0" collapsed="false">
      <c r="A126" s="4" t="s">
        <v>178</v>
      </c>
      <c r="B126" s="32" t="n">
        <f aca="false">Curves!E8</f>
        <v>0.957768</v>
      </c>
      <c r="C126" s="32" t="n">
        <f aca="false">Curves!E9</f>
        <v>0.96933</v>
      </c>
      <c r="D126" s="25" t="n">
        <f aca="false">SABR!AT10</f>
        <v>0.39978211956629</v>
      </c>
      <c r="E126" s="32" t="n">
        <f aca="false">Curves!E10</f>
        <v>0.958726</v>
      </c>
      <c r="F126" s="32" t="n">
        <f aca="false">Curves!E11</f>
        <v>0.954899</v>
      </c>
      <c r="G126" s="32" t="n">
        <f aca="false">Curves!E12</f>
        <v>0.967393</v>
      </c>
      <c r="H126" s="32" t="n">
        <f aca="false">Curves!E13</f>
        <v>0.960645</v>
      </c>
      <c r="I126" s="42" t="n">
        <f aca="false">NPV_Engine!$B$4*B126*(C126/NPV_Engine!$B$8)*(1+0.5*(D126-NPV_Engine!$B$13))*(AVERAGE(E126,F126,G126)/B126)*(H126/NPV_Engine!$B$12)</f>
        <v>9603393.33333333</v>
      </c>
    </row>
    <row r="127" customFormat="false" ht="15" hidden="false" customHeight="true" outlineLevel="0" collapsed="false">
      <c r="A127" s="9" t="s">
        <v>117</v>
      </c>
      <c r="B127" s="24" t="n">
        <f aca="false">Curves!Q37</f>
        <v>0.95645567308242</v>
      </c>
      <c r="C127" s="24" t="n">
        <f aca="false">Curves!Q38</f>
        <v>0.968268575053369</v>
      </c>
      <c r="D127" s="43" t="n">
        <f aca="false">SABR!AT60</f>
        <v>0.406538537771067</v>
      </c>
      <c r="E127" s="32" t="n">
        <f aca="false">Curves!E10</f>
        <v>0.958726</v>
      </c>
      <c r="F127" s="24" t="n">
        <f aca="false">Curves!Q40</f>
        <v>0.949311346582243</v>
      </c>
      <c r="G127" s="24" t="n">
        <f aca="false">Curves!Q41</f>
        <v>0.962297088758501</v>
      </c>
      <c r="H127" s="24" t="n">
        <f aca="false">Curves!Q42</f>
        <v>0.958550489609229</v>
      </c>
      <c r="I127" s="42" t="n">
        <f aca="false">NPV_Engine!$B$4*B127*(C127/NPV_Engine!$B$8)*(1+0.5*(D127-NPV_Engine!$B$13))*(AVERAGE(E127,F127,G127)/B127)*(H127/NPV_Engine!$B$12)</f>
        <v>9568682.87271643</v>
      </c>
    </row>
    <row r="128" customFormat="false" ht="15" hidden="false" customHeight="true" outlineLevel="0" collapsed="false">
      <c r="A128" s="9" t="s">
        <v>118</v>
      </c>
      <c r="B128" s="24" t="n">
        <f aca="false">Curves!Q45</f>
        <v>0.953984470417811</v>
      </c>
      <c r="C128" s="24" t="n">
        <f aca="false">Curves!Q46</f>
        <v>0.968938897143004</v>
      </c>
      <c r="D128" s="43" t="n">
        <f aca="false">SABR!AT74</f>
        <v>0.408312583119033</v>
      </c>
      <c r="E128" s="32" t="n">
        <f aca="false">Curves!E10</f>
        <v>0.958726</v>
      </c>
      <c r="F128" s="24" t="n">
        <f aca="false">Curves!Q48</f>
        <v>0.952091864437955</v>
      </c>
      <c r="G128" s="24" t="n">
        <f aca="false">Curves!Q49</f>
        <v>0.964955584066973</v>
      </c>
      <c r="H128" s="24" t="n">
        <f aca="false">Curves!Q50</f>
        <v>0.957836117465444</v>
      </c>
      <c r="I128" s="42" t="n">
        <f aca="false">NPV_Engine!$B$4*B128*(C128/NPV_Engine!$B$8)*(1+0.5*(D128-NPV_Engine!$B$13))*(AVERAGE(E128,F128,G128)/B128)*(H128/NPV_Engine!$B$12)</f>
        <v>9594776.46929257</v>
      </c>
    </row>
    <row r="129" customFormat="false" ht="15" hidden="false" customHeight="true" outlineLevel="0" collapsed="false">
      <c r="A129" s="9" t="s">
        <v>119</v>
      </c>
      <c r="B129" s="24" t="n">
        <f aca="false">Curves!Q53</f>
        <v>0.953428257833193</v>
      </c>
      <c r="C129" s="24" t="n">
        <f aca="false">Curves!Q54</f>
        <v>0.967699452636081</v>
      </c>
      <c r="D129" s="43" t="n">
        <f aca="false">SABR!AT88</f>
        <v>0.407971432425642</v>
      </c>
      <c r="E129" s="32" t="n">
        <f aca="false">Curves!E10</f>
        <v>0.958726</v>
      </c>
      <c r="F129" s="24" t="n">
        <f aca="false">Curves!Q56</f>
        <v>0.953612707835657</v>
      </c>
      <c r="G129" s="24" t="n">
        <f aca="false">Curves!Q57</f>
        <v>0.961223663488055</v>
      </c>
      <c r="H129" s="24" t="n">
        <f aca="false">Curves!Q58</f>
        <v>0.95758460198965</v>
      </c>
      <c r="I129" s="42" t="n">
        <f aca="false">NPV_Engine!$B$4*B129*(C129/NPV_Engine!$B$8)*(1+0.5*(D129-NPV_Engine!$B$13))*(AVERAGE(E129,F129,G129)/B129)*(H129/NPV_Engine!$B$12)</f>
        <v>9570995.18777275</v>
      </c>
    </row>
    <row r="130" customFormat="false" ht="15" hidden="false" customHeight="true" outlineLevel="0" collapsed="false">
      <c r="A130" s="9" t="s">
        <v>120</v>
      </c>
      <c r="B130" s="24" t="n">
        <f aca="false">Curves!Q61</f>
        <v>0.953041785744194</v>
      </c>
      <c r="C130" s="24" t="n">
        <f aca="false">Curves!Q62</f>
        <v>0.965269080950153</v>
      </c>
      <c r="D130" s="43" t="n">
        <f aca="false">SABR!AT102</f>
        <v>0.413770225261134</v>
      </c>
      <c r="E130" s="32" t="n">
        <f aca="false">Curves!E10</f>
        <v>0.958726</v>
      </c>
      <c r="F130" s="24" t="n">
        <f aca="false">Curves!Q64</f>
        <v>0.946234479809646</v>
      </c>
      <c r="G130" s="24" t="n">
        <f aca="false">Curves!Q65</f>
        <v>0.960336700770215</v>
      </c>
      <c r="H130" s="24" t="n">
        <f aca="false">Curves!Q66</f>
        <v>0.962263559855125</v>
      </c>
      <c r="I130" s="42" t="n">
        <f aca="false">NPV_Engine!$B$4*B130*(C130/NPV_Engine!$B$8)*(1+0.5*(D130-NPV_Engine!$B$13))*(AVERAGE(E130,F130,G130)/B130)*(H130/NPV_Engine!$B$12)</f>
        <v>9593634.70164541</v>
      </c>
    </row>
    <row r="131" customFormat="false" ht="15" hidden="false" customHeight="true" outlineLevel="0" collapsed="false">
      <c r="A131" s="9" t="s">
        <v>121</v>
      </c>
      <c r="B131" s="24" t="n">
        <f aca="false">Curves!Q69</f>
        <v>0.955487984146696</v>
      </c>
      <c r="C131" s="24" t="n">
        <f aca="false">Curves!Q70</f>
        <v>0.964836228667716</v>
      </c>
      <c r="D131" s="43" t="n">
        <f aca="false">SABR!AT116</f>
        <v>0.41063225788842</v>
      </c>
      <c r="E131" s="32" t="n">
        <f aca="false">Curves!E10</f>
        <v>0.958726</v>
      </c>
      <c r="F131" s="24" t="n">
        <f aca="false">Curves!Q72</f>
        <v>0.945344255389449</v>
      </c>
      <c r="G131" s="24" t="n">
        <f aca="false">Curves!Q73</f>
        <v>0.960043506585016</v>
      </c>
      <c r="H131" s="24" t="n">
        <f aca="false">Curves!Q74</f>
        <v>0.956804885239764</v>
      </c>
      <c r="I131" s="42" t="n">
        <f aca="false">NPV_Engine!$B$4*B131*(C131/NPV_Engine!$B$8)*(1+0.5*(D131-NPV_Engine!$B$13))*(AVERAGE(E131,F131,G131)/B131)*(H131/NPV_Engine!$B$12)</f>
        <v>9516146.62075816</v>
      </c>
    </row>
    <row r="132" customFormat="false" ht="15" hidden="false" customHeight="true" outlineLevel="0" collapsed="false">
      <c r="A132" s="9" t="s">
        <v>122</v>
      </c>
      <c r="B132" s="24" t="n">
        <f aca="false">Curves!Q77</f>
        <v>0.954991103789659</v>
      </c>
      <c r="C132" s="24" t="n">
        <f aca="false">Curves!Q78</f>
        <v>0.96434631914572</v>
      </c>
      <c r="D132" s="43" t="n">
        <f aca="false">SABR!AT130</f>
        <v>0.411928432857369</v>
      </c>
      <c r="E132" s="32" t="n">
        <f aca="false">Curves!E10</f>
        <v>0.958726</v>
      </c>
      <c r="F132" s="24" t="n">
        <f aca="false">Curves!Q80</f>
        <v>0.944482088523894</v>
      </c>
      <c r="G132" s="24" t="n">
        <f aca="false">Curves!Q81</f>
        <v>0.958612050918359</v>
      </c>
      <c r="H132" s="24" t="n">
        <f aca="false">Curves!Q82</f>
        <v>0.958736934866277</v>
      </c>
      <c r="I132" s="42" t="n">
        <f aca="false">NPV_Engine!$B$4*B132*(C132/NPV_Engine!$B$8)*(1+0.5*(D132-NPV_Engine!$B$13))*(AVERAGE(E132,F132,G132)/B132)*(H132/NPV_Engine!$B$12)</f>
        <v>9529026.78341904</v>
      </c>
    </row>
    <row r="133" customFormat="false" ht="15" hidden="false" customHeight="true" outlineLevel="0" collapsed="false">
      <c r="A133" s="9" t="s">
        <v>123</v>
      </c>
      <c r="B133" s="24" t="n">
        <f aca="false">Curves!Q85</f>
        <v>0.954631571739291</v>
      </c>
      <c r="C133" s="24" t="n">
        <f aca="false">Curves!Q86</f>
        <v>0.963898937861947</v>
      </c>
      <c r="D133" s="43" t="n">
        <f aca="false">SABR!AT144</f>
        <v>0.417726110712245</v>
      </c>
      <c r="E133" s="32" t="n">
        <f aca="false">Curves!E10</f>
        <v>0.958726</v>
      </c>
      <c r="F133" s="24" t="n">
        <f aca="false">Curves!Q88</f>
        <v>0.950115469489328</v>
      </c>
      <c r="G133" s="24" t="n">
        <f aca="false">Curves!Q89</f>
        <v>0.957808375985025</v>
      </c>
      <c r="H133" s="24" t="n">
        <f aca="false">Curves!Q90</f>
        <v>0.956260628257328</v>
      </c>
      <c r="I133" s="42" t="n">
        <f aca="false">NPV_Engine!$B$4*B133*(C133/NPV_Engine!$B$8)*(1+0.5*(D133-NPV_Engine!$B$13))*(AVERAGE(E133,F133,G133)/B133)*(H133/NPV_Engine!$B$12)</f>
        <v>9543456.5803156</v>
      </c>
    </row>
    <row r="134" customFormat="false" ht="15" hidden="false" customHeight="true" outlineLevel="0" collapsed="false">
      <c r="A134" s="9" t="s">
        <v>124</v>
      </c>
      <c r="B134" s="24" t="n">
        <f aca="false">Curves!Q93</f>
        <v>0.950859692250137</v>
      </c>
      <c r="C134" s="24" t="n">
        <f aca="false">Curves!Q94</f>
        <v>0.972017712190285</v>
      </c>
      <c r="D134" s="43" t="n">
        <f aca="false">SABR!AT158</f>
        <v>0.415066202564148</v>
      </c>
      <c r="E134" s="32" t="n">
        <f aca="false">Curves!E10</f>
        <v>0.958726</v>
      </c>
      <c r="F134" s="24" t="n">
        <f aca="false">Curves!Q96</f>
        <v>0.942346869047631</v>
      </c>
      <c r="G134" s="24" t="n">
        <f aca="false">Curves!Q97</f>
        <v>0.957056963924134</v>
      </c>
      <c r="H134" s="24" t="n">
        <f aca="false">Curves!Q98</f>
        <v>0.960229712665626</v>
      </c>
      <c r="I134" s="42" t="n">
        <f aca="false">NPV_Engine!$B$4*B134*(C134/NPV_Engine!$B$8)*(1+0.5*(D134-NPV_Engine!$B$13))*(AVERAGE(E134,F134,G134)/B134)*(H134/NPV_Engine!$B$12)</f>
        <v>9622362.54443097</v>
      </c>
    </row>
    <row r="135" customFormat="false" ht="15" hidden="false" customHeight="true" outlineLevel="0" collapsed="false">
      <c r="A135" s="9" t="s">
        <v>125</v>
      </c>
      <c r="B135" s="24" t="n">
        <f aca="false">Curves!Q101</f>
        <v>0.950629998326299</v>
      </c>
      <c r="C135" s="24" t="n">
        <f aca="false">Curves!Q102</f>
        <v>0.963171513076289</v>
      </c>
      <c r="D135" s="43" t="n">
        <f aca="false">SABR!AT172</f>
        <v>0.417862506985643</v>
      </c>
      <c r="E135" s="32" t="n">
        <f aca="false">Curves!E10</f>
        <v>0.958726</v>
      </c>
      <c r="F135" s="24" t="n">
        <f aca="false">Curves!Q104</f>
        <v>0.941085187512815</v>
      </c>
      <c r="G135" s="24" t="n">
        <f aca="false">Curves!Q105</f>
        <v>0.956168103382636</v>
      </c>
      <c r="H135" s="24" t="n">
        <f aca="false">Curves!Q106</f>
        <v>0.955591148630945</v>
      </c>
      <c r="I135" s="42" t="n">
        <f aca="false">NPV_Engine!$B$4*B135*(C135/NPV_Engine!$B$8)*(1+0.5*(D135-NPV_Engine!$B$13))*(AVERAGE(E135,F135,G135)/B135)*(H135/NPV_Engine!$B$12)</f>
        <v>9494747.77582998</v>
      </c>
    </row>
    <row r="136" customFormat="false" ht="15" hidden="false" customHeight="true" outlineLevel="0" collapsed="false">
      <c r="A136" s="9" t="s">
        <v>126</v>
      </c>
      <c r="B136" s="24" t="n">
        <f aca="false">Curves!Q109</f>
        <v>0.949924622570429</v>
      </c>
      <c r="C136" s="24" t="n">
        <f aca="false">Curves!Q110</f>
        <v>0.972647724846082</v>
      </c>
      <c r="D136" s="43" t="n">
        <f aca="false">SABR!AT186</f>
        <v>0.421340306298811</v>
      </c>
      <c r="E136" s="32" t="n">
        <f aca="false">Curves!E10</f>
        <v>0.958726</v>
      </c>
      <c r="F136" s="24" t="n">
        <f aca="false">Curves!Q112</f>
        <v>0.94825631913984</v>
      </c>
      <c r="G136" s="24" t="n">
        <f aca="false">Curves!Q113</f>
        <v>0.966039723186702</v>
      </c>
      <c r="H136" s="24" t="n">
        <f aca="false">Curves!Q114</f>
        <v>0.955213344747142</v>
      </c>
      <c r="I136" s="42" t="n">
        <f aca="false">NPV_Engine!$B$4*B136*(C136/NPV_Engine!$B$8)*(1+0.5*(D136-NPV_Engine!$B$13))*(AVERAGE(E136,F136,G136)/B136)*(H136/NPV_Engine!$B$12)</f>
        <v>9658180.76447536</v>
      </c>
    </row>
    <row r="139" customFormat="false" ht="15" hidden="false" customHeight="true" outlineLevel="0" collapsed="false">
      <c r="A139" s="41" t="s">
        <v>211</v>
      </c>
      <c r="B139" s="41"/>
      <c r="C139" s="41"/>
      <c r="D139" s="41"/>
      <c r="E139" s="41"/>
      <c r="F139" s="41"/>
      <c r="G139" s="41"/>
      <c r="H139" s="41"/>
      <c r="I139" s="41"/>
      <c r="J139" s="52" t="s">
        <v>212</v>
      </c>
    </row>
    <row r="140" customFormat="false" ht="39" hidden="false" customHeight="true" outlineLevel="0" collapsed="false">
      <c r="A140" s="22" t="s">
        <v>169</v>
      </c>
      <c r="B140" s="22" t="s">
        <v>170</v>
      </c>
      <c r="C140" s="22" t="s">
        <v>171</v>
      </c>
      <c r="D140" s="22" t="s">
        <v>172</v>
      </c>
      <c r="E140" s="22" t="s">
        <v>173</v>
      </c>
      <c r="F140" s="22" t="s">
        <v>174</v>
      </c>
      <c r="G140" s="22" t="s">
        <v>175</v>
      </c>
      <c r="H140" s="22" t="s">
        <v>176</v>
      </c>
      <c r="I140" s="22" t="s">
        <v>177</v>
      </c>
    </row>
    <row r="141" customFormat="false" ht="15" hidden="false" customHeight="true" outlineLevel="0" collapsed="false">
      <c r="A141" s="4" t="s">
        <v>178</v>
      </c>
      <c r="B141" s="32" t="n">
        <f aca="false">Curves!E8</f>
        <v>0.957768</v>
      </c>
      <c r="C141" s="32" t="n">
        <f aca="false">Curves!E9</f>
        <v>0.96933</v>
      </c>
      <c r="D141" s="25" t="n">
        <f aca="false">SABR!AT10</f>
        <v>0.39978211956629</v>
      </c>
      <c r="E141" s="32" t="n">
        <f aca="false">Curves!E10</f>
        <v>0.958726</v>
      </c>
      <c r="F141" s="32" t="n">
        <f aca="false">Curves!E11</f>
        <v>0.954899</v>
      </c>
      <c r="G141" s="32" t="n">
        <f aca="false">Curves!E12</f>
        <v>0.967393</v>
      </c>
      <c r="H141" s="32" t="n">
        <f aca="false">Curves!E13</f>
        <v>0.960645</v>
      </c>
      <c r="I141" s="42" t="n">
        <f aca="false">NPV_Engine!$B$4*B141*(C141/NPV_Engine!$B$8)*(1+0.5*(D141-NPV_Engine!$B$13))*(AVERAGE(E141,F141,G141)/B141)*(H141/NPV_Engine!$B$12)</f>
        <v>9603393.33333333</v>
      </c>
    </row>
    <row r="142" customFormat="false" ht="15" hidden="false" customHeight="true" outlineLevel="0" collapsed="false">
      <c r="A142" s="9" t="s">
        <v>117</v>
      </c>
      <c r="B142" s="32" t="n">
        <f aca="false">Curves!E8</f>
        <v>0.957768</v>
      </c>
      <c r="C142" s="32" t="n">
        <f aca="false">Curves!E9</f>
        <v>0.96933</v>
      </c>
      <c r="D142" s="43" t="n">
        <f aca="false">SABR!AT60</f>
        <v>0.406538537771067</v>
      </c>
      <c r="E142" s="32" t="n">
        <f aca="false">Curves!E10</f>
        <v>0.958726</v>
      </c>
      <c r="F142" s="24" t="n">
        <f aca="false">Curves!Q40</f>
        <v>0.949311346582243</v>
      </c>
      <c r="G142" s="24" t="n">
        <f aca="false">Curves!Q41</f>
        <v>0.962297088758501</v>
      </c>
      <c r="H142" s="32" t="n">
        <f aca="false">Curves!E13</f>
        <v>0.960645</v>
      </c>
      <c r="I142" s="42" t="n">
        <f aca="false">NPV_Engine!$B$4*B142*(C142/NPV_Engine!$B$8)*(1+0.5*(D142-NPV_Engine!$B$13))*(AVERAGE(E142,F142,G142)/B142)*(H142/NPV_Engine!$B$12)</f>
        <v>9600103.4175237</v>
      </c>
    </row>
    <row r="143" customFormat="false" ht="15" hidden="false" customHeight="true" outlineLevel="0" collapsed="false">
      <c r="A143" s="9" t="s">
        <v>118</v>
      </c>
      <c r="B143" s="32" t="n">
        <f aca="false">Curves!E8</f>
        <v>0.957768</v>
      </c>
      <c r="C143" s="32" t="n">
        <f aca="false">Curves!E9</f>
        <v>0.96933</v>
      </c>
      <c r="D143" s="43" t="n">
        <f aca="false">SABR!AT74</f>
        <v>0.408312583119033</v>
      </c>
      <c r="E143" s="32" t="n">
        <f aca="false">Curves!E10</f>
        <v>0.958726</v>
      </c>
      <c r="F143" s="24" t="n">
        <f aca="false">Curves!Q48</f>
        <v>0.952091864437955</v>
      </c>
      <c r="G143" s="24" t="n">
        <f aca="false">Curves!Q49</f>
        <v>0.964955584066973</v>
      </c>
      <c r="H143" s="32" t="n">
        <f aca="false">Curves!E13</f>
        <v>0.960645</v>
      </c>
      <c r="I143" s="42" t="n">
        <f aca="false">NPV_Engine!$B$4*B143*(C143/NPV_Engine!$B$8)*(1+0.5*(D143-NPV_Engine!$B$13))*(AVERAGE(E143,F143,G143)/B143)*(H143/NPV_Engine!$B$12)</f>
        <v>9626797.62933045</v>
      </c>
    </row>
    <row r="144" customFormat="false" ht="15" hidden="false" customHeight="true" outlineLevel="0" collapsed="false">
      <c r="A144" s="9" t="s">
        <v>119</v>
      </c>
      <c r="B144" s="32" t="n">
        <f aca="false">Curves!E8</f>
        <v>0.957768</v>
      </c>
      <c r="C144" s="32" t="n">
        <f aca="false">Curves!E9</f>
        <v>0.96933</v>
      </c>
      <c r="D144" s="43" t="n">
        <f aca="false">SABR!AT88</f>
        <v>0.407971432425642</v>
      </c>
      <c r="E144" s="32" t="n">
        <f aca="false">Curves!E10</f>
        <v>0.958726</v>
      </c>
      <c r="F144" s="24" t="n">
        <f aca="false">Curves!Q56</f>
        <v>0.953612707835657</v>
      </c>
      <c r="G144" s="24" t="n">
        <f aca="false">Curves!Q57</f>
        <v>0.961223663488055</v>
      </c>
      <c r="H144" s="32" t="n">
        <f aca="false">Curves!E13</f>
        <v>0.960645</v>
      </c>
      <c r="I144" s="42" t="n">
        <f aca="false">NPV_Engine!$B$4*B144*(C144/NPV_Engine!$B$8)*(1+0.5*(D144-NPV_Engine!$B$13))*(AVERAGE(E144,F144,G144)/B144)*(H144/NPV_Engine!$B$12)</f>
        <v>9617762.07321176</v>
      </c>
    </row>
    <row r="145" customFormat="false" ht="15" hidden="false" customHeight="true" outlineLevel="0" collapsed="false">
      <c r="A145" s="9" t="s">
        <v>120</v>
      </c>
      <c r="B145" s="32" t="n">
        <f aca="false">Curves!E8</f>
        <v>0.957768</v>
      </c>
      <c r="C145" s="32" t="n">
        <f aca="false">Curves!E9</f>
        <v>0.96933</v>
      </c>
      <c r="D145" s="43" t="n">
        <f aca="false">SABR!AT102</f>
        <v>0.413770225261134</v>
      </c>
      <c r="E145" s="32" t="n">
        <f aca="false">Curves!E10</f>
        <v>0.958726</v>
      </c>
      <c r="F145" s="24" t="n">
        <f aca="false">Curves!Q64</f>
        <v>0.946234479809646</v>
      </c>
      <c r="G145" s="24" t="n">
        <f aca="false">Curves!Q65</f>
        <v>0.960336700770215</v>
      </c>
      <c r="H145" s="32" t="n">
        <f aca="false">Curves!E13</f>
        <v>0.960645</v>
      </c>
      <c r="I145" s="42" t="n">
        <f aca="false">NPV_Engine!$B$4*B145*(C145/NPV_Engine!$B$8)*(1+0.5*(D145-NPV_Engine!$B$13))*(AVERAGE(E145,F145,G145)/B145)*(H145/NPV_Engine!$B$12)</f>
        <v>9617790.73494802</v>
      </c>
    </row>
    <row r="146" customFormat="false" ht="15" hidden="false" customHeight="true" outlineLevel="0" collapsed="false">
      <c r="A146" s="9" t="s">
        <v>121</v>
      </c>
      <c r="B146" s="32" t="n">
        <f aca="false">Curves!E8</f>
        <v>0.957768</v>
      </c>
      <c r="C146" s="32" t="n">
        <f aca="false">Curves!E9</f>
        <v>0.96933</v>
      </c>
      <c r="D146" s="43" t="n">
        <f aca="false">SABR!AT116</f>
        <v>0.41063225788842</v>
      </c>
      <c r="E146" s="32" t="n">
        <f aca="false">Curves!E10</f>
        <v>0.958726</v>
      </c>
      <c r="F146" s="24" t="n">
        <f aca="false">Curves!Q72</f>
        <v>0.945344255389449</v>
      </c>
      <c r="G146" s="24" t="n">
        <f aca="false">Curves!Q73</f>
        <v>0.960043506585016</v>
      </c>
      <c r="H146" s="32" t="n">
        <f aca="false">Curves!E13</f>
        <v>0.960645</v>
      </c>
      <c r="I146" s="42" t="n">
        <f aca="false">NPV_Engine!$B$4*B146*(C146/NPV_Engine!$B$8)*(1+0.5*(D146-NPV_Engine!$B$13))*(AVERAGE(E146,F146,G146)/B146)*(H146/NPV_Engine!$B$12)</f>
        <v>9598839.25739445</v>
      </c>
    </row>
    <row r="147" customFormat="false" ht="15" hidden="false" customHeight="true" outlineLevel="0" collapsed="false">
      <c r="A147" s="9" t="s">
        <v>122</v>
      </c>
      <c r="B147" s="32" t="n">
        <f aca="false">Curves!E8</f>
        <v>0.957768</v>
      </c>
      <c r="C147" s="32" t="n">
        <f aca="false">Curves!E9</f>
        <v>0.96933</v>
      </c>
      <c r="D147" s="43" t="n">
        <f aca="false">SABR!AT130</f>
        <v>0.411928432857369</v>
      </c>
      <c r="E147" s="32" t="n">
        <f aca="false">Curves!E10</f>
        <v>0.958726</v>
      </c>
      <c r="F147" s="24" t="n">
        <f aca="false">Curves!Q80</f>
        <v>0.944482088523894</v>
      </c>
      <c r="G147" s="24" t="n">
        <f aca="false">Curves!Q81</f>
        <v>0.958612050918359</v>
      </c>
      <c r="H147" s="32" t="n">
        <f aca="false">Curves!E13</f>
        <v>0.960645</v>
      </c>
      <c r="I147" s="42" t="n">
        <f aca="false">NPV_Engine!$B$4*B147*(C147/NPV_Engine!$B$8)*(1+0.5*(D147-NPV_Engine!$B$13))*(AVERAGE(E147,F147,G147)/B147)*(H147/NPV_Engine!$B$12)</f>
        <v>9597334.73813482</v>
      </c>
    </row>
    <row r="148" customFormat="false" ht="15" hidden="false" customHeight="true" outlineLevel="0" collapsed="false">
      <c r="A148" s="9" t="s">
        <v>123</v>
      </c>
      <c r="B148" s="32" t="n">
        <f aca="false">Curves!E8</f>
        <v>0.957768</v>
      </c>
      <c r="C148" s="32" t="n">
        <f aca="false">Curves!E9</f>
        <v>0.96933</v>
      </c>
      <c r="D148" s="43" t="n">
        <f aca="false">SABR!AT144</f>
        <v>0.417726110712245</v>
      </c>
      <c r="E148" s="32" t="n">
        <f aca="false">Curves!E10</f>
        <v>0.958726</v>
      </c>
      <c r="F148" s="24" t="n">
        <f aca="false">Curves!Q88</f>
        <v>0.950115469489328</v>
      </c>
      <c r="G148" s="24" t="n">
        <f aca="false">Curves!Q89</f>
        <v>0.957808375985025</v>
      </c>
      <c r="H148" s="32" t="n">
        <f aca="false">Curves!E13</f>
        <v>0.960645</v>
      </c>
      <c r="I148" s="42" t="n">
        <f aca="false">NPV_Engine!$B$4*B148*(C148/NPV_Engine!$B$8)*(1+0.5*(D148-NPV_Engine!$B$13))*(AVERAGE(E148,F148,G148)/B148)*(H148/NPV_Engine!$B$12)</f>
        <v>9641231.38399075</v>
      </c>
    </row>
    <row r="149" customFormat="false" ht="15" hidden="false" customHeight="true" outlineLevel="0" collapsed="false">
      <c r="A149" s="9" t="s">
        <v>124</v>
      </c>
      <c r="B149" s="32" t="n">
        <f aca="false">Curves!E8</f>
        <v>0.957768</v>
      </c>
      <c r="C149" s="32" t="n">
        <f aca="false">Curves!E9</f>
        <v>0.96933</v>
      </c>
      <c r="D149" s="43" t="n">
        <f aca="false">SABR!AT158</f>
        <v>0.415066202564148</v>
      </c>
      <c r="E149" s="32" t="n">
        <f aca="false">Curves!E10</f>
        <v>0.958726</v>
      </c>
      <c r="F149" s="24" t="n">
        <f aca="false">Curves!Q96</f>
        <v>0.942346869047631</v>
      </c>
      <c r="G149" s="24" t="n">
        <f aca="false">Curves!Q97</f>
        <v>0.957056963924134</v>
      </c>
      <c r="H149" s="32" t="n">
        <f aca="false">Curves!E13</f>
        <v>0.960645</v>
      </c>
      <c r="I149" s="42" t="n">
        <f aca="false">NPV_Engine!$B$4*B149*(C149/NPV_Engine!$B$8)*(1+0.5*(D149-NPV_Engine!$B$13))*(AVERAGE(E149,F149,G149)/B149)*(H149/NPV_Engine!$B$12)</f>
        <v>9599905.93254888</v>
      </c>
    </row>
    <row r="150" customFormat="false" ht="15" hidden="false" customHeight="true" outlineLevel="0" collapsed="false">
      <c r="A150" s="9" t="s">
        <v>125</v>
      </c>
      <c r="B150" s="32" t="n">
        <f aca="false">Curves!E8</f>
        <v>0.957768</v>
      </c>
      <c r="C150" s="32" t="n">
        <f aca="false">Curves!E9</f>
        <v>0.96933</v>
      </c>
      <c r="D150" s="43" t="n">
        <f aca="false">SABR!AT172</f>
        <v>0.417862506985643</v>
      </c>
      <c r="E150" s="32" t="n">
        <f aca="false">Curves!E10</f>
        <v>0.958726</v>
      </c>
      <c r="F150" s="24" t="n">
        <f aca="false">Curves!Q104</f>
        <v>0.941085187512815</v>
      </c>
      <c r="G150" s="24" t="n">
        <f aca="false">Curves!Q105</f>
        <v>0.956168103382636</v>
      </c>
      <c r="H150" s="32" t="n">
        <f aca="false">Curves!E13</f>
        <v>0.960645</v>
      </c>
      <c r="I150" s="42" t="n">
        <f aca="false">NPV_Engine!$B$4*B150*(C150/NPV_Engine!$B$8)*(1+0.5*(D150-NPV_Engine!$B$13))*(AVERAGE(E150,F150,G150)/B150)*(H150/NPV_Engine!$B$12)</f>
        <v>9605992.9897199</v>
      </c>
    </row>
    <row r="151" customFormat="false" ht="15" hidden="false" customHeight="true" outlineLevel="0" collapsed="false">
      <c r="A151" s="9" t="s">
        <v>126</v>
      </c>
      <c r="B151" s="32" t="n">
        <f aca="false">Curves!E8</f>
        <v>0.957768</v>
      </c>
      <c r="C151" s="32" t="n">
        <f aca="false">Curves!E9</f>
        <v>0.96933</v>
      </c>
      <c r="D151" s="43" t="n">
        <f aca="false">SABR!AT186</f>
        <v>0.421340306298811</v>
      </c>
      <c r="E151" s="32" t="n">
        <f aca="false">Curves!E10</f>
        <v>0.958726</v>
      </c>
      <c r="F151" s="24" t="n">
        <f aca="false">Curves!Q112</f>
        <v>0.94825631913984</v>
      </c>
      <c r="G151" s="24" t="n">
        <f aca="false">Curves!Q113</f>
        <v>0.966039723186702</v>
      </c>
      <c r="H151" s="32" t="n">
        <f aca="false">Curves!E13</f>
        <v>0.960645</v>
      </c>
      <c r="I151" s="42" t="n">
        <f aca="false">NPV_Engine!$B$4*B151*(C151/NPV_Engine!$B$8)*(1+0.5*(D151-NPV_Engine!$B$13))*(AVERAGE(E151,F151,G151)/B151)*(H151/NPV_Engine!$B$12)</f>
        <v>9679968.71721368</v>
      </c>
    </row>
    <row r="154" customFormat="false" ht="15" hidden="false" customHeight="true" outlineLevel="0" collapsed="false">
      <c r="A154" s="41" t="s">
        <v>213</v>
      </c>
      <c r="B154" s="41"/>
      <c r="C154" s="41"/>
      <c r="D154" s="41"/>
      <c r="E154" s="41"/>
      <c r="F154" s="41"/>
      <c r="G154" s="41"/>
      <c r="H154" s="41"/>
      <c r="I154" s="41"/>
      <c r="J154" s="52" t="s">
        <v>214</v>
      </c>
    </row>
    <row r="155" customFormat="false" ht="39" hidden="false" customHeight="true" outlineLevel="0" collapsed="false">
      <c r="A155" s="22" t="s">
        <v>169</v>
      </c>
      <c r="B155" s="22" t="s">
        <v>170</v>
      </c>
      <c r="C155" s="22" t="s">
        <v>171</v>
      </c>
      <c r="D155" s="22" t="s">
        <v>172</v>
      </c>
      <c r="E155" s="22" t="s">
        <v>173</v>
      </c>
      <c r="F155" s="22" t="s">
        <v>174</v>
      </c>
      <c r="G155" s="22" t="s">
        <v>175</v>
      </c>
      <c r="H155" s="22" t="s">
        <v>176</v>
      </c>
      <c r="I155" s="22" t="s">
        <v>177</v>
      </c>
    </row>
    <row r="156" customFormat="false" ht="15" hidden="false" customHeight="true" outlineLevel="0" collapsed="false">
      <c r="A156" s="4" t="s">
        <v>178</v>
      </c>
      <c r="B156" s="32" t="n">
        <f aca="false">Curves!E8</f>
        <v>0.957768</v>
      </c>
      <c r="C156" s="32" t="n">
        <f aca="false">Curves!E9</f>
        <v>0.96933</v>
      </c>
      <c r="D156" s="25" t="n">
        <f aca="false">SABR!AT10</f>
        <v>0.39978211956629</v>
      </c>
      <c r="E156" s="32" t="n">
        <f aca="false">Curves!E10</f>
        <v>0.958726</v>
      </c>
      <c r="F156" s="32" t="n">
        <f aca="false">Curves!E11</f>
        <v>0.954899</v>
      </c>
      <c r="G156" s="32" t="n">
        <f aca="false">Curves!E12</f>
        <v>0.967393</v>
      </c>
      <c r="H156" s="32" t="n">
        <f aca="false">Curves!E13</f>
        <v>0.960645</v>
      </c>
      <c r="I156" s="42" t="n">
        <f aca="false">NPV_Engine!$B$4*B156*(C156/NPV_Engine!$B$8)*(1+0.5*(D156-NPV_Engine!$B$13))*(AVERAGE(E156,F156,G156)/B156)*(H156/NPV_Engine!$B$12)</f>
        <v>9603393.33333333</v>
      </c>
    </row>
    <row r="157" customFormat="false" ht="15" hidden="false" customHeight="true" outlineLevel="0" collapsed="false">
      <c r="A157" s="9" t="s">
        <v>117</v>
      </c>
      <c r="B157" s="32" t="n">
        <f aca="false">Curves!E8</f>
        <v>0.957768</v>
      </c>
      <c r="C157" s="32" t="n">
        <f aca="false">Curves!E9</f>
        <v>0.96933</v>
      </c>
      <c r="D157" s="43" t="n">
        <f aca="false">SABR!AT60</f>
        <v>0.406538537771067</v>
      </c>
      <c r="E157" s="32" t="n">
        <f aca="false">Curves!E10</f>
        <v>0.958726</v>
      </c>
      <c r="F157" s="24" t="n">
        <f aca="false">Curves!Q40</f>
        <v>0.949311346582243</v>
      </c>
      <c r="G157" s="32" t="n">
        <f aca="false">Curves!E12</f>
        <v>0.967393</v>
      </c>
      <c r="H157" s="32" t="n">
        <f aca="false">Curves!E13</f>
        <v>0.960645</v>
      </c>
      <c r="I157" s="42" t="n">
        <f aca="false">NPV_Engine!$B$4*B157*(C157/NPV_Engine!$B$8)*(1+0.5*(D157-NPV_Engine!$B$13))*(AVERAGE(E157,F157,G157)/B157)*(H157/NPV_Engine!$B$12)</f>
        <v>9617147.17184117</v>
      </c>
    </row>
    <row r="158" customFormat="false" ht="15" hidden="false" customHeight="true" outlineLevel="0" collapsed="false">
      <c r="A158" s="9" t="s">
        <v>118</v>
      </c>
      <c r="B158" s="32" t="n">
        <f aca="false">Curves!E8</f>
        <v>0.957768</v>
      </c>
      <c r="C158" s="32" t="n">
        <f aca="false">Curves!E9</f>
        <v>0.96933</v>
      </c>
      <c r="D158" s="43" t="n">
        <f aca="false">SABR!AT74</f>
        <v>0.408312583119033</v>
      </c>
      <c r="E158" s="32" t="n">
        <f aca="false">Curves!E10</f>
        <v>0.958726</v>
      </c>
      <c r="F158" s="24" t="n">
        <f aca="false">Curves!Q48</f>
        <v>0.952091864437955</v>
      </c>
      <c r="G158" s="32" t="n">
        <f aca="false">Curves!E12</f>
        <v>0.967393</v>
      </c>
      <c r="H158" s="32" t="n">
        <f aca="false">Curves!E13</f>
        <v>0.960645</v>
      </c>
      <c r="I158" s="42" t="n">
        <f aca="false">NPV_Engine!$B$4*B158*(C158/NPV_Engine!$B$8)*(1+0.5*(D158-NPV_Engine!$B$13))*(AVERAGE(E158,F158,G158)/B158)*(H158/NPV_Engine!$B$12)</f>
        <v>9634957.00292018</v>
      </c>
    </row>
    <row r="159" customFormat="false" ht="15" hidden="false" customHeight="true" outlineLevel="0" collapsed="false">
      <c r="A159" s="9" t="s">
        <v>119</v>
      </c>
      <c r="B159" s="32" t="n">
        <f aca="false">Curves!E8</f>
        <v>0.957768</v>
      </c>
      <c r="C159" s="32" t="n">
        <f aca="false">Curves!E9</f>
        <v>0.96933</v>
      </c>
      <c r="D159" s="43" t="n">
        <f aca="false">SABR!AT88</f>
        <v>0.407971432425642</v>
      </c>
      <c r="E159" s="32" t="n">
        <f aca="false">Curves!E10</f>
        <v>0.958726</v>
      </c>
      <c r="F159" s="24" t="n">
        <f aca="false">Curves!Q56</f>
        <v>0.953612707835657</v>
      </c>
      <c r="G159" s="32" t="n">
        <f aca="false">Curves!E12</f>
        <v>0.967393</v>
      </c>
      <c r="H159" s="32" t="n">
        <f aca="false">Curves!E13</f>
        <v>0.960645</v>
      </c>
      <c r="I159" s="42" t="n">
        <f aca="false">NPV_Engine!$B$4*B159*(C159/NPV_Engine!$B$8)*(1+0.5*(D159-NPV_Engine!$B$13))*(AVERAGE(E159,F159,G159)/B159)*(H159/NPV_Engine!$B$12)</f>
        <v>9638410.73262963</v>
      </c>
    </row>
    <row r="160" customFormat="false" ht="15" hidden="false" customHeight="true" outlineLevel="0" collapsed="false">
      <c r="A160" s="9" t="s">
        <v>120</v>
      </c>
      <c r="B160" s="32" t="n">
        <f aca="false">Curves!E8</f>
        <v>0.957768</v>
      </c>
      <c r="C160" s="32" t="n">
        <f aca="false">Curves!E9</f>
        <v>0.96933</v>
      </c>
      <c r="D160" s="43" t="n">
        <f aca="false">SABR!AT102</f>
        <v>0.413770225261134</v>
      </c>
      <c r="E160" s="32" t="n">
        <f aca="false">Curves!E10</f>
        <v>0.958726</v>
      </c>
      <c r="F160" s="24" t="n">
        <f aca="false">Curves!Q64</f>
        <v>0.946234479809646</v>
      </c>
      <c r="G160" s="32" t="n">
        <f aca="false">Curves!E12</f>
        <v>0.967393</v>
      </c>
      <c r="H160" s="32" t="n">
        <f aca="false">Curves!E13</f>
        <v>0.960645</v>
      </c>
      <c r="I160" s="42" t="n">
        <f aca="false">NPV_Engine!$B$4*B160*(C160/NPV_Engine!$B$8)*(1+0.5*(D160-NPV_Engine!$B$13))*(AVERAGE(E160,F160,G160)/B160)*(H160/NPV_Engine!$B$12)</f>
        <v>9641476.2394797</v>
      </c>
    </row>
    <row r="161" customFormat="false" ht="15" hidden="false" customHeight="true" outlineLevel="0" collapsed="false">
      <c r="A161" s="9" t="s">
        <v>121</v>
      </c>
      <c r="B161" s="32" t="n">
        <f aca="false">Curves!E8</f>
        <v>0.957768</v>
      </c>
      <c r="C161" s="32" t="n">
        <f aca="false">Curves!E9</f>
        <v>0.96933</v>
      </c>
      <c r="D161" s="43" t="n">
        <f aca="false">SABR!AT116</f>
        <v>0.41063225788842</v>
      </c>
      <c r="E161" s="32" t="n">
        <f aca="false">Curves!E10</f>
        <v>0.958726</v>
      </c>
      <c r="F161" s="24" t="n">
        <f aca="false">Curves!Q72</f>
        <v>0.945344255389449</v>
      </c>
      <c r="G161" s="32" t="n">
        <f aca="false">Curves!E12</f>
        <v>0.967393</v>
      </c>
      <c r="H161" s="32" t="n">
        <f aca="false">Curves!E13</f>
        <v>0.960645</v>
      </c>
      <c r="I161" s="42" t="n">
        <f aca="false">NPV_Engine!$B$4*B161*(C161/NPV_Engine!$B$8)*(1+0.5*(D161-NPV_Engine!$B$13))*(AVERAGE(E161,F161,G161)/B161)*(H161/NPV_Engine!$B$12)</f>
        <v>9623470.47381131</v>
      </c>
    </row>
    <row r="162" customFormat="false" ht="15" hidden="false" customHeight="true" outlineLevel="0" collapsed="false">
      <c r="A162" s="9" t="s">
        <v>122</v>
      </c>
      <c r="B162" s="32" t="n">
        <f aca="false">Curves!E8</f>
        <v>0.957768</v>
      </c>
      <c r="C162" s="32" t="n">
        <f aca="false">Curves!E9</f>
        <v>0.96933</v>
      </c>
      <c r="D162" s="43" t="n">
        <f aca="false">SABR!AT130</f>
        <v>0.411928432857369</v>
      </c>
      <c r="E162" s="32" t="n">
        <f aca="false">Curves!E10</f>
        <v>0.958726</v>
      </c>
      <c r="F162" s="24" t="n">
        <f aca="false">Curves!Q80</f>
        <v>0.944482088523894</v>
      </c>
      <c r="G162" s="32" t="n">
        <f aca="false">Curves!E12</f>
        <v>0.967393</v>
      </c>
      <c r="H162" s="32" t="n">
        <f aca="false">Curves!E13</f>
        <v>0.960645</v>
      </c>
      <c r="I162" s="42" t="n">
        <f aca="false">NPV_Engine!$B$4*B162*(C162/NPV_Engine!$B$8)*(1+0.5*(D162-NPV_Engine!$B$13))*(AVERAGE(E162,F162,G162)/B162)*(H162/NPV_Engine!$B$12)</f>
        <v>9626782.32867119</v>
      </c>
    </row>
    <row r="163" customFormat="false" ht="15" hidden="false" customHeight="true" outlineLevel="0" collapsed="false">
      <c r="A163" s="9" t="s">
        <v>123</v>
      </c>
      <c r="B163" s="32" t="n">
        <f aca="false">Curves!E8</f>
        <v>0.957768</v>
      </c>
      <c r="C163" s="32" t="n">
        <f aca="false">Curves!E9</f>
        <v>0.96933</v>
      </c>
      <c r="D163" s="43" t="n">
        <f aca="false">SABR!AT144</f>
        <v>0.417726110712245</v>
      </c>
      <c r="E163" s="32" t="n">
        <f aca="false">Curves!E10</f>
        <v>0.958726</v>
      </c>
      <c r="F163" s="24" t="n">
        <f aca="false">Curves!Q88</f>
        <v>0.950115469489328</v>
      </c>
      <c r="G163" s="32" t="n">
        <f aca="false">Curves!E12</f>
        <v>0.967393</v>
      </c>
      <c r="H163" s="32" t="n">
        <f aca="false">Curves!E13</f>
        <v>0.960645</v>
      </c>
      <c r="I163" s="42" t="n">
        <f aca="false">NPV_Engine!$B$4*B163*(C163/NPV_Engine!$B$8)*(1+0.5*(D163-NPV_Engine!$B$13))*(AVERAGE(E163,F163,G163)/B163)*(H163/NPV_Engine!$B$12)</f>
        <v>9673466.77472143</v>
      </c>
    </row>
    <row r="164" customFormat="false" ht="15" hidden="false" customHeight="true" outlineLevel="0" collapsed="false">
      <c r="A164" s="9" t="s">
        <v>124</v>
      </c>
      <c r="B164" s="32" t="n">
        <f aca="false">Curves!E8</f>
        <v>0.957768</v>
      </c>
      <c r="C164" s="32" t="n">
        <f aca="false">Curves!E9</f>
        <v>0.96933</v>
      </c>
      <c r="D164" s="43" t="n">
        <f aca="false">SABR!AT158</f>
        <v>0.415066202564148</v>
      </c>
      <c r="E164" s="32" t="n">
        <f aca="false">Curves!E10</f>
        <v>0.958726</v>
      </c>
      <c r="F164" s="24" t="n">
        <f aca="false">Curves!Q96</f>
        <v>0.942346869047631</v>
      </c>
      <c r="G164" s="32" t="n">
        <f aca="false">Curves!E12</f>
        <v>0.967393</v>
      </c>
      <c r="H164" s="32" t="n">
        <f aca="false">Curves!E13</f>
        <v>0.960645</v>
      </c>
      <c r="I164" s="42" t="n">
        <f aca="false">NPV_Engine!$B$4*B164*(C164/NPV_Engine!$B$8)*(1+0.5*(D164-NPV_Engine!$B$13))*(AVERAGE(E164,F164,G164)/B164)*(H164/NPV_Engine!$B$12)</f>
        <v>9634622.68085718</v>
      </c>
    </row>
    <row r="165" customFormat="false" ht="15" hidden="false" customHeight="true" outlineLevel="0" collapsed="false">
      <c r="A165" s="9" t="s">
        <v>125</v>
      </c>
      <c r="B165" s="32" t="n">
        <f aca="false">Curves!E8</f>
        <v>0.957768</v>
      </c>
      <c r="C165" s="32" t="n">
        <f aca="false">Curves!E9</f>
        <v>0.96933</v>
      </c>
      <c r="D165" s="43" t="n">
        <f aca="false">SABR!AT172</f>
        <v>0.417862506985643</v>
      </c>
      <c r="E165" s="32" t="n">
        <f aca="false">Curves!E10</f>
        <v>0.958726</v>
      </c>
      <c r="F165" s="24" t="n">
        <f aca="false">Curves!Q104</f>
        <v>0.941085187512815</v>
      </c>
      <c r="G165" s="32" t="n">
        <f aca="false">Curves!E12</f>
        <v>0.967393</v>
      </c>
      <c r="H165" s="32" t="n">
        <f aca="false">Curves!E13</f>
        <v>0.960645</v>
      </c>
      <c r="I165" s="42" t="n">
        <f aca="false">NPV_Engine!$B$4*B165*(C165/NPV_Engine!$B$8)*(1+0.5*(D165-NPV_Engine!$B$13))*(AVERAGE(E165,F165,G165)/B165)*(H165/NPV_Engine!$B$12)</f>
        <v>9643747.56257709</v>
      </c>
    </row>
    <row r="166" customFormat="false" ht="15" hidden="false" customHeight="true" outlineLevel="0" collapsed="false">
      <c r="A166" s="9" t="s">
        <v>126</v>
      </c>
      <c r="B166" s="32" t="n">
        <f aca="false">Curves!E8</f>
        <v>0.957768</v>
      </c>
      <c r="C166" s="32" t="n">
        <f aca="false">Curves!E9</f>
        <v>0.96933</v>
      </c>
      <c r="D166" s="43" t="n">
        <f aca="false">SABR!AT186</f>
        <v>0.421340306298811</v>
      </c>
      <c r="E166" s="32" t="n">
        <f aca="false">Curves!E10</f>
        <v>0.958726</v>
      </c>
      <c r="F166" s="24" t="n">
        <f aca="false">Curves!Q112</f>
        <v>0.94825631913984</v>
      </c>
      <c r="G166" s="32" t="n">
        <f aca="false">Curves!E12</f>
        <v>0.967393</v>
      </c>
      <c r="H166" s="32" t="n">
        <f aca="false">Curves!E13</f>
        <v>0.960645</v>
      </c>
      <c r="I166" s="42" t="n">
        <f aca="false">NPV_Engine!$B$4*B166*(C166/NPV_Engine!$B$8)*(1+0.5*(D166-NPV_Engine!$B$13))*(AVERAGE(E166,F166,G166)/B166)*(H166/NPV_Engine!$B$12)</f>
        <v>9684528.26358174</v>
      </c>
    </row>
    <row r="169" customFormat="false" ht="15" hidden="false" customHeight="true" outlineLevel="0" collapsed="false">
      <c r="A169" s="41" t="s">
        <v>215</v>
      </c>
      <c r="B169" s="41"/>
      <c r="C169" s="41"/>
      <c r="D169" s="41"/>
      <c r="E169" s="41"/>
      <c r="F169" s="41"/>
      <c r="G169" s="41"/>
      <c r="H169" s="41"/>
      <c r="I169" s="41"/>
      <c r="J169" s="52" t="s">
        <v>204</v>
      </c>
    </row>
    <row r="170" customFormat="false" ht="39" hidden="false" customHeight="true" outlineLevel="0" collapsed="false">
      <c r="A170" s="22" t="s">
        <v>169</v>
      </c>
      <c r="B170" s="22" t="s">
        <v>170</v>
      </c>
      <c r="C170" s="22" t="s">
        <v>171</v>
      </c>
      <c r="D170" s="22" t="s">
        <v>172</v>
      </c>
      <c r="E170" s="22" t="s">
        <v>173</v>
      </c>
      <c r="F170" s="22" t="s">
        <v>174</v>
      </c>
      <c r="G170" s="22" t="s">
        <v>175</v>
      </c>
      <c r="H170" s="22" t="s">
        <v>176</v>
      </c>
      <c r="I170" s="22" t="s">
        <v>177</v>
      </c>
    </row>
    <row r="171" customFormat="false" ht="15" hidden="false" customHeight="true" outlineLevel="0" collapsed="false">
      <c r="A171" s="4" t="s">
        <v>178</v>
      </c>
      <c r="B171" s="32" t="n">
        <f aca="false">Curves!E8</f>
        <v>0.957768</v>
      </c>
      <c r="C171" s="32" t="n">
        <f aca="false">Curves!E9</f>
        <v>0.96933</v>
      </c>
      <c r="D171" s="25" t="n">
        <f aca="false">SABR!AT10</f>
        <v>0.39978211956629</v>
      </c>
      <c r="E171" s="32" t="n">
        <f aca="false">Curves!E10</f>
        <v>0.958726</v>
      </c>
      <c r="F171" s="32" t="n">
        <f aca="false">Curves!E11</f>
        <v>0.954899</v>
      </c>
      <c r="G171" s="32" t="n">
        <f aca="false">Curves!E12</f>
        <v>0.967393</v>
      </c>
      <c r="H171" s="32" t="n">
        <f aca="false">Curves!E13</f>
        <v>0.960645</v>
      </c>
      <c r="I171" s="42" t="n">
        <f aca="false">NPV_Engine!$B$4*B171*(C171/NPV_Engine!$B$8)*(1+0.5*(D171-NPV_Engine!$B$13))*(AVERAGE(E171,F171,G171)/B171)*(H171/NPV_Engine!$B$12)</f>
        <v>9603393.33333333</v>
      </c>
    </row>
    <row r="172" customFormat="false" ht="15" hidden="false" customHeight="true" outlineLevel="0" collapsed="false">
      <c r="A172" s="9" t="s">
        <v>117</v>
      </c>
      <c r="B172" s="32" t="n">
        <f aca="false">Curves!E8</f>
        <v>0.957768</v>
      </c>
      <c r="C172" s="32" t="n">
        <f aca="false">Curves!E9</f>
        <v>0.96933</v>
      </c>
      <c r="D172" s="43" t="n">
        <f aca="false">SABR!AT60</f>
        <v>0.406538537771067</v>
      </c>
      <c r="E172" s="32" t="n">
        <f aca="false">Curves!E10</f>
        <v>0.958726</v>
      </c>
      <c r="F172" s="32" t="n">
        <f aca="false">Curves!E11</f>
        <v>0.954899</v>
      </c>
      <c r="G172" s="32" t="n">
        <f aca="false">Curves!E12</f>
        <v>0.967393</v>
      </c>
      <c r="H172" s="32" t="n">
        <f aca="false">Curves!E13</f>
        <v>0.960645</v>
      </c>
      <c r="I172" s="42" t="n">
        <f aca="false">NPV_Engine!$B$4*B172*(C172/NPV_Engine!$B$8)*(1+0.5*(D172-NPV_Engine!$B$13))*(AVERAGE(E172,F172,G172)/B172)*(H172/NPV_Engine!$B$12)</f>
        <v>9635835.60410582</v>
      </c>
    </row>
    <row r="173" customFormat="false" ht="15" hidden="false" customHeight="true" outlineLevel="0" collapsed="false">
      <c r="A173" s="9" t="s">
        <v>118</v>
      </c>
      <c r="B173" s="32" t="n">
        <f aca="false">Curves!E8</f>
        <v>0.957768</v>
      </c>
      <c r="C173" s="32" t="n">
        <f aca="false">Curves!E9</f>
        <v>0.96933</v>
      </c>
      <c r="D173" s="43" t="n">
        <f aca="false">SABR!AT74</f>
        <v>0.408312583119033</v>
      </c>
      <c r="E173" s="32" t="n">
        <f aca="false">Curves!E10</f>
        <v>0.958726</v>
      </c>
      <c r="F173" s="32" t="n">
        <f aca="false">Curves!E11</f>
        <v>0.954899</v>
      </c>
      <c r="G173" s="32" t="n">
        <f aca="false">Curves!E12</f>
        <v>0.967393</v>
      </c>
      <c r="H173" s="32" t="n">
        <f aca="false">Curves!E13</f>
        <v>0.960645</v>
      </c>
      <c r="I173" s="42" t="n">
        <f aca="false">NPV_Engine!$B$4*B173*(C173/NPV_Engine!$B$8)*(1+0.5*(D173-NPV_Engine!$B$13))*(AVERAGE(E173,F173,G173)/B173)*(H173/NPV_Engine!$B$12)</f>
        <v>9644354.03173966</v>
      </c>
    </row>
    <row r="174" customFormat="false" ht="15" hidden="false" customHeight="true" outlineLevel="0" collapsed="false">
      <c r="A174" s="9" t="s">
        <v>119</v>
      </c>
      <c r="B174" s="32" t="n">
        <f aca="false">Curves!E8</f>
        <v>0.957768</v>
      </c>
      <c r="C174" s="32" t="n">
        <f aca="false">Curves!E9</f>
        <v>0.96933</v>
      </c>
      <c r="D174" s="43" t="n">
        <f aca="false">SABR!AT88</f>
        <v>0.407971432425642</v>
      </c>
      <c r="E174" s="32" t="n">
        <f aca="false">Curves!E10</f>
        <v>0.958726</v>
      </c>
      <c r="F174" s="32" t="n">
        <f aca="false">Curves!E11</f>
        <v>0.954899</v>
      </c>
      <c r="G174" s="32" t="n">
        <f aca="false">Curves!E12</f>
        <v>0.967393</v>
      </c>
      <c r="H174" s="32" t="n">
        <f aca="false">Curves!E13</f>
        <v>0.960645</v>
      </c>
      <c r="I174" s="42" t="n">
        <f aca="false">NPV_Engine!$B$4*B174*(C174/NPV_Engine!$B$8)*(1+0.5*(D174-NPV_Engine!$B$13))*(AVERAGE(E174,F174,G174)/B174)*(H174/NPV_Engine!$B$12)</f>
        <v>9642715.92959238</v>
      </c>
    </row>
    <row r="175" customFormat="false" ht="15" hidden="false" customHeight="true" outlineLevel="0" collapsed="false">
      <c r="A175" s="9" t="s">
        <v>120</v>
      </c>
      <c r="B175" s="32" t="n">
        <f aca="false">Curves!E8</f>
        <v>0.957768</v>
      </c>
      <c r="C175" s="32" t="n">
        <f aca="false">Curves!E9</f>
        <v>0.96933</v>
      </c>
      <c r="D175" s="43" t="n">
        <f aca="false">SABR!AT102</f>
        <v>0.413770225261134</v>
      </c>
      <c r="E175" s="32" t="n">
        <f aca="false">Curves!E10</f>
        <v>0.958726</v>
      </c>
      <c r="F175" s="32" t="n">
        <f aca="false">Curves!E11</f>
        <v>0.954899</v>
      </c>
      <c r="G175" s="32" t="n">
        <f aca="false">Curves!E12</f>
        <v>0.967393</v>
      </c>
      <c r="H175" s="32" t="n">
        <f aca="false">Curves!E13</f>
        <v>0.960645</v>
      </c>
      <c r="I175" s="42" t="n">
        <f aca="false">NPV_Engine!$B$4*B175*(C175/NPV_Engine!$B$8)*(1+0.5*(D175-NPV_Engine!$B$13))*(AVERAGE(E175,F175,G175)/B175)*(H175/NPV_Engine!$B$12)</f>
        <v>9670559.97382125</v>
      </c>
    </row>
    <row r="176" customFormat="false" ht="15" hidden="false" customHeight="true" outlineLevel="0" collapsed="false">
      <c r="A176" s="9" t="s">
        <v>121</v>
      </c>
      <c r="B176" s="32" t="n">
        <f aca="false">Curves!E8</f>
        <v>0.957768</v>
      </c>
      <c r="C176" s="32" t="n">
        <f aca="false">Curves!E9</f>
        <v>0.96933</v>
      </c>
      <c r="D176" s="43" t="n">
        <f aca="false">SABR!AT116</f>
        <v>0.41063225788842</v>
      </c>
      <c r="E176" s="32" t="n">
        <f aca="false">Curves!E10</f>
        <v>0.958726</v>
      </c>
      <c r="F176" s="32" t="n">
        <f aca="false">Curves!E11</f>
        <v>0.954899</v>
      </c>
      <c r="G176" s="32" t="n">
        <f aca="false">Curves!E12</f>
        <v>0.967393</v>
      </c>
      <c r="H176" s="32" t="n">
        <f aca="false">Curves!E13</f>
        <v>0.960645</v>
      </c>
      <c r="I176" s="42" t="n">
        <f aca="false">NPV_Engine!$B$4*B176*(C176/NPV_Engine!$B$8)*(1+0.5*(D176-NPV_Engine!$B$13))*(AVERAGE(E176,F176,G176)/B176)*(H176/NPV_Engine!$B$12)</f>
        <v>9655492.40634758</v>
      </c>
    </row>
    <row r="177" customFormat="false" ht="15" hidden="false" customHeight="true" outlineLevel="0" collapsed="false">
      <c r="A177" s="9" t="s">
        <v>122</v>
      </c>
      <c r="B177" s="32" t="n">
        <f aca="false">Curves!E8</f>
        <v>0.957768</v>
      </c>
      <c r="C177" s="32" t="n">
        <f aca="false">Curves!E9</f>
        <v>0.96933</v>
      </c>
      <c r="D177" s="43" t="n">
        <f aca="false">SABR!AT130</f>
        <v>0.411928432857369</v>
      </c>
      <c r="E177" s="32" t="n">
        <f aca="false">Curves!E10</f>
        <v>0.958726</v>
      </c>
      <c r="F177" s="32" t="n">
        <f aca="false">Curves!E11</f>
        <v>0.954899</v>
      </c>
      <c r="G177" s="32" t="n">
        <f aca="false">Curves!E12</f>
        <v>0.967393</v>
      </c>
      <c r="H177" s="32" t="n">
        <f aca="false">Curves!E13</f>
        <v>0.960645</v>
      </c>
      <c r="I177" s="42" t="n">
        <f aca="false">NPV_Engine!$B$4*B177*(C177/NPV_Engine!$B$8)*(1+0.5*(D177-NPV_Engine!$B$13))*(AVERAGE(E177,F177,G177)/B177)*(H177/NPV_Engine!$B$12)</f>
        <v>9661716.2453754</v>
      </c>
    </row>
    <row r="178" customFormat="false" ht="15" hidden="false" customHeight="true" outlineLevel="0" collapsed="false">
      <c r="A178" s="9" t="s">
        <v>123</v>
      </c>
      <c r="B178" s="32" t="n">
        <f aca="false">Curves!E8</f>
        <v>0.957768</v>
      </c>
      <c r="C178" s="32" t="n">
        <f aca="false">Curves!E9</f>
        <v>0.96933</v>
      </c>
      <c r="D178" s="43" t="n">
        <f aca="false">SABR!AT144</f>
        <v>0.417726110712245</v>
      </c>
      <c r="E178" s="32" t="n">
        <f aca="false">Curves!E10</f>
        <v>0.958726</v>
      </c>
      <c r="F178" s="32" t="n">
        <f aca="false">Curves!E11</f>
        <v>0.954899</v>
      </c>
      <c r="G178" s="32" t="n">
        <f aca="false">Curves!E12</f>
        <v>0.967393</v>
      </c>
      <c r="H178" s="32" t="n">
        <f aca="false">Curves!E13</f>
        <v>0.960645</v>
      </c>
      <c r="I178" s="42" t="n">
        <f aca="false">NPV_Engine!$B$4*B178*(C178/NPV_Engine!$B$8)*(1+0.5*(D178-NPV_Engine!$B$13))*(AVERAGE(E178,F178,G178)/B178)*(H178/NPV_Engine!$B$12)</f>
        <v>9689554.93580556</v>
      </c>
    </row>
    <row r="179" customFormat="false" ht="15" hidden="false" customHeight="true" outlineLevel="0" collapsed="false">
      <c r="A179" s="9" t="s">
        <v>124</v>
      </c>
      <c r="B179" s="32" t="n">
        <f aca="false">Curves!E8</f>
        <v>0.957768</v>
      </c>
      <c r="C179" s="32" t="n">
        <f aca="false">Curves!E9</f>
        <v>0.96933</v>
      </c>
      <c r="D179" s="43" t="n">
        <f aca="false">SABR!AT158</f>
        <v>0.415066202564148</v>
      </c>
      <c r="E179" s="32" t="n">
        <f aca="false">Curves!E10</f>
        <v>0.958726</v>
      </c>
      <c r="F179" s="32" t="n">
        <f aca="false">Curves!E11</f>
        <v>0.954899</v>
      </c>
      <c r="G179" s="32" t="n">
        <f aca="false">Curves!E12</f>
        <v>0.967393</v>
      </c>
      <c r="H179" s="32" t="n">
        <f aca="false">Curves!E13</f>
        <v>0.960645</v>
      </c>
      <c r="I179" s="42" t="n">
        <f aca="false">NPV_Engine!$B$4*B179*(C179/NPV_Engine!$B$8)*(1+0.5*(D179-NPV_Engine!$B$13))*(AVERAGE(E179,F179,G179)/B179)*(H179/NPV_Engine!$B$12)</f>
        <v>9676782.86371721</v>
      </c>
    </row>
    <row r="180" customFormat="false" ht="15" hidden="false" customHeight="true" outlineLevel="0" collapsed="false">
      <c r="A180" s="9" t="s">
        <v>125</v>
      </c>
      <c r="B180" s="32" t="n">
        <f aca="false">Curves!E8</f>
        <v>0.957768</v>
      </c>
      <c r="C180" s="32" t="n">
        <f aca="false">Curves!E9</f>
        <v>0.96933</v>
      </c>
      <c r="D180" s="43" t="n">
        <f aca="false">SABR!AT172</f>
        <v>0.417862506985643</v>
      </c>
      <c r="E180" s="32" t="n">
        <f aca="false">Curves!E10</f>
        <v>0.958726</v>
      </c>
      <c r="F180" s="32" t="n">
        <f aca="false">Curves!E11</f>
        <v>0.954899</v>
      </c>
      <c r="G180" s="32" t="n">
        <f aca="false">Curves!E12</f>
        <v>0.967393</v>
      </c>
      <c r="H180" s="32" t="n">
        <f aca="false">Curves!E13</f>
        <v>0.960645</v>
      </c>
      <c r="I180" s="42" t="n">
        <f aca="false">NPV_Engine!$B$4*B180*(C180/NPV_Engine!$B$8)*(1+0.5*(D180-NPV_Engine!$B$13))*(AVERAGE(E180,F180,G180)/B180)*(H180/NPV_Engine!$B$12)</f>
        <v>9690209.86933688</v>
      </c>
    </row>
    <row r="181" customFormat="false" ht="15" hidden="false" customHeight="true" outlineLevel="0" collapsed="false">
      <c r="A181" s="9" t="s">
        <v>126</v>
      </c>
      <c r="B181" s="32" t="n">
        <f aca="false">Curves!E8</f>
        <v>0.957768</v>
      </c>
      <c r="C181" s="32" t="n">
        <f aca="false">Curves!E9</f>
        <v>0.96933</v>
      </c>
      <c r="D181" s="43" t="n">
        <f aca="false">SABR!AT186</f>
        <v>0.421340306298811</v>
      </c>
      <c r="E181" s="32" t="n">
        <f aca="false">Curves!E10</f>
        <v>0.958726</v>
      </c>
      <c r="F181" s="32" t="n">
        <f aca="false">Curves!E11</f>
        <v>0.954899</v>
      </c>
      <c r="G181" s="32" t="n">
        <f aca="false">Curves!E12</f>
        <v>0.967393</v>
      </c>
      <c r="H181" s="32" t="n">
        <f aca="false">Curves!E13</f>
        <v>0.960645</v>
      </c>
      <c r="I181" s="42" t="n">
        <f aca="false">NPV_Engine!$B$4*B181*(C181/NPV_Engine!$B$8)*(1+0.5*(D181-NPV_Engine!$B$13))*(AVERAGE(E181,F181,G181)/B181)*(H181/NPV_Engine!$B$12)</f>
        <v>9706909.20670626</v>
      </c>
    </row>
  </sheetData>
  <mergeCells count="14">
    <mergeCell ref="A1:I1"/>
    <mergeCell ref="A2:I2"/>
    <mergeCell ref="A4:I4"/>
    <mergeCell ref="A19:I19"/>
    <mergeCell ref="A34:I34"/>
    <mergeCell ref="A49:I49"/>
    <mergeCell ref="A64:I64"/>
    <mergeCell ref="A79:I79"/>
    <mergeCell ref="A94:I94"/>
    <mergeCell ref="A109:I109"/>
    <mergeCell ref="A124:I124"/>
    <mergeCell ref="A139:I139"/>
    <mergeCell ref="A154:I154"/>
    <mergeCell ref="A169:I1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5"/>
  </cols>
  <sheetData>
    <row r="1" customFormat="false" ht="17.25" hidden="false" customHeight="true" outlineLevel="0" collapsed="false">
      <c r="A1" s="38" t="s">
        <v>216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customFormat="false" ht="39.75" hidden="false" customHeight="true" outlineLevel="0" collapsed="false">
      <c r="A2" s="15" t="s">
        <v>217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26.25" hidden="false" customHeight="true" outlineLevel="0" collapsed="false">
      <c r="A4" s="18" t="s">
        <v>141</v>
      </c>
      <c r="B4" s="22" t="s">
        <v>218</v>
      </c>
      <c r="C4" s="22" t="s">
        <v>219</v>
      </c>
      <c r="D4" s="22" t="s">
        <v>220</v>
      </c>
      <c r="E4" s="22" t="s">
        <v>221</v>
      </c>
      <c r="F4" s="22" t="s">
        <v>222</v>
      </c>
      <c r="G4" s="22" t="s">
        <v>223</v>
      </c>
      <c r="H4" s="22" t="s">
        <v>224</v>
      </c>
      <c r="I4" s="22" t="s">
        <v>225</v>
      </c>
      <c r="J4" s="22" t="s">
        <v>226</v>
      </c>
      <c r="K4" s="22" t="s">
        <v>227</v>
      </c>
      <c r="L4" s="22" t="s">
        <v>228</v>
      </c>
      <c r="M4" s="22" t="s">
        <v>229</v>
      </c>
    </row>
    <row r="5" customFormat="false" ht="15" hidden="false" customHeight="true" outlineLevel="0" collapsed="false">
      <c r="A5" s="9" t="s">
        <v>117</v>
      </c>
      <c r="B5" s="47" t="n">
        <f aca="false">LH_NPV_Engine!I7-LH_NPV_Engine!I6</f>
        <v>-35611.8821975216</v>
      </c>
      <c r="C5" s="47" t="n">
        <f aca="false">LH_NPV_Engine!I22-LH_NPV_Engine!I21</f>
        <v>-35611.8821975216</v>
      </c>
      <c r="D5" s="47" t="n">
        <f aca="false">LH_NPV_Engine!I37-LH_NPV_Engine!I36</f>
        <v>-18625.5113925245</v>
      </c>
      <c r="E5" s="47" t="n">
        <f aca="false">LH_NPV_Engine!I52-LH_NPV_Engine!I51</f>
        <v>21890.9453293066</v>
      </c>
      <c r="F5" s="47" t="n">
        <f aca="false">LH_NPV_Engine!I67-LH_NPV_Engine!I66</f>
        <v>32442.2707724832</v>
      </c>
      <c r="G5" s="47" t="n">
        <f aca="false">LH_NPV_Engine!I82-LH_NPV_Engine!I81</f>
        <v>32442.2707724832</v>
      </c>
      <c r="H5" s="47" t="n">
        <f aca="false">LH_NPV_Engine!I97-LH_NPV_Engine!I96</f>
        <v>32442.2707724832</v>
      </c>
      <c r="I5" s="47" t="n">
        <f aca="false">LH_NPV_Engine!I112-LH_NPV_Engine!I111</f>
        <v>-20938.4394061528</v>
      </c>
      <c r="J5" s="47" t="n">
        <f aca="false">LH_NPV_Engine!I127-LH_NPV_Engine!I126</f>
        <v>-34710.4606169071</v>
      </c>
      <c r="K5" s="47" t="n">
        <f aca="false">LH_NPV_Engine!I142-LH_NPV_Engine!I141</f>
        <v>-3289.91580963135</v>
      </c>
      <c r="L5" s="47" t="n">
        <f aca="false">LH_NPV_Engine!I157-LH_NPV_Engine!I156</f>
        <v>13753.8385078348</v>
      </c>
      <c r="M5" s="47" t="n">
        <f aca="false">LH_NPV_Engine!I172-LH_NPV_Engine!I171</f>
        <v>32442.2707724832</v>
      </c>
    </row>
    <row r="6" customFormat="false" ht="15" hidden="false" customHeight="true" outlineLevel="0" collapsed="false">
      <c r="A6" s="9" t="s">
        <v>118</v>
      </c>
      <c r="B6" s="47" t="n">
        <f aca="false">LH_NPV_Engine!I8-LH_NPV_Engine!I6</f>
        <v>-17481.8383169062</v>
      </c>
      <c r="C6" s="47" t="n">
        <f aca="false">LH_NPV_Engine!I23-LH_NPV_Engine!I21</f>
        <v>-17481.8383169062</v>
      </c>
      <c r="D6" s="47" t="n">
        <f aca="false">LH_NPV_Engine!I38-LH_NPV_Engine!I36</f>
        <v>-9357.11854015105</v>
      </c>
      <c r="E6" s="47" t="n">
        <f aca="false">LH_NPV_Engine!I53-LH_NPV_Engine!I51</f>
        <v>37069.4184338767</v>
      </c>
      <c r="F6" s="47" t="n">
        <f aca="false">LH_NPV_Engine!I68-LH_NPV_Engine!I66</f>
        <v>40960.6984063257</v>
      </c>
      <c r="G6" s="47" t="n">
        <f aca="false">LH_NPV_Engine!I83-LH_NPV_Engine!I81</f>
        <v>40960.6984063257</v>
      </c>
      <c r="H6" s="47" t="n">
        <f aca="false">LH_NPV_Engine!I98-LH_NPV_Engine!I96</f>
        <v>40960.6984063257</v>
      </c>
      <c r="I6" s="47" t="n">
        <f aca="false">LH_NPV_Engine!I113-LH_NPV_Engine!I111</f>
        <v>-28079.8877904695</v>
      </c>
      <c r="J6" s="47" t="n">
        <f aca="false">LH_NPV_Engine!I128-LH_NPV_Engine!I126</f>
        <v>-8616.86404076777</v>
      </c>
      <c r="K6" s="47" t="n">
        <f aca="false">LH_NPV_Engine!I143-LH_NPV_Engine!I141</f>
        <v>23404.2959971186</v>
      </c>
      <c r="L6" s="47" t="n">
        <f aca="false">LH_NPV_Engine!I158-LH_NPV_Engine!I156</f>
        <v>31563.6695868429</v>
      </c>
      <c r="M6" s="47" t="n">
        <f aca="false">LH_NPV_Engine!I173-LH_NPV_Engine!I171</f>
        <v>40960.6984063257</v>
      </c>
    </row>
    <row r="7" customFormat="false" ht="15" hidden="false" customHeight="true" outlineLevel="0" collapsed="false">
      <c r="A7" s="9" t="s">
        <v>119</v>
      </c>
      <c r="B7" s="47" t="n">
        <f aca="false">LH_NPV_Engine!I9-LH_NPV_Engine!I6</f>
        <v>-24852.0955876261</v>
      </c>
      <c r="C7" s="47" t="n">
        <f aca="false">LH_NPV_Engine!I24-LH_NPV_Engine!I21</f>
        <v>-24852.0955876261</v>
      </c>
      <c r="D7" s="47" t="n">
        <f aca="false">LH_NPV_Engine!I39-LH_NPV_Engine!I36</f>
        <v>-4287.64054781012</v>
      </c>
      <c r="E7" s="47" t="n">
        <f aca="false">LH_NPV_Engine!I54-LH_NPV_Engine!I51</f>
        <v>23102.2120348606</v>
      </c>
      <c r="F7" s="47" t="n">
        <f aca="false">LH_NPV_Engine!I69-LH_NPV_Engine!I66</f>
        <v>39322.5962590408</v>
      </c>
      <c r="G7" s="47" t="n">
        <f aca="false">LH_NPV_Engine!I84-LH_NPV_Engine!I81</f>
        <v>39322.5962590408</v>
      </c>
      <c r="H7" s="47" t="n">
        <f aca="false">LH_NPV_Engine!I99-LH_NPV_Engine!I96</f>
        <v>39322.5962590408</v>
      </c>
      <c r="I7" s="47" t="n">
        <f aca="false">LH_NPV_Engine!I114-LH_NPV_Engine!I111</f>
        <v>-30594.2422538474</v>
      </c>
      <c r="J7" s="47" t="n">
        <f aca="false">LH_NPV_Engine!I129-LH_NPV_Engine!I126</f>
        <v>-32398.1455605887</v>
      </c>
      <c r="K7" s="47" t="n">
        <f aca="false">LH_NPV_Engine!I144-LH_NPV_Engine!I141</f>
        <v>14368.7398784254</v>
      </c>
      <c r="L7" s="47" t="n">
        <f aca="false">LH_NPV_Engine!I159-LH_NPV_Engine!I156</f>
        <v>35017.399296293</v>
      </c>
      <c r="M7" s="47" t="n">
        <f aca="false">LH_NPV_Engine!I174-LH_NPV_Engine!I171</f>
        <v>39322.5962590408</v>
      </c>
    </row>
    <row r="8" customFormat="false" ht="15" hidden="false" customHeight="true" outlineLevel="0" collapsed="false">
      <c r="A8" s="9" t="s">
        <v>120</v>
      </c>
      <c r="B8" s="47" t="n">
        <f aca="false">LH_NPV_Engine!I10-LH_NPV_Engine!I6</f>
        <v>-52402.7314004675</v>
      </c>
      <c r="C8" s="47" t="n">
        <f aca="false">LH_NPV_Engine!I25-LH_NPV_Engine!I21</f>
        <v>-52402.7314004675</v>
      </c>
      <c r="D8" s="47" t="n">
        <f aca="false">LH_NPV_Engine!I40-LH_NPV_Engine!I36</f>
        <v>-28881.7339678481</v>
      </c>
      <c r="E8" s="47" t="n">
        <f aca="false">LH_NPV_Engine!I55-LH_NPV_Engine!I51</f>
        <v>26652.7172415666</v>
      </c>
      <c r="F8" s="47" t="n">
        <f aca="false">LH_NPV_Engine!I70-LH_NPV_Engine!I66</f>
        <v>67166.640487913</v>
      </c>
      <c r="G8" s="47" t="n">
        <f aca="false">LH_NPV_Engine!I85-LH_NPV_Engine!I81</f>
        <v>67166.640487913</v>
      </c>
      <c r="H8" s="47" t="n">
        <f aca="false">LH_NPV_Engine!I100-LH_NPV_Engine!I96</f>
        <v>67166.640487913</v>
      </c>
      <c r="I8" s="47" t="n">
        <f aca="false">LH_NPV_Engine!I115-LH_NPV_Engine!I111</f>
        <v>16180.4484719206</v>
      </c>
      <c r="J8" s="47" t="n">
        <f aca="false">LH_NPV_Engine!I130-LH_NPV_Engine!I126</f>
        <v>-9758.63168792427</v>
      </c>
      <c r="K8" s="47" t="n">
        <f aca="false">LH_NPV_Engine!I145-LH_NPV_Engine!I141</f>
        <v>14397.4016146809</v>
      </c>
      <c r="L8" s="47" t="n">
        <f aca="false">LH_NPV_Engine!I160-LH_NPV_Engine!I156</f>
        <v>38082.906146368</v>
      </c>
      <c r="M8" s="47" t="n">
        <f aca="false">LH_NPV_Engine!I175-LH_NPV_Engine!I171</f>
        <v>67166.640487913</v>
      </c>
    </row>
    <row r="9" customFormat="false" ht="15" hidden="false" customHeight="true" outlineLevel="0" collapsed="false">
      <c r="A9" s="9" t="s">
        <v>121</v>
      </c>
      <c r="B9" s="47" t="n">
        <f aca="false">LH_NPV_Engine!I11-LH_NPV_Engine!I6</f>
        <v>-56347.4600851163</v>
      </c>
      <c r="C9" s="47" t="n">
        <f aca="false">LH_NPV_Engine!I26-LH_NPV_Engine!I21</f>
        <v>-56347.4600851163</v>
      </c>
      <c r="D9" s="47" t="n">
        <f aca="false">LH_NPV_Engine!I41-LH_NPV_Engine!I36</f>
        <v>-31849.1487018373</v>
      </c>
      <c r="E9" s="47" t="n">
        <f aca="false">LH_NPV_Engine!I56-LH_NPV_Engine!I51</f>
        <v>7336.63403604738</v>
      </c>
      <c r="F9" s="47" t="n">
        <f aca="false">LH_NPV_Engine!I71-LH_NPV_Engine!I66</f>
        <v>52099.0730142444</v>
      </c>
      <c r="G9" s="47" t="n">
        <f aca="false">LH_NPV_Engine!I86-LH_NPV_Engine!I81</f>
        <v>52099.0730142444</v>
      </c>
      <c r="H9" s="47" t="n">
        <f aca="false">LH_NPV_Engine!I101-LH_NPV_Engine!I96</f>
        <v>52099.0730142444</v>
      </c>
      <c r="I9" s="47" t="n">
        <f aca="false">LH_NPV_Engine!I116-LH_NPV_Engine!I111</f>
        <v>-38388.9287798144</v>
      </c>
      <c r="J9" s="47" t="n">
        <f aca="false">LH_NPV_Engine!I131-LH_NPV_Engine!I126</f>
        <v>-87246.7125751711</v>
      </c>
      <c r="K9" s="47" t="n">
        <f aca="false">LH_NPV_Engine!I146-LH_NPV_Engine!I141</f>
        <v>-4554.07593888417</v>
      </c>
      <c r="L9" s="47" t="n">
        <f aca="false">LH_NPV_Engine!I161-LH_NPV_Engine!I156</f>
        <v>20077.1404779777</v>
      </c>
      <c r="M9" s="47" t="n">
        <f aca="false">LH_NPV_Engine!I176-LH_NPV_Engine!I171</f>
        <v>52099.0730142444</v>
      </c>
    </row>
    <row r="10" customFormat="false" ht="15" hidden="false" customHeight="true" outlineLevel="0" collapsed="false">
      <c r="A10" s="9" t="s">
        <v>122</v>
      </c>
      <c r="B10" s="47" t="n">
        <f aca="false">LH_NPV_Engine!I12-LH_NPV_Engine!I6</f>
        <v>-63992.8685258236</v>
      </c>
      <c r="C10" s="47" t="n">
        <f aca="false">LH_NPV_Engine!I27-LH_NPV_Engine!I21</f>
        <v>-63992.8685258236</v>
      </c>
      <c r="D10" s="47" t="n">
        <f aca="false">LH_NPV_Engine!I42-LH_NPV_Engine!I36</f>
        <v>-34723.0382536892</v>
      </c>
      <c r="E10" s="47" t="n">
        <f aca="false">LH_NPV_Engine!I57-LH_NPV_Engine!I51</f>
        <v>8648.4871593453</v>
      </c>
      <c r="F10" s="47" t="n">
        <f aca="false">LH_NPV_Engine!I72-LH_NPV_Engine!I66</f>
        <v>58322.9120420646</v>
      </c>
      <c r="G10" s="47" t="n">
        <f aca="false">LH_NPV_Engine!I87-LH_NPV_Engine!I81</f>
        <v>58322.9120420646</v>
      </c>
      <c r="H10" s="47" t="n">
        <f aca="false">LH_NPV_Engine!I102-LH_NPV_Engine!I96</f>
        <v>58322.9120420646</v>
      </c>
      <c r="I10" s="47" t="n">
        <f aca="false">LH_NPV_Engine!I117-LH_NPV_Engine!I111</f>
        <v>-19074.5800839607</v>
      </c>
      <c r="J10" s="47" t="n">
        <f aca="false">LH_NPV_Engine!I132-LH_NPV_Engine!I126</f>
        <v>-74366.549914293</v>
      </c>
      <c r="K10" s="47" t="n">
        <f aca="false">LH_NPV_Engine!I147-LH_NPV_Engine!I141</f>
        <v>-6058.59519851394</v>
      </c>
      <c r="L10" s="47" t="n">
        <f aca="false">LH_NPV_Engine!I162-LH_NPV_Engine!I156</f>
        <v>23388.9953378513</v>
      </c>
      <c r="M10" s="47" t="n">
        <f aca="false">LH_NPV_Engine!I177-LH_NPV_Engine!I171</f>
        <v>58322.9120420646</v>
      </c>
    </row>
    <row r="11" customFormat="false" ht="15" hidden="false" customHeight="true" outlineLevel="0" collapsed="false">
      <c r="A11" s="9" t="s">
        <v>123</v>
      </c>
      <c r="B11" s="47" t="n">
        <f aca="false">LH_NPV_Engine!I13-LH_NPV_Engine!I6</f>
        <v>-47893.8484188244</v>
      </c>
      <c r="C11" s="47" t="n">
        <f aca="false">LH_NPV_Engine!I28-LH_NPV_Engine!I21</f>
        <v>-47893.8484188244</v>
      </c>
      <c r="D11" s="47" t="n">
        <f aca="false">LH_NPV_Engine!I43-LH_NPV_Engine!I36</f>
        <v>-15945.1017022412</v>
      </c>
      <c r="E11" s="47" t="n">
        <f aca="false">LH_NPV_Engine!I58-LH_NPV_Engine!I51</f>
        <v>31871.9643237777</v>
      </c>
      <c r="F11" s="47" t="n">
        <f aca="false">LH_NPV_Engine!I73-LH_NPV_Engine!I66</f>
        <v>86161.6024722252</v>
      </c>
      <c r="G11" s="47" t="n">
        <f aca="false">LH_NPV_Engine!I88-LH_NPV_Engine!I81</f>
        <v>86161.6024722252</v>
      </c>
      <c r="H11" s="47" t="n">
        <f aca="false">LH_NPV_Engine!I103-LH_NPV_Engine!I96</f>
        <v>86161.6024722252</v>
      </c>
      <c r="I11" s="47" t="n">
        <f aca="false">LH_NPV_Engine!I118-LH_NPV_Engine!I111</f>
        <v>-43829.766838355</v>
      </c>
      <c r="J11" s="47" t="n">
        <f aca="false">LH_NPV_Engine!I133-LH_NPV_Engine!I126</f>
        <v>-59936.753017731</v>
      </c>
      <c r="K11" s="47" t="n">
        <f aca="false">LH_NPV_Engine!I148-LH_NPV_Engine!I141</f>
        <v>37838.0506574139</v>
      </c>
      <c r="L11" s="47" t="n">
        <f aca="false">LH_NPV_Engine!I163-LH_NPV_Engine!I156</f>
        <v>70073.4413881004</v>
      </c>
      <c r="M11" s="47" t="n">
        <f aca="false">LH_NPV_Engine!I178-LH_NPV_Engine!I171</f>
        <v>86161.6024722252</v>
      </c>
    </row>
    <row r="12" customFormat="false" ht="15" hidden="false" customHeight="true" outlineLevel="0" collapsed="false">
      <c r="A12" s="9" t="s">
        <v>124</v>
      </c>
      <c r="B12" s="47" t="n">
        <f aca="false">LH_NPV_Engine!I14-LH_NPV_Engine!I6</f>
        <v>-76293.8900941163</v>
      </c>
      <c r="C12" s="47" t="n">
        <f aca="false">LH_NPV_Engine!I29-LH_NPV_Engine!I21</f>
        <v>-76293.8900941163</v>
      </c>
      <c r="D12" s="47" t="n">
        <f aca="false">LH_NPV_Engine!I44-LH_NPV_Engine!I36</f>
        <v>-41840.4365078956</v>
      </c>
      <c r="E12" s="47" t="n">
        <f aca="false">LH_NPV_Engine!I59-LH_NPV_Engine!I51</f>
        <v>100220.854355633</v>
      </c>
      <c r="F12" s="47" t="n">
        <f aca="false">LH_NPV_Engine!I74-LH_NPV_Engine!I66</f>
        <v>73389.5303838719</v>
      </c>
      <c r="G12" s="47" t="n">
        <f aca="false">LH_NPV_Engine!I89-LH_NPV_Engine!I81</f>
        <v>73389.5303838719</v>
      </c>
      <c r="H12" s="47" t="n">
        <f aca="false">LH_NPV_Engine!I104-LH_NPV_Engine!I96</f>
        <v>73389.5303838719</v>
      </c>
      <c r="I12" s="47" t="n">
        <f aca="false">LH_NPV_Engine!I119-LH_NPV_Engine!I111</f>
        <v>-4151.55194514617</v>
      </c>
      <c r="J12" s="47" t="n">
        <f aca="false">LH_NPV_Engine!I134-LH_NPV_Engine!I126</f>
        <v>18969.2110976391</v>
      </c>
      <c r="K12" s="47" t="n">
        <f aca="false">LH_NPV_Engine!I149-LH_NPV_Engine!I141</f>
        <v>-3487.4007844571</v>
      </c>
      <c r="L12" s="47" t="n">
        <f aca="false">LH_NPV_Engine!I164-LH_NPV_Engine!I156</f>
        <v>31229.3475238495</v>
      </c>
      <c r="M12" s="47" t="n">
        <f aca="false">LH_NPV_Engine!I179-LH_NPV_Engine!I171</f>
        <v>73389.5303838719</v>
      </c>
    </row>
    <row r="13" customFormat="false" ht="15" hidden="false" customHeight="true" outlineLevel="0" collapsed="false">
      <c r="A13" s="9" t="s">
        <v>125</v>
      </c>
      <c r="B13" s="47" t="n">
        <f aca="false">LH_NPV_Engine!I15-LH_NPV_Engine!I6</f>
        <v>-83462.3636818286</v>
      </c>
      <c r="C13" s="47" t="n">
        <f aca="false">LH_NPV_Engine!I30-LH_NPV_Engine!I21</f>
        <v>-83462.3636818286</v>
      </c>
      <c r="D13" s="47" t="n">
        <f aca="false">LH_NPV_Engine!I45-LH_NPV_Engine!I36</f>
        <v>-46046.04162395</v>
      </c>
      <c r="E13" s="47" t="n">
        <f aca="false">LH_NPV_Engine!I60-LH_NPV_Engine!I51</f>
        <v>25251.2994294968</v>
      </c>
      <c r="F13" s="47" t="n">
        <f aca="false">LH_NPV_Engine!I75-LH_NPV_Engine!I66</f>
        <v>86816.5360035468</v>
      </c>
      <c r="G13" s="47" t="n">
        <f aca="false">LH_NPV_Engine!I90-LH_NPV_Engine!I81</f>
        <v>86816.5360035468</v>
      </c>
      <c r="H13" s="47" t="n">
        <f aca="false">LH_NPV_Engine!I105-LH_NPV_Engine!I96</f>
        <v>86816.5360035468</v>
      </c>
      <c r="I13" s="47" t="n">
        <f aca="false">LH_NPV_Engine!I120-LH_NPV_Engine!I111</f>
        <v>-50522.4328916892</v>
      </c>
      <c r="J13" s="47" t="n">
        <f aca="false">LH_NPV_Engine!I135-LH_NPV_Engine!I126</f>
        <v>-108645.557503356</v>
      </c>
      <c r="K13" s="47" t="n">
        <f aca="false">LH_NPV_Engine!I150-LH_NPV_Engine!I141</f>
        <v>2599.65638656542</v>
      </c>
      <c r="L13" s="47" t="n">
        <f aca="false">LH_NPV_Engine!I165-LH_NPV_Engine!I156</f>
        <v>40354.2292437516</v>
      </c>
      <c r="M13" s="47" t="n">
        <f aca="false">LH_NPV_Engine!I180-LH_NPV_Engine!I171</f>
        <v>86816.5360035468</v>
      </c>
    </row>
    <row r="14" customFormat="false" ht="15" hidden="false" customHeight="true" outlineLevel="0" collapsed="false">
      <c r="A14" s="9" t="s">
        <v>126</v>
      </c>
      <c r="B14" s="47" t="n">
        <f aca="false">LH_NPV_Engine!I16-LH_NPV_Engine!I6</f>
        <v>-26653.1922448594</v>
      </c>
      <c r="C14" s="47" t="n">
        <f aca="false">LH_NPV_Engine!I31-LH_NPV_Engine!I21</f>
        <v>-26653.1922448594</v>
      </c>
      <c r="D14" s="47" t="n">
        <f aca="false">LH_NPV_Engine!I46-LH_NPV_Engine!I36</f>
        <v>-22142.269533867</v>
      </c>
      <c r="E14" s="47" t="n">
        <f aca="false">LH_NPV_Engine!I61-LH_NPV_Engine!I51</f>
        <v>136739.702052264</v>
      </c>
      <c r="F14" s="47" t="n">
        <f aca="false">LH_NPV_Engine!I76-LH_NPV_Engine!I66</f>
        <v>103515.873372922</v>
      </c>
      <c r="G14" s="47" t="n">
        <f aca="false">LH_NPV_Engine!I91-LH_NPV_Engine!I81</f>
        <v>103515.873372922</v>
      </c>
      <c r="H14" s="47" t="n">
        <f aca="false">LH_NPV_Engine!I106-LH_NPV_Engine!I96</f>
        <v>103515.873372922</v>
      </c>
      <c r="I14" s="47" t="n">
        <f aca="false">LH_NPV_Engine!I121-LH_NPV_Engine!I111</f>
        <v>-54299.2695993483</v>
      </c>
      <c r="J14" s="47" t="n">
        <f aca="false">LH_NPV_Engine!I136-LH_NPV_Engine!I126</f>
        <v>54787.431142021</v>
      </c>
      <c r="K14" s="47" t="n">
        <f aca="false">LH_NPV_Engine!I151-LH_NPV_Engine!I141</f>
        <v>76575.383880347</v>
      </c>
      <c r="L14" s="47" t="n">
        <f aca="false">LH_NPV_Engine!I166-LH_NPV_Engine!I156</f>
        <v>81134.9302484077</v>
      </c>
      <c r="M14" s="47" t="n">
        <f aca="false">LH_NPV_Engine!I181-LH_NPV_Engine!I171</f>
        <v>103515.873372922</v>
      </c>
    </row>
    <row r="16" customFormat="false" ht="15" hidden="false" customHeight="true" outlineLevel="0" collapsed="false">
      <c r="A16" s="4" t="s">
        <v>190</v>
      </c>
      <c r="B16" s="48" t="n">
        <f aca="false">MIN(B5:B14)</f>
        <v>-83462.3636818286</v>
      </c>
      <c r="C16" s="48" t="n">
        <f aca="false">MIN(C5:C14)</f>
        <v>-83462.3636818286</v>
      </c>
      <c r="D16" s="48" t="n">
        <f aca="false">MIN(D5:D14)</f>
        <v>-46046.04162395</v>
      </c>
      <c r="E16" s="48" t="n">
        <f aca="false">MIN(E5:E14)</f>
        <v>7336.63403604738</v>
      </c>
      <c r="F16" s="48" t="n">
        <f aca="false">MIN(F5:F14)</f>
        <v>32442.2707724832</v>
      </c>
      <c r="G16" s="48" t="n">
        <f aca="false">MIN(G5:G14)</f>
        <v>32442.2707724832</v>
      </c>
      <c r="H16" s="48" t="n">
        <f aca="false">MIN(H5:H14)</f>
        <v>32442.2707724832</v>
      </c>
      <c r="I16" s="48" t="n">
        <f aca="false">MIN(I5:I14)</f>
        <v>-54299.2695993483</v>
      </c>
      <c r="J16" s="48" t="n">
        <f aca="false">MIN(J5:J14)</f>
        <v>-108645.557503356</v>
      </c>
      <c r="K16" s="48" t="n">
        <f aca="false">MIN(K5:K14)</f>
        <v>-6058.59519851394</v>
      </c>
      <c r="L16" s="48" t="n">
        <f aca="false">MIN(L5:L14)</f>
        <v>13753.8385078348</v>
      </c>
      <c r="M16" s="48" t="n">
        <f aca="false">MIN(M5:M14)</f>
        <v>32442.2707724832</v>
      </c>
    </row>
    <row r="17" customFormat="false" ht="15" hidden="false" customHeight="true" outlineLevel="0" collapsed="false">
      <c r="A17" s="4" t="s">
        <v>191</v>
      </c>
      <c r="B17" s="48" t="n">
        <f aca="false">MAX(B5:B14)</f>
        <v>-17481.8383169062</v>
      </c>
      <c r="C17" s="48" t="n">
        <f aca="false">MAX(C5:C14)</f>
        <v>-17481.8383169062</v>
      </c>
      <c r="D17" s="48" t="n">
        <f aca="false">MAX(D5:D14)</f>
        <v>-4287.64054781012</v>
      </c>
      <c r="E17" s="48" t="n">
        <f aca="false">MAX(E5:E14)</f>
        <v>136739.702052264</v>
      </c>
      <c r="F17" s="48" t="n">
        <f aca="false">MAX(F5:F14)</f>
        <v>103515.873372922</v>
      </c>
      <c r="G17" s="48" t="n">
        <f aca="false">MAX(G5:G14)</f>
        <v>103515.873372922</v>
      </c>
      <c r="H17" s="48" t="n">
        <f aca="false">MAX(H5:H14)</f>
        <v>103515.873372922</v>
      </c>
      <c r="I17" s="48" t="n">
        <f aca="false">MAX(I5:I14)</f>
        <v>16180.4484719206</v>
      </c>
      <c r="J17" s="48" t="n">
        <f aca="false">MAX(J5:J14)</f>
        <v>54787.431142021</v>
      </c>
      <c r="K17" s="48" t="n">
        <f aca="false">MAX(K5:K14)</f>
        <v>76575.383880347</v>
      </c>
      <c r="L17" s="48" t="n">
        <f aca="false">MAX(L5:L14)</f>
        <v>81134.9302484077</v>
      </c>
      <c r="M17" s="48" t="n">
        <f aca="false">MAX(M5:M14)</f>
        <v>103515.873372922</v>
      </c>
    </row>
    <row r="18" customFormat="false" ht="15" hidden="false" customHeight="true" outlineLevel="0" collapsed="false">
      <c r="A18" s="4" t="s">
        <v>192</v>
      </c>
      <c r="B18" s="48" t="n">
        <f aca="false">SUMPRODUCT(SMALL($B$5:$B$14,{1,2,3,4,5,6}))/6</f>
        <v>-63398.8603676961</v>
      </c>
      <c r="C18" s="48" t="n">
        <f aca="false">SUMPRODUCT(SMALL($C$5:$C$14,{1,2,3,4,5,6}))/6</f>
        <v>-63398.8603676961</v>
      </c>
      <c r="D18" s="48" t="n">
        <f aca="false">SUMPRODUCT(SMALL($D$5:$D$14,{1,2,3,4,5,6}))/6</f>
        <v>-34247.1114315145</v>
      </c>
      <c r="E18" s="48" t="n">
        <f aca="false">SUMPRODUCT(SMALL($E$5:$E$14,{1,2,3,4,5,6}))/6</f>
        <v>18813.7158717706</v>
      </c>
      <c r="F18" s="48" t="n">
        <f aca="false">SUMPRODUCT(SMALL($F$5:$F$14,{1,2,3,4,5,6}))/6</f>
        <v>48385.6984970119</v>
      </c>
      <c r="G18" s="48" t="n">
        <f aca="false">SUMPRODUCT(SMALL($G$5:$G$14,{1,2,3,4,5,6}))/6</f>
        <v>48385.6984970119</v>
      </c>
      <c r="H18" s="48" t="n">
        <f aca="false">SUMPRODUCT(SMALL($H$5:$H$14,{1,2,3,4,5,6}))/6</f>
        <v>48385.6984970119</v>
      </c>
      <c r="I18" s="48" t="n">
        <f aca="false">SUMPRODUCT(SMALL($I$5:$I$14,{1,2,3,4,5,6}))/6</f>
        <v>-40952.4213589206</v>
      </c>
      <c r="J18" s="48" t="n">
        <f aca="false">SUMPRODUCT(SMALL($J$5:$J$14,{1,2,3,4,5,6}))/6</f>
        <v>-66217.3631980078</v>
      </c>
      <c r="K18" s="48" t="n">
        <f aca="false">SUMPRODUCT(SMALL($K$5:$K$14,{1,2,3,4,5,6}))/6</f>
        <v>-70.2652444159612</v>
      </c>
      <c r="L18" s="48" t="n">
        <f aca="false">SUMPRODUCT(SMALL($L$5:$L$14,{1,2,3,4,5,6}))/6</f>
        <v>25838.3984551082</v>
      </c>
      <c r="M18" s="48" t="n">
        <f aca="false">SUMPRODUCT(SMALL($M$5:$M$14,{1,2,3,4,5,6}))/6</f>
        <v>48385.6984970119</v>
      </c>
    </row>
    <row r="20" customFormat="false" ht="39.75" hidden="false" customHeight="true" outlineLevel="0" collapsed="false">
      <c r="A20" s="15" t="s">
        <v>230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</sheetData>
  <mergeCells count="3">
    <mergeCell ref="A1:M1"/>
    <mergeCell ref="A2:M2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5"/>
  </cols>
  <sheetData>
    <row r="1" customFormat="false" ht="17.35" hidden="false" customHeight="false" outlineLevel="0" collapsed="false">
      <c r="A1" s="53" t="s">
        <v>231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customFormat="false" ht="39.75" hidden="false" customHeight="true" outlineLevel="0" collapsed="false">
      <c r="A2" s="15" t="s">
        <v>232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15" hidden="false" customHeight="false" outlineLevel="0" collapsed="false">
      <c r="A4" s="54" t="s">
        <v>233</v>
      </c>
      <c r="B4" s="54"/>
      <c r="C4" s="54"/>
      <c r="D4" s="54"/>
      <c r="E4" s="54"/>
      <c r="F4" s="54"/>
    </row>
    <row r="5" customFormat="false" ht="39.55" hidden="false" customHeight="false" outlineLevel="0" collapsed="false">
      <c r="A5" s="22" t="s">
        <v>19</v>
      </c>
      <c r="B5" s="22" t="s">
        <v>73</v>
      </c>
      <c r="C5" s="22" t="s">
        <v>35</v>
      </c>
      <c r="D5" s="22" t="s">
        <v>234</v>
      </c>
      <c r="E5" s="22" t="s">
        <v>235</v>
      </c>
      <c r="F5" s="22" t="s">
        <v>236</v>
      </c>
    </row>
    <row r="6" customFormat="false" ht="15" hidden="false" customHeight="false" outlineLevel="0" collapsed="false">
      <c r="A6" s="13" t="s">
        <v>237</v>
      </c>
      <c r="B6" s="14" t="s">
        <v>47</v>
      </c>
      <c r="C6" s="14" t="s">
        <v>43</v>
      </c>
      <c r="D6" s="55" t="n">
        <v>8</v>
      </c>
      <c r="E6" s="13" t="n">
        <v>10</v>
      </c>
      <c r="F6" s="14" t="n">
        <v>60</v>
      </c>
    </row>
    <row r="7" customFormat="false" ht="15" hidden="false" customHeight="false" outlineLevel="0" collapsed="false">
      <c r="A7" s="13" t="s">
        <v>238</v>
      </c>
      <c r="B7" s="14" t="s">
        <v>47</v>
      </c>
      <c r="C7" s="14" t="s">
        <v>43</v>
      </c>
      <c r="D7" s="55" t="n">
        <v>17</v>
      </c>
      <c r="E7" s="13" t="n">
        <v>20</v>
      </c>
      <c r="F7" s="14" t="n">
        <v>60</v>
      </c>
    </row>
    <row r="8" customFormat="false" ht="15" hidden="false" customHeight="false" outlineLevel="0" collapsed="false">
      <c r="A8" s="13" t="s">
        <v>239</v>
      </c>
      <c r="B8" s="14" t="s">
        <v>47</v>
      </c>
      <c r="C8" s="14" t="s">
        <v>43</v>
      </c>
      <c r="D8" s="55" t="n">
        <v>30</v>
      </c>
      <c r="E8" s="13" t="n">
        <v>40</v>
      </c>
      <c r="F8" s="14" t="n">
        <v>60</v>
      </c>
    </row>
    <row r="9" customFormat="false" ht="15" hidden="false" customHeight="false" outlineLevel="0" collapsed="false">
      <c r="A9" s="13" t="s">
        <v>240</v>
      </c>
      <c r="B9" s="14" t="s">
        <v>47</v>
      </c>
      <c r="C9" s="14" t="s">
        <v>43</v>
      </c>
      <c r="D9" s="55" t="n">
        <v>50</v>
      </c>
      <c r="E9" s="13" t="n">
        <v>60</v>
      </c>
      <c r="F9" s="14" t="n">
        <v>60</v>
      </c>
    </row>
    <row r="12" customFormat="false" ht="15" hidden="false" customHeight="false" outlineLevel="0" collapsed="false">
      <c r="A12" s="54" t="s">
        <v>241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</row>
    <row r="13" customFormat="false" ht="15" hidden="false" customHeight="false" outlineLevel="0" collapsed="false">
      <c r="A13" s="56" t="s">
        <v>19</v>
      </c>
      <c r="B13" s="22" t="s">
        <v>242</v>
      </c>
      <c r="C13" s="22" t="s">
        <v>243</v>
      </c>
      <c r="D13" s="22" t="s">
        <v>244</v>
      </c>
      <c r="E13" s="22" t="s">
        <v>245</v>
      </c>
      <c r="F13" s="22" t="s">
        <v>246</v>
      </c>
      <c r="G13" s="22" t="s">
        <v>247</v>
      </c>
      <c r="H13" s="22" t="s">
        <v>248</v>
      </c>
      <c r="I13" s="22" t="s">
        <v>249</v>
      </c>
      <c r="J13" s="22" t="s">
        <v>250</v>
      </c>
      <c r="K13" s="22" t="s">
        <v>251</v>
      </c>
      <c r="L13" s="22" t="s">
        <v>252</v>
      </c>
      <c r="M13" s="22" t="s">
        <v>253</v>
      </c>
    </row>
    <row r="14" customFormat="false" ht="15" hidden="false" customHeight="false" outlineLevel="0" collapsed="false">
      <c r="A14" s="57" t="s">
        <v>237</v>
      </c>
      <c r="B14" s="58" t="n">
        <f aca="false">LH_PnL_Summary!B5</f>
        <v>-35611.8821975216</v>
      </c>
      <c r="C14" s="58" t="n">
        <f aca="false">LH_PnL_Summary!C5</f>
        <v>-35611.8821975216</v>
      </c>
      <c r="D14" s="58" t="n">
        <f aca="false">LH_PnL_Summary!D5</f>
        <v>-18625.5113925245</v>
      </c>
      <c r="E14" s="58" t="n">
        <f aca="false">LH_PnL_Summary!E5</f>
        <v>21890.9453293066</v>
      </c>
      <c r="F14" s="59" t="n">
        <v>0</v>
      </c>
      <c r="G14" s="59" t="n">
        <v>0</v>
      </c>
      <c r="H14" s="59" t="n">
        <v>0</v>
      </c>
      <c r="I14" s="58" t="n">
        <f aca="false">LH_PnL_Summary!I5</f>
        <v>-20938.4394061528</v>
      </c>
      <c r="J14" s="58" t="n">
        <f aca="false">LH_PnL_Summary!J5</f>
        <v>-34710.4606169071</v>
      </c>
      <c r="K14" s="58" t="n">
        <f aca="false">LH_PnL_Summary!B5</f>
        <v>-35611.8821975216</v>
      </c>
      <c r="L14" s="58" t="n">
        <f aca="false">LH_PnL_Summary!D5</f>
        <v>-18625.5113925245</v>
      </c>
      <c r="M14" s="59" t="n">
        <v>0</v>
      </c>
    </row>
    <row r="15" customFormat="false" ht="15" hidden="false" customHeight="false" outlineLevel="0" collapsed="false">
      <c r="A15" s="57" t="s">
        <v>238</v>
      </c>
      <c r="B15" s="58" t="n">
        <f aca="false">LH_PnL_Summary!B5</f>
        <v>-35611.8821975216</v>
      </c>
      <c r="C15" s="58" t="n">
        <f aca="false">LH_PnL_Summary!C5</f>
        <v>-35611.8821975216</v>
      </c>
      <c r="D15" s="58" t="n">
        <f aca="false">LH_PnL_Summary!D5</f>
        <v>-18625.5113925245</v>
      </c>
      <c r="E15" s="58" t="n">
        <f aca="false">LH_PnL_Summary!E5</f>
        <v>21890.9453293066</v>
      </c>
      <c r="F15" s="58" t="n">
        <f aca="false">LH_PnL_Summary!F5</f>
        <v>32442.2707724832</v>
      </c>
      <c r="G15" s="59" t="n">
        <v>0</v>
      </c>
      <c r="H15" s="59" t="n">
        <v>0</v>
      </c>
      <c r="I15" s="58" t="n">
        <f aca="false">LH_PnL_Summary!I5</f>
        <v>-20938.4394061528</v>
      </c>
      <c r="J15" s="58" t="n">
        <f aca="false">LH_PnL_Summary!J5</f>
        <v>-34710.4606169071</v>
      </c>
      <c r="K15" s="58" t="n">
        <f aca="false">LH_PnL_Summary!K5</f>
        <v>-3289.91580963135</v>
      </c>
      <c r="L15" s="58" t="n">
        <f aca="false">LH_PnL_Summary!D5</f>
        <v>-18625.5113925245</v>
      </c>
      <c r="M15" s="59" t="n">
        <v>0</v>
      </c>
    </row>
    <row r="16" customFormat="false" ht="15" hidden="false" customHeight="false" outlineLevel="0" collapsed="false">
      <c r="A16" s="57" t="s">
        <v>239</v>
      </c>
      <c r="B16" s="58" t="n">
        <f aca="false">LH_PnL_Summary!B5</f>
        <v>-35611.8821975216</v>
      </c>
      <c r="C16" s="58" t="n">
        <f aca="false">LH_PnL_Summary!C5</f>
        <v>-35611.8821975216</v>
      </c>
      <c r="D16" s="58" t="n">
        <f aca="false">LH_PnL_Summary!D5</f>
        <v>-18625.5113925245</v>
      </c>
      <c r="E16" s="58" t="n">
        <f aca="false">LH_PnL_Summary!E5</f>
        <v>21890.9453293066</v>
      </c>
      <c r="F16" s="58" t="n">
        <f aca="false">LH_PnL_Summary!F5</f>
        <v>32442.2707724832</v>
      </c>
      <c r="G16" s="58" t="n">
        <f aca="false">LH_PnL_Summary!G5</f>
        <v>32442.2707724832</v>
      </c>
      <c r="H16" s="59" t="n">
        <v>0</v>
      </c>
      <c r="I16" s="58" t="n">
        <f aca="false">LH_PnL_Summary!I5</f>
        <v>-20938.4394061528</v>
      </c>
      <c r="J16" s="58" t="n">
        <f aca="false">LH_PnL_Summary!J5</f>
        <v>-34710.4606169071</v>
      </c>
      <c r="K16" s="58" t="n">
        <f aca="false">LH_PnL_Summary!K5</f>
        <v>-3289.91580963135</v>
      </c>
      <c r="L16" s="58" t="n">
        <f aca="false">LH_PnL_Summary!L5</f>
        <v>13753.8385078348</v>
      </c>
      <c r="M16" s="59" t="n">
        <v>0</v>
      </c>
    </row>
    <row r="17" customFormat="false" ht="15" hidden="false" customHeight="false" outlineLevel="0" collapsed="false">
      <c r="A17" s="57" t="s">
        <v>240</v>
      </c>
      <c r="B17" s="58" t="n">
        <f aca="false">LH_PnL_Summary!B5</f>
        <v>-35611.8821975216</v>
      </c>
      <c r="C17" s="58" t="n">
        <f aca="false">LH_PnL_Summary!C5</f>
        <v>-35611.8821975216</v>
      </c>
      <c r="D17" s="58" t="n">
        <f aca="false">LH_PnL_Summary!D5</f>
        <v>-18625.5113925245</v>
      </c>
      <c r="E17" s="58" t="n">
        <f aca="false">LH_PnL_Summary!E5</f>
        <v>21890.9453293066</v>
      </c>
      <c r="F17" s="58" t="n">
        <f aca="false">LH_PnL_Summary!F5</f>
        <v>32442.2707724832</v>
      </c>
      <c r="G17" s="58" t="n">
        <f aca="false">LH_PnL_Summary!G5</f>
        <v>32442.2707724832</v>
      </c>
      <c r="H17" s="58" t="n">
        <f aca="false">LH_PnL_Summary!H5</f>
        <v>32442.2707724832</v>
      </c>
      <c r="I17" s="58" t="n">
        <f aca="false">LH_PnL_Summary!I5</f>
        <v>-20938.4394061528</v>
      </c>
      <c r="J17" s="58" t="n">
        <f aca="false">LH_PnL_Summary!J5</f>
        <v>-34710.4606169071</v>
      </c>
      <c r="K17" s="58" t="n">
        <f aca="false">LH_PnL_Summary!K5</f>
        <v>-3289.91580963135</v>
      </c>
      <c r="L17" s="58" t="n">
        <f aca="false">LH_PnL_Summary!L5</f>
        <v>13753.8385078348</v>
      </c>
      <c r="M17" s="58" t="n">
        <f aca="false">LH_PnL_Summary!M5</f>
        <v>32442.2707724832</v>
      </c>
    </row>
    <row r="19" customFormat="false" ht="39.75" hidden="false" customHeight="true" outlineLevel="0" collapsed="false">
      <c r="A19" s="15" t="s">
        <v>254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</sheetData>
  <mergeCells count="5">
    <mergeCell ref="A1:M1"/>
    <mergeCell ref="A2:M2"/>
    <mergeCell ref="A4:F4"/>
    <mergeCell ref="A12:M12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2026-08-04T11:28:17Z</dcterms:created>
  <dc:creator>openpyxl</dc:creator>
  <dc:description/>
  <dc:language>en-US</dc:language>
  <cp:lastModifiedBy/>
  <dcterms:modified xsi:type="dcterms:W3CDTF">2026-08-06T11:40:14Z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