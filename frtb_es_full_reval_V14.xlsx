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de_Info" sheetId="2" state="visible" r:id="rId4"/>
    <sheet name="Curves" sheetId="3" state="visible" r:id="rId5"/>
    <sheet name="Curves_Current" sheetId="4" state="visible" r:id="rId6"/>
    <sheet name="SABR" sheetId="5" state="visible" r:id="rId7"/>
    <sheet name="SABR_Current" sheetId="6" state="visible" r:id="rId8"/>
    <sheet name="NPV_Engine" sheetId="7" state="visible" r:id="rId9"/>
    <sheet name="PnL_Summary" sheetId="8" state="visible" r:id="rId10"/>
    <sheet name="LH_NPV_Engine" sheetId="9" state="visible" r:id="rId11"/>
    <sheet name="LH_PnL_Summary" sheetId="10" state="visible" r:id="rId12"/>
    <sheet name="Maturity_LH_PnL" sheetId="11" state="visible" r:id="rId13"/>
    <sheet name="FullReduced_LH_NPV_Engine" sheetId="12" state="visible" r:id="rId14"/>
    <sheet name="FullReduced_LH_PnL_Summary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<sst xmlns="http://schemas.openxmlformats.org/spreadsheetml/2006/main" count="4324" uniqueCount="337">
  <si>
    <t xml:space="preserve">FRTB IMA — Full Revaluation PnL Vectors for Expected Shortfall (ES)</t>
  </si>
  <si>
    <t xml:space="preserve">Illustrative workbook — trade 123456, valuation date 7/23/2026. Demonstrates the mechanics of a full-revaluation Stressed PnL vector: PnL = StressedNPV − BaseNPV, built curve-by-curve and then combined cross-risk-class.</t>
  </si>
  <si>
    <t xml:space="preserve">Purpose</t>
  </si>
  <si>
    <t xml:space="preserve">Illustrate, end to end, how a full-reval ES PnL vector is constructed: base curve objects → shocked curve objects (10 scenarios, stress date 20-Nov-2008) → base/stressed NPV via full reval → PnL vector, both cross-risk-class and isolated by risk class (IR / Credit / FX).</t>
  </si>
  <si>
    <t xml:space="preserve">Tabs</t>
  </si>
  <si>
    <t xml:space="preserve">ReadMe | Trade_Info | Curves (Base, Shift Illustration, Shocks+Shocked aligned side-by-side) | SABR (Base, Shocks, Shocked - ATM/RHO/NU/Combined aligned horizontally per scenario) | NPV_Engine | PnL_Summary</t>
  </si>
  <si>
    <t xml:space="preserve">Curve shift mechanic</t>
  </si>
  <si>
    <t xml:space="preserve">gxlCurveDiscShift is simulated with a sequential (cascading) bootstrap: the simple forward rate implied by the BASE curve between consecutive tenors is bumped by the scenario shock (bps), and the SHOCKED discount factor for tenor i is solved from the SHOCKED discount factor at tenor i-1 (not the base one). 3M is bumped first; 6M relies on the bumped 3M; and so on to 30Y — exactly mirroring the described gxlCurveDiscShift behaviour.</t>
  </si>
  <si>
    <t xml:space="preserve">SABR surface mechanic</t>
  </si>
  <si>
    <t xml:space="preserve">Each of ATM / RHO / NU is a 10x10 grid (expiry x tenor). Each scenario applies a parameter-level shock size to every grid point, scaled by a per-cell Sensitivity Factor grid (captures the typical stress-period pattern of larger moves at short expiries/tenors). The result is a full shocked vol surface per parameter per scenario, exactly as gxlCurveDiscShift-style functions return a shocked object for curves.</t>
  </si>
  <si>
    <t xml:space="preserve">NPV engine</t>
  </si>
  <si>
    <t xml:space="preserve">NPV is an ILLUSTRATIVE simplified full-reval pricer (not a production pricer) that consumes: SOFR/ESTRN discount factors (IR discounting), the SABR ATM grid point matching the trade's expiry/tenor (IR_VOL / optionality), Treasury/Agency_FNMA/Eur_Govt discount factors (Credit spread proxy), and the EURUSD curve (FX discount/forward proxy). Base NPV = pricer with ALL curves at BASE. Stressed NPV = pricer with the relevant curve set SHOCKED for scenario s.</t>
  </si>
  <si>
    <t xml:space="preserve">Risk-class isolation</t>
  </si>
  <si>
    <t xml:space="preserve">Cross PnL: shock ALL curves for scenario s. IR PnL: shock SOFR, ESTRN and the SABR (IR_VOL) surface only — Credit and FX curves stay at BASE. Credit PnL: shock Treasury, Agency_FNMA, Eur_Govt only — IR and FX stay at BASE. FX PnL: shock EURUSD only — IR and Credit stay at BASE. This isolates each risk class's contribution to the full-reval PnL vector, consistent with how ES risk-class PnL vectors are typically decomposed.</t>
  </si>
  <si>
    <t xml:space="preserve">Colour convention</t>
  </si>
  <si>
    <t xml:space="preserve">Blue = hardcoded input / assumption. Black = formula. Green = link to another sheet.</t>
  </si>
  <si>
    <t xml:space="preserve">Disclaimer</t>
  </si>
  <si>
    <t xml:space="preserve">All curve levels, shock sizes and SABR parameters are illustrative placeholder assumptions chosen for demonstration purposes only — they are not calibrated to actual 20-Nov-2008 market data and this is not a production pricing/risk engine.</t>
  </si>
  <si>
    <t xml:space="preserve">Trade &amp; Valuation Info</t>
  </si>
  <si>
    <t xml:space="preserve">Trade ID</t>
  </si>
  <si>
    <t xml:space="preserve">123456</t>
  </si>
  <si>
    <t xml:space="preserve">Valuation Date</t>
  </si>
  <si>
    <t xml:space="preserve">7/23/2026</t>
  </si>
  <si>
    <t xml:space="preserve">Stress / Shock anchor date</t>
  </si>
  <si>
    <t xml:space="preserve">11/20/2008</t>
  </si>
  <si>
    <t xml:space="preserve">Number of scenarios</t>
  </si>
  <si>
    <t xml:space="preserve">Notional (USD)</t>
  </si>
  <si>
    <t xml:space="preserve">Product</t>
  </si>
  <si>
    <t xml:space="preserve">EUR-underlying payer swaption vs USD-collateral discounting</t>
  </si>
  <si>
    <t xml:space="preserve">Representative discounting tenor</t>
  </si>
  <si>
    <t xml:space="preserve">1Y</t>
  </si>
  <si>
    <t xml:space="preserve">Representative SABR grid point (Expiry x Tenor)</t>
  </si>
  <si>
    <t xml:space="preserve">1Y x 10Y</t>
  </si>
  <si>
    <t xml:space="preserve">Curve list, MDO used, and risk-class mapping</t>
  </si>
  <si>
    <t xml:space="preserve">Curve (MDO)</t>
  </si>
  <si>
    <t xml:space="preserve">Risk Class</t>
  </si>
  <si>
    <t xml:space="preserve">Notes</t>
  </si>
  <si>
    <t xml:space="preserve">Agency_FNMA</t>
  </si>
  <si>
    <t xml:space="preserve">Credit</t>
  </si>
  <si>
    <t xml:space="preserve">Credit — GSE/agency spread curve</t>
  </si>
  <si>
    <t xml:space="preserve">Eur_Govt</t>
  </si>
  <si>
    <t xml:space="preserve">Credit — EUR sovereign curve</t>
  </si>
  <si>
    <t xml:space="preserve">SOFR</t>
  </si>
  <si>
    <t xml:space="preserve">IR</t>
  </si>
  <si>
    <t xml:space="preserve">IR_RATE — USD OIS/SOFR discounting curve</t>
  </si>
  <si>
    <t xml:space="preserve">Treasury</t>
  </si>
  <si>
    <t xml:space="preserve">Credit — US Treasury (sovereign benchmark) curve</t>
  </si>
  <si>
    <t xml:space="preserve">Sabr_Swaption</t>
  </si>
  <si>
    <t xml:space="preserve">IR_VOL — SABR surface (ATM, RHO, NU); handled on SABR_* tabs</t>
  </si>
  <si>
    <t xml:space="preserve">EURUSD</t>
  </si>
  <si>
    <t xml:space="preserve">FX</t>
  </si>
  <si>
    <t xml:space="preserve">FX_RATE — EUR/USD FX curve</t>
  </si>
  <si>
    <t xml:space="preserve">ESTRN</t>
  </si>
  <si>
    <t xml:space="preserve">IR — EUR €STR discounting curve</t>
  </si>
  <si>
    <t xml:space="preserve">Liquidity-Horizon Curve Inclusion by Risk Class</t>
  </si>
  <si>
    <t xml:space="preserve">Class</t>
  </si>
  <si>
    <t xml:space="preserve">LH10</t>
  </si>
  <si>
    <t xml:space="preserve">LH20</t>
  </si>
  <si>
    <t xml:space="preserve">LH40</t>
  </si>
  <si>
    <t xml:space="preserve">LH60</t>
  </si>
  <si>
    <t xml:space="preserve">Agency_FNMA + Eur_Govt + Treasury</t>
  </si>
  <si>
    <t xml:space="preserve">Agency_FNMA only</t>
  </si>
  <si>
    <t xml:space="preserve">—</t>
  </si>
  <si>
    <t xml:space="preserve">SOFR + ESTRN + Swaption</t>
  </si>
  <si>
    <t xml:space="preserve">Swaption only</t>
  </si>
  <si>
    <t xml:space="preserve">Cross</t>
  </si>
  <si>
    <t xml:space="preserve">all six</t>
  </si>
  <si>
    <t xml:space="preserve">Agency_FNMA + Eur_Govt + Treasury + Swaption</t>
  </si>
  <si>
    <t xml:space="preserve">Agency_FNMA + Swaption</t>
  </si>
  <si>
    <t xml:space="preserve">Rule: at horizon bucket T, a curve is shocked only if its own assigned Liquidity Horizon &gt;= T. Credit now includes Treasury (LH20) alongside Eur_Govt (LH20) and Agency_FNMA (LH40).</t>
  </si>
  <si>
    <t xml:space="preserve">Curve Objects — Base -&gt; Shift Mechanics -&gt; Shocks -&gt; Shocked Curves (Combined)</t>
  </si>
  <si>
    <t xml:space="preserve">Trade 123456 | Val date 7/23/2026 | Stress anchor 20-Nov-2008</t>
  </si>
  <si>
    <t xml:space="preserve">SECTION 1 - BASE CURVE OBJECTS: Discount Factors (as of 7/23/2026)</t>
  </si>
  <si>
    <t xml:space="preserve">Curve</t>
  </si>
  <si>
    <t xml:space="preserve">3M</t>
  </si>
  <si>
    <t xml:space="preserve">6M</t>
  </si>
  <si>
    <t xml:space="preserve">2Y</t>
  </si>
  <si>
    <t xml:space="preserve">3Y</t>
  </si>
  <si>
    <t xml:space="preserve">5Y</t>
  </si>
  <si>
    <t xml:space="preserve">10Y</t>
  </si>
  <si>
    <t xml:space="preserve">20Y</t>
  </si>
  <si>
    <t xml:space="preserve">30Y</t>
  </si>
  <si>
    <t xml:space="preserve">Tenor Date</t>
  </si>
  <si>
    <t xml:space="preserve">10/23/2026</t>
  </si>
  <si>
    <t xml:space="preserve">1/23/2027</t>
  </si>
  <si>
    <t xml:space="preserve">7/23/2027</t>
  </si>
  <si>
    <t xml:space="preserve">7/23/2028</t>
  </si>
  <si>
    <t xml:space="preserve">7/23/2029</t>
  </si>
  <si>
    <t xml:space="preserve">7/23/2031</t>
  </si>
  <si>
    <t xml:space="preserve">7/23/2036</t>
  </si>
  <si>
    <t xml:space="preserve">7/23/2046</t>
  </si>
  <si>
    <t xml:space="preserve">7/23/2056</t>
  </si>
  <si>
    <t xml:space="preserve">Year Frac (t)</t>
  </si>
  <si>
    <t xml:space="preserve">Base DF values are illustrative placeholder inputs (blue), not calibrated to a real curve build.</t>
  </si>
  <si>
    <t xml:space="preserve">SECTION 2 - gxlCurveDiscShift STEP-BY-STEP ILLUSTRATION (Curve = SOFR, Scenario 1)</t>
  </si>
  <si>
    <t xml:space="preserve">Sequential / cascading bootstrap: base forward rate (Section 1) + scenario shock (bps, Section 3) = shocked forward rate; the SHOCKED discount factor at tenor i is solved off the SHOCKED discount factor at tenor i-1 (not the base one). 3M is shocked first and feeds into 6M, which feeds into 1Y, and so on to 30Y.</t>
  </si>
  <si>
    <t xml:space="preserve">Tenor</t>
  </si>
  <si>
    <t xml:space="preserve">t</t>
  </si>
  <si>
    <t xml:space="preserve">Base DF
(prior)</t>
  </si>
  <si>
    <t xml:space="preserve">Base DF
(current)</t>
  </si>
  <si>
    <t xml:space="preserve">Base Fwd Rate
(simple, ann.)</t>
  </si>
  <si>
    <t xml:space="preserve">Shock
(bps)</t>
  </si>
  <si>
    <t xml:space="preserve">Shocked Fwd
Rate</t>
  </si>
  <si>
    <t xml:space="preserve">Shocked DF
(current)</t>
  </si>
  <si>
    <t xml:space="preserve">Formula logic</t>
  </si>
  <si>
    <t xml:space="preserve">Anchors at DF=1, t=0</t>
  </si>
  <si>
    <t xml:space="preserve">Uses SHOCKED DF from 3M (row above), not base</t>
  </si>
  <si>
    <t xml:space="preserve">Uses SHOCKED DF from 6M (row above), not base</t>
  </si>
  <si>
    <t xml:space="preserve">Uses SHOCKED DF from 1Y (row above), not base</t>
  </si>
  <si>
    <t xml:space="preserve">Uses SHOCKED DF from 2Y (row above), not base</t>
  </si>
  <si>
    <t xml:space="preserve">Uses SHOCKED DF from 3Y (row above), not base</t>
  </si>
  <si>
    <t xml:space="preserve">Uses SHOCKED DF from 5Y (row above), not base</t>
  </si>
  <si>
    <t xml:space="preserve">Uses SHOCKED DF from 10Y (row above), not base</t>
  </si>
  <si>
    <t xml:space="preserve">Uses SHOCKED DF from 20Y (row above), not base</t>
  </si>
  <si>
    <t xml:space="preserve">This exact column-H formula pattern is replicated for all 6 curves x 10 scenarios in Sections 3/4 below.</t>
  </si>
  <si>
    <t xml:space="preserve">SECTION 3 - SHOCK VECTORS: Forward-Rate Shock (bps), 10 Scenarios (anchor 20-Nov-2008)</t>
  </si>
  <si>
    <t xml:space="preserve">SECTION 4 - SHOCKED CURVE OBJECTS (gxlCurveDiscShift output): Discount Factors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</si>
  <si>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</si>
  <si>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</si>
  <si>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</si>
  <si>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</si>
  <si>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</si>
  <si>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</si>
  <si>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Scenario 7</t>
  </si>
  <si>
    <t xml:space="preserve">Scenario 8</t>
  </si>
  <si>
    <t xml:space="preserve">Scenario 9</t>
  </si>
  <si>
    <t xml:space="preserve">Scenario 10</t>
  </si>
  <si>
    <t xml:space="preserve">Section 3 (left, blue) = raw hardcoded shock inputs for the stress period. Section 4 (right, black) = shocked discount factors, computed with the same cascading bootstrap formula illustrated in Section 2, sitting directly across from the shocks that drive them.</t>
  </si>
  <si>
    <t xml:space="preserve">Curve Objects — CURRENT PERIOD Shocks + Shocked Curves (normal/recent market conditions)</t>
  </si>
  <si>
    <t xml:space="preserve">Same base curves as the Curves tab (Section 1) — only the shock magnitude differs. Current-period shocks are ~30% the size of the 2008 stress-period shocks on the Curves tab, representing normal/recent market conditions rather than a crisis. Used for the 'Full Set - Current Period' and 'Reduced Set - Current Period' cases on FullReduced_NPV_Engine.</t>
  </si>
  <si>
    <t xml:space="preserve">SECTION A - CURRENT PERIOD SHOCK VECTORS (bps), 10 Scenarios</t>
  </si>
  <si>
    <t xml:space="preserve">SECTION B - CURRENT PERIOD SHOCKED CURVES (Discount Factors)</t>
  </si>
  <si>
    <t xml:space="preserve">Same cascading bootstrap as the Curves tab Section 2, applied to the smaller current-period shocks: shocked DF at tenor i is solved off the shocked DF at tenor i-1, off BASE forward rates pulled from Curves!Section 1.</t>
  </si>
  <si>
    <t xml:space="preserve">SABR Swaption Vol Surfaces — Base -&gt; Scenario Shocks -&gt; Shocked Surfaces, ATM/RHO/NU/Combined aligned</t>
  </si>
  <si>
    <t xml:space="preserve">Swabr_Swaption (IR_VOL) | Trade 123456 | Stress anchor 20-Nov-2008</t>
  </si>
  <si>
    <t xml:space="preserve">SECTION 1 - BASE SABR SURFACES (ATM, RHO, NU, Combined Effective Vol aligned horizontally)</t>
  </si>
  <si>
    <t xml:space="preserve">Param: ATM</t>
  </si>
  <si>
    <t xml:space="preserve">Param: RHO</t>
  </si>
  <si>
    <t xml:space="preserve">Param: NU</t>
  </si>
  <si>
    <t xml:space="preserve">Combined Effective ATM Vol (Hagan approx, beta=1)</t>
  </si>
  <si>
    <t xml:space="preserve">Expiry \ Tenor</t>
  </si>
  <si>
    <t xml:space="preserve">1M</t>
  </si>
  <si>
    <t xml:space="preserve">Combined = Hagan SABR ATM-vol asymptotic approximation with beta=1 (lognormal): sigma_ATM = alpha*(1+((2-3*rho^2)/24*nu^2+rho*nu*alpha/4)*T). Collapses ATM/RHO/NU into one usable vol surface per scenario.</t>
  </si>
  <si>
    <t xml:space="preserve">SECTION 2 - SCENARIO SHOCKS: Per-Param Shock Size + Sensitivity Factor Grid</t>
  </si>
  <si>
    <t xml:space="preserve">Shocked(i,j) = Base(i,j) + ScenarioShockSize(param,scenario) x SensitivityFactor(i,j) for ATM/RHO/NU. Combined Effective Vol is then recomputed from the SHOCKED ATM/RHO/NU via the same Hagan formula shown in Section 1 - i.e. the single 'shocked SABR curve' is derived, not separately shocked.</t>
  </si>
  <si>
    <t xml:space="preserve">Scenario Shock Size (per param, parallel move applied before sensitivity scaling)</t>
  </si>
  <si>
    <t xml:space="preserve">Scenario</t>
  </si>
  <si>
    <t xml:space="preserve">ATM</t>
  </si>
  <si>
    <t xml:space="preserve">RHO</t>
  </si>
  <si>
    <t xml:space="preserve">NU</t>
  </si>
  <si>
    <t xml:space="preserve">Sensitivity Factor Grid (shared shape across ATM/RHO/NU; applied to all scenarios)</t>
  </si>
  <si>
    <t xml:space="preserve">SECTION 3 - SHOCKED SABR SURFACES: ATM, RHO, NU, Combined Effective Vol aligned per scenario (10 scenarios)</t>
  </si>
  <si>
    <t xml:space="preserve">Combined block recomputes the Hagan formula from this scenario's SHOCKED ATM/RHO/NU -&gt; a single shocked vol surface per scenario.</t>
  </si>
  <si>
    <t xml:space="preserve">SCENARIO 1</t>
  </si>
  <si>
    <t xml:space="preserve">SCENARIO 2</t>
  </si>
  <si>
    <t xml:space="preserve">SCENARIO 3</t>
  </si>
  <si>
    <t xml:space="preserve">SCENARIO 4</t>
  </si>
  <si>
    <t xml:space="preserve">SCENARIO 5</t>
  </si>
  <si>
    <t xml:space="preserve">SCENARIO 6</t>
  </si>
  <si>
    <t xml:space="preserve">SCENARIO 7</t>
  </si>
  <si>
    <t xml:space="preserve">SCENARIO 8</t>
  </si>
  <si>
    <t xml:space="preserve">SCENARIO 9</t>
  </si>
  <si>
    <t xml:space="preserve">SCENARIO 10</t>
  </si>
  <si>
    <t xml:space="preserve">SABR Swaption Vol Surfaces — CURRENT PERIOD Shocks + Shocked Surfaces</t>
  </si>
  <si>
    <t xml:space="preserve">Same base ATM/RHO/NU as the SABR tab (Section 1) and the same sensitivity-factor grid (Section 2) — only the scenario shock size differs: current-period shocks are ~30% of the 2008 stress-period shock sizes on the SABR tab.</t>
  </si>
  <si>
    <t xml:space="preserve">SECTION A - CURRENT PERIOD SCENARIO SHOCKS: Per-Param Shock Size</t>
  </si>
  <si>
    <t xml:space="preserve">Current Period Scenario Shock Size (per param)</t>
  </si>
  <si>
    <t xml:space="preserve">SECTION B - CURRENT PERIOD SHOCKED SABR SURFACES: ATM, RHO, NU, Combined Effective Vol aligned per scenario</t>
  </si>
  <si>
    <t xml:space="preserve">Full-Reval NPV Engine — Cross / IR / Credit / FX (Base vs Stressed, Trade 123456)</t>
  </si>
  <si>
    <t xml:space="preserve">Illustrative simplified full-reval pricer (NOT a production model): NPV = Notional x DF_SOFR(1Y) x [DF_ESTRN(1Y)/DF_ESTRN_base(1Y)] x [1+0.5x(SABR_EffVol(1Yx10Y)-SABR_EffVol_base)] x [AVERAGE(DF_Treasury,DF_Agency_FNMA,DF_Eur_Govt)(1Y)/DF_SOFR(1Y)] x [DF_EURUSD(1Y)/DF_EURUSD_base(1Y)]. SABR_EffVol is the single Combined Effective Vol pulled from the SABR tab (Hagan formula collapsing ATM/RHO/NU into one number at the 1Yx10Y grid point). Each risk-class table below feeds this same pricer with only that risk class curves/surface shocked; the rest held at BASE.</t>
  </si>
  <si>
    <t xml:space="preserve">Reference base constants</t>
  </si>
  <si>
    <t xml:space="preserve">DF_SOFR_base(1Y)</t>
  </si>
  <si>
    <t xml:space="preserve">DF_ESTRN_base(1Y)</t>
  </si>
  <si>
    <t xml:space="preserve">DF_Treasury_base(1Y)</t>
  </si>
  <si>
    <t xml:space="preserve">DF_Agency_FNMA_base(1Y)</t>
  </si>
  <si>
    <t xml:space="preserve">DF_Eur_Govt_base(1Y)</t>
  </si>
  <si>
    <t xml:space="preserve">DF_EURUSD_base(1Y)</t>
  </si>
  <si>
    <t xml:space="preserve">SABR EffVol_base(1Yx10Y)</t>
  </si>
  <si>
    <t xml:space="preserve">Cross — Full-Reval NPV</t>
  </si>
  <si>
    <t xml:space="preserve">Case</t>
  </si>
  <si>
    <t xml:space="preserve">DF_SOFR(1Y)</t>
  </si>
  <si>
    <t xml:space="preserve">DF_ESTRN(1Y)</t>
  </si>
  <si>
    <t xml:space="preserve">SABR EffVol(1Yx10Y)</t>
  </si>
  <si>
    <t xml:space="preserve">DF_Treasury(1Y)</t>
  </si>
  <si>
    <t xml:space="preserve">DF_Agency_FNMA(1Y)</t>
  </si>
  <si>
    <t xml:space="preserve">DF_Eur_Govt(1Y)</t>
  </si>
  <si>
    <t xml:space="preserve">DF_EURUSD(1Y)</t>
  </si>
  <si>
    <t xml:space="preserve">NPV (USD)</t>
  </si>
  <si>
    <t xml:space="preserve">Base</t>
  </si>
  <si>
    <t xml:space="preserve">IR — Full-Reval NPV</t>
  </si>
  <si>
    <t xml:space="preserve">Credit — Full-Reval NPV</t>
  </si>
  <si>
    <t xml:space="preserve">FX — Full-Reval NPV</t>
  </si>
  <si>
    <t xml:space="preserve">Full-Reval ES PnL Vectors — PnL = StressedNPV − BaseNPV  (Trade 123456, Val Date 7/23/2026)</t>
  </si>
  <si>
    <t xml:space="preserve">Stress anchor date: 20-Nov-2008. Cross = all curves shocked. IR = SOFR/ESTRN/SABR shocked only. Credit = Treasury/Agency_FNMA/Eur_Govt shocked only. FX = EURUSD shocked only (others held at Base each time).</t>
  </si>
  <si>
    <t xml:space="preserve">Cross PnL (USD)</t>
  </si>
  <si>
    <t xml:space="preserve">IR PnL (USD)</t>
  </si>
  <si>
    <t xml:space="preserve">Credit PnL (USD)</t>
  </si>
  <si>
    <t xml:space="preserve">FX PnL (USD)</t>
  </si>
  <si>
    <t xml:space="preserve">Sum IR+Credit+FX (USD)</t>
  </si>
  <si>
    <t xml:space="preserve">Cross - Sum (diversification, USD)</t>
  </si>
  <si>
    <t xml:space="preserve">Worst (min) PnL</t>
  </si>
  <si>
    <t xml:space="preserve">Best (max) PnL</t>
  </si>
  <si>
    <t xml:space="preserve">ES (avg of 6 worst)</t>
  </si>
  <si>
    <t xml:space="preserve">ES illustration note: rank the Cross PnL vector and average the worst-tail observations per the chosen ES confidence level to derive the (illustrative) Expected Shortfall capital number. Column G (Cross - Sum of IR/Credit/FX) is the cross-risk-class diversification / interaction term: in an ideal additive world with no cross-curve hedges it would be ~0; a non-zero residual reflects the pricer combining curves multiplicatively (hedging and cross-gamma effects), which is expected in a real full-reval engine.</t>
  </si>
  <si>
    <t xml:space="preserve">Liquidity-Horizon Bucketed Full-Reval NPV Engine (Trade 123456)</t>
  </si>
  <si>
    <t xml:space="preserve">LH ladder rule: at horizon bucket T, a curve is SHOCKED only if its own Liquidity Horizon &gt;= T; shorter-horizon curves are held at BASE (their risk is already captured at their own, shorter horizon). Credit LH: Agency_FNMA=40, Eur_Govt=20, Treasury=20. IR LH: SOFR=10, ESTRN=10, Sabr_Swaption(IR_VOL)=60. FX LH: EURUSD=10. Same illustrative pricer as NPV_Engine: NPV = Notional x DF_SOFR x [DF_ESTRN/ESTRN_base] x [1+0.5x(EffVol-EffVol_base)] x [AVG(DF_Treasury,DF_Agency_FNMA,DF_Eur_Govt)/DF_SOFR] x [DF_EURUSD/EURUSD_base].</t>
  </si>
  <si>
    <t xml:space="preserve">Credit — LH 10d — Full-Reval NPV</t>
  </si>
  <si>
    <t xml:space="preserve">Shocked curves: Agency_FNMA, Eur_Govt, Treasury</t>
  </si>
  <si>
    <t xml:space="preserve">Credit — LH 20d — Full-Reval NPV</t>
  </si>
  <si>
    <t xml:space="preserve">Credit — LH 40d — Full-Reval NPV</t>
  </si>
  <si>
    <t xml:space="preserve">Shocked curves: Agency_FNMA</t>
  </si>
  <si>
    <t xml:space="preserve">IR — LH 10d — Full-Reval NPV</t>
  </si>
  <si>
    <t xml:space="preserve">Shocked curves: ESTRN, SOFR, Swaption</t>
  </si>
  <si>
    <t xml:space="preserve">IR — LH 20d — Full-Reval NPV</t>
  </si>
  <si>
    <t xml:space="preserve">Shocked curves: Swaption</t>
  </si>
  <si>
    <t xml:space="preserve">IR — LH 40d — Full-Reval NPV</t>
  </si>
  <si>
    <t xml:space="preserve">IR — LH 60d — Full-Reval NPV</t>
  </si>
  <si>
    <t xml:space="preserve">FX — LH 10d — Full-Reval NPV</t>
  </si>
  <si>
    <t xml:space="preserve">Shocked curves: EURUSD</t>
  </si>
  <si>
    <t xml:space="preserve">Cross — LH 10d — Full-Reval NPV</t>
  </si>
  <si>
    <t xml:space="preserve">Shocked curves: Agency_FNMA, ESTRN, EURUSD, Eur_Govt, SOFR, Swaption, Treasury</t>
  </si>
  <si>
    <t xml:space="preserve">Cross — LH 20d — Full-Reval NPV</t>
  </si>
  <si>
    <t xml:space="preserve">Shocked curves: Agency_FNMA, Eur_Govt, Swaption, Treasury</t>
  </si>
  <si>
    <t xml:space="preserve">Cross — LH 40d — Full-Reval NPV</t>
  </si>
  <si>
    <t xml:space="preserve">Shocked curves: Agency_FNMA, Swaption</t>
  </si>
  <si>
    <t xml:space="preserve">Cross — LH 60d — Full-Reval NPV</t>
  </si>
  <si>
    <t xml:space="preserve">Liquidity-Horizon PnL Vectors — PnL = StressedNPV − BaseNPV (Trade 123456)</t>
  </si>
  <si>
    <t xml:space="preserve">At LH bucket T, only curves with own Liquidity Horizon &gt;= T are shocked (others held at Base) — a curve's risk is captured once, at its own horizon, and then held constant for longer buckets. Credit: Agency_FNMA(LH40), Eur_Govt(LH20), Treasury(LH20). IR: SOFR(LH10), ESTRN(LH10), Sabr_Swaption(LH60). FX: EURUSD(LH10).</t>
  </si>
  <si>
    <t xml:space="preserve">Credit LH10 PnL</t>
  </si>
  <si>
    <t xml:space="preserve">Credit LH20 PnL</t>
  </si>
  <si>
    <t xml:space="preserve">Credit LH40 PnL</t>
  </si>
  <si>
    <t xml:space="preserve">IR LH10 PnL</t>
  </si>
  <si>
    <t xml:space="preserve">IR LH20 PnL</t>
  </si>
  <si>
    <t xml:space="preserve">IR LH40 PnL</t>
  </si>
  <si>
    <t xml:space="preserve">IR LH60 PnL</t>
  </si>
  <si>
    <t xml:space="preserve">FX LH10 PnL</t>
  </si>
  <si>
    <t xml:space="preserve">Cross LH10 PnL</t>
  </si>
  <si>
    <t xml:space="preserve">Cross LH20 PnL</t>
  </si>
  <si>
    <t xml:space="preserve">Cross LH40 PnL</t>
  </si>
  <si>
    <t xml:space="preserve">Cross LH60 PnL</t>
  </si>
  <si>
    <t xml:space="preserve">Cross-check: for a given horizon T, Cross PnL is not generally the simple sum of the per-risk-class PnLs at that same T, since IR's LH10 bucket already embeds SOFR/ESTRN which have no Cross counterpart beyond LH10 — compare Cross LH20/40/60 against Credit+IR at the matching bucket instead (e.g. Cross LH40 ~ Credit LH40 + IR LH40).</t>
  </si>
  <si>
    <t xml:space="preserve">Maturity-Overridden Liquidity Horizon — Sabr_Swaption, Scenario 1 Only</t>
  </si>
  <si>
    <t xml:space="preserve">Same product (payer swaption), 4 trades differing only in the IR option's residual maturity. The trade's own maturity overrides the originally assigned Sabr_Swaption LH (60d): effective LH = the FRTB horizon bucket the residual maturity maps into. Only Sabr_Swaption's LH changes per trade — SOFR/ESTRN/Agency_FNMA/Eur_Govt/EURUSD keep their originally assigned LH (10/10/40/20/10) throughout. Recomputed LH ladder below uses Scenario 1 only.</t>
  </si>
  <si>
    <t xml:space="preserve">Trade Set</t>
  </si>
  <si>
    <t xml:space="preserve">Maturity (days)</t>
  </si>
  <si>
    <t xml:space="preserve">Effective LH (days)</t>
  </si>
  <si>
    <t xml:space="preserve">Originally Assigned LH (days)</t>
  </si>
  <si>
    <t xml:space="preserve">tradeID1111</t>
  </si>
  <si>
    <t xml:space="preserve">tradeID2222</t>
  </si>
  <si>
    <t xml:space="preserve">tradeID3333</t>
  </si>
  <si>
    <t xml:space="preserve">tradeID4444</t>
  </si>
  <si>
    <t xml:space="preserve">Recomputed LH PnL Ladder — Scenario 1 Only (per trade, effective Swaption LH applied)</t>
  </si>
  <si>
    <t xml:space="preserve">Credit LH10</t>
  </si>
  <si>
    <t xml:space="preserve">Credit LH20</t>
  </si>
  <si>
    <t xml:space="preserve">Credit LH40</t>
  </si>
  <si>
    <t xml:space="preserve">IR LH10</t>
  </si>
  <si>
    <t xml:space="preserve">IR LH20</t>
  </si>
  <si>
    <t xml:space="preserve">IR LH40</t>
  </si>
  <si>
    <t xml:space="preserve">IR LH60</t>
  </si>
  <si>
    <t xml:space="preserve">FX LH10</t>
  </si>
  <si>
    <t xml:space="preserve">Cross LH10</t>
  </si>
  <si>
    <t xml:space="preserve">Cross LH20</t>
  </si>
  <si>
    <t xml:space="preserve">Cross LH40</t>
  </si>
  <si>
    <t xml:space="preserve">Cross LH60</t>
  </si>
  <si>
    <t xml:space="preserve">Grey/0 cells = no curve is shocked in that (trade, LH bucket) combination once Swaption drops out beyond its effective LH (Stressed NPV = Base NPV, so PnL = 0). Green cells link directly to the existing LH_PnL_Summary Scenario 1 values where the effective-LH-adjusted curve set matches an already-computed baseline combo (e.g. Cross LH20 for tradeID1111 reduces to Agency_FNMA+Eur_Govt, i.e. the same set as Credit LH10/LH20).</t>
  </si>
  <si>
    <t xml:space="preserve">Risk Class x Liquidity Horizon x Full/Reduced Set — Full-Reval NPV Engine (Trade 123456)</t>
  </si>
  <si>
    <t xml:space="preserve">36 combinations: 12 (Risk Class x LH bucket) combos from LH_NPV_Engine, each run 3 ways: Current Full Set (all curves in scope for that class/LH, current-period shocks), Current Reduced Set (same class/LH combo intersected with the Reduced Set {SOFR, Treasury, Agency_FNMA, EURUSD, Sabr_Swaption}, current-period shocks), Stress Reduced Set (same reduced intersection, 2008 stress-period shocks). ESTRN and Eur_Govt are excluded (held at BASE) whenever the Reduced Set applies, even if the class/LH combo would otherwise include them. Same illustrative pricer as NPV_Engine.</t>
  </si>
  <si>
    <t xml:space="preserve">Current Full Set — Credit LH10 — Full-Reval NPV</t>
  </si>
  <si>
    <t xml:space="preserve">Shocked (current period): Agency_FNMA, Eur_Govt, Treasury</t>
  </si>
  <si>
    <t xml:space="preserve">Current Full Set — Credit LH20 — Full-Reval NPV</t>
  </si>
  <si>
    <t xml:space="preserve">Current Full Set — Credit LH40 — Full-Reval NPV</t>
  </si>
  <si>
    <t xml:space="preserve">Shocked (current period): Agency_FNMA</t>
  </si>
  <si>
    <t xml:space="preserve">Current Full Set — IR LH10 — Full-Reval NPV</t>
  </si>
  <si>
    <t xml:space="preserve">Shocked (current period): ESTRN, SOFR, Swaption</t>
  </si>
  <si>
    <t xml:space="preserve">Current Full Set — IR LH20 — Full-Reval NPV</t>
  </si>
  <si>
    <t xml:space="preserve">Shocked (current period): Swaption</t>
  </si>
  <si>
    <t xml:space="preserve">Current Full Set — IR LH40 — Full-Reval NPV</t>
  </si>
  <si>
    <t xml:space="preserve">Current Full Set — IR LH60 — Full-Reval NPV</t>
  </si>
  <si>
    <t xml:space="preserve">Current Full Set — FX LH10 — Full-Reval NPV</t>
  </si>
  <si>
    <t xml:space="preserve">Shocked (current period): EURUSD</t>
  </si>
  <si>
    <t xml:space="preserve">Current Full Set — Cross LH10 — Full-Reval NPV</t>
  </si>
  <si>
    <t xml:space="preserve">Shocked (current period): Agency_FNMA, ESTRN, EURUSD, Eur_Govt, SOFR, Swaption, Treasury</t>
  </si>
  <si>
    <t xml:space="preserve">Current Full Set — Cross LH20 — Full-Reval NPV</t>
  </si>
  <si>
    <t xml:space="preserve">Shocked (current period): Agency_FNMA, Eur_Govt, Swaption, Treasury</t>
  </si>
  <si>
    <t xml:space="preserve">Current Full Set — Cross LH40 — Full-Reval NPV</t>
  </si>
  <si>
    <t xml:space="preserve">Shocked (current period): Agency_FNMA, Swaption</t>
  </si>
  <si>
    <t xml:space="preserve">Current Full Set — Cross LH60 — Full-Reval NPV</t>
  </si>
  <si>
    <t xml:space="preserve">Current Reduced Set — Credit LH10 — Full-Reval NPV</t>
  </si>
  <si>
    <t xml:space="preserve">Shocked (current period): Agency_FNMA, Treasury</t>
  </si>
  <si>
    <t xml:space="preserve">Current Reduced Set — Credit LH20 — Full-Reval NPV</t>
  </si>
  <si>
    <t xml:space="preserve">Current Reduced Set — Credit LH40 — Full-Reval NPV</t>
  </si>
  <si>
    <t xml:space="preserve">Current Reduced Set — IR LH10 — Full-Reval NPV</t>
  </si>
  <si>
    <t xml:space="preserve">Shocked (current period): SOFR, Swaption</t>
  </si>
  <si>
    <t xml:space="preserve">Current Reduced Set — IR LH20 — Full-Reval NPV</t>
  </si>
  <si>
    <t xml:space="preserve">Current Reduced Set — IR LH40 — Full-Reval NPV</t>
  </si>
  <si>
    <t xml:space="preserve">Current Reduced Set — IR LH60 — Full-Reval NPV</t>
  </si>
  <si>
    <t xml:space="preserve">Current Reduced Set — FX LH10 — Full-Reval NPV</t>
  </si>
  <si>
    <t xml:space="preserve">Current Reduced Set — Cross LH10 — Full-Reval NPV</t>
  </si>
  <si>
    <t xml:space="preserve">Shocked (current period): Agency_FNMA, EURUSD, SOFR, Swaption, Treasury</t>
  </si>
  <si>
    <t xml:space="preserve">Current Reduced Set — Cross LH20 — Full-Reval NPV</t>
  </si>
  <si>
    <t xml:space="preserve">Shocked (current period): Agency_FNMA, Swaption, Treasury</t>
  </si>
  <si>
    <t xml:space="preserve">Current Reduced Set — Cross LH40 — Full-Reval NPV</t>
  </si>
  <si>
    <t xml:space="preserve">Current Reduced Set — Cross LH60 — Full-Reval NPV</t>
  </si>
  <si>
    <t xml:space="preserve">Stress Reduced Set — Credit LH10 — Full-Reval NPV</t>
  </si>
  <si>
    <t xml:space="preserve">Shocked (stress period): Agency_FNMA, Treasury</t>
  </si>
  <si>
    <t xml:space="preserve">Stress Reduced Set — Credit LH20 — Full-Reval NPV</t>
  </si>
  <si>
    <t xml:space="preserve">Stress Reduced Set — Credit LH40 — Full-Reval NPV</t>
  </si>
  <si>
    <t xml:space="preserve">Shocked (stress period): Agency_FNMA</t>
  </si>
  <si>
    <t xml:space="preserve">Stress Reduced Set — IR LH10 — Full-Reval NPV</t>
  </si>
  <si>
    <t xml:space="preserve">Shocked (stress period): SOFR, Swaption</t>
  </si>
  <si>
    <t xml:space="preserve">Stress Reduced Set — IR LH20 — Full-Reval NPV</t>
  </si>
  <si>
    <t xml:space="preserve">Shocked (stress period): Swaption</t>
  </si>
  <si>
    <t xml:space="preserve">Stress Reduced Set — IR LH40 — Full-Reval NPV</t>
  </si>
  <si>
    <t xml:space="preserve">Stress Reduced Set — IR LH60 — Full-Reval NPV</t>
  </si>
  <si>
    <t xml:space="preserve">Stress Reduced Set — FX LH10 — Full-Reval NPV</t>
  </si>
  <si>
    <t xml:space="preserve">Shocked (stress period): EURUSD</t>
  </si>
  <si>
    <t xml:space="preserve">Stress Reduced Set — Cross LH10 — Full-Reval NPV</t>
  </si>
  <si>
    <t xml:space="preserve">Shocked (stress period): Agency_FNMA, EURUSD, SOFR, Swaption, Treasury</t>
  </si>
  <si>
    <t xml:space="preserve">Stress Reduced Set — Cross LH20 — Full-Reval NPV</t>
  </si>
  <si>
    <t xml:space="preserve">Shocked (stress period): Agency_FNMA, Swaption, Treasury</t>
  </si>
  <si>
    <t xml:space="preserve">Stress Reduced Set — Cross LH40 — Full-Reval NPV</t>
  </si>
  <si>
    <t xml:space="preserve">Shocked (stress period): Agency_FNMA, Swaption</t>
  </si>
  <si>
    <t xml:space="preserve">Stress Reduced Set — Cross LH60 — Full-Reval NPV</t>
  </si>
  <si>
    <t xml:space="preserve">Risk Class x Liquidity Horizon x Full/Reduced Set PnL Vectors (Trade 123456) — 36 PnL Vectors</t>
  </si>
  <si>
    <t xml:space="preserve">Same 12 (Risk Class x LH) columns as LH_PnL_Summary, stacked three times: Current Full Set (current-period shocks, no set restriction), Current Reduced Set (current-period shocks, curves restricted to {SOFR, Treasury, Agency_FNMA, EURUSD, Sabr_Swaption}), Stress Reduced Set (2008 stress-period shocks, same reduced-set restriction). Same scenario index #1-10 across all three blocks, not calendar-matched.</t>
  </si>
  <si>
    <t xml:space="preserve">Current Full Set</t>
  </si>
  <si>
    <t xml:space="preserve">Current Reduced Set</t>
  </si>
  <si>
    <t xml:space="preserve">Stress Reduced Set</t>
  </si>
  <si>
    <t xml:space="preserve">Stressed ES (SES) Scaling by Risk Class x Liquidity Horizon — Basel MAR31-style</t>
  </si>
  <si>
    <t xml:space="preserve">SES = [ES(Reduced,Stress) / ES(Reduced,Current)] x ES(Full,Current), computed independently for each (Risk Class, LH bucket) combo.</t>
  </si>
  <si>
    <t xml:space="preserve">Class / LH</t>
  </si>
  <si>
    <t xml:space="preserve">ES(Reduced,Stress)</t>
  </si>
  <si>
    <t xml:space="preserve">ES(Reduced,Current)</t>
  </si>
  <si>
    <t xml:space="preserve">Scaling Ratio</t>
  </si>
  <si>
    <t xml:space="preserve">ES(Full,Current)</t>
  </si>
  <si>
    <t xml:space="preserve">Final Scaled ES (SES)</t>
  </si>
  <si>
    <t xml:space="preserve">Credit LH40, IR LH20/40/60, FX LH10, Cross LH40/60 combos reduce to the same curve(s) under Full and Reduced set (Agency_FNMA, Swaption, or EURUSD are all already inside the Reduced Set) — for those rows Final Scaled ES reproduces ES(Reduced,Stress) exactly, a built-in consistency check. Rows that diverge (Credit LH10/20, IR LH10, Cross LH10/20) are where the excluded curves (ESTRN, Eur_Govt) actually matter.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</si>
</sst>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000"/>
    <numFmt numFmtId="166" formatCode="0.0000"/>
    <numFmt numFmtId="167" formatCode="0.0"/>
    <numFmt numFmtId="168" formatCode="0.00"/>
    <numFmt numFmtId="169" formatCode="0.000"/>
    <numFmt numFmtId="170" formatCode="#,##0"/>
    <numFmt numFmtId="171" formatCode="#,##0.00"/>
    <numFmt numFmtId="172" formatCode="#,##0.00;\(#,##0.00\)"/>
    <numFmt numFmtId="173" formatCode="0"/>
    <numFmt numFmtId="174" formatCode="#,##0.00;\(#,##0.00\)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0080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8"/>
      <color rgb="FF808080"/>
      <name val="Arial"/>
      <family val="0"/>
      <charset val="1"/>
    </font>
    <font>
      <sz val="11"/>
      <color rgb="FFA6A6A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9DC3E6"/>
        <bgColor rgb="FFBFBFBF"/>
      </patternFill>
    </fill>
    <fill>
      <patternFill patternType="solid">
        <fgColor rgb="FF1F6B3A"/>
        <bgColor rgb="FF375623"/>
      </patternFill>
    </fill>
    <fill>
      <patternFill patternType="solid">
        <fgColor rgb="FFD9E2F3"/>
        <bgColor rgb="FFD9D9D9"/>
      </patternFill>
    </fill>
    <fill>
      <patternFill patternType="solid">
        <fgColor rgb="FFC00000"/>
        <bgColor rgb="FF800000"/>
      </patternFill>
    </fill>
    <fill>
      <patternFill patternType="solid">
        <fgColor rgb="FF1F4E78"/>
        <bgColor rgb="FF1F3864"/>
      </patternFill>
    </fill>
    <fill>
      <patternFill patternType="solid">
        <fgColor rgb="FF806000"/>
        <bgColor rgb="FF993300"/>
      </patternFill>
    </fill>
    <fill>
      <patternFill patternType="solid">
        <fgColor rgb="FF375623"/>
        <bgColor rgb="FF1F6B3A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1F6B3A"/>
      <rgbColor rgb="FFBFBFBF"/>
      <rgbColor rgb="FF808080"/>
      <rgbColor rgb="FFA6A6A6"/>
      <rgbColor rgb="FFBE4B48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B3B3B3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1F3864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Full-Reval PnL Vectors by Risk Class (Trade 123456)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PnL_Summary!B4</c:f>
              <c:strCache>
                <c:ptCount val="1"/>
                <c:pt idx="0">
                  <c:v>Cross PnL (USD)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PnL_Summary!$B$5:$B$14</c:f>
              <c:numCache>
                <c:formatCode>#,##0.00;\(#,##0.00\)</c:formatCode>
                <c:ptCount val="10"/>
                <c:pt idx="0">
                  <c:v>-36924.5838805307</c:v>
                </c:pt>
                <c:pt idx="1">
                  <c:v>-22419.874383755</c:v>
                </c:pt>
                <c:pt idx="2">
                  <c:v>-48109.2334980071</c:v>
                </c:pt>
                <c:pt idx="3">
                  <c:v>-28235.3486086223</c:v>
                </c:pt>
                <c:pt idx="4">
                  <c:v>-94989.218774261</c:v>
                </c:pt>
                <c:pt idx="5">
                  <c:v>-96303.0137668867</c:v>
                </c:pt>
                <c:pt idx="6">
                  <c:v>-83510.6560241785</c:v>
                </c:pt>
                <c:pt idx="7">
                  <c:v>-7632.24099958688</c:v>
                </c:pt>
                <c:pt idx="8">
                  <c:v>-137424.496606329</c:v>
                </c:pt>
                <c:pt idx="9">
                  <c:v>49784.5686824136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PnL_Summary!C4</c:f>
              <c:strCache>
                <c:ptCount val="1"/>
                <c:pt idx="0">
                  <c:v>IR PnL (USD)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PnL_Summary!$C$5:$C$14</c:f>
              <c:numCache>
                <c:formatCode>#,##0.00;\(#,##0.00\)</c:formatCode>
                <c:ptCount val="10"/>
                <c:pt idx="0">
                  <c:v>21890.9453293066</c:v>
                </c:pt>
                <c:pt idx="1">
                  <c:v>37069.4184338767</c:v>
                </c:pt>
                <c:pt idx="2">
                  <c:v>23102.2120348606</c:v>
                </c:pt>
                <c:pt idx="3">
                  <c:v>26652.7172415666</c:v>
                </c:pt>
                <c:pt idx="4">
                  <c:v>7336.63403604738</c:v>
                </c:pt>
                <c:pt idx="5">
                  <c:v>8648.4871593453</c:v>
                </c:pt>
                <c:pt idx="6">
                  <c:v>31871.9643237777</c:v>
                </c:pt>
                <c:pt idx="7">
                  <c:v>100220.854355633</c:v>
                </c:pt>
                <c:pt idx="8">
                  <c:v>25251.2994294968</c:v>
                </c:pt>
                <c:pt idx="9">
                  <c:v>136739.702052264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PnL_Summary!D4</c:f>
              <c:strCache>
                <c:ptCount val="1"/>
                <c:pt idx="0">
                  <c:v>Credit PnL (USD)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PnL_Summary!$D$5:$D$14</c:f>
              <c:numCache>
                <c:formatCode>#,##0.00;\(#,##0.00\)</c:formatCode>
                <c:ptCount val="10"/>
                <c:pt idx="0">
                  <c:v>-37825.7968787812</c:v>
                </c:pt>
                <c:pt idx="1">
                  <c:v>-31272.0955403186</c:v>
                </c:pt>
                <c:pt idx="2">
                  <c:v>-40575.5706020817</c:v>
                </c:pt>
                <c:pt idx="3">
                  <c:v>-70797.3185566664</c:v>
                </c:pt>
                <c:pt idx="4">
                  <c:v>-64115.106465783</c:v>
                </c:pt>
                <c:pt idx="5">
                  <c:v>-85953.2132942695</c:v>
                </c:pt>
                <c:pt idx="6">
                  <c:v>-71497.4993748292</c:v>
                </c:pt>
                <c:pt idx="7">
                  <c:v>-102631.983082671</c:v>
                </c:pt>
                <c:pt idx="8">
                  <c:v>-112317.633996386</c:v>
                </c:pt>
                <c:pt idx="9">
                  <c:v>-31613.8690954633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PnL_Summary!E4</c:f>
              <c:strCache>
                <c:ptCount val="1"/>
                <c:pt idx="0">
                  <c:v>FX PnL (USD)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PnL_Summary!$E$5:$E$14</c:f>
              <c:numCache>
                <c:formatCode>#,##0.00;\(#,##0.00\)</c:formatCode>
                <c:ptCount val="10"/>
                <c:pt idx="0">
                  <c:v>-20938.4394061528</c:v>
                </c:pt>
                <c:pt idx="1">
                  <c:v>-28079.8877904695</c:v>
                </c:pt>
                <c:pt idx="2">
                  <c:v>-30594.2422538474</c:v>
                </c:pt>
                <c:pt idx="3">
                  <c:v>16180.4484719206</c:v>
                </c:pt>
                <c:pt idx="4">
                  <c:v>-38388.9287798144</c:v>
                </c:pt>
                <c:pt idx="5">
                  <c:v>-19074.5800839607</c:v>
                </c:pt>
                <c:pt idx="6">
                  <c:v>-43829.766838355</c:v>
                </c:pt>
                <c:pt idx="7">
                  <c:v>-4151.55194514617</c:v>
                </c:pt>
                <c:pt idx="8">
                  <c:v>-50522.4328916892</c:v>
                </c:pt>
                <c:pt idx="9">
                  <c:v>-54299.2695993483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4422199"/>
        <c:axId val="16287387"/>
      </c:lineChart>
      <c:catAx>
        <c:axId val="24422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87387"/>
        <c:crosses val="autoZero"/>
        <c:auto val="1"/>
        <c:lblAlgn val="ctr"/>
        <c:lblOffset val="100"/>
        <c:noMultiLvlLbl val="0"/>
      </c:catAx>
      <c:valAx>
        <c:axId val="16287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PnL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221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PnL Vectors by Liquidity Horizon Bucket (Trade 123456)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LH_PnL_Summary!B4</c:f>
              <c:strCache>
                <c:ptCount val="1"/>
                <c:pt idx="0">
                  <c:v>Credit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LH_PnL_Summary!$B$5:$B$14</c:f>
              <c:numCache>
                <c:formatCode>#,##0.00;\(#,##0.00\)</c:formatCode>
                <c:ptCount val="10"/>
                <c:pt idx="0">
                  <c:v>-37825.7968787812</c:v>
                </c:pt>
                <c:pt idx="1">
                  <c:v>-31272.0955403186</c:v>
                </c:pt>
                <c:pt idx="2">
                  <c:v>-40575.5706020817</c:v>
                </c:pt>
                <c:pt idx="3">
                  <c:v>-70797.3185566664</c:v>
                </c:pt>
                <c:pt idx="4">
                  <c:v>-64115.106465783</c:v>
                </c:pt>
                <c:pt idx="5">
                  <c:v>-85953.2132942695</c:v>
                </c:pt>
                <c:pt idx="6">
                  <c:v>-71497.4993748292</c:v>
                </c:pt>
                <c:pt idx="7">
                  <c:v>-102631.983082671</c:v>
                </c:pt>
                <c:pt idx="8">
                  <c:v>-112317.633996386</c:v>
                </c:pt>
                <c:pt idx="9">
                  <c:v>-31613.8690954633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LH_PnL_Summary!C4</c:f>
              <c:strCache>
                <c:ptCount val="1"/>
                <c:pt idx="0">
                  <c:v>Credit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LH_PnL_Summary!$C$5:$C$14</c:f>
              <c:numCache>
                <c:formatCode>#,##0.00;\(#,##0.00\)</c:formatCode>
                <c:ptCount val="10"/>
                <c:pt idx="0">
                  <c:v>-37825.7968787812</c:v>
                </c:pt>
                <c:pt idx="1">
                  <c:v>-31272.0955403186</c:v>
                </c:pt>
                <c:pt idx="2">
                  <c:v>-40575.5706020817</c:v>
                </c:pt>
                <c:pt idx="3">
                  <c:v>-70797.3185566664</c:v>
                </c:pt>
                <c:pt idx="4">
                  <c:v>-64115.106465783</c:v>
                </c:pt>
                <c:pt idx="5">
                  <c:v>-85953.2132942695</c:v>
                </c:pt>
                <c:pt idx="6">
                  <c:v>-71497.4993748292</c:v>
                </c:pt>
                <c:pt idx="7">
                  <c:v>-102631.983082671</c:v>
                </c:pt>
                <c:pt idx="8">
                  <c:v>-112317.633996386</c:v>
                </c:pt>
                <c:pt idx="9">
                  <c:v>-31613.8690954633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LH_PnL_Summary!D4</c:f>
              <c:strCache>
                <c:ptCount val="1"/>
                <c:pt idx="0">
                  <c:v>Credit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LH_PnL_Summary!$D$5:$D$14</c:f>
              <c:numCache>
                <c:formatCode>#,##0.00;\(#,##0.00\)</c:formatCode>
                <c:ptCount val="10"/>
                <c:pt idx="0">
                  <c:v>-18625.5113925245</c:v>
                </c:pt>
                <c:pt idx="1">
                  <c:v>-9357.11854015105</c:v>
                </c:pt>
                <c:pt idx="2">
                  <c:v>-4287.64054781012</c:v>
                </c:pt>
                <c:pt idx="3">
                  <c:v>-28881.7339678481</c:v>
                </c:pt>
                <c:pt idx="4">
                  <c:v>-31849.1487018373</c:v>
                </c:pt>
                <c:pt idx="5">
                  <c:v>-34723.0382536892</c:v>
                </c:pt>
                <c:pt idx="6">
                  <c:v>-15945.1017022412</c:v>
                </c:pt>
                <c:pt idx="7">
                  <c:v>-41840.4365078956</c:v>
                </c:pt>
                <c:pt idx="8">
                  <c:v>-46046.04162395</c:v>
                </c:pt>
                <c:pt idx="9">
                  <c:v>-22142.269533867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LH_PnL_Summary!E4</c:f>
              <c:strCache>
                <c:ptCount val="1"/>
                <c:pt idx="0">
                  <c:v>IR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LH_PnL_Summary!$E$5:$E$14</c:f>
              <c:numCache>
                <c:formatCode>#,##0.00;\(#,##0.00\)</c:formatCode>
                <c:ptCount val="10"/>
                <c:pt idx="0">
                  <c:v>21890.9453293066</c:v>
                </c:pt>
                <c:pt idx="1">
                  <c:v>37069.4184338767</c:v>
                </c:pt>
                <c:pt idx="2">
                  <c:v>23102.2120348606</c:v>
                </c:pt>
                <c:pt idx="3">
                  <c:v>26652.7172415666</c:v>
                </c:pt>
                <c:pt idx="4">
                  <c:v>7336.63403604738</c:v>
                </c:pt>
                <c:pt idx="5">
                  <c:v>8648.4871593453</c:v>
                </c:pt>
                <c:pt idx="6">
                  <c:v>31871.9643237777</c:v>
                </c:pt>
                <c:pt idx="7">
                  <c:v>100220.854355633</c:v>
                </c:pt>
                <c:pt idx="8">
                  <c:v>25251.2994294968</c:v>
                </c:pt>
                <c:pt idx="9">
                  <c:v>136739.702052264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LH_PnL_Summary!F4</c:f>
              <c:strCache>
                <c:ptCount val="1"/>
                <c:pt idx="0">
                  <c:v>IR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LH_PnL_Summary!$F$5:$F$14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LH_PnL_Summary!G4</c:f>
              <c:strCache>
                <c:ptCount val="1"/>
                <c:pt idx="0">
                  <c:v>IR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LH_PnL_Summary!$G$5:$G$14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LH_PnL_Summary!H4</c:f>
              <c:strCache>
                <c:ptCount val="1"/>
                <c:pt idx="0">
                  <c:v>IR LH60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LH_PnL_Summary!$H$5:$H$14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LH_PnL_Summary!I4</c:f>
              <c:strCache>
                <c:ptCount val="1"/>
                <c:pt idx="0">
                  <c:v>FX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LH_PnL_Summary!$I$5:$I$14</c:f>
              <c:numCache>
                <c:formatCode>#,##0.00;\(#,##0.00\)</c:formatCode>
                <c:ptCount val="10"/>
                <c:pt idx="0">
                  <c:v>-20938.4394061528</c:v>
                </c:pt>
                <c:pt idx="1">
                  <c:v>-28079.8877904695</c:v>
                </c:pt>
                <c:pt idx="2">
                  <c:v>-30594.2422538474</c:v>
                </c:pt>
                <c:pt idx="3">
                  <c:v>16180.4484719206</c:v>
                </c:pt>
                <c:pt idx="4">
                  <c:v>-38388.9287798144</c:v>
                </c:pt>
                <c:pt idx="5">
                  <c:v>-19074.5800839607</c:v>
                </c:pt>
                <c:pt idx="6">
                  <c:v>-43829.766838355</c:v>
                </c:pt>
                <c:pt idx="7">
                  <c:v>-4151.55194514617</c:v>
                </c:pt>
                <c:pt idx="8">
                  <c:v>-50522.4328916892</c:v>
                </c:pt>
                <c:pt idx="9">
                  <c:v>-54299.2695993483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LH_PnL_Summary!J4</c:f>
              <c:strCache>
                <c:ptCount val="1"/>
                <c:pt idx="0">
                  <c:v>Cross LH10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LH_PnL_Summary!$J$5:$J$14</c:f>
              <c:numCache>
                <c:formatCode>#,##0.00;\(#,##0.00\)</c:formatCode>
                <c:ptCount val="10"/>
                <c:pt idx="0">
                  <c:v>-36924.5838805307</c:v>
                </c:pt>
                <c:pt idx="1">
                  <c:v>-22419.874383755</c:v>
                </c:pt>
                <c:pt idx="2">
                  <c:v>-48109.2334980071</c:v>
                </c:pt>
                <c:pt idx="3">
                  <c:v>-28235.3486086223</c:v>
                </c:pt>
                <c:pt idx="4">
                  <c:v>-94989.218774261</c:v>
                </c:pt>
                <c:pt idx="5">
                  <c:v>-96303.0137668867</c:v>
                </c:pt>
                <c:pt idx="6">
                  <c:v>-83510.6560241785</c:v>
                </c:pt>
                <c:pt idx="7">
                  <c:v>-7632.24099958688</c:v>
                </c:pt>
                <c:pt idx="8">
                  <c:v>-137424.496606329</c:v>
                </c:pt>
                <c:pt idx="9">
                  <c:v>49784.5686824136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LH_PnL_Summary!K4</c:f>
              <c:strCache>
                <c:ptCount val="1"/>
                <c:pt idx="0">
                  <c:v>Cross LH20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LH_PnL_Summary!$K$5:$K$14</c:f>
              <c:numCache>
                <c:formatCode>#,##0.00;\(#,##0.00\)</c:formatCode>
                <c:ptCount val="10"/>
                <c:pt idx="0">
                  <c:v>-5511.30955761857</c:v>
                </c:pt>
                <c:pt idx="1">
                  <c:v>9555.22013039514</c:v>
                </c:pt>
                <c:pt idx="2">
                  <c:v>-1419.11736409552</c:v>
                </c:pt>
                <c:pt idx="3">
                  <c:v>-4125.83825619519</c:v>
                </c:pt>
                <c:pt idx="4">
                  <c:v>-12363.8623383865</c:v>
                </c:pt>
                <c:pt idx="5">
                  <c:v>-28152.3085807282</c:v>
                </c:pt>
                <c:pt idx="6">
                  <c:v>14022.6278495267</c:v>
                </c:pt>
                <c:pt idx="7">
                  <c:v>-30026.7705726344</c:v>
                </c:pt>
                <c:pt idx="8">
                  <c:v>-26516.4711611811</c:v>
                </c:pt>
                <c:pt idx="9">
                  <c:v>71561.2354308106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LH_PnL_Summary!L4</c:f>
              <c:strCache>
                <c:ptCount val="1"/>
                <c:pt idx="0">
                  <c:v>Cross LH40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LH_PnL_Summary!$L$5:$L$14</c:f>
              <c:numCache>
                <c:formatCode>#,##0.00;\(#,##0.00\)</c:formatCode>
                <c:ptCount val="10"/>
                <c:pt idx="0">
                  <c:v>13753.8385078348</c:v>
                </c:pt>
                <c:pt idx="1">
                  <c:v>31563.6695868429</c:v>
                </c:pt>
                <c:pt idx="2">
                  <c:v>35017.399296293</c:v>
                </c:pt>
                <c:pt idx="3">
                  <c:v>38082.906146368</c:v>
                </c:pt>
                <c:pt idx="4">
                  <c:v>20077.1404779777</c:v>
                </c:pt>
                <c:pt idx="5">
                  <c:v>23388.9953378513</c:v>
                </c:pt>
                <c:pt idx="6">
                  <c:v>70073.4413881004</c:v>
                </c:pt>
                <c:pt idx="7">
                  <c:v>31229.3475238495</c:v>
                </c:pt>
                <c:pt idx="8">
                  <c:v>40354.2292437516</c:v>
                </c:pt>
                <c:pt idx="9">
                  <c:v>81134.9302484077</c:v>
                </c:pt>
              </c:numCache>
            </c:numRef>
          </c:val>
          <c:smooth val="1"/>
        </c:ser>
        <c:ser>
          <c:idx val="11"/>
          <c:order val="11"/>
          <c:tx>
            <c:strRef>
              <c:f>LH_PnL_Summary!M4</c:f>
              <c:strCache>
                <c:ptCount val="1"/>
                <c:pt idx="0">
                  <c:v>Cross LH60 PnL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LH_PnL_Summary!$A$5:$A$14</c:f>
              <c:strCache>
                <c:ptCount val="10"/>
                <c:pt idx="0">
                  <c:v>Scenario 1</c:v>
                </c:pt>
                <c:pt idx="1">
                  <c:v>Scenario 2</c:v>
                </c:pt>
                <c:pt idx="2">
                  <c:v>Scenario 3</c:v>
                </c:pt>
                <c:pt idx="3">
                  <c:v>Scenario 4</c:v>
                </c:pt>
                <c:pt idx="4">
                  <c:v>Scenario 5</c:v>
                </c:pt>
                <c:pt idx="5">
                  <c:v>Scenario 6</c:v>
                </c:pt>
                <c:pt idx="6">
                  <c:v>Scenario 7</c:v>
                </c:pt>
                <c:pt idx="7">
                  <c:v>Scenario 8</c:v>
                </c:pt>
                <c:pt idx="8">
                  <c:v>Scenario 9</c:v>
                </c:pt>
                <c:pt idx="9">
                  <c:v>Scenario 10</c:v>
                </c:pt>
              </c:strCache>
            </c:strRef>
          </c:cat>
          <c:val>
            <c:numRef>
              <c:f>LH_PnL_Summary!$M$5:$M$14</c:f>
              <c:numCache>
                <c:formatCode>#,##0.00;\(#,##0.00\)</c:formatCode>
                <c:ptCount val="10"/>
                <c:pt idx="0">
                  <c:v>32442.2707724832</c:v>
                </c:pt>
                <c:pt idx="1">
                  <c:v>40960.6984063257</c:v>
                </c:pt>
                <c:pt idx="2">
                  <c:v>39322.5962590408</c:v>
                </c:pt>
                <c:pt idx="3">
                  <c:v>67166.640487913</c:v>
                </c:pt>
                <c:pt idx="4">
                  <c:v>52099.0730142444</c:v>
                </c:pt>
                <c:pt idx="5">
                  <c:v>58322.9120420646</c:v>
                </c:pt>
                <c:pt idx="6">
                  <c:v>86161.6024722252</c:v>
                </c:pt>
                <c:pt idx="7">
                  <c:v>73389.5303838719</c:v>
                </c:pt>
                <c:pt idx="8">
                  <c:v>86816.5360035468</c:v>
                </c:pt>
                <c:pt idx="9">
                  <c:v>103515.873372922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39282"/>
        <c:axId val="51236614"/>
      </c:lineChart>
      <c:catAx>
        <c:axId val="928392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36614"/>
        <c:crosses val="autoZero"/>
        <c:auto val="1"/>
        <c:lblAlgn val="ctr"/>
        <c:lblOffset val="100"/>
        <c:noMultiLvlLbl val="0"/>
      </c:catAx>
      <c:valAx>
        <c:axId val="512366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PnL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\(#,##0.00\)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39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10080</xdr:rowOff>
    </xdr:from>
    <xdr:to>
      <xdr:col>8</xdr:col>
      <xdr:colOff>580680</xdr:colOff>
      <xdr:row>40</xdr:row>
      <xdr:rowOff>153360</xdr:rowOff>
    </xdr:to>
    <xdr:graphicFrame>
      <xdr:nvGraphicFramePr>
        <xdr:cNvPr id="0" name="Chart 1"/>
        <xdr:cNvGraphicFramePr/>
      </xdr:nvGraphicFramePr>
      <xdr:xfrm>
        <a:off x="0" y="4467960"/>
        <a:ext cx="9509400" cy="395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10080</xdr:rowOff>
    </xdr:from>
    <xdr:to>
      <xdr:col>8</xdr:col>
      <xdr:colOff>970200</xdr:colOff>
      <xdr:row>42</xdr:row>
      <xdr:rowOff>137160</xdr:rowOff>
    </xdr:to>
    <xdr:graphicFrame>
      <xdr:nvGraphicFramePr>
        <xdr:cNvPr id="1" name="Chart 1"/>
        <xdr:cNvGraphicFramePr/>
      </xdr:nvGraphicFramePr>
      <xdr:xfrm>
        <a:off x="0" y="4620240"/>
        <a:ext cx="9357840" cy="431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0"/>
  </cols>
  <sheetData>
    <row r="2" customFormat="false" ht="18" hidden="false" customHeight="true" outlineLevel="0" collapsed="false">
      <c r="B2" s="2" t="s">
        <v>0</v>
      </c>
    </row>
    <row r="3" customFormat="false" ht="30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45" hidden="false" customHeight="true" outlineLevel="0" collapsed="false">
      <c r="B6" s="5" t="s">
        <v>3</v>
      </c>
    </row>
    <row r="8" customFormat="false" ht="15" hidden="false" customHeight="true" outlineLevel="0" collapsed="false">
      <c r="B8" s="4" t="s">
        <v>4</v>
      </c>
    </row>
    <row r="9" customFormat="false" ht="45" hidden="false" customHeight="true" outlineLevel="0" collapsed="false">
      <c r="B9" s="5" t="s">
        <v>5</v>
      </c>
    </row>
    <row r="11" customFormat="false" ht="15" hidden="false" customHeight="true" outlineLevel="0" collapsed="false">
      <c r="B11" s="4" t="s">
        <v>6</v>
      </c>
    </row>
    <row r="12" customFormat="false" ht="45" hidden="false" customHeight="true" outlineLevel="0" collapsed="false">
      <c r="B12" s="5" t="s">
        <v>7</v>
      </c>
    </row>
    <row r="14" customFormat="false" ht="15" hidden="false" customHeight="true" outlineLevel="0" collapsed="false">
      <c r="B14" s="4" t="s">
        <v>8</v>
      </c>
    </row>
    <row r="15" customFormat="false" ht="45" hidden="false" customHeight="true" outlineLevel="0" collapsed="false">
      <c r="B15" s="5" t="s">
        <v>9</v>
      </c>
    </row>
    <row r="17" customFormat="false" ht="15" hidden="false" customHeight="true" outlineLevel="0" collapsed="false">
      <c r="B17" s="4" t="s">
        <v>10</v>
      </c>
    </row>
    <row r="18" customFormat="false" ht="45" hidden="false" customHeight="true" outlineLevel="0" collapsed="false">
      <c r="B18" s="5" t="s">
        <v>11</v>
      </c>
    </row>
    <row r="20" customFormat="false" ht="15" hidden="false" customHeight="true" outlineLevel="0" collapsed="false">
      <c r="B20" s="4" t="s">
        <v>12</v>
      </c>
    </row>
    <row r="21" customFormat="false" ht="45" hidden="false" customHeight="true" outlineLevel="0" collapsed="false">
      <c r="B21" s="5" t="s">
        <v>13</v>
      </c>
    </row>
    <row r="23" customFormat="false" ht="15" hidden="false" customHeight="true" outlineLevel="0" collapsed="false">
      <c r="B23" s="4" t="s">
        <v>14</v>
      </c>
    </row>
    <row r="24" customFormat="false" ht="45" hidden="false" customHeight="true" outlineLevel="0" collapsed="false">
      <c r="B24" s="5" t="s">
        <v>15</v>
      </c>
    </row>
    <row r="26" customFormat="false" ht="15" hidden="false" customHeight="true" outlineLevel="0" collapsed="false">
      <c r="B26" s="4" t="s">
        <v>16</v>
      </c>
    </row>
    <row r="27" customFormat="false" ht="45" hidden="false" customHeight="true" outlineLevel="0" collapsed="false">
      <c r="B27" s="5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30"/>
    <col collapsed="false" customWidth="true" hidden="false" outlineLevel="0" max="4" min="4" style="1" width="22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6" t="s">
        <v>18</v>
      </c>
    </row>
    <row r="3" customFormat="false" ht="15" hidden="false" customHeight="true" outlineLevel="0" collapsed="false">
      <c r="A3" s="4" t="s">
        <v>19</v>
      </c>
      <c r="B3" s="7" t="s">
        <v>20</v>
      </c>
    </row>
    <row r="4" customFormat="false" ht="15" hidden="false" customHeight="true" outlineLevel="0" collapsed="false">
      <c r="A4" s="4" t="s">
        <v>21</v>
      </c>
      <c r="B4" s="7" t="s">
        <v>22</v>
      </c>
    </row>
    <row r="5" customFormat="false" ht="15" hidden="false" customHeight="true" outlineLevel="0" collapsed="false">
      <c r="A5" s="4" t="s">
        <v>23</v>
      </c>
      <c r="B5" s="7" t="s">
        <v>24</v>
      </c>
    </row>
    <row r="6" customFormat="false" ht="15" hidden="false" customHeight="true" outlineLevel="0" collapsed="false">
      <c r="A6" s="4" t="s">
        <v>25</v>
      </c>
      <c r="B6" s="7" t="n">
        <v>10</v>
      </c>
    </row>
    <row r="7" customFormat="false" ht="15" hidden="false" customHeight="true" outlineLevel="0" collapsed="false">
      <c r="A7" s="4" t="s">
        <v>26</v>
      </c>
      <c r="B7" s="7" t="n">
        <v>10000000</v>
      </c>
    </row>
    <row r="8" customFormat="false" ht="15" hidden="false" customHeight="true" outlineLevel="0" collapsed="false">
      <c r="A8" s="4" t="s">
        <v>27</v>
      </c>
      <c r="B8" s="7" t="s">
        <v>28</v>
      </c>
    </row>
    <row r="9" customFormat="false" ht="15" hidden="false" customHeight="true" outlineLevel="0" collapsed="false">
      <c r="A9" s="4" t="s">
        <v>29</v>
      </c>
      <c r="B9" s="7" t="s">
        <v>30</v>
      </c>
    </row>
    <row r="10" customFormat="false" ht="15" hidden="false" customHeight="true" outlineLevel="0" collapsed="false">
      <c r="A10" s="4" t="s">
        <v>31</v>
      </c>
      <c r="B10" s="7" t="s">
        <v>32</v>
      </c>
    </row>
    <row r="12" customFormat="false" ht="17.25" hidden="false" customHeight="true" outlineLevel="0" collapsed="false">
      <c r="A12" s="6" t="s">
        <v>33</v>
      </c>
    </row>
    <row r="13" customFormat="false" ht="15" hidden="false" customHeight="true" outlineLevel="0" collapsed="false">
      <c r="A13" s="8" t="s">
        <v>34</v>
      </c>
      <c r="B13" s="8" t="s">
        <v>35</v>
      </c>
      <c r="C13" s="8" t="s">
        <v>36</v>
      </c>
    </row>
    <row r="14" customFormat="false" ht="15" hidden="false" customHeight="true" outlineLevel="0" collapsed="false">
      <c r="A14" s="9" t="s">
        <v>37</v>
      </c>
      <c r="B14" s="9" t="s">
        <v>38</v>
      </c>
      <c r="C14" s="10" t="s">
        <v>39</v>
      </c>
    </row>
    <row r="15" customFormat="false" ht="15" hidden="false" customHeight="true" outlineLevel="0" collapsed="false">
      <c r="A15" s="9" t="s">
        <v>40</v>
      </c>
      <c r="B15" s="9" t="s">
        <v>38</v>
      </c>
      <c r="C15" s="10" t="s">
        <v>41</v>
      </c>
    </row>
    <row r="16" customFormat="false" ht="15" hidden="false" customHeight="true" outlineLevel="0" collapsed="false">
      <c r="A16" s="9" t="s">
        <v>42</v>
      </c>
      <c r="B16" s="9" t="s">
        <v>43</v>
      </c>
      <c r="C16" s="10" t="s">
        <v>44</v>
      </c>
    </row>
    <row r="17" customFormat="false" ht="15" hidden="false" customHeight="true" outlineLevel="0" collapsed="false">
      <c r="A17" s="9" t="s">
        <v>45</v>
      </c>
      <c r="B17" s="9" t="s">
        <v>38</v>
      </c>
      <c r="C17" s="10" t="s">
        <v>46</v>
      </c>
    </row>
    <row r="18" customFormat="false" ht="15" hidden="false" customHeight="true" outlineLevel="0" collapsed="false">
      <c r="A18" s="9" t="s">
        <v>47</v>
      </c>
      <c r="B18" s="9" t="s">
        <v>43</v>
      </c>
      <c r="C18" s="10" t="s">
        <v>48</v>
      </c>
    </row>
    <row r="19" customFormat="false" ht="15" hidden="false" customHeight="true" outlineLevel="0" collapsed="false">
      <c r="A19" s="9" t="s">
        <v>49</v>
      </c>
      <c r="B19" s="9" t="s">
        <v>50</v>
      </c>
      <c r="C19" s="10" t="s">
        <v>51</v>
      </c>
    </row>
    <row r="20" customFormat="false" ht="15" hidden="false" customHeight="true" outlineLevel="0" collapsed="false">
      <c r="A20" s="9" t="s">
        <v>52</v>
      </c>
      <c r="B20" s="9" t="s">
        <v>43</v>
      </c>
      <c r="C20" s="10" t="s">
        <v>53</v>
      </c>
    </row>
    <row r="22" customFormat="false" ht="15" hidden="false" customHeight="true" outlineLevel="0" collapsed="false">
      <c r="A22" s="11" t="s">
        <v>54</v>
      </c>
    </row>
    <row r="24" customFormat="false" ht="15" hidden="false" customHeight="true" outlineLevel="0" collapsed="false">
      <c r="A24" s="12" t="s">
        <v>55</v>
      </c>
      <c r="B24" s="12" t="s">
        <v>56</v>
      </c>
      <c r="C24" s="12" t="s">
        <v>57</v>
      </c>
      <c r="D24" s="12" t="s">
        <v>58</v>
      </c>
      <c r="E24" s="12" t="s">
        <v>59</v>
      </c>
    </row>
    <row r="25" customFormat="false" ht="15" hidden="false" customHeight="true" outlineLevel="0" collapsed="false">
      <c r="A25" s="13" t="s">
        <v>38</v>
      </c>
      <c r="B25" s="14" t="s">
        <v>60</v>
      </c>
      <c r="C25" s="14" t="s">
        <v>60</v>
      </c>
      <c r="D25" s="14" t="s">
        <v>61</v>
      </c>
      <c r="E25" s="14" t="s">
        <v>62</v>
      </c>
    </row>
    <row r="26" customFormat="false" ht="15" hidden="false" customHeight="true" outlineLevel="0" collapsed="false">
      <c r="A26" s="13" t="s">
        <v>43</v>
      </c>
      <c r="B26" s="14" t="s">
        <v>63</v>
      </c>
      <c r="C26" s="14" t="s">
        <v>64</v>
      </c>
      <c r="D26" s="14" t="s">
        <v>64</v>
      </c>
      <c r="E26" s="14" t="s">
        <v>64</v>
      </c>
    </row>
    <row r="27" customFormat="false" ht="15" hidden="false" customHeight="true" outlineLevel="0" collapsed="false">
      <c r="A27" s="13" t="s">
        <v>50</v>
      </c>
      <c r="B27" s="14" t="s">
        <v>49</v>
      </c>
      <c r="C27" s="14" t="s">
        <v>62</v>
      </c>
      <c r="D27" s="14" t="s">
        <v>62</v>
      </c>
      <c r="E27" s="14" t="s">
        <v>62</v>
      </c>
    </row>
    <row r="28" customFormat="false" ht="15" hidden="false" customHeight="true" outlineLevel="0" collapsed="false">
      <c r="A28" s="13" t="s">
        <v>65</v>
      </c>
      <c r="B28" s="14" t="s">
        <v>66</v>
      </c>
      <c r="C28" s="14" t="s">
        <v>67</v>
      </c>
      <c r="D28" s="14" t="s">
        <v>68</v>
      </c>
      <c r="E28" s="14" t="s">
        <v>64</v>
      </c>
    </row>
    <row r="30" customFormat="false" ht="21.75" hidden="false" customHeight="true" outlineLevel="0" collapsed="false">
      <c r="A30" s="15" t="s">
        <v>69</v>
      </c>
      <c r="B30" s="15"/>
      <c r="C30" s="15"/>
      <c r="D30" s="15"/>
      <c r="E30" s="15"/>
    </row>
  </sheetData>
  <mergeCells count="1"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11" min="3" style="1" width="11"/>
    <col collapsed="false" customWidth="true" hidden="false" outlineLevel="0" max="12" min="12" style="1" width="3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23" min="15" style="1" width="11"/>
  </cols>
  <sheetData>
    <row r="1" customFormat="false" ht="17.25" hidden="false" customHeight="true" outlineLevel="0" collapsed="false">
      <c r="A1" s="6" t="s">
        <v>70</v>
      </c>
    </row>
    <row r="2" customFormat="false" ht="15" hidden="false" customHeight="true" outlineLevel="0" collapsed="false">
      <c r="A2" s="16" t="s">
        <v>71</v>
      </c>
    </row>
    <row r="3" customFormat="false" ht="19.5" hidden="false" customHeight="true" outlineLevel="0" collapsed="false">
      <c r="A3" s="17" t="s">
        <v>72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5" customFormat="false" ht="15" hidden="false" customHeight="true" outlineLevel="0" collapsed="false">
      <c r="A5" s="18" t="s">
        <v>73</v>
      </c>
      <c r="B5" s="18" t="s">
        <v>35</v>
      </c>
      <c r="C5" s="12" t="s">
        <v>74</v>
      </c>
      <c r="D5" s="12" t="s">
        <v>75</v>
      </c>
      <c r="E5" s="12" t="s">
        <v>30</v>
      </c>
      <c r="F5" s="12" t="s">
        <v>76</v>
      </c>
      <c r="G5" s="12" t="s">
        <v>77</v>
      </c>
      <c r="H5" s="12" t="s">
        <v>78</v>
      </c>
      <c r="I5" s="12" t="s">
        <v>79</v>
      </c>
      <c r="J5" s="12" t="s">
        <v>80</v>
      </c>
      <c r="K5" s="12" t="s">
        <v>81</v>
      </c>
    </row>
    <row r="6" customFormat="false" ht="15" hidden="false" customHeight="true" outlineLevel="0" collapsed="false">
      <c r="A6" s="1" t="s">
        <v>82</v>
      </c>
      <c r="C6" s="19" t="s">
        <v>83</v>
      </c>
      <c r="D6" s="19" t="s">
        <v>84</v>
      </c>
      <c r="E6" s="19" t="s">
        <v>85</v>
      </c>
      <c r="F6" s="19" t="s">
        <v>86</v>
      </c>
      <c r="G6" s="19" t="s">
        <v>87</v>
      </c>
      <c r="H6" s="19" t="s">
        <v>88</v>
      </c>
      <c r="I6" s="19" t="s">
        <v>89</v>
      </c>
      <c r="J6" s="19" t="s">
        <v>90</v>
      </c>
      <c r="K6" s="19" t="s">
        <v>91</v>
      </c>
    </row>
    <row r="7" customFormat="false" ht="15" hidden="false" customHeight="true" outlineLevel="0" collapsed="false">
      <c r="A7" s="4" t="s">
        <v>92</v>
      </c>
      <c r="C7" s="20" t="n">
        <v>0.25</v>
      </c>
      <c r="D7" s="20" t="n">
        <v>0.5</v>
      </c>
      <c r="E7" s="20" t="n">
        <v>1</v>
      </c>
      <c r="F7" s="20" t="n">
        <v>2</v>
      </c>
      <c r="G7" s="20" t="n">
        <v>3</v>
      </c>
      <c r="H7" s="20" t="n">
        <v>5</v>
      </c>
      <c r="I7" s="20" t="n">
        <v>10</v>
      </c>
      <c r="J7" s="20" t="n">
        <v>20</v>
      </c>
      <c r="K7" s="20" t="n">
        <v>30</v>
      </c>
    </row>
    <row r="8" customFormat="false" ht="15" hidden="false" customHeight="true" outlineLevel="0" collapsed="false">
      <c r="A8" s="4" t="s">
        <v>42</v>
      </c>
      <c r="B8" s="9" t="s">
        <v>43</v>
      </c>
      <c r="C8" s="21" t="n">
        <v>0.989298</v>
      </c>
      <c r="D8" s="21" t="n">
        <v>0.978693</v>
      </c>
      <c r="E8" s="21" t="n">
        <v>0.957768</v>
      </c>
      <c r="F8" s="21" t="n">
        <v>0.917044</v>
      </c>
      <c r="G8" s="21" t="n">
        <v>0.877788</v>
      </c>
      <c r="H8" s="21" t="n">
        <v>0.803523</v>
      </c>
      <c r="I8" s="21" t="n">
        <v>0.640824</v>
      </c>
      <c r="J8" s="21" t="n">
        <v>0.410656</v>
      </c>
      <c r="K8" s="21" t="n">
        <v>0.263158</v>
      </c>
    </row>
    <row r="9" customFormat="false" ht="15" hidden="false" customHeight="true" outlineLevel="0" collapsed="false">
      <c r="A9" s="4" t="s">
        <v>52</v>
      </c>
      <c r="B9" s="9" t="s">
        <v>43</v>
      </c>
      <c r="C9" s="21" t="n">
        <v>0.992271</v>
      </c>
      <c r="D9" s="21" t="n">
        <v>0.984583</v>
      </c>
      <c r="E9" s="21" t="n">
        <v>0.96933</v>
      </c>
      <c r="F9" s="21" t="n">
        <v>0.939319</v>
      </c>
      <c r="G9" s="21" t="n">
        <v>0.909964</v>
      </c>
      <c r="H9" s="21" t="n">
        <v>0.85321</v>
      </c>
      <c r="I9" s="21" t="n">
        <v>0.722527</v>
      </c>
      <c r="J9" s="21" t="n">
        <v>0.522046</v>
      </c>
      <c r="K9" s="21" t="n">
        <v>0.377192</v>
      </c>
    </row>
    <row r="10" customFormat="false" ht="15" hidden="false" customHeight="true" outlineLevel="0" collapsed="false">
      <c r="A10" s="4" t="s">
        <v>45</v>
      </c>
      <c r="B10" s="9" t="s">
        <v>38</v>
      </c>
      <c r="C10" s="21" t="n">
        <v>0.989546</v>
      </c>
      <c r="D10" s="21" t="n">
        <v>0.979182</v>
      </c>
      <c r="E10" s="21" t="n">
        <v>0.958726</v>
      </c>
      <c r="F10" s="21" t="n">
        <v>0.91888</v>
      </c>
      <c r="G10" s="21" t="n">
        <v>0.880425</v>
      </c>
      <c r="H10" s="21" t="n">
        <v>0.80755</v>
      </c>
      <c r="I10" s="21" t="n">
        <v>0.647265</v>
      </c>
      <c r="J10" s="21" t="n">
        <v>0.418952</v>
      </c>
      <c r="K10" s="21" t="n">
        <v>0.271173</v>
      </c>
    </row>
    <row r="11" customFormat="false" ht="15" hidden="false" customHeight="true" outlineLevel="0" collapsed="false">
      <c r="A11" s="4" t="s">
        <v>37</v>
      </c>
      <c r="B11" s="9" t="s">
        <v>38</v>
      </c>
      <c r="C11" s="21" t="n">
        <v>0.988557</v>
      </c>
      <c r="D11" s="21" t="n">
        <v>0.977226</v>
      </c>
      <c r="E11" s="21" t="n">
        <v>0.954899</v>
      </c>
      <c r="F11" s="21" t="n">
        <v>0.911558</v>
      </c>
      <c r="G11" s="21" t="n">
        <v>0.869924</v>
      </c>
      <c r="H11" s="21" t="n">
        <v>0.79156</v>
      </c>
      <c r="I11" s="21" t="n">
        <v>0.621885</v>
      </c>
      <c r="J11" s="21" t="n">
        <v>0.386741</v>
      </c>
      <c r="K11" s="21" t="n">
        <v>0.240508</v>
      </c>
    </row>
    <row r="12" customFormat="false" ht="15" hidden="false" customHeight="true" outlineLevel="0" collapsed="false">
      <c r="A12" s="4" t="s">
        <v>40</v>
      </c>
      <c r="B12" s="9" t="s">
        <v>38</v>
      </c>
      <c r="C12" s="21" t="n">
        <v>0.991775</v>
      </c>
      <c r="D12" s="21" t="n">
        <v>0.983598</v>
      </c>
      <c r="E12" s="21" t="n">
        <v>0.967393</v>
      </c>
      <c r="F12" s="21" t="n">
        <v>0.935569</v>
      </c>
      <c r="G12" s="21" t="n">
        <v>0.904521</v>
      </c>
      <c r="H12" s="21" t="n">
        <v>0.84472</v>
      </c>
      <c r="I12" s="21" t="n">
        <v>0.70822</v>
      </c>
      <c r="J12" s="21" t="n">
        <v>0.501576</v>
      </c>
      <c r="K12" s="21" t="n">
        <v>0.355226</v>
      </c>
    </row>
    <row r="13" customFormat="false" ht="15" hidden="false" customHeight="true" outlineLevel="0" collapsed="false">
      <c r="A13" s="4" t="s">
        <v>49</v>
      </c>
      <c r="B13" s="9" t="s">
        <v>50</v>
      </c>
      <c r="C13" s="21" t="n">
        <v>0.990041</v>
      </c>
      <c r="D13" s="21" t="n">
        <v>0.980162</v>
      </c>
      <c r="E13" s="21" t="n">
        <v>0.960645</v>
      </c>
      <c r="F13" s="21" t="n">
        <v>0.922563</v>
      </c>
      <c r="G13" s="21" t="n">
        <v>0.885724</v>
      </c>
      <c r="H13" s="21" t="n">
        <v>0.815666</v>
      </c>
      <c r="I13" s="21" t="n">
        <v>0.66034</v>
      </c>
      <c r="J13" s="21" t="n">
        <v>0.436049</v>
      </c>
      <c r="K13" s="21" t="n">
        <v>0.287941</v>
      </c>
    </row>
    <row r="15" customFormat="false" ht="15" hidden="false" customHeight="true" outlineLevel="0" collapsed="false">
      <c r="A15" s="16" t="s">
        <v>93</v>
      </c>
    </row>
    <row r="17" customFormat="false" ht="19.5" hidden="false" customHeight="true" outlineLevel="0" collapsed="false">
      <c r="A17" s="17" t="s">
        <v>94</v>
      </c>
      <c r="B17" s="17"/>
      <c r="C17" s="17"/>
      <c r="D17" s="17"/>
      <c r="E17" s="17"/>
      <c r="F17" s="17"/>
      <c r="G17" s="17"/>
      <c r="H17" s="17"/>
      <c r="I17" s="17"/>
    </row>
    <row r="18" customFormat="false" ht="30" hidden="false" customHeight="true" outlineLevel="0" collapsed="false">
      <c r="A18" s="15" t="s">
        <v>95</v>
      </c>
      <c r="B18" s="15"/>
      <c r="C18" s="15"/>
      <c r="D18" s="15"/>
      <c r="E18" s="15"/>
      <c r="F18" s="15"/>
      <c r="G18" s="15"/>
      <c r="H18" s="15"/>
      <c r="I18" s="15"/>
    </row>
    <row r="21" customFormat="false" ht="51.75" hidden="false" customHeight="true" outlineLevel="0" collapsed="false">
      <c r="A21" s="22" t="s">
        <v>96</v>
      </c>
      <c r="B21" s="22" t="s">
        <v>97</v>
      </c>
      <c r="C21" s="22" t="s">
        <v>98</v>
      </c>
      <c r="D21" s="22" t="s">
        <v>99</v>
      </c>
      <c r="E21" s="22" t="s">
        <v>100</v>
      </c>
      <c r="F21" s="22" t="s">
        <v>101</v>
      </c>
      <c r="G21" s="22" t="s">
        <v>102</v>
      </c>
      <c r="H21" s="22" t="s">
        <v>103</v>
      </c>
      <c r="I21" s="22" t="s">
        <v>104</v>
      </c>
    </row>
    <row r="22" customFormat="false" ht="15" hidden="false" customHeight="true" outlineLevel="0" collapsed="false">
      <c r="A22" s="14" t="s">
        <v>74</v>
      </c>
      <c r="B22" s="14" t="n">
        <v>0.25</v>
      </c>
      <c r="C22" s="14" t="n">
        <v>1</v>
      </c>
      <c r="D22" s="23" t="n">
        <f aca="false">C8</f>
        <v>0.989298</v>
      </c>
      <c r="E22" s="24" t="n">
        <f aca="false">(C22/D22-1)/(0.25-0)</f>
        <v>0.0432710871749462</v>
      </c>
      <c r="F22" s="25" t="n">
        <f aca="false">C37</f>
        <v>-40.9</v>
      </c>
      <c r="G22" s="24" t="n">
        <f aca="false">E22+F22/10000</f>
        <v>0.0391810871749462</v>
      </c>
      <c r="H22" s="26" t="n">
        <f aca="false">1/(1+G22*(0.25-0))</f>
        <v>0.990299744842005</v>
      </c>
      <c r="I22" s="27" t="s">
        <v>105</v>
      </c>
    </row>
    <row r="23" customFormat="false" ht="15" hidden="false" customHeight="true" outlineLevel="0" collapsed="false">
      <c r="A23" s="14" t="s">
        <v>75</v>
      </c>
      <c r="B23" s="14" t="n">
        <v>0.5</v>
      </c>
      <c r="C23" s="23" t="n">
        <f aca="false">C8</f>
        <v>0.989298</v>
      </c>
      <c r="D23" s="23" t="n">
        <f aca="false">D8</f>
        <v>0.978693</v>
      </c>
      <c r="E23" s="24" t="n">
        <f aca="false">(C23/D23-1)/(0.5-0.25)</f>
        <v>0.0433435203889268</v>
      </c>
      <c r="F23" s="25" t="n">
        <f aca="false">D37</f>
        <v>34.3</v>
      </c>
      <c r="G23" s="24" t="n">
        <f aca="false">E23+F23/10000</f>
        <v>0.0467735203889268</v>
      </c>
      <c r="H23" s="26" t="n">
        <f aca="false">H22/(1+G23*(0.5-0.25))</f>
        <v>0.978853637202636</v>
      </c>
      <c r="I23" s="27" t="s">
        <v>106</v>
      </c>
    </row>
    <row r="24" customFormat="false" ht="15" hidden="false" customHeight="true" outlineLevel="0" collapsed="false">
      <c r="A24" s="14" t="s">
        <v>30</v>
      </c>
      <c r="B24" s="14" t="n">
        <v>1</v>
      </c>
      <c r="C24" s="23" t="n">
        <f aca="false">D8</f>
        <v>0.978693</v>
      </c>
      <c r="D24" s="23" t="n">
        <f aca="false">E8</f>
        <v>0.957768</v>
      </c>
      <c r="E24" s="24" t="n">
        <f aca="false">(C24/D24-1)/(1-0.5)</f>
        <v>0.0436953416693813</v>
      </c>
      <c r="F24" s="25" t="n">
        <f aca="false">E37</f>
        <v>31.4</v>
      </c>
      <c r="G24" s="24" t="n">
        <f aca="false">E24+F24/10000</f>
        <v>0.0468353416693813</v>
      </c>
      <c r="H24" s="26" t="n">
        <f aca="false">H23/(1+G24*(1-0.5))</f>
        <v>0.95645567308242</v>
      </c>
      <c r="I24" s="27" t="s">
        <v>107</v>
      </c>
    </row>
    <row r="25" customFormat="false" ht="15" hidden="false" customHeight="true" outlineLevel="0" collapsed="false">
      <c r="A25" s="14" t="s">
        <v>76</v>
      </c>
      <c r="B25" s="14" t="n">
        <v>2</v>
      </c>
      <c r="C25" s="23" t="n">
        <f aca="false">E8</f>
        <v>0.957768</v>
      </c>
      <c r="D25" s="23" t="n">
        <f aca="false">F8</f>
        <v>0.917044</v>
      </c>
      <c r="E25" s="24" t="n">
        <f aca="false">(C25/D25-1)/(2-1)</f>
        <v>0.0444079019109225</v>
      </c>
      <c r="F25" s="25" t="n">
        <f aca="false">F37</f>
        <v>-21.7</v>
      </c>
      <c r="G25" s="24" t="n">
        <f aca="false">E25+F25/10000</f>
        <v>0.0422379019109225</v>
      </c>
      <c r="H25" s="26" t="n">
        <f aca="false">H24/(1+G25*(2-1))</f>
        <v>0.917694195661832</v>
      </c>
      <c r="I25" s="27" t="s">
        <v>108</v>
      </c>
    </row>
    <row r="26" customFormat="false" ht="15" hidden="false" customHeight="true" outlineLevel="0" collapsed="false">
      <c r="A26" s="14" t="s">
        <v>77</v>
      </c>
      <c r="B26" s="14" t="n">
        <v>3</v>
      </c>
      <c r="C26" s="23" t="n">
        <f aca="false">F8</f>
        <v>0.917044</v>
      </c>
      <c r="D26" s="23" t="n">
        <f aca="false">G8</f>
        <v>0.877788</v>
      </c>
      <c r="E26" s="24" t="n">
        <f aca="false">(C26/D26-1)/(3-2)</f>
        <v>0.0447215045090614</v>
      </c>
      <c r="F26" s="25" t="n">
        <f aca="false">G37</f>
        <v>-13</v>
      </c>
      <c r="G26" s="24" t="n">
        <f aca="false">E26+F26/10000</f>
        <v>0.0434215045090614</v>
      </c>
      <c r="H26" s="26" t="n">
        <f aca="false">H25/(1+G26*(3-2))</f>
        <v>0.879504775103917</v>
      </c>
      <c r="I26" s="27" t="s">
        <v>109</v>
      </c>
    </row>
    <row r="27" customFormat="false" ht="15" hidden="false" customHeight="true" outlineLevel="0" collapsed="false">
      <c r="A27" s="14" t="s">
        <v>78</v>
      </c>
      <c r="B27" s="14" t="n">
        <v>5</v>
      </c>
      <c r="C27" s="23" t="n">
        <f aca="false">G8</f>
        <v>0.877788</v>
      </c>
      <c r="D27" s="23" t="n">
        <f aca="false">H8</f>
        <v>0.803523</v>
      </c>
      <c r="E27" s="24" t="n">
        <f aca="false">(C27/D27-1)/(5-3)</f>
        <v>0.0462121183836679</v>
      </c>
      <c r="F27" s="25" t="n">
        <f aca="false">H37</f>
        <v>6.1</v>
      </c>
      <c r="G27" s="24" t="n">
        <f aca="false">E27+F27/10000</f>
        <v>0.0468221183836679</v>
      </c>
      <c r="H27" s="26" t="n">
        <f aca="false">H26/(1+G27*(5-3))</f>
        <v>0.804196415557964</v>
      </c>
      <c r="I27" s="27" t="s">
        <v>110</v>
      </c>
    </row>
    <row r="28" customFormat="false" ht="15" hidden="false" customHeight="true" outlineLevel="0" collapsed="false">
      <c r="A28" s="14" t="s">
        <v>79</v>
      </c>
      <c r="B28" s="14" t="n">
        <v>10</v>
      </c>
      <c r="C28" s="23" t="n">
        <f aca="false">H8</f>
        <v>0.803523</v>
      </c>
      <c r="D28" s="23" t="n">
        <f aca="false">I8</f>
        <v>0.640824</v>
      </c>
      <c r="E28" s="24" t="n">
        <f aca="false">(C28/D28-1)/(10-5)</f>
        <v>0.0507780607467885</v>
      </c>
      <c r="F28" s="25" t="n">
        <f aca="false">I37</f>
        <v>2.9</v>
      </c>
      <c r="G28" s="24" t="n">
        <f aca="false">E28+F28/10000</f>
        <v>0.0510680607467885</v>
      </c>
      <c r="H28" s="26" t="n">
        <f aca="false">H27/(1+G28*(10-5))</f>
        <v>0.640620247088319</v>
      </c>
      <c r="I28" s="27" t="s">
        <v>111</v>
      </c>
    </row>
    <row r="29" customFormat="false" ht="15" hidden="false" customHeight="true" outlineLevel="0" collapsed="false">
      <c r="A29" s="14" t="s">
        <v>80</v>
      </c>
      <c r="B29" s="14" t="n">
        <v>20</v>
      </c>
      <c r="C29" s="23" t="n">
        <f aca="false">I8</f>
        <v>0.640824</v>
      </c>
      <c r="D29" s="23" t="n">
        <f aca="false">J8</f>
        <v>0.410656</v>
      </c>
      <c r="E29" s="24" t="n">
        <f aca="false">(C29/D29-1)/(20-10)</f>
        <v>0.0560488584119068</v>
      </c>
      <c r="F29" s="25" t="n">
        <f aca="false">J37</f>
        <v>2.1</v>
      </c>
      <c r="G29" s="24" t="n">
        <f aca="false">E29+F29/10000</f>
        <v>0.0562588584119068</v>
      </c>
      <c r="H29" s="26" t="n">
        <f aca="false">H28/(1+G29*(20-10))</f>
        <v>0.40997371515387</v>
      </c>
      <c r="I29" s="27" t="s">
        <v>112</v>
      </c>
    </row>
    <row r="30" customFormat="false" ht="15" hidden="false" customHeight="true" outlineLevel="0" collapsed="false">
      <c r="A30" s="14" t="s">
        <v>81</v>
      </c>
      <c r="B30" s="14" t="n">
        <v>30</v>
      </c>
      <c r="C30" s="23" t="n">
        <f aca="false">J8</f>
        <v>0.410656</v>
      </c>
      <c r="D30" s="23" t="n">
        <f aca="false">K8</f>
        <v>0.263158</v>
      </c>
      <c r="E30" s="24" t="n">
        <f aca="false">(C30/D30-1)/(30-20)</f>
        <v>0.056049217580313</v>
      </c>
      <c r="F30" s="25" t="n">
        <f aca="false">K37</f>
        <v>1.2</v>
      </c>
      <c r="G30" s="24" t="n">
        <f aca="false">E30+F30/10000</f>
        <v>0.056169217580313</v>
      </c>
      <c r="H30" s="26" t="n">
        <f aca="false">H29/(1+G30*(30-20))</f>
        <v>0.262518901935993</v>
      </c>
      <c r="I30" s="27" t="s">
        <v>113</v>
      </c>
    </row>
    <row r="32" customFormat="false" ht="15" hidden="false" customHeight="true" outlineLevel="0" collapsed="false">
      <c r="A32" s="16" t="s">
        <v>114</v>
      </c>
    </row>
    <row r="34" customFormat="false" ht="19.5" hidden="false" customHeight="true" outlineLevel="0" collapsed="false">
      <c r="A34" s="17" t="s">
        <v>115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M34" s="17" t="s">
        <v>116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6" customFormat="false" ht="15" hidden="false" customHeight="true" outlineLevel="0" collapsed="false">
      <c r="A36" s="28" t="s">
        <v>117</v>
      </c>
      <c r="B36" s="28"/>
      <c r="C36" s="12" t="s">
        <v>74</v>
      </c>
      <c r="D36" s="12" t="s">
        <v>75</v>
      </c>
      <c r="E36" s="12" t="s">
        <v>30</v>
      </c>
      <c r="F36" s="12" t="s">
        <v>76</v>
      </c>
      <c r="G36" s="12" t="s">
        <v>77</v>
      </c>
      <c r="H36" s="12" t="s">
        <v>78</v>
      </c>
      <c r="I36" s="12" t="s">
        <v>79</v>
      </c>
      <c r="J36" s="12" t="s">
        <v>80</v>
      </c>
      <c r="K36" s="12" t="s">
        <v>81</v>
      </c>
      <c r="M36" s="28" t="s">
        <v>117</v>
      </c>
      <c r="N36" s="28"/>
      <c r="O36" s="12" t="s">
        <v>74</v>
      </c>
      <c r="P36" s="12" t="s">
        <v>75</v>
      </c>
      <c r="Q36" s="12" t="s">
        <v>30</v>
      </c>
      <c r="R36" s="12" t="s">
        <v>76</v>
      </c>
      <c r="S36" s="12" t="s">
        <v>77</v>
      </c>
      <c r="T36" s="12" t="s">
        <v>78</v>
      </c>
      <c r="U36" s="12" t="s">
        <v>79</v>
      </c>
      <c r="V36" s="12" t="s">
        <v>80</v>
      </c>
      <c r="W36" s="12" t="s">
        <v>81</v>
      </c>
    </row>
    <row r="37" customFormat="false" ht="15" hidden="false" customHeight="true" outlineLevel="0" collapsed="false">
      <c r="A37" s="9" t="s">
        <v>42</v>
      </c>
      <c r="B37" s="29" t="s">
        <v>43</v>
      </c>
      <c r="C37" s="30" t="n">
        <v>-40.9</v>
      </c>
      <c r="D37" s="30" t="n">
        <v>34.3</v>
      </c>
      <c r="E37" s="30" t="n">
        <v>31.4</v>
      </c>
      <c r="F37" s="30" t="n">
        <v>-21.7</v>
      </c>
      <c r="G37" s="30" t="n">
        <v>-13</v>
      </c>
      <c r="H37" s="30" t="n">
        <v>6.1</v>
      </c>
      <c r="I37" s="30" t="n">
        <v>2.9</v>
      </c>
      <c r="J37" s="30" t="n">
        <v>2.1</v>
      </c>
      <c r="K37" s="30" t="n">
        <v>1.2</v>
      </c>
      <c r="M37" s="4" t="s">
        <v>42</v>
      </c>
      <c r="N37" s="29" t="s">
        <v>43</v>
      </c>
      <c r="O37" s="31" t="n">
        <f aca="false">1/(1+(((1/C8-1)/(0.25-0))+C37/10000)*(0.25-0))</f>
        <v>0.990299744842005</v>
      </c>
      <c r="P37" s="31" t="n">
        <f aca="false">O37/(1+(((C8/D8-1)/(0.5-0.25))+D37/10000)*(0.5-0.25))</f>
        <v>0.978853637202636</v>
      </c>
      <c r="Q37" s="31" t="n">
        <f aca="false">P37/(1+(((D8/E8-1)/(1-0.5))+E37/10000)*(1-0.5))</f>
        <v>0.95645567308242</v>
      </c>
      <c r="R37" s="31" t="n">
        <f aca="false">Q37/(1+(((E8/F8-1)/(2-1))+F37/10000)*(2-1))</f>
        <v>0.917694195661832</v>
      </c>
      <c r="S37" s="31" t="n">
        <f aca="false">R37/(1+(((F8/G8-1)/(3-2))+G37/10000)*(3-2))</f>
        <v>0.879504775103917</v>
      </c>
      <c r="T37" s="31" t="n">
        <f aca="false">S37/(1+(((G8/H8-1)/(5-3))+H37/10000)*(5-3))</f>
        <v>0.804196415557964</v>
      </c>
      <c r="U37" s="31" t="n">
        <f aca="false">T37/(1+(((H8/I8-1)/(10-5))+I37/10000)*(10-5))</f>
        <v>0.640620247088319</v>
      </c>
      <c r="V37" s="31" t="n">
        <f aca="false">U37/(1+(((I8/J8-1)/(20-10))+J37/10000)*(20-10))</f>
        <v>0.40997371515387</v>
      </c>
      <c r="W37" s="31" t="n">
        <f aca="false">V37/(1+(((J8/K8-1)/(30-20))+K37/10000)*(30-20))</f>
        <v>0.262518901935993</v>
      </c>
    </row>
    <row r="38" customFormat="false" ht="15" hidden="false" customHeight="true" outlineLevel="0" collapsed="false">
      <c r="A38" s="9" t="s">
        <v>52</v>
      </c>
      <c r="B38" s="29" t="s">
        <v>43</v>
      </c>
      <c r="C38" s="30" t="n">
        <v>-35.5</v>
      </c>
      <c r="D38" s="30" t="n">
        <v>31.9</v>
      </c>
      <c r="E38" s="30" t="n">
        <v>24.1</v>
      </c>
      <c r="F38" s="30" t="n">
        <v>18.3</v>
      </c>
      <c r="G38" s="30" t="n">
        <v>-8.9</v>
      </c>
      <c r="H38" s="30" t="n">
        <v>5.7</v>
      </c>
      <c r="I38" s="30" t="n">
        <v>2.8</v>
      </c>
      <c r="J38" s="30" t="n">
        <v>1.3</v>
      </c>
      <c r="K38" s="30" t="n">
        <v>0.6</v>
      </c>
      <c r="M38" s="4" t="s">
        <v>52</v>
      </c>
      <c r="N38" s="29" t="s">
        <v>43</v>
      </c>
      <c r="O38" s="31" t="n">
        <f aca="false">1/(1+(((1/C9-1)/(0.25-0))+C38/10000)*(0.25-0))</f>
        <v>0.993145604253917</v>
      </c>
      <c r="P38" s="31" t="n">
        <f aca="false">O38/(1+(((C9/D9-1)/(0.5-0.25))+D38/10000)*(0.5-0.25))</f>
        <v>0.984671636516035</v>
      </c>
      <c r="Q38" s="31" t="n">
        <f aca="false">P38/(1+(((D9/E9-1)/(1-0.5))+E38/10000)*(1-0.5))</f>
        <v>0.968268575053369</v>
      </c>
      <c r="R38" s="31" t="n">
        <f aca="false">Q38/(1+(((E9/F9-1)/(2-1))+F38/10000)*(2-1))</f>
        <v>0.936629472818505</v>
      </c>
      <c r="S38" s="31" t="n">
        <f aca="false">R38/(1+(((F9/G9-1)/(3-2))+G38/10000)*(3-2))</f>
        <v>0.908141511368365</v>
      </c>
      <c r="T38" s="31" t="n">
        <f aca="false">S38/(1+(((G9/H9-1)/(5-3))+H38/10000)*(5-3))</f>
        <v>0.850591982350296</v>
      </c>
      <c r="U38" s="31" t="n">
        <f aca="false">T38/(1+(((H9/I9-1)/(10-5))+I38/10000)*(10-5))</f>
        <v>0.719457009728903</v>
      </c>
      <c r="V38" s="31" t="n">
        <f aca="false">U38/(1+(((I9/J9-1)/(20-10))+J38/10000)*(20-10))</f>
        <v>0.519340036974825</v>
      </c>
      <c r="W38" s="31" t="n">
        <f aca="false">V38/(1+(((J9/K9-1)/(30-20))+K38/10000)*(30-20))</f>
        <v>0.375074269735307</v>
      </c>
    </row>
    <row r="39" customFormat="false" ht="15" hidden="false" customHeight="true" outlineLevel="0" collapsed="false">
      <c r="A39" s="9" t="s">
        <v>45</v>
      </c>
      <c r="B39" s="29" t="s">
        <v>38</v>
      </c>
      <c r="C39" s="30" t="n">
        <v>49.9</v>
      </c>
      <c r="D39" s="30" t="n">
        <v>46.7</v>
      </c>
      <c r="E39" s="30" t="n">
        <v>-34.6</v>
      </c>
      <c r="F39" s="30" t="n">
        <v>21.6</v>
      </c>
      <c r="G39" s="30" t="n">
        <v>13</v>
      </c>
      <c r="H39" s="30" t="n">
        <v>7.2</v>
      </c>
      <c r="I39" s="30" t="n">
        <v>4.1</v>
      </c>
      <c r="J39" s="30" t="n">
        <v>1.9</v>
      </c>
      <c r="K39" s="30" t="n">
        <v>1.2</v>
      </c>
      <c r="M39" s="4" t="s">
        <v>45</v>
      </c>
      <c r="N39" s="29" t="s">
        <v>38</v>
      </c>
      <c r="O39" s="31" t="n">
        <f aca="false">1/(1+(((1/C10-1)/(0.25-0))+C39/10000)*(0.25-0))</f>
        <v>0.988325952493749</v>
      </c>
      <c r="P39" s="31" t="n">
        <f aca="false">O39/(1+(((C10/D10-1)/(0.5-0.25))+D39/10000)*(0.5-0.25))</f>
        <v>0.976846207381304</v>
      </c>
      <c r="Q39" s="31" t="n">
        <f aca="false">P39/(1+(((D10/E10-1)/(1-0.5))+E39/10000)*(1-0.5))</f>
        <v>0.958061825595622</v>
      </c>
      <c r="R39" s="31" t="n">
        <f aca="false">Q39/(1+(((E10/F10-1)/(2-1))+F39/10000)*(2-1))</f>
        <v>0.916346384257527</v>
      </c>
      <c r="S39" s="31" t="n">
        <f aca="false">R39/(1+(((F10/G10-1)/(3-2))+G39/10000)*(3-2))</f>
        <v>0.876905146898167</v>
      </c>
      <c r="T39" s="31" t="n">
        <f aca="false">S39/(1+(((G10/H10-1)/(5-3))+H39/10000)*(5-3))</f>
        <v>0.80326054142634</v>
      </c>
      <c r="U39" s="31" t="n">
        <f aca="false">T39/(1+(((H10/I10-1)/(10-5))+I39/10000)*(10-5))</f>
        <v>0.642770783397353</v>
      </c>
      <c r="V39" s="31" t="n">
        <f aca="false">U39/(1+(((I10/J10-1)/(20-10))+J39/10000)*(20-10))</f>
        <v>0.415532027986881</v>
      </c>
      <c r="W39" s="31" t="n">
        <f aca="false">V39/(1+(((J10/K10-1)/(30-20))+K39/10000)*(30-20))</f>
        <v>0.268750628063382</v>
      </c>
    </row>
    <row r="40" customFormat="false" ht="15" hidden="false" customHeight="true" outlineLevel="0" collapsed="false">
      <c r="A40" s="9" t="s">
        <v>37</v>
      </c>
      <c r="B40" s="29" t="s">
        <v>38</v>
      </c>
      <c r="C40" s="30" t="n">
        <v>75.2</v>
      </c>
      <c r="D40" s="30" t="n">
        <v>60.7</v>
      </c>
      <c r="E40" s="30" t="n">
        <v>51.5</v>
      </c>
      <c r="F40" s="30" t="n">
        <v>44.3</v>
      </c>
      <c r="G40" s="30" t="n">
        <v>26.8</v>
      </c>
      <c r="H40" s="30" t="n">
        <v>15.7</v>
      </c>
      <c r="I40" s="30" t="n">
        <v>-6.2</v>
      </c>
      <c r="J40" s="30" t="n">
        <v>3.8</v>
      </c>
      <c r="K40" s="30" t="n">
        <v>2.5</v>
      </c>
      <c r="M40" s="4" t="s">
        <v>37</v>
      </c>
      <c r="N40" s="29" t="s">
        <v>38</v>
      </c>
      <c r="O40" s="31" t="n">
        <f aca="false">1/(1+(((1/C11-1)/(0.25-0))+C40/10000)*(0.25-0))</f>
        <v>0.986723187625324</v>
      </c>
      <c r="P40" s="31" t="n">
        <f aca="false">O40/(1+(((C11/D11-1)/(0.5-0.25))+D40/10000)*(0.5-0.25))</f>
        <v>0.973952175411425</v>
      </c>
      <c r="Q40" s="31" t="n">
        <f aca="false">P40/(1+(((D11/E11-1)/(1-0.5))+E40/10000)*(1-0.5))</f>
        <v>0.949311346582243</v>
      </c>
      <c r="R40" s="31" t="n">
        <f aca="false">Q40/(1+(((E11/F11-1)/(2-1))+F40/10000)*(2-1))</f>
        <v>0.902407739231667</v>
      </c>
      <c r="S40" s="31" t="n">
        <f aca="false">R40/(1+(((F11/G11-1)/(3-2))+G40/10000)*(3-2))</f>
        <v>0.858994702536728</v>
      </c>
      <c r="T40" s="31" t="n">
        <f aca="false">S40/(1+(((G11/H11-1)/(5-3))+H40/10000)*(5-3))</f>
        <v>0.779388404169136</v>
      </c>
      <c r="U40" s="31" t="n">
        <f aca="false">T40/(1+(((H11/I11-1)/(10-5))+I40/10000)*(10-5))</f>
        <v>0.613817400592048</v>
      </c>
      <c r="V40" s="31" t="n">
        <f aca="false">U40/(1+(((I11/J11-1)/(20-10))+J40/10000)*(20-10))</f>
        <v>0.380823931202804</v>
      </c>
      <c r="W40" s="31" t="n">
        <f aca="false">V40/(1+(((J11/K11-1)/(30-20))+K40/10000)*(30-20))</f>
        <v>0.236460642536442</v>
      </c>
    </row>
    <row r="41" customFormat="false" ht="15" hidden="false" customHeight="true" outlineLevel="0" collapsed="false">
      <c r="A41" s="9" t="s">
        <v>40</v>
      </c>
      <c r="B41" s="29" t="s">
        <v>38</v>
      </c>
      <c r="C41" s="30" t="n">
        <v>64.8</v>
      </c>
      <c r="D41" s="30" t="n">
        <v>54.8</v>
      </c>
      <c r="E41" s="30" t="n">
        <v>47.2</v>
      </c>
      <c r="F41" s="30" t="n">
        <v>28</v>
      </c>
      <c r="G41" s="30" t="n">
        <v>18.8</v>
      </c>
      <c r="H41" s="30" t="n">
        <v>10.1</v>
      </c>
      <c r="I41" s="30" t="n">
        <v>5.2</v>
      </c>
      <c r="J41" s="30" t="n">
        <v>3</v>
      </c>
      <c r="K41" s="30" t="n">
        <v>-1.8</v>
      </c>
      <c r="M41" s="4" t="s">
        <v>40</v>
      </c>
      <c r="N41" s="29" t="s">
        <v>38</v>
      </c>
      <c r="O41" s="31" t="n">
        <f aca="false">1/(1+(((1/C12-1)/(0.25-0))+C41/10000)*(0.25-0))</f>
        <v>0.990184095473313</v>
      </c>
      <c r="P41" s="31" t="n">
        <f aca="false">O41/(1+(((C12/D12-1)/(0.5-0.25))+D41/10000)*(0.5-0.25))</f>
        <v>0.980687747225983</v>
      </c>
      <c r="Q41" s="31" t="n">
        <f aca="false">P41/(1+(((D12/E12-1)/(1-0.5))+E41/10000)*(1-0.5))</f>
        <v>0.962297088758501</v>
      </c>
      <c r="R41" s="31" t="n">
        <f aca="false">Q41/(1+(((E12/F12-1)/(2-1))+F41/10000)*(2-1))</f>
        <v>0.928127460760787</v>
      </c>
      <c r="S41" s="31" t="n">
        <f aca="false">R41/(1+(((F12/G12-1)/(3-2))+G41/10000)*(3-2))</f>
        <v>0.89569838707071</v>
      </c>
      <c r="T41" s="31" t="n">
        <f aca="false">S41/(1+(((G12/H12-1)/(5-3))+H41/10000)*(5-3))</f>
        <v>0.834905671905509</v>
      </c>
      <c r="U41" s="31" t="n">
        <f aca="false">T41/(1+(((H12/I12-1)/(10-5))+I41/10000)*(10-5))</f>
        <v>0.6984690236456</v>
      </c>
      <c r="V41" s="31" t="n">
        <f aca="false">U41/(1+(((I12/J12-1)/(20-10))+J41/10000)*(20-10))</f>
        <v>0.493621379082153</v>
      </c>
      <c r="W41" s="31" t="n">
        <f aca="false">V41/(1+(((J12/K12-1)/(30-20))+K41/10000)*(30-20))</f>
        <v>0.350038608450848</v>
      </c>
    </row>
    <row r="42" customFormat="false" ht="15" hidden="false" customHeight="true" outlineLevel="0" collapsed="false">
      <c r="A42" s="9" t="s">
        <v>49</v>
      </c>
      <c r="B42" s="29" t="s">
        <v>50</v>
      </c>
      <c r="C42" s="30" t="n">
        <v>23.9</v>
      </c>
      <c r="D42" s="30" t="n">
        <v>26.9</v>
      </c>
      <c r="E42" s="30" t="n">
        <v>18.9</v>
      </c>
      <c r="F42" s="30" t="n">
        <v>16.3</v>
      </c>
      <c r="G42" s="30" t="n">
        <v>11</v>
      </c>
      <c r="H42" s="30" t="n">
        <v>5.2</v>
      </c>
      <c r="I42" s="30" t="n">
        <v>3.4</v>
      </c>
      <c r="J42" s="30" t="n">
        <v>1.9</v>
      </c>
      <c r="K42" s="30" t="n">
        <v>1.2</v>
      </c>
      <c r="M42" s="4" t="s">
        <v>49</v>
      </c>
      <c r="N42" s="29" t="s">
        <v>50</v>
      </c>
      <c r="O42" s="31" t="n">
        <f aca="false">1/(1+(((1/C13-1)/(0.25-0))+C42/10000)*(0.25-0))</f>
        <v>0.989455687984974</v>
      </c>
      <c r="P42" s="31" t="n">
        <f aca="false">O42/(1+(((C13/D13-1)/(0.5-0.25))+D42/10000)*(0.5-0.25))</f>
        <v>0.978930766579769</v>
      </c>
      <c r="Q42" s="31" t="n">
        <f aca="false">P42/(1+(((D13/E13-1)/(1-0.5))+E42/10000)*(1-0.5))</f>
        <v>0.958550489609229</v>
      </c>
      <c r="R42" s="31" t="n">
        <f aca="false">Q42/(1+(((E13/F13-1)/(2-1))+F42/10000)*(2-1))</f>
        <v>0.919112756624303</v>
      </c>
      <c r="S42" s="31" t="n">
        <f aca="false">R42/(1+(((F13/G13-1)/(3-2))+G42/10000)*(3-2))</f>
        <v>0.881480618510627</v>
      </c>
      <c r="T42" s="31" t="n">
        <f aca="false">S42/(1+(((G13/H13-1)/(5-3))+H42/10000)*(5-3))</f>
        <v>0.810981547863511</v>
      </c>
      <c r="U42" s="31" t="n">
        <f aca="false">T42/(1+(((H13/I13-1)/(10-5))+I42/10000)*(10-5))</f>
        <v>0.65564525477019</v>
      </c>
      <c r="V42" s="31" t="n">
        <f aca="false">U42/(1+(((I13/J13-1)/(20-10))+J42/10000)*(20-10))</f>
        <v>0.432406354327059</v>
      </c>
      <c r="W42" s="31" t="n">
        <f aca="false">V42/(1+(((J13/K13-1)/(30-20))+K42/10000)*(30-20))</f>
        <v>0.285309530116098</v>
      </c>
    </row>
    <row r="44" customFormat="false" ht="15" hidden="false" customHeight="true" outlineLevel="0" collapsed="false">
      <c r="A44" s="28" t="s">
        <v>118</v>
      </c>
      <c r="B44" s="28"/>
      <c r="C44" s="12" t="s">
        <v>74</v>
      </c>
      <c r="D44" s="12" t="s">
        <v>75</v>
      </c>
      <c r="E44" s="12" t="s">
        <v>30</v>
      </c>
      <c r="F44" s="12" t="s">
        <v>76</v>
      </c>
      <c r="G44" s="12" t="s">
        <v>77</v>
      </c>
      <c r="H44" s="12" t="s">
        <v>78</v>
      </c>
      <c r="I44" s="12" t="s">
        <v>79</v>
      </c>
      <c r="J44" s="12" t="s">
        <v>80</v>
      </c>
      <c r="K44" s="12" t="s">
        <v>81</v>
      </c>
      <c r="M44" s="28" t="s">
        <v>118</v>
      </c>
      <c r="N44" s="28"/>
      <c r="O44" s="12" t="s">
        <v>74</v>
      </c>
      <c r="P44" s="12" t="s">
        <v>75</v>
      </c>
      <c r="Q44" s="12" t="s">
        <v>30</v>
      </c>
      <c r="R44" s="12" t="s">
        <v>76</v>
      </c>
      <c r="S44" s="12" t="s">
        <v>77</v>
      </c>
      <c r="T44" s="12" t="s">
        <v>78</v>
      </c>
      <c r="U44" s="12" t="s">
        <v>79</v>
      </c>
      <c r="V44" s="12" t="s">
        <v>80</v>
      </c>
      <c r="W44" s="12" t="s">
        <v>81</v>
      </c>
    </row>
    <row r="45" customFormat="false" ht="15" hidden="false" customHeight="true" outlineLevel="0" collapsed="false">
      <c r="A45" s="9" t="s">
        <v>42</v>
      </c>
      <c r="B45" s="29" t="s">
        <v>43</v>
      </c>
      <c r="C45" s="30" t="n">
        <v>45.8</v>
      </c>
      <c r="D45" s="30" t="n">
        <v>45.7</v>
      </c>
      <c r="E45" s="30" t="n">
        <v>34.7</v>
      </c>
      <c r="F45" s="30" t="n">
        <v>25.1</v>
      </c>
      <c r="G45" s="30" t="n">
        <v>14.8</v>
      </c>
      <c r="H45" s="30" t="n">
        <v>7.9</v>
      </c>
      <c r="I45" s="30" t="n">
        <v>4.1</v>
      </c>
      <c r="J45" s="30" t="n">
        <v>2.4</v>
      </c>
      <c r="K45" s="30" t="n">
        <v>1.4</v>
      </c>
      <c r="M45" s="4" t="s">
        <v>42</v>
      </c>
      <c r="N45" s="29" t="s">
        <v>43</v>
      </c>
      <c r="O45" s="31" t="n">
        <f aca="false">1/(1+(((1/C8-1)/(0.25-0))+C45/10000)*(0.25-0))</f>
        <v>0.988178644385769</v>
      </c>
      <c r="P45" s="31" t="n">
        <f aca="false">O45/(1+(((C8/D8-1)/(0.5-0.25))+D45/10000)*(0.5-0.25))</f>
        <v>0.976481972165081</v>
      </c>
      <c r="Q45" s="31" t="n">
        <f aca="false">P45/(1+(((D8/E8-1)/(1-0.5))+E45/10000)*(1-0.5))</f>
        <v>0.953984470417811</v>
      </c>
      <c r="R45" s="31" t="n">
        <f aca="false">Q45/(1+(((E8/F8-1)/(2-1))+F45/10000)*(2-1))</f>
        <v>0.911231404751527</v>
      </c>
      <c r="S45" s="31" t="n">
        <f aca="false">R45/(1+(((F8/G8-1)/(3-2))+G45/10000)*(3-2))</f>
        <v>0.870990340602817</v>
      </c>
      <c r="T45" s="31" t="n">
        <f aca="false">S45/(1+(((G8/H8-1)/(5-3))+H45/10000)*(5-3))</f>
        <v>0.796148964812513</v>
      </c>
      <c r="U45" s="31" t="n">
        <f aca="false">T45/(1+(((H8/I8-1)/(10-5))+I45/10000)*(10-5))</f>
        <v>0.63390669321268</v>
      </c>
      <c r="V45" s="31" t="n">
        <f aca="false">U45/(1+(((I8/J8-1)/(20-10))+J45/10000)*(20-10))</f>
        <v>0.40559941358199</v>
      </c>
      <c r="W45" s="31" t="n">
        <f aca="false">V45/(1+(((J8/K8-1)/(30-20))+K45/10000)*(30-20))</f>
        <v>0.259684643962973</v>
      </c>
    </row>
    <row r="46" customFormat="false" ht="15" hidden="false" customHeight="true" outlineLevel="0" collapsed="false">
      <c r="A46" s="9" t="s">
        <v>52</v>
      </c>
      <c r="B46" s="29" t="s">
        <v>43</v>
      </c>
      <c r="C46" s="30" t="n">
        <v>34.7</v>
      </c>
      <c r="D46" s="30" t="n">
        <v>37.4</v>
      </c>
      <c r="E46" s="30" t="n">
        <v>-28.1</v>
      </c>
      <c r="F46" s="30" t="n">
        <v>20.8</v>
      </c>
      <c r="G46" s="30" t="n">
        <v>10.6</v>
      </c>
      <c r="H46" s="30" t="n">
        <v>5.6</v>
      </c>
      <c r="I46" s="30" t="n">
        <v>-3.3</v>
      </c>
      <c r="J46" s="30" t="n">
        <v>1.5</v>
      </c>
      <c r="K46" s="30" t="n">
        <v>0.7</v>
      </c>
      <c r="M46" s="4" t="s">
        <v>52</v>
      </c>
      <c r="N46" s="29" t="s">
        <v>43</v>
      </c>
      <c r="O46" s="31" t="n">
        <f aca="false">1/(1+(((1/C9-1)/(0.25-0))+C46/10000)*(0.25-0))</f>
        <v>0.99141759260167</v>
      </c>
      <c r="P46" s="31" t="n">
        <f aca="false">O46/(1+(((C9/D9-1)/(0.5-0.25))+D46/10000)*(0.5-0.25))</f>
        <v>0.982824383750023</v>
      </c>
      <c r="Q46" s="31" t="n">
        <f aca="false">P46/(1+(((D9/E9-1)/(1-0.5))+E46/10000)*(1-0.5))</f>
        <v>0.968938897143004</v>
      </c>
      <c r="R46" s="31" t="n">
        <f aca="false">Q46/(1+(((E9/F9-1)/(2-1))+F46/10000)*(2-1))</f>
        <v>0.937051283433405</v>
      </c>
      <c r="S46" s="31" t="n">
        <f aca="false">R46/(1+(((F9/G9-1)/(3-2))+G46/10000)*(3-2))</f>
        <v>0.906835946817593</v>
      </c>
      <c r="T46" s="31" t="n">
        <f aca="false">S46/(1+(((G9/H9-1)/(5-3))+H46/10000)*(5-3))</f>
        <v>0.849385063469144</v>
      </c>
      <c r="U46" s="31" t="n">
        <f aca="false">T46/(1+(((H9/I9-1)/(10-5))+I46/10000)*(10-5))</f>
        <v>0.720294364531124</v>
      </c>
      <c r="V46" s="31" t="n">
        <f aca="false">U46/(1+(((I9/J9-1)/(20-10))+J46/10000)*(20-10))</f>
        <v>0.519869427983886</v>
      </c>
      <c r="W46" s="31" t="n">
        <f aca="false">V46/(1+(((J9/K9-1)/(30-20))+K46/10000)*(30-20))</f>
        <v>0.375429488934394</v>
      </c>
    </row>
    <row r="47" customFormat="false" ht="15" hidden="false" customHeight="true" outlineLevel="0" collapsed="false">
      <c r="A47" s="9" t="s">
        <v>45</v>
      </c>
      <c r="B47" s="29" t="s">
        <v>38</v>
      </c>
      <c r="C47" s="30" t="n">
        <v>53</v>
      </c>
      <c r="D47" s="30" t="n">
        <v>50.5</v>
      </c>
      <c r="E47" s="30" t="n">
        <v>36.1</v>
      </c>
      <c r="F47" s="30" t="n">
        <v>29.7</v>
      </c>
      <c r="G47" s="30" t="n">
        <v>16.7</v>
      </c>
      <c r="H47" s="30" t="n">
        <v>8.5</v>
      </c>
      <c r="I47" s="30" t="n">
        <v>4.5</v>
      </c>
      <c r="J47" s="30" t="n">
        <v>2.2</v>
      </c>
      <c r="K47" s="30" t="n">
        <v>1.4</v>
      </c>
      <c r="M47" s="4" t="s">
        <v>45</v>
      </c>
      <c r="N47" s="29" t="s">
        <v>38</v>
      </c>
      <c r="O47" s="31" t="n">
        <f aca="false">1/(1+(((1/C10-1)/(0.25-0))+C47/10000)*(0.25-0))</f>
        <v>0.988250257207051</v>
      </c>
      <c r="P47" s="31" t="n">
        <f aca="false">O47/(1+(((C10/D10-1)/(0.5-0.25))+D47/10000)*(0.5-0.25))</f>
        <v>0.976679684475935</v>
      </c>
      <c r="Q47" s="31" t="n">
        <f aca="false">P47/(1+(((D10/E10-1)/(1-0.5))+E47/10000)*(1-0.5))</f>
        <v>0.954588922832977</v>
      </c>
      <c r="R47" s="31" t="n">
        <f aca="false">Q47/(1+(((E10/F10-1)/(2-1))+F47/10000)*(2-1))</f>
        <v>0.912317895550149</v>
      </c>
      <c r="S47" s="31" t="n">
        <f aca="false">R47/(1+(((F10/G10-1)/(3-2))+G47/10000)*(3-2))</f>
        <v>0.87274103640811</v>
      </c>
      <c r="T47" s="31" t="n">
        <f aca="false">S47/(1+(((G10/H10-1)/(5-3))+H47/10000)*(5-3))</f>
        <v>0.799255788546327</v>
      </c>
      <c r="U47" s="31" t="n">
        <f aca="false">T47/(1+(((H10/I10-1)/(10-5))+I47/10000)*(10-5))</f>
        <v>0.639463831614459</v>
      </c>
      <c r="V47" s="31" t="n">
        <f aca="false">U47/(1+(((I10/J10-1)/(20-10))+J47/10000)*(20-10))</f>
        <v>0.4133140243345</v>
      </c>
      <c r="W47" s="31" t="n">
        <f aca="false">V47/(1+(((J10/K10-1)/(30-20))+K47/10000)*(30-20))</f>
        <v>0.267281532423454</v>
      </c>
    </row>
    <row r="48" customFormat="false" ht="15" hidden="false" customHeight="true" outlineLevel="0" collapsed="false">
      <c r="A48" s="9" t="s">
        <v>37</v>
      </c>
      <c r="B48" s="29" t="s">
        <v>38</v>
      </c>
      <c r="C48" s="30" t="n">
        <v>79.9</v>
      </c>
      <c r="D48" s="30" t="n">
        <v>-82.8</v>
      </c>
      <c r="E48" s="30" t="n">
        <v>61.9</v>
      </c>
      <c r="F48" s="30" t="n">
        <v>-43.5</v>
      </c>
      <c r="G48" s="30" t="n">
        <v>33.6</v>
      </c>
      <c r="H48" s="30" t="n">
        <v>16.8</v>
      </c>
      <c r="I48" s="30" t="n">
        <v>8.2</v>
      </c>
      <c r="J48" s="30" t="n">
        <v>4.2</v>
      </c>
      <c r="K48" s="30" t="n">
        <v>3</v>
      </c>
      <c r="M48" s="4" t="s">
        <v>37</v>
      </c>
      <c r="N48" s="29" t="s">
        <v>38</v>
      </c>
      <c r="O48" s="31" t="n">
        <f aca="false">1/(1+(((1/C11-1)/(0.25-0))+C48/10000)*(0.25-0))</f>
        <v>0.986608800226139</v>
      </c>
      <c r="P48" s="31" t="n">
        <f aca="false">O48/(1+(((C11/D11-1)/(0.5-0.25))+D48/10000)*(0.5-0.25))</f>
        <v>0.977299953632902</v>
      </c>
      <c r="Q48" s="31" t="n">
        <f aca="false">P48/(1+(((D11/E11-1)/(1-0.5))+E48/10000)*(1-0.5))</f>
        <v>0.952091864437955</v>
      </c>
      <c r="R48" s="31" t="n">
        <f aca="false">Q48/(1+(((E11/F11-1)/(2-1))+F48/10000)*(2-1))</f>
        <v>0.912668186063619</v>
      </c>
      <c r="S48" s="31" t="n">
        <f aca="false">R48/(1+(((F11/G11-1)/(3-2))+G48/10000)*(3-2))</f>
        <v>0.868199565826666</v>
      </c>
      <c r="T48" s="31" t="n">
        <f aca="false">S48/(1+(((G11/H11-1)/(5-3))+H48/10000)*(5-3))</f>
        <v>0.787583007017669</v>
      </c>
      <c r="U48" s="31" t="n">
        <f aca="false">T48/(1+(((H11/I11-1)/(10-5))+I48/10000)*(10-5))</f>
        <v>0.616773779165688</v>
      </c>
      <c r="V48" s="31" t="n">
        <f aca="false">U48/(1+(((I11/J11-1)/(20-10))+J48/10000)*(20-10))</f>
        <v>0.382563184640624</v>
      </c>
      <c r="W48" s="31" t="n">
        <f aca="false">V48/(1+(((J11/K11-1)/(30-20))+K48/10000)*(30-20))</f>
        <v>0.237466853469285</v>
      </c>
    </row>
    <row r="49" customFormat="false" ht="15" hidden="false" customHeight="true" outlineLevel="0" collapsed="false">
      <c r="A49" s="9" t="s">
        <v>40</v>
      </c>
      <c r="B49" s="29" t="s">
        <v>38</v>
      </c>
      <c r="C49" s="30" t="n">
        <v>72.6</v>
      </c>
      <c r="D49" s="30" t="n">
        <v>-67.8</v>
      </c>
      <c r="E49" s="30" t="n">
        <v>49</v>
      </c>
      <c r="F49" s="30" t="n">
        <v>37.3</v>
      </c>
      <c r="G49" s="30" t="n">
        <v>20.2</v>
      </c>
      <c r="H49" s="30" t="n">
        <v>11.4</v>
      </c>
      <c r="I49" s="30" t="n">
        <v>5.8</v>
      </c>
      <c r="J49" s="30" t="n">
        <v>3</v>
      </c>
      <c r="K49" s="30" t="n">
        <v>-2.3</v>
      </c>
      <c r="M49" s="4" t="s">
        <v>40</v>
      </c>
      <c r="N49" s="29" t="s">
        <v>38</v>
      </c>
      <c r="O49" s="31" t="n">
        <f aca="false">1/(1+(((1/C12-1)/(0.25-0))+C49/10000)*(0.25-0))</f>
        <v>0.989992941796522</v>
      </c>
      <c r="P49" s="31" t="n">
        <f aca="false">O49/(1+(((C12/D12-1)/(0.5-0.25))+D49/10000)*(0.5-0.25))</f>
        <v>0.983483895590089</v>
      </c>
      <c r="Q49" s="31" t="n">
        <f aca="false">P49/(1+(((D12/E12-1)/(1-0.5))+E49/10000)*(1-0.5))</f>
        <v>0.964955584066973</v>
      </c>
      <c r="R49" s="31" t="n">
        <f aca="false">Q49/(1+(((E12/F12-1)/(2-1))+F49/10000)*(2-1))</f>
        <v>0.929857496195902</v>
      </c>
      <c r="S49" s="31" t="n">
        <f aca="false">R49/(1+(((F12/G12-1)/(3-2))+G49/10000)*(3-2))</f>
        <v>0.897246748976098</v>
      </c>
      <c r="T49" s="31" t="n">
        <f aca="false">S49/(1+(((G12/H12-1)/(5-3))+H49/10000)*(5-3))</f>
        <v>0.836146300779977</v>
      </c>
      <c r="U49" s="31" t="n">
        <f aca="false">T49/(1+(((H12/I12-1)/(10-5))+I49/10000)*(10-5))</f>
        <v>0.699331399440798</v>
      </c>
      <c r="V49" s="31" t="n">
        <f aca="false">U49/(1+(((I12/J12-1)/(20-10))+J49/10000)*(20-10))</f>
        <v>0.494230836502455</v>
      </c>
      <c r="W49" s="31" t="n">
        <f aca="false">V49/(1+(((J12/K12-1)/(30-20))+K49/10000)*(30-20))</f>
        <v>0.350595096781494</v>
      </c>
    </row>
    <row r="50" customFormat="false" ht="15" hidden="false" customHeight="true" outlineLevel="0" collapsed="false">
      <c r="A50" s="9" t="s">
        <v>49</v>
      </c>
      <c r="B50" s="29" t="s">
        <v>50</v>
      </c>
      <c r="C50" s="30" t="n">
        <v>34</v>
      </c>
      <c r="D50" s="30" t="n">
        <v>32.1</v>
      </c>
      <c r="E50" s="30" t="n">
        <v>26.4</v>
      </c>
      <c r="F50" s="30" t="n">
        <v>16.9</v>
      </c>
      <c r="G50" s="30" t="n">
        <v>-11.3</v>
      </c>
      <c r="H50" s="30" t="n">
        <v>6.8</v>
      </c>
      <c r="I50" s="30" t="n">
        <v>3.7</v>
      </c>
      <c r="J50" s="30" t="n">
        <v>2.3</v>
      </c>
      <c r="K50" s="30" t="n">
        <v>1.7</v>
      </c>
      <c r="M50" s="4" t="s">
        <v>49</v>
      </c>
      <c r="N50" s="29" t="s">
        <v>50</v>
      </c>
      <c r="O50" s="31" t="n">
        <f aca="false">1/(1+(((1/C13-1)/(0.25-0))+C50/10000)*(0.25-0))</f>
        <v>0.989208546534173</v>
      </c>
      <c r="P50" s="31" t="n">
        <f aca="false">O50/(1+(((C13/D13-1)/(0.5-0.25))+D50/10000)*(0.5-0.25))</f>
        <v>0.97856039431516</v>
      </c>
      <c r="Q50" s="31" t="n">
        <f aca="false">P50/(1+(((D13/E13-1)/(1-0.5))+E50/10000)*(1-0.5))</f>
        <v>0.957836117465444</v>
      </c>
      <c r="R50" s="31" t="n">
        <f aca="false">Q50/(1+(((E13/F13-1)/(2-1))+F50/10000)*(2-1))</f>
        <v>0.918374940551607</v>
      </c>
      <c r="S50" s="31" t="n">
        <f aca="false">R50/(1+(((F13/G13-1)/(3-2))+G50/10000)*(3-2))</f>
        <v>0.882660753633322</v>
      </c>
      <c r="T50" s="31" t="n">
        <f aca="false">S50/(1+(((G13/H13-1)/(5-3))+H50/10000)*(5-3))</f>
        <v>0.811828290161123</v>
      </c>
      <c r="U50" s="31" t="n">
        <f aca="false">T50/(1+(((H13/I13-1)/(10-5))+I50/10000)*(10-5))</f>
        <v>0.656250228420335</v>
      </c>
      <c r="V50" s="31" t="n">
        <f aca="false">U50/(1+(((I13/J13-1)/(20-10))+J50/10000)*(20-10))</f>
        <v>0.43269119598514</v>
      </c>
      <c r="W50" s="31" t="n">
        <f aca="false">V50/(1+(((J13/K13-1)/(30-20))+K50/10000)*(30-20))</f>
        <v>0.285403316657702</v>
      </c>
    </row>
    <row r="52" customFormat="false" ht="15" hidden="false" customHeight="true" outlineLevel="0" collapsed="false">
      <c r="A52" s="28" t="s">
        <v>119</v>
      </c>
      <c r="B52" s="28"/>
      <c r="C52" s="12" t="s">
        <v>74</v>
      </c>
      <c r="D52" s="12" t="s">
        <v>75</v>
      </c>
      <c r="E52" s="12" t="s">
        <v>30</v>
      </c>
      <c r="F52" s="12" t="s">
        <v>76</v>
      </c>
      <c r="G52" s="12" t="s">
        <v>77</v>
      </c>
      <c r="H52" s="12" t="s">
        <v>78</v>
      </c>
      <c r="I52" s="12" t="s">
        <v>79</v>
      </c>
      <c r="J52" s="12" t="s">
        <v>80</v>
      </c>
      <c r="K52" s="12" t="s">
        <v>81</v>
      </c>
      <c r="M52" s="28" t="s">
        <v>119</v>
      </c>
      <c r="N52" s="28"/>
      <c r="O52" s="12" t="s">
        <v>74</v>
      </c>
      <c r="P52" s="12" t="s">
        <v>75</v>
      </c>
      <c r="Q52" s="12" t="s">
        <v>30</v>
      </c>
      <c r="R52" s="12" t="s">
        <v>76</v>
      </c>
      <c r="S52" s="12" t="s">
        <v>77</v>
      </c>
      <c r="T52" s="12" t="s">
        <v>78</v>
      </c>
      <c r="U52" s="12" t="s">
        <v>79</v>
      </c>
      <c r="V52" s="12" t="s">
        <v>80</v>
      </c>
      <c r="W52" s="12" t="s">
        <v>81</v>
      </c>
    </row>
    <row r="53" customFormat="false" ht="15" hidden="false" customHeight="true" outlineLevel="0" collapsed="false">
      <c r="A53" s="9" t="s">
        <v>42</v>
      </c>
      <c r="B53" s="29" t="s">
        <v>43</v>
      </c>
      <c r="C53" s="30" t="n">
        <v>53.3</v>
      </c>
      <c r="D53" s="30" t="n">
        <v>45.4</v>
      </c>
      <c r="E53" s="30" t="n">
        <v>43</v>
      </c>
      <c r="F53" s="30" t="n">
        <v>26.6</v>
      </c>
      <c r="G53" s="30" t="n">
        <v>16.2</v>
      </c>
      <c r="H53" s="30" t="n">
        <v>8.8</v>
      </c>
      <c r="I53" s="30" t="n">
        <v>4.1</v>
      </c>
      <c r="J53" s="30" t="n">
        <v>2.4</v>
      </c>
      <c r="K53" s="30" t="n">
        <v>1.8</v>
      </c>
      <c r="M53" s="4" t="s">
        <v>42</v>
      </c>
      <c r="N53" s="29" t="s">
        <v>43</v>
      </c>
      <c r="O53" s="31" t="n">
        <f aca="false">1/(1+(((1/C8-1)/(0.25-0))+C53/10000)*(0.25-0))</f>
        <v>0.987995585109903</v>
      </c>
      <c r="P53" s="31" t="n">
        <f aca="false">O53/(1+(((C8/D8-1)/(0.5-0.25))+D53/10000)*(0.5-0.25))</f>
        <v>0.976308315329167</v>
      </c>
      <c r="Q53" s="31" t="n">
        <f aca="false">P53/(1+(((D8/E8-1)/(1-0.5))+E53/10000)*(1-0.5))</f>
        <v>0.953428257833193</v>
      </c>
      <c r="R53" s="31" t="n">
        <f aca="false">Q53/(1+(((E8/F8-1)/(2-1))+F53/10000)*(2-1))</f>
        <v>0.910569654645286</v>
      </c>
      <c r="S53" s="31" t="n">
        <f aca="false">R53/(1+(((F8/G8-1)/(3-2))+G53/10000)*(3-2))</f>
        <v>0.870241360704239</v>
      </c>
      <c r="T53" s="31" t="n">
        <f aca="false">S53/(1+(((G8/H8-1)/(5-3))+H53/10000)*(5-3))</f>
        <v>0.795333483577944</v>
      </c>
      <c r="U53" s="31" t="n">
        <f aca="false">T53/(1+(((H8/I8-1)/(10-5))+I53/10000)*(10-5))</f>
        <v>0.633257393853352</v>
      </c>
      <c r="V53" s="31" t="n">
        <f aca="false">U53/(1+(((I8/J8-1)/(20-10))+J53/10000)*(20-10))</f>
        <v>0.405183965311444</v>
      </c>
      <c r="W53" s="31" t="n">
        <f aca="false">V53/(1+(((J8/K8-1)/(30-20))+K53/10000)*(30-20))</f>
        <v>0.259352233587901</v>
      </c>
    </row>
    <row r="54" customFormat="false" ht="15" hidden="false" customHeight="true" outlineLevel="0" collapsed="false">
      <c r="A54" s="9" t="s">
        <v>52</v>
      </c>
      <c r="B54" s="29" t="s">
        <v>43</v>
      </c>
      <c r="C54" s="30" t="n">
        <v>-41.9</v>
      </c>
      <c r="D54" s="30" t="n">
        <v>42.4</v>
      </c>
      <c r="E54" s="30" t="n">
        <v>34</v>
      </c>
      <c r="F54" s="30" t="n">
        <v>21.7</v>
      </c>
      <c r="G54" s="30" t="n">
        <v>13.3</v>
      </c>
      <c r="H54" s="30" t="n">
        <v>6.7</v>
      </c>
      <c r="I54" s="30" t="n">
        <v>3.4</v>
      </c>
      <c r="J54" s="30" t="n">
        <v>1.8</v>
      </c>
      <c r="K54" s="30" t="n">
        <v>0.9</v>
      </c>
      <c r="M54" s="4" t="s">
        <v>52</v>
      </c>
      <c r="N54" s="29" t="s">
        <v>43</v>
      </c>
      <c r="O54" s="31" t="n">
        <f aca="false">1/(1+(((1/C9-1)/(0.25-0))+C54/10000)*(0.25-0))</f>
        <v>0.993303443445685</v>
      </c>
      <c r="P54" s="31" t="n">
        <f aca="false">O54/(1+(((C9/D9-1)/(0.5-0.25))+D54/10000)*(0.5-0.25))</f>
        <v>0.984571884046208</v>
      </c>
      <c r="Q54" s="31" t="n">
        <f aca="false">P54/(1+(((D9/E9-1)/(1-0.5))+E54/10000)*(1-0.5))</f>
        <v>0.967699452636081</v>
      </c>
      <c r="R54" s="31" t="n">
        <f aca="false">Q54/(1+(((E9/F9-1)/(2-1))+F54/10000)*(2-1))</f>
        <v>0.935771181073623</v>
      </c>
      <c r="S54" s="31" t="n">
        <f aca="false">R54/(1+(((F9/G9-1)/(3-2))+G54/10000)*(3-2))</f>
        <v>0.905360556404932</v>
      </c>
      <c r="T54" s="31" t="n">
        <f aca="false">S54/(1+(((G9/H9-1)/(5-3))+H54/10000)*(5-3))</f>
        <v>0.847828438146959</v>
      </c>
      <c r="U54" s="31" t="n">
        <f aca="false">T54/(1+(((H9/I9-1)/(10-5))+I54/10000)*(10-5))</f>
        <v>0.716937596159315</v>
      </c>
      <c r="V54" s="31" t="n">
        <f aca="false">U54/(1+(((I9/J9-1)/(20-10))+J54/10000)*(20-10))</f>
        <v>0.517334679291725</v>
      </c>
      <c r="W54" s="31" t="n">
        <f aca="false">V54/(1+(((J9/K9-1)/(30-20))+K54/10000)*(30-20))</f>
        <v>0.373545040036198</v>
      </c>
    </row>
    <row r="55" customFormat="false" ht="15" hidden="false" customHeight="true" outlineLevel="0" collapsed="false">
      <c r="A55" s="9" t="s">
        <v>45</v>
      </c>
      <c r="B55" s="29" t="s">
        <v>38</v>
      </c>
      <c r="C55" s="30" t="n">
        <v>56.8</v>
      </c>
      <c r="D55" s="30" t="n">
        <v>62.4</v>
      </c>
      <c r="E55" s="30" t="n">
        <v>40.6</v>
      </c>
      <c r="F55" s="30" t="n">
        <v>29.5</v>
      </c>
      <c r="G55" s="30" t="n">
        <v>20.7</v>
      </c>
      <c r="H55" s="30" t="n">
        <v>10.3</v>
      </c>
      <c r="I55" s="30" t="n">
        <v>5.6</v>
      </c>
      <c r="J55" s="30" t="n">
        <v>2.7</v>
      </c>
      <c r="K55" s="30" t="n">
        <v>-1.8</v>
      </c>
      <c r="M55" s="4" t="s">
        <v>45</v>
      </c>
      <c r="N55" s="29" t="s">
        <v>38</v>
      </c>
      <c r="O55" s="31" t="n">
        <f aca="false">1/(1+(((1/C10-1)/(0.25-0))+C55/10000)*(0.25-0))</f>
        <v>0.9881574852526</v>
      </c>
      <c r="P55" s="31" t="n">
        <f aca="false">O55/(1+(((C10/D10-1)/(0.5-0.25))+D55/10000)*(0.5-0.25))</f>
        <v>0.976300949799881</v>
      </c>
      <c r="Q55" s="31" t="n">
        <f aca="false">P55/(1+(((D10/E10-1)/(1-0.5))+E55/10000)*(1-0.5))</f>
        <v>0.954008957495664</v>
      </c>
      <c r="R55" s="31" t="n">
        <f aca="false">Q55/(1+(((E10/F10-1)/(2-1))+F55/10000)*(2-1))</f>
        <v>0.911781040302227</v>
      </c>
      <c r="S55" s="31" t="n">
        <f aca="false">R55/(1+(((F10/G10-1)/(3-2))+G55/10000)*(3-2))</f>
        <v>0.871893841999927</v>
      </c>
      <c r="T55" s="31" t="n">
        <f aca="false">S55/(1+(((G10/H10-1)/(5-3))+H55/10000)*(5-3))</f>
        <v>0.798216766006532</v>
      </c>
      <c r="U55" s="31" t="n">
        <f aca="false">T55/(1+(((H10/I10-1)/(10-5))+I55/10000)*(10-5))</f>
        <v>0.638351635897112</v>
      </c>
      <c r="V55" s="31" t="n">
        <f aca="false">U55/(1+(((I10/J10-1)/(20-10))+J55/10000)*(20-10))</f>
        <v>0.412461866326851</v>
      </c>
      <c r="W55" s="31" t="n">
        <f aca="false">V55/(1+(((J10/K10-1)/(30-20))+K55/10000)*(30-20))</f>
        <v>0.267283569083221</v>
      </c>
    </row>
    <row r="56" customFormat="false" ht="15" hidden="false" customHeight="true" outlineLevel="0" collapsed="false">
      <c r="A56" s="9" t="s">
        <v>37</v>
      </c>
      <c r="B56" s="29" t="s">
        <v>38</v>
      </c>
      <c r="C56" s="30" t="n">
        <v>102.4</v>
      </c>
      <c r="D56" s="30" t="n">
        <v>90.6</v>
      </c>
      <c r="E56" s="30" t="n">
        <v>-69.8</v>
      </c>
      <c r="F56" s="30" t="n">
        <v>49</v>
      </c>
      <c r="G56" s="30" t="n">
        <v>33.7</v>
      </c>
      <c r="H56" s="30" t="n">
        <v>20.1</v>
      </c>
      <c r="I56" s="30" t="n">
        <v>9</v>
      </c>
      <c r="J56" s="30" t="n">
        <v>5.3</v>
      </c>
      <c r="K56" s="30" t="n">
        <v>-3.7</v>
      </c>
      <c r="M56" s="4" t="s">
        <v>37</v>
      </c>
      <c r="N56" s="29" t="s">
        <v>38</v>
      </c>
      <c r="O56" s="31" t="n">
        <f aca="false">1/(1+(((1/C11-1)/(0.25-0))+C56/10000)*(0.25-0))</f>
        <v>0.986061568151993</v>
      </c>
      <c r="P56" s="31" t="n">
        <f aca="false">O56/(1+(((C11/D11-1)/(0.5-0.25))+D56/10000)*(0.5-0.25))</f>
        <v>0.972581524005963</v>
      </c>
      <c r="Q56" s="31" t="n">
        <f aca="false">P56/(1+(((D11/E11-1)/(1-0.5))+E56/10000)*(1-0.5))</f>
        <v>0.953612707835657</v>
      </c>
      <c r="R56" s="31" t="n">
        <f aca="false">Q56/(1+(((E11/F11-1)/(2-1))+F56/10000)*(2-1))</f>
        <v>0.906091756615953</v>
      </c>
      <c r="S56" s="31" t="n">
        <f aca="false">R56/(1+(((F11/G11-1)/(3-2))+G56/10000)*(3-2))</f>
        <v>0.861935365323622</v>
      </c>
      <c r="T56" s="31" t="n">
        <f aca="false">S56/(1+(((G11/H11-1)/(5-3))+H56/10000)*(5-3))</f>
        <v>0.781432612005374</v>
      </c>
      <c r="U56" s="31" t="n">
        <f aca="false">T56/(1+(((H11/I11-1)/(10-5))+I56/10000)*(10-5))</f>
        <v>0.611765633052155</v>
      </c>
      <c r="V56" s="31" t="n">
        <f aca="false">U56/(1+(((I11/J11-1)/(20-10))+J56/10000)*(20-10))</f>
        <v>0.379198083293197</v>
      </c>
      <c r="W56" s="31" t="n">
        <f aca="false">V56/(1+(((J11/K11-1)/(30-20))+K56/10000)*(30-20))</f>
        <v>0.236361041331527</v>
      </c>
    </row>
    <row r="57" customFormat="false" ht="15" hidden="false" customHeight="true" outlineLevel="0" collapsed="false">
      <c r="A57" s="9" t="s">
        <v>40</v>
      </c>
      <c r="B57" s="29" t="s">
        <v>38</v>
      </c>
      <c r="C57" s="30" t="n">
        <v>78.1</v>
      </c>
      <c r="D57" s="30" t="n">
        <v>64</v>
      </c>
      <c r="E57" s="30" t="n">
        <v>58.6</v>
      </c>
      <c r="F57" s="30" t="n">
        <v>41.3</v>
      </c>
      <c r="G57" s="30" t="n">
        <v>-24.3</v>
      </c>
      <c r="H57" s="30" t="n">
        <v>12.2</v>
      </c>
      <c r="I57" s="30" t="n">
        <v>7.6</v>
      </c>
      <c r="J57" s="30" t="n">
        <v>3.7</v>
      </c>
      <c r="K57" s="30" t="n">
        <v>-2.5</v>
      </c>
      <c r="M57" s="4" t="s">
        <v>40</v>
      </c>
      <c r="N57" s="29" t="s">
        <v>38</v>
      </c>
      <c r="O57" s="31" t="n">
        <f aca="false">1/(1+(((1/C12-1)/(0.25-0))+C57/10000)*(0.25-0))</f>
        <v>0.989858198309937</v>
      </c>
      <c r="P57" s="31" t="n">
        <f aca="false">O57/(1+(((C12/D12-1)/(0.5-0.25))+D57/10000)*(0.5-0.25))</f>
        <v>0.980141704991619</v>
      </c>
      <c r="Q57" s="31" t="n">
        <f aca="false">P57/(1+(((D12/E12-1)/(1-0.5))+E57/10000)*(1-0.5))</f>
        <v>0.961223663488055</v>
      </c>
      <c r="R57" s="31" t="n">
        <f aca="false">Q57/(1+(((E12/F12-1)/(2-1))+F57/10000)*(2-1))</f>
        <v>0.925904425135753</v>
      </c>
      <c r="S57" s="31" t="n">
        <f aca="false">R57/(1+(((F12/G12-1)/(3-2))+G57/10000)*(3-2))</f>
        <v>0.897285199554242</v>
      </c>
      <c r="T57" s="31" t="n">
        <f aca="false">S57/(1+(((G12/H12-1)/(5-3))+H57/10000)*(5-3))</f>
        <v>0.836057473141918</v>
      </c>
      <c r="U57" s="31" t="n">
        <f aca="false">T57/(1+(((H12/I12-1)/(10-5))+I57/10000)*(10-5))</f>
        <v>0.698731145486687</v>
      </c>
      <c r="V57" s="31" t="n">
        <f aca="false">U57/(1+(((I12/J12-1)/(20-10))+J57/10000)*(20-10))</f>
        <v>0.493562458584677</v>
      </c>
      <c r="W57" s="31" t="n">
        <f aca="false">V57/(1+(((J12/K12-1)/(30-20))+K57/10000)*(30-20))</f>
        <v>0.350170646538948</v>
      </c>
    </row>
    <row r="58" customFormat="false" ht="15" hidden="false" customHeight="true" outlineLevel="0" collapsed="false">
      <c r="A58" s="9" t="s">
        <v>49</v>
      </c>
      <c r="B58" s="29" t="s">
        <v>50</v>
      </c>
      <c r="C58" s="30" t="n">
        <v>34</v>
      </c>
      <c r="D58" s="30" t="n">
        <v>35.2</v>
      </c>
      <c r="E58" s="30" t="n">
        <v>30.2</v>
      </c>
      <c r="F58" s="30" t="n">
        <v>-18.5</v>
      </c>
      <c r="G58" s="30" t="n">
        <v>13.9</v>
      </c>
      <c r="H58" s="30" t="n">
        <v>7.8</v>
      </c>
      <c r="I58" s="30" t="n">
        <v>4.1</v>
      </c>
      <c r="J58" s="30" t="n">
        <v>2.8</v>
      </c>
      <c r="K58" s="30" t="n">
        <v>1.9</v>
      </c>
      <c r="M58" s="4" t="s">
        <v>49</v>
      </c>
      <c r="N58" s="29" t="s">
        <v>50</v>
      </c>
      <c r="O58" s="31" t="n">
        <f aca="false">1/(1+(((1/C13-1)/(0.25-0))+C58/10000)*(0.25-0))</f>
        <v>0.989208546534173</v>
      </c>
      <c r="P58" s="31" t="n">
        <f aca="false">O58/(1+(((C13/D13-1)/(0.5-0.25))+D58/10000)*(0.5-0.25))</f>
        <v>0.978485377984527</v>
      </c>
      <c r="Q58" s="31" t="n">
        <f aca="false">P58/(1+(((D13/E13-1)/(1-0.5))+E58/10000)*(1-0.5))</f>
        <v>0.95758460198965</v>
      </c>
      <c r="R58" s="31" t="n">
        <f aca="false">Q58/(1+(((E13/F13-1)/(2-1))+F58/10000)*(2-1))</f>
        <v>0.921260691583347</v>
      </c>
      <c r="S58" s="31" t="n">
        <f aca="false">R58/(1+(((F13/G13-1)/(3-2))+G58/10000)*(3-2))</f>
        <v>0.883294940950007</v>
      </c>
      <c r="T58" s="31" t="n">
        <f aca="false">S58/(1+(((G13/H13-1)/(5-3))+H58/10000)*(5-3))</f>
        <v>0.812262168887263</v>
      </c>
      <c r="U58" s="31" t="n">
        <f aca="false">T58/(1+(((H13/I13-1)/(10-5))+I58/10000)*(10-5))</f>
        <v>0.656494822061818</v>
      </c>
      <c r="V58" s="31" t="n">
        <f aca="false">U58/(1+(((I13/J13-1)/(20-10))+J58/10000)*(20-10))</f>
        <v>0.432709814876346</v>
      </c>
      <c r="W58" s="31" t="n">
        <f aca="false">V58/(1+(((J13/K13-1)/(30-20))+K58/10000)*(30-20))</f>
        <v>0.285377950600986</v>
      </c>
    </row>
    <row r="60" customFormat="false" ht="15" hidden="false" customHeight="true" outlineLevel="0" collapsed="false">
      <c r="A60" s="28" t="s">
        <v>120</v>
      </c>
      <c r="B60" s="28"/>
      <c r="C60" s="12" t="s">
        <v>74</v>
      </c>
      <c r="D60" s="12" t="s">
        <v>75</v>
      </c>
      <c r="E60" s="12" t="s">
        <v>30</v>
      </c>
      <c r="F60" s="12" t="s">
        <v>76</v>
      </c>
      <c r="G60" s="12" t="s">
        <v>77</v>
      </c>
      <c r="H60" s="12" t="s">
        <v>78</v>
      </c>
      <c r="I60" s="12" t="s">
        <v>79</v>
      </c>
      <c r="J60" s="12" t="s">
        <v>80</v>
      </c>
      <c r="K60" s="12" t="s">
        <v>81</v>
      </c>
      <c r="M60" s="28" t="s">
        <v>120</v>
      </c>
      <c r="N60" s="28"/>
      <c r="O60" s="12" t="s">
        <v>74</v>
      </c>
      <c r="P60" s="12" t="s">
        <v>75</v>
      </c>
      <c r="Q60" s="12" t="s">
        <v>30</v>
      </c>
      <c r="R60" s="12" t="s">
        <v>76</v>
      </c>
      <c r="S60" s="12" t="s">
        <v>77</v>
      </c>
      <c r="T60" s="12" t="s">
        <v>78</v>
      </c>
      <c r="U60" s="12" t="s">
        <v>79</v>
      </c>
      <c r="V60" s="12" t="s">
        <v>80</v>
      </c>
      <c r="W60" s="12" t="s">
        <v>81</v>
      </c>
    </row>
    <row r="61" customFormat="false" ht="15" hidden="false" customHeight="true" outlineLevel="0" collapsed="false">
      <c r="A61" s="9" t="s">
        <v>42</v>
      </c>
      <c r="B61" s="29" t="s">
        <v>43</v>
      </c>
      <c r="C61" s="30" t="n">
        <v>54.8</v>
      </c>
      <c r="D61" s="30" t="n">
        <v>53</v>
      </c>
      <c r="E61" s="30" t="n">
        <v>46.7</v>
      </c>
      <c r="F61" s="30" t="n">
        <v>31.2</v>
      </c>
      <c r="G61" s="30" t="n">
        <v>-20.7</v>
      </c>
      <c r="H61" s="30" t="n">
        <v>10.5</v>
      </c>
      <c r="I61" s="30" t="n">
        <v>4.7</v>
      </c>
      <c r="J61" s="30" t="n">
        <v>3</v>
      </c>
      <c r="K61" s="30" t="n">
        <v>2.1</v>
      </c>
      <c r="M61" s="4" t="s">
        <v>42</v>
      </c>
      <c r="N61" s="29" t="s">
        <v>43</v>
      </c>
      <c r="O61" s="31" t="n">
        <f aca="false">1/(1+(((1/C8-1)/(0.25-0))+C61/10000)*(0.25-0))</f>
        <v>0.987958981393207</v>
      </c>
      <c r="P61" s="31" t="n">
        <f aca="false">O61/(1+(((C8/D8-1)/(0.5-0.25))+D61/10000)*(0.5-0.25))</f>
        <v>0.976088881540551</v>
      </c>
      <c r="Q61" s="31" t="n">
        <f aca="false">P61/(1+(((D8/E8-1)/(1-0.5))+E61/10000)*(1-0.5))</f>
        <v>0.953041785744194</v>
      </c>
      <c r="R61" s="31" t="n">
        <f aca="false">Q61/(1+(((E8/F8-1)/(2-1))+F61/10000)*(2-1))</f>
        <v>0.909800859724724</v>
      </c>
      <c r="S61" s="31" t="n">
        <f aca="false">R61/(1+(((F8/G8-1)/(3-2))+G61/10000)*(3-2))</f>
        <v>0.872583845887327</v>
      </c>
      <c r="T61" s="31" t="n">
        <f aca="false">S61/(1+(((G8/H8-1)/(5-3))+H61/10000)*(5-3))</f>
        <v>0.797226609128814</v>
      </c>
      <c r="U61" s="31" t="n">
        <f aca="false">T61/(1+(((H8/I8-1)/(10-5))+I61/10000)*(10-5))</f>
        <v>0.634613144283944</v>
      </c>
      <c r="V61" s="31" t="n">
        <f aca="false">U61/(1+(((I8/J8-1)/(20-10))+J61/10000)*(20-10))</f>
        <v>0.405895604694492</v>
      </c>
      <c r="W61" s="31" t="n">
        <f aca="false">V61/(1+(((J8/K8-1)/(30-20))+K61/10000)*(30-20))</f>
        <v>0.259757863235091</v>
      </c>
    </row>
    <row r="62" customFormat="false" ht="15" hidden="false" customHeight="true" outlineLevel="0" collapsed="false">
      <c r="A62" s="9" t="s">
        <v>52</v>
      </c>
      <c r="B62" s="29" t="s">
        <v>43</v>
      </c>
      <c r="C62" s="30" t="n">
        <v>45.7</v>
      </c>
      <c r="D62" s="30" t="n">
        <v>43.3</v>
      </c>
      <c r="E62" s="30" t="n">
        <v>40.5</v>
      </c>
      <c r="F62" s="30" t="n">
        <v>25.3</v>
      </c>
      <c r="G62" s="30" t="n">
        <v>16</v>
      </c>
      <c r="H62" s="30" t="n">
        <v>-8.5</v>
      </c>
      <c r="I62" s="30" t="n">
        <v>4.3</v>
      </c>
      <c r="J62" s="30" t="n">
        <v>2.1</v>
      </c>
      <c r="K62" s="30" t="n">
        <v>0.9</v>
      </c>
      <c r="M62" s="4" t="s">
        <v>52</v>
      </c>
      <c r="N62" s="29" t="s">
        <v>43</v>
      </c>
      <c r="O62" s="31" t="n">
        <f aca="false">1/(1+(((1/C9-1)/(0.25-0))+C62/10000)*(0.25-0))</f>
        <v>0.99114736634431</v>
      </c>
      <c r="P62" s="31" t="n">
        <f aca="false">O62/(1+(((C9/D9-1)/(0.5-0.25))+D62/10000)*(0.5-0.25))</f>
        <v>0.982412849795813</v>
      </c>
      <c r="Q62" s="31" t="n">
        <f aca="false">P62/(1+(((D9/E9-1)/(1-0.5))+E62/10000)*(1-0.5))</f>
        <v>0.965269080950153</v>
      </c>
      <c r="R62" s="31" t="n">
        <f aca="false">Q62/(1+(((E9/F9-1)/(2-1))+F62/10000)*(2-1))</f>
        <v>0.9330961656065</v>
      </c>
      <c r="S62" s="31" t="n">
        <f aca="false">R62/(1+(((F9/G9-1)/(3-2))+G62/10000)*(3-2))</f>
        <v>0.902536707742093</v>
      </c>
      <c r="T62" s="31" t="n">
        <f aca="false">S62/(1+(((G9/H9-1)/(5-3))+H62/10000)*(5-3))</f>
        <v>0.847596989990749</v>
      </c>
      <c r="U62" s="31" t="n">
        <f aca="false">T62/(1+(((H9/I9-1)/(10-5))+I62/10000)*(10-5))</f>
        <v>0.71646924366174</v>
      </c>
      <c r="V62" s="31" t="n">
        <f aca="false">U62/(1+(((I9/J9-1)/(20-10))+J62/10000)*(20-10))</f>
        <v>0.5168848274151</v>
      </c>
      <c r="W62" s="31" t="n">
        <f aca="false">V62/(1+(((J9/K9-1)/(30-20))+K62/10000)*(30-20))</f>
        <v>0.373220221414925</v>
      </c>
    </row>
    <row r="63" customFormat="false" ht="15" hidden="false" customHeight="true" outlineLevel="0" collapsed="false">
      <c r="A63" s="9" t="s">
        <v>45</v>
      </c>
      <c r="B63" s="29" t="s">
        <v>38</v>
      </c>
      <c r="C63" s="30" t="n">
        <v>71.9</v>
      </c>
      <c r="D63" s="30" t="n">
        <v>65.5</v>
      </c>
      <c r="E63" s="30" t="n">
        <v>48.6</v>
      </c>
      <c r="F63" s="30" t="n">
        <v>33.3</v>
      </c>
      <c r="G63" s="30" t="n">
        <v>20</v>
      </c>
      <c r="H63" s="30" t="n">
        <v>12</v>
      </c>
      <c r="I63" s="30" t="n">
        <v>6.2</v>
      </c>
      <c r="J63" s="30" t="n">
        <v>-2.9</v>
      </c>
      <c r="K63" s="30" t="n">
        <v>2</v>
      </c>
      <c r="M63" s="4" t="s">
        <v>45</v>
      </c>
      <c r="N63" s="29" t="s">
        <v>38</v>
      </c>
      <c r="O63" s="31" t="n">
        <f aca="false">1/(1+(((1/C10-1)/(0.25-0))+C63/10000)*(0.25-0))</f>
        <v>0.987789010860488</v>
      </c>
      <c r="P63" s="31" t="n">
        <f aca="false">O63/(1+(((C10/D10-1)/(0.5-0.25))+D63/10000)*(0.5-0.25))</f>
        <v>0.975862174725066</v>
      </c>
      <c r="Q63" s="31" t="n">
        <f aca="false">P63/(1+(((D10/E10-1)/(1-0.5))+E63/10000)*(1-0.5))</f>
        <v>0.95320762385314</v>
      </c>
      <c r="R63" s="31" t="n">
        <f aca="false">Q63/(1+(((E10/F10-1)/(2-1))+F63/10000)*(2-1))</f>
        <v>0.910684434407317</v>
      </c>
      <c r="S63" s="31" t="n">
        <f aca="false">R63/(1+(((F10/G10-1)/(3-2))+G63/10000)*(3-2))</f>
        <v>0.870903505056356</v>
      </c>
      <c r="T63" s="31" t="n">
        <f aca="false">S63/(1+(((G10/H10-1)/(5-3))+H63/10000)*(5-3))</f>
        <v>0.797062014001968</v>
      </c>
      <c r="U63" s="31" t="n">
        <f aca="false">T63/(1+(((H10/I10-1)/(10-5))+I63/10000)*(10-5))</f>
        <v>0.637275262185611</v>
      </c>
      <c r="V63" s="31" t="n">
        <f aca="false">U63/(1+(((I10/J10-1)/(20-10))+J63/10000)*(20-10))</f>
        <v>0.413261712628012</v>
      </c>
      <c r="W63" s="31" t="n">
        <f aca="false">V63/(1+(((J10/K10-1)/(30-20))+K63/10000)*(30-20))</f>
        <v>0.267144049656573</v>
      </c>
    </row>
    <row r="64" customFormat="false" ht="15" hidden="false" customHeight="true" outlineLevel="0" collapsed="false">
      <c r="A64" s="9" t="s">
        <v>37</v>
      </c>
      <c r="B64" s="29" t="s">
        <v>38</v>
      </c>
      <c r="C64" s="30" t="n">
        <v>105.6</v>
      </c>
      <c r="D64" s="30" t="n">
        <v>102.5</v>
      </c>
      <c r="E64" s="30" t="n">
        <v>81.6</v>
      </c>
      <c r="F64" s="30" t="n">
        <v>58.5</v>
      </c>
      <c r="G64" s="30" t="n">
        <v>37.2</v>
      </c>
      <c r="H64" s="30" t="n">
        <v>23.3</v>
      </c>
      <c r="I64" s="30" t="n">
        <v>10.5</v>
      </c>
      <c r="J64" s="30" t="n">
        <v>5.7</v>
      </c>
      <c r="K64" s="30" t="n">
        <v>3.6</v>
      </c>
      <c r="M64" s="4" t="s">
        <v>37</v>
      </c>
      <c r="N64" s="29" t="s">
        <v>38</v>
      </c>
      <c r="O64" s="31" t="n">
        <f aca="false">1/(1+(((1/C11-1)/(0.25-0))+C64/10000)*(0.25-0))</f>
        <v>0.985983788894309</v>
      </c>
      <c r="P64" s="31" t="n">
        <f aca="false">O64/(1+(((C11/D11-1)/(0.5-0.25))+D64/10000)*(0.5-0.25))</f>
        <v>0.972219526745014</v>
      </c>
      <c r="Q64" s="31" t="n">
        <f aca="false">P64/(1+(((D11/E11-1)/(1-0.5))+E64/10000)*(1-0.5))</f>
        <v>0.946234479809646</v>
      </c>
      <c r="R64" s="31" t="n">
        <f aca="false">Q64/(1+(((E11/F11-1)/(2-1))+F64/10000)*(2-1))</f>
        <v>0.898270372586212</v>
      </c>
      <c r="S64" s="31" t="n">
        <f aca="false">R64/(1+(((F11/G11-1)/(3-2))+G64/10000)*(3-2))</f>
        <v>0.854210735334789</v>
      </c>
      <c r="T64" s="31" t="n">
        <f aca="false">S64/(1+(((G11/H11-1)/(5-3))+H64/10000)*(5-3))</f>
        <v>0.773980361309547</v>
      </c>
      <c r="U64" s="31" t="n">
        <f aca="false">T64/(1+(((H11/I11-1)/(10-5))+I64/10000)*(10-5))</f>
        <v>0.605575868677362</v>
      </c>
      <c r="V64" s="31" t="n">
        <f aca="false">U64/(1+(((I11/J11-1)/(20-10))+J64/10000)*(20-10))</f>
        <v>0.375268364010495</v>
      </c>
      <c r="W64" s="31" t="n">
        <f aca="false">V64/(1+(((J11/K11-1)/(30-20))+K64/10000)*(30-20))</f>
        <v>0.232852047449366</v>
      </c>
    </row>
    <row r="65" customFormat="false" ht="15" hidden="false" customHeight="true" outlineLevel="0" collapsed="false">
      <c r="A65" s="9" t="s">
        <v>40</v>
      </c>
      <c r="B65" s="29" t="s">
        <v>38</v>
      </c>
      <c r="C65" s="30" t="n">
        <v>88.1</v>
      </c>
      <c r="D65" s="30" t="n">
        <v>81.2</v>
      </c>
      <c r="E65" s="30" t="n">
        <v>63.7</v>
      </c>
      <c r="F65" s="30" t="n">
        <v>44.4</v>
      </c>
      <c r="G65" s="30" t="n">
        <v>29</v>
      </c>
      <c r="H65" s="30" t="n">
        <v>13.9</v>
      </c>
      <c r="I65" s="30" t="n">
        <v>8.1</v>
      </c>
      <c r="J65" s="30" t="n">
        <v>4.2</v>
      </c>
      <c r="K65" s="30" t="n">
        <v>3.1</v>
      </c>
      <c r="M65" s="4" t="s">
        <v>40</v>
      </c>
      <c r="N65" s="29" t="s">
        <v>38</v>
      </c>
      <c r="O65" s="31" t="n">
        <f aca="false">1/(1+(((1/C12-1)/(0.25-0))+C65/10000)*(0.25-0))</f>
        <v>0.989613304099382</v>
      </c>
      <c r="P65" s="31" t="n">
        <f aca="false">O65/(1+(((C12/D12-1)/(0.5-0.25))+D65/10000)*(0.5-0.25))</f>
        <v>0.979482171635985</v>
      </c>
      <c r="Q65" s="31" t="n">
        <f aca="false">P65/(1+(((D12/E12-1)/(1-0.5))+E65/10000)*(1-0.5))</f>
        <v>0.960336700770215</v>
      </c>
      <c r="R65" s="31" t="n">
        <f aca="false">Q65/(1+(((E12/F12-1)/(2-1))+F65/10000)*(2-1))</f>
        <v>0.92477390687557</v>
      </c>
      <c r="S65" s="31" t="n">
        <f aca="false">R65/(1+(((F12/G12-1)/(3-2))+G65/10000)*(3-2))</f>
        <v>0.891584366680052</v>
      </c>
      <c r="T65" s="31" t="n">
        <f aca="false">S65/(1+(((G12/H12-1)/(5-3))+H65/10000)*(5-3))</f>
        <v>0.830482549451779</v>
      </c>
      <c r="U65" s="31" t="n">
        <f aca="false">T65/(1+(((H12/I12-1)/(10-5))+I65/10000)*(10-5))</f>
        <v>0.693926942382383</v>
      </c>
      <c r="V65" s="31" t="n">
        <f aca="false">U65/(1+(((I12/J12-1)/(20-10))+J65/10000)*(20-10))</f>
        <v>0.489995856334911</v>
      </c>
      <c r="W65" s="31" t="n">
        <f aca="false">V65/(1+(((J12/K12-1)/(30-20))+K65/10000)*(30-20))</f>
        <v>0.346264497086134</v>
      </c>
    </row>
    <row r="66" customFormat="false" ht="15" hidden="false" customHeight="true" outlineLevel="0" collapsed="false">
      <c r="A66" s="9" t="s">
        <v>49</v>
      </c>
      <c r="B66" s="29" t="s">
        <v>50</v>
      </c>
      <c r="C66" s="30" t="n">
        <v>-37.7</v>
      </c>
      <c r="D66" s="30" t="n">
        <v>36.1</v>
      </c>
      <c r="E66" s="30" t="n">
        <v>-33.5</v>
      </c>
      <c r="F66" s="30" t="n">
        <v>21.5</v>
      </c>
      <c r="G66" s="30" t="n">
        <v>14.1</v>
      </c>
      <c r="H66" s="30" t="n">
        <v>8.9</v>
      </c>
      <c r="I66" s="30" t="n">
        <v>-5.1</v>
      </c>
      <c r="J66" s="30" t="n">
        <v>3.1</v>
      </c>
      <c r="K66" s="30" t="n">
        <v>1.9</v>
      </c>
      <c r="M66" s="4" t="s">
        <v>49</v>
      </c>
      <c r="N66" s="29" t="s">
        <v>50</v>
      </c>
      <c r="O66" s="31" t="n">
        <f aca="false">1/(1+(((1/C13-1)/(0.25-0))+C66/10000)*(0.25-0))</f>
        <v>0.990965683598615</v>
      </c>
      <c r="P66" s="31" t="n">
        <f aca="false">O66/(1+(((C13/D13-1)/(0.5-0.25))+D66/10000)*(0.5-0.25))</f>
        <v>0.980201651957777</v>
      </c>
      <c r="Q66" s="31" t="n">
        <f aca="false">P66/(1+(((D13/E13-1)/(1-0.5))+E66/10000)*(1-0.5))</f>
        <v>0.962263559855125</v>
      </c>
      <c r="R66" s="31" t="n">
        <f aca="false">Q66/(1+(((E13/F13-1)/(2-1))+F66/10000)*(2-1))</f>
        <v>0.922213238994581</v>
      </c>
      <c r="S66" s="31" t="n">
        <f aca="false">R66/(1+(((F13/G13-1)/(3-2))+G66/10000)*(3-2))</f>
        <v>0.884191278200956</v>
      </c>
      <c r="T66" s="31" t="n">
        <f aca="false">S66/(1+(((G13/H13-1)/(5-3))+H66/10000)*(5-3))</f>
        <v>0.812921963872878</v>
      </c>
      <c r="U66" s="31" t="n">
        <f aca="false">T66/(1+(((H13/I13-1)/(10-5))+I66/10000)*(10-5))</f>
        <v>0.659479941709994</v>
      </c>
      <c r="V66" s="31" t="n">
        <f aca="false">U66/(1+(((I13/J13-1)/(20-10))+J66/10000)*(20-10))</f>
        <v>0.434591436687819</v>
      </c>
      <c r="W66" s="31" t="n">
        <f aca="false">V66/(1+(((J13/K13-1)/(30-20))+K66/10000)*(30-20))</f>
        <v>0.286618905527136</v>
      </c>
    </row>
    <row r="68" customFormat="false" ht="15" hidden="false" customHeight="true" outlineLevel="0" collapsed="false">
      <c r="A68" s="28" t="s">
        <v>121</v>
      </c>
      <c r="B68" s="28"/>
      <c r="C68" s="12" t="s">
        <v>74</v>
      </c>
      <c r="D68" s="12" t="s">
        <v>75</v>
      </c>
      <c r="E68" s="12" t="s">
        <v>30</v>
      </c>
      <c r="F68" s="12" t="s">
        <v>76</v>
      </c>
      <c r="G68" s="12" t="s">
        <v>77</v>
      </c>
      <c r="H68" s="12" t="s">
        <v>78</v>
      </c>
      <c r="I68" s="12" t="s">
        <v>79</v>
      </c>
      <c r="J68" s="12" t="s">
        <v>80</v>
      </c>
      <c r="K68" s="12" t="s">
        <v>81</v>
      </c>
      <c r="M68" s="28" t="s">
        <v>121</v>
      </c>
      <c r="N68" s="28"/>
      <c r="O68" s="12" t="s">
        <v>74</v>
      </c>
      <c r="P68" s="12" t="s">
        <v>75</v>
      </c>
      <c r="Q68" s="12" t="s">
        <v>30</v>
      </c>
      <c r="R68" s="12" t="s">
        <v>76</v>
      </c>
      <c r="S68" s="12" t="s">
        <v>77</v>
      </c>
      <c r="T68" s="12" t="s">
        <v>78</v>
      </c>
      <c r="U68" s="12" t="s">
        <v>79</v>
      </c>
      <c r="V68" s="12" t="s">
        <v>80</v>
      </c>
      <c r="W68" s="12" t="s">
        <v>81</v>
      </c>
    </row>
    <row r="69" customFormat="false" ht="15" hidden="false" customHeight="true" outlineLevel="0" collapsed="false">
      <c r="A69" s="9" t="s">
        <v>42</v>
      </c>
      <c r="B69" s="29" t="s">
        <v>43</v>
      </c>
      <c r="C69" s="30" t="n">
        <v>62.9</v>
      </c>
      <c r="D69" s="30" t="n">
        <v>-60.7</v>
      </c>
      <c r="E69" s="30" t="n">
        <v>47.7</v>
      </c>
      <c r="F69" s="30" t="n">
        <v>32.8</v>
      </c>
      <c r="G69" s="30" t="n">
        <v>22.5</v>
      </c>
      <c r="H69" s="30" t="n">
        <v>11.2</v>
      </c>
      <c r="I69" s="30" t="n">
        <v>5.8</v>
      </c>
      <c r="J69" s="30" t="n">
        <v>3.4</v>
      </c>
      <c r="K69" s="30" t="n">
        <v>2.3</v>
      </c>
      <c r="M69" s="4" t="s">
        <v>42</v>
      </c>
      <c r="N69" s="29" t="s">
        <v>43</v>
      </c>
      <c r="O69" s="31" t="n">
        <f aca="false">1/(1+(((1/C8-1)/(0.25-0))+C69/10000)*(0.25-0))</f>
        <v>0.987761368180886</v>
      </c>
      <c r="P69" s="31" t="n">
        <f aca="false">O69/(1+(((C8/D8-1)/(0.5-0.25))+D69/10000)*(0.5-0.25))</f>
        <v>0.978642009953025</v>
      </c>
      <c r="Q69" s="31" t="n">
        <f aca="false">P69/(1+(((D8/E8-1)/(1-0.5))+E69/10000)*(1-0.5))</f>
        <v>0.955487984146696</v>
      </c>
      <c r="R69" s="31" t="n">
        <f aca="false">Q69/(1+(((E8/F8-1)/(2-1))+F69/10000)*(2-1))</f>
        <v>0.911996771561398</v>
      </c>
      <c r="S69" s="31" t="n">
        <f aca="false">R69/(1+(((F8/G8-1)/(3-2))+G69/10000)*(3-2))</f>
        <v>0.871080796023236</v>
      </c>
      <c r="T69" s="31" t="n">
        <f aca="false">S69/(1+(((G8/H8-1)/(5-3))+H69/10000)*(5-3))</f>
        <v>0.795751580042144</v>
      </c>
      <c r="U69" s="31" t="n">
        <f aca="false">T69/(1+(((H8/I8-1)/(10-5))+I69/10000)*(10-5))</f>
        <v>0.633161775419459</v>
      </c>
      <c r="V69" s="31" t="n">
        <f aca="false">U69/(1+(((I8/J8-1)/(20-10))+J69/10000)*(20-10))</f>
        <v>0.404863736361447</v>
      </c>
      <c r="W69" s="31" t="n">
        <f aca="false">V69/(1+(((J8/K8-1)/(30-20))+K69/10000)*(30-20))</f>
        <v>0.259064348177572</v>
      </c>
    </row>
    <row r="70" customFormat="false" ht="15" hidden="false" customHeight="true" outlineLevel="0" collapsed="false">
      <c r="A70" s="9" t="s">
        <v>52</v>
      </c>
      <c r="B70" s="29" t="s">
        <v>43</v>
      </c>
      <c r="C70" s="30" t="n">
        <v>58.2</v>
      </c>
      <c r="D70" s="30" t="n">
        <v>49.3</v>
      </c>
      <c r="E70" s="30" t="n">
        <v>40.3</v>
      </c>
      <c r="F70" s="30" t="n">
        <v>28.6</v>
      </c>
      <c r="G70" s="30" t="n">
        <v>16.8</v>
      </c>
      <c r="H70" s="30" t="n">
        <v>8.3</v>
      </c>
      <c r="I70" s="30" t="n">
        <v>4.3</v>
      </c>
      <c r="J70" s="30" t="n">
        <v>-2.2</v>
      </c>
      <c r="K70" s="30" t="n">
        <v>1.1</v>
      </c>
      <c r="M70" s="4" t="s">
        <v>52</v>
      </c>
      <c r="N70" s="29" t="s">
        <v>43</v>
      </c>
      <c r="O70" s="31" t="n">
        <f aca="false">1/(1+(((1/C9-1)/(0.25-0))+C70/10000)*(0.25-0))</f>
        <v>0.990840469806149</v>
      </c>
      <c r="P70" s="31" t="n">
        <f aca="false">O70/(1+(((C9/D9-1)/(0.5-0.25))+D70/10000)*(0.5-0.25))</f>
        <v>0.981962661429996</v>
      </c>
      <c r="Q70" s="31" t="n">
        <f aca="false">P70/(1+(((D9/E9-1)/(1-0.5))+E70/10000)*(1-0.5))</f>
        <v>0.964836228667716</v>
      </c>
      <c r="R70" s="31" t="n">
        <f aca="false">Q70/(1+(((E9/F9-1)/(2-1))+F70/10000)*(2-1))</f>
        <v>0.932380310327217</v>
      </c>
      <c r="S70" s="31" t="n">
        <f aca="false">R70/(1+(((F9/G9-1)/(3-2))+G70/10000)*(3-2))</f>
        <v>0.901774517882615</v>
      </c>
      <c r="T70" s="31" t="n">
        <f aca="false">S70/(1+(((G9/H9-1)/(5-3))+H70/10000)*(5-3))</f>
        <v>0.844217295741428</v>
      </c>
      <c r="U70" s="31" t="n">
        <f aca="false">T70/(1+(((H9/I9-1)/(10-5))+I70/10000)*(10-5))</f>
        <v>0.713612406024026</v>
      </c>
      <c r="V70" s="31" t="n">
        <f aca="false">U70/(1+(((I9/J9-1)/(20-10))+J70/10000)*(20-10))</f>
        <v>0.516425846812637</v>
      </c>
      <c r="W70" s="31" t="n">
        <f aca="false">V70/(1+(((J9/K9-1)/(30-20))+K70/10000)*(30-20))</f>
        <v>0.372834969727305</v>
      </c>
    </row>
    <row r="71" customFormat="false" ht="15" hidden="false" customHeight="true" outlineLevel="0" collapsed="false">
      <c r="A71" s="9" t="s">
        <v>45</v>
      </c>
      <c r="B71" s="29" t="s">
        <v>38</v>
      </c>
      <c r="C71" s="30" t="n">
        <v>-79.3</v>
      </c>
      <c r="D71" s="30" t="n">
        <v>70.5</v>
      </c>
      <c r="E71" s="30" t="n">
        <v>54.3</v>
      </c>
      <c r="F71" s="30" t="n">
        <v>38.1</v>
      </c>
      <c r="G71" s="30" t="n">
        <v>24.5</v>
      </c>
      <c r="H71" s="30" t="n">
        <v>13.9</v>
      </c>
      <c r="I71" s="30" t="n">
        <v>-6.5</v>
      </c>
      <c r="J71" s="30" t="n">
        <v>3.2</v>
      </c>
      <c r="K71" s="30" t="n">
        <v>2.3</v>
      </c>
      <c r="M71" s="4" t="s">
        <v>45</v>
      </c>
      <c r="N71" s="29" t="s">
        <v>38</v>
      </c>
      <c r="O71" s="31" t="n">
        <f aca="false">1/(1+(((1/C10-1)/(0.25-0))+C71/10000)*(0.25-0))</f>
        <v>0.991491082363572</v>
      </c>
      <c r="P71" s="31" t="n">
        <f aca="false">O71/(1+(((C10/D10-1)/(0.5-0.25))+D71/10000)*(0.5-0.25))</f>
        <v>0.979398599764871</v>
      </c>
      <c r="Q71" s="31" t="n">
        <f aca="false">P71/(1+(((D10/E10-1)/(1-0.5))+E71/10000)*(1-0.5))</f>
        <v>0.9563957060858</v>
      </c>
      <c r="R71" s="31" t="n">
        <f aca="false">Q71/(1+(((E10/F10-1)/(2-1))+F71/10000)*(2-1))</f>
        <v>0.913311461622517</v>
      </c>
      <c r="S71" s="31" t="n">
        <f aca="false">R71/(1+(((F10/G10-1)/(3-2))+G71/10000)*(3-2))</f>
        <v>0.873040070687825</v>
      </c>
      <c r="T71" s="31" t="n">
        <f aca="false">S71/(1+(((G10/H10-1)/(5-3))+H71/10000)*(5-3))</f>
        <v>0.798739639808863</v>
      </c>
      <c r="U71" s="31" t="n">
        <f aca="false">T71/(1+(((H10/I10-1)/(10-5))+I71/10000)*(10-5))</f>
        <v>0.641875387588773</v>
      </c>
      <c r="V71" s="31" t="n">
        <f aca="false">U71/(1+(((I10/J10-1)/(20-10))+J71/10000)*(20-10))</f>
        <v>0.414604743072572</v>
      </c>
      <c r="W71" s="31" t="n">
        <f aca="false">V71/(1+(((J10/K10-1)/(30-20))+K71/10000)*(30-20))</f>
        <v>0.267960257364607</v>
      </c>
    </row>
    <row r="72" customFormat="false" ht="15" hidden="false" customHeight="true" outlineLevel="0" collapsed="false">
      <c r="A72" s="9" t="s">
        <v>37</v>
      </c>
      <c r="B72" s="29" t="s">
        <v>38</v>
      </c>
      <c r="C72" s="30" t="n">
        <v>119.6</v>
      </c>
      <c r="D72" s="30" t="n">
        <v>110.7</v>
      </c>
      <c r="E72" s="30" t="n">
        <v>89.7</v>
      </c>
      <c r="F72" s="30" t="n">
        <v>-65.4</v>
      </c>
      <c r="G72" s="30" t="n">
        <v>43</v>
      </c>
      <c r="H72" s="30" t="n">
        <v>23.9</v>
      </c>
      <c r="I72" s="30" t="n">
        <v>-10.9</v>
      </c>
      <c r="J72" s="30" t="n">
        <v>-6.7</v>
      </c>
      <c r="K72" s="30" t="n">
        <v>4.3</v>
      </c>
      <c r="M72" s="4" t="s">
        <v>37</v>
      </c>
      <c r="N72" s="29" t="s">
        <v>38</v>
      </c>
      <c r="O72" s="31" t="n">
        <f aca="false">1/(1+(((1/C11-1)/(0.25-0))+C72/10000)*(0.25-0))</f>
        <v>0.985643648863517</v>
      </c>
      <c r="P72" s="31" t="n">
        <f aca="false">O72/(1+(((C11/D11-1)/(0.5-0.25))+D72/10000)*(0.5-0.25))</f>
        <v>0.971687719823269</v>
      </c>
      <c r="Q72" s="31" t="n">
        <f aca="false">P72/(1+(((D11/E11-1)/(1-0.5))+E72/10000)*(1-0.5))</f>
        <v>0.945344255389449</v>
      </c>
      <c r="R72" s="31" t="n">
        <f aca="false">Q72/(1+(((E11/F11-1)/(2-1))+F72/10000)*(2-1))</f>
        <v>0.908106381997084</v>
      </c>
      <c r="S72" s="31" t="n">
        <f aca="false">R72/(1+(((F11/G11-1)/(3-2))+G72/10000)*(3-2))</f>
        <v>0.86308825674416</v>
      </c>
      <c r="T72" s="31" t="n">
        <f aca="false">S72/(1+(((G11/H11-1)/(5-3))+H72/10000)*(5-3))</f>
        <v>0.78193905614907</v>
      </c>
      <c r="U72" s="31" t="n">
        <f aca="false">T72/(1+(((H11/I11-1)/(10-5))+I72/10000)*(10-5))</f>
        <v>0.616968067233873</v>
      </c>
      <c r="V72" s="31" t="n">
        <f aca="false">U72/(1+(((I11/J11-1)/(20-10))+J72/10000)*(20-10))</f>
        <v>0.385288587887378</v>
      </c>
      <c r="W72" s="31" t="n">
        <f aca="false">V72/(1+(((J11/K11-1)/(30-20))+K72/10000)*(30-20))</f>
        <v>0.238965749804225</v>
      </c>
    </row>
    <row r="73" customFormat="false" ht="15" hidden="false" customHeight="true" outlineLevel="0" collapsed="false">
      <c r="A73" s="9" t="s">
        <v>40</v>
      </c>
      <c r="B73" s="29" t="s">
        <v>38</v>
      </c>
      <c r="C73" s="30" t="n">
        <v>92.2</v>
      </c>
      <c r="D73" s="30" t="n">
        <v>83.3</v>
      </c>
      <c r="E73" s="30" t="n">
        <v>66.8</v>
      </c>
      <c r="F73" s="30" t="n">
        <v>47.4</v>
      </c>
      <c r="G73" s="30" t="n">
        <v>32</v>
      </c>
      <c r="H73" s="30" t="n">
        <v>17.1</v>
      </c>
      <c r="I73" s="30" t="n">
        <v>-8.5</v>
      </c>
      <c r="J73" s="30" t="n">
        <v>4.1</v>
      </c>
      <c r="K73" s="30" t="n">
        <v>3.5</v>
      </c>
      <c r="M73" s="4" t="s">
        <v>40</v>
      </c>
      <c r="N73" s="29" t="s">
        <v>38</v>
      </c>
      <c r="O73" s="31" t="n">
        <f aca="false">1/(1+(((1/C12-1)/(0.25-0))+C73/10000)*(0.25-0))</f>
        <v>0.989512932495218</v>
      </c>
      <c r="P73" s="31" t="n">
        <f aca="false">O73/(1+(((C12/D12-1)/(0.5-0.25))+D73/10000)*(0.5-0.25))</f>
        <v>0.979331939014459</v>
      </c>
      <c r="Q73" s="31" t="n">
        <f aca="false">P73/(1+(((D12/E12-1)/(1-0.5))+E73/10000)*(1-0.5))</f>
        <v>0.960043506585016</v>
      </c>
      <c r="R73" s="31" t="n">
        <f aca="false">Q73/(1+(((E12/F12-1)/(2-1))+F73/10000)*(2-1))</f>
        <v>0.924224570417075</v>
      </c>
      <c r="S73" s="31" t="n">
        <f aca="false">R73/(1+(((F12/G12-1)/(3-2))+G73/10000)*(3-2))</f>
        <v>0.890797097464492</v>
      </c>
      <c r="T73" s="31" t="n">
        <f aca="false">S73/(1+(((G12/H12-1)/(5-3))+H73/10000)*(5-3))</f>
        <v>0.829254881404532</v>
      </c>
      <c r="U73" s="31" t="n">
        <f aca="false">T73/(1+(((H12/I12-1)/(10-5))+I73/10000)*(10-5))</f>
        <v>0.697740132296408</v>
      </c>
      <c r="V73" s="31" t="n">
        <f aca="false">U73/(1+(((I12/J12-1)/(20-10))+J73/10000)*(20-10))</f>
        <v>0.492723219080562</v>
      </c>
      <c r="W73" s="31" t="n">
        <f aca="false">V73/(1+(((J12/K12-1)/(30-20))+K73/10000)*(30-20))</f>
        <v>0.348093443020092</v>
      </c>
    </row>
    <row r="74" customFormat="false" ht="15" hidden="false" customHeight="true" outlineLevel="0" collapsed="false">
      <c r="A74" s="9" t="s">
        <v>49</v>
      </c>
      <c r="B74" s="29" t="s">
        <v>50</v>
      </c>
      <c r="C74" s="30" t="n">
        <v>45</v>
      </c>
      <c r="D74" s="30" t="n">
        <v>42.7</v>
      </c>
      <c r="E74" s="30" t="n">
        <v>37.5</v>
      </c>
      <c r="F74" s="30" t="n">
        <v>22.5</v>
      </c>
      <c r="G74" s="30" t="n">
        <v>15.6</v>
      </c>
      <c r="H74" s="30" t="n">
        <v>10</v>
      </c>
      <c r="I74" s="30" t="n">
        <v>5.7</v>
      </c>
      <c r="J74" s="30" t="n">
        <v>3.1</v>
      </c>
      <c r="K74" s="30" t="n">
        <v>-2.3</v>
      </c>
      <c r="M74" s="4" t="s">
        <v>49</v>
      </c>
      <c r="N74" s="29" t="s">
        <v>50</v>
      </c>
      <c r="O74" s="31" t="n">
        <f aca="false">1/(1+(((1/C13-1)/(0.25-0))+C74/10000)*(0.25-0))</f>
        <v>0.988939522991433</v>
      </c>
      <c r="P74" s="31" t="n">
        <f aca="false">O74/(1+(((C13/D13-1)/(0.5-0.25))+D74/10000)*(0.5-0.25))</f>
        <v>0.978037876484776</v>
      </c>
      <c r="Q74" s="31" t="n">
        <f aca="false">P74/(1+(((D13/E13-1)/(1-0.5))+E74/10000)*(1-0.5))</f>
        <v>0.956804885239764</v>
      </c>
      <c r="R74" s="31" t="n">
        <f aca="false">Q74/(1+(((E13/F13-1)/(2-1))+F74/10000)*(2-1))</f>
        <v>0.916893886397982</v>
      </c>
      <c r="S74" s="31" t="n">
        <f aca="false">R74/(1+(((F13/G13-1)/(3-2))+G74/10000)*(3-2))</f>
        <v>0.878964828478632</v>
      </c>
      <c r="T74" s="31" t="n">
        <f aca="false">S74/(1+(((G13/H13-1)/(5-3))+H74/10000)*(5-3))</f>
        <v>0.807953364262708</v>
      </c>
      <c r="U74" s="31" t="n">
        <f aca="false">T74/(1+(((H13/I13-1)/(10-5))+I74/10000)*(10-5))</f>
        <v>0.652590361406961</v>
      </c>
      <c r="V74" s="31" t="n">
        <f aca="false">U74/(1+(((I13/J13-1)/(20-10))+J74/10000)*(20-10))</f>
        <v>0.430051264329722</v>
      </c>
      <c r="W74" s="31" t="n">
        <f aca="false">V74/(1+(((J13/K13-1)/(30-20))+K74/10000)*(30-20))</f>
        <v>0.284412410734736</v>
      </c>
    </row>
    <row r="76" customFormat="false" ht="15" hidden="false" customHeight="true" outlineLevel="0" collapsed="false">
      <c r="A76" s="28" t="s">
        <v>122</v>
      </c>
      <c r="B76" s="28"/>
      <c r="C76" s="12" t="s">
        <v>74</v>
      </c>
      <c r="D76" s="12" t="s">
        <v>75</v>
      </c>
      <c r="E76" s="12" t="s">
        <v>30</v>
      </c>
      <c r="F76" s="12" t="s">
        <v>76</v>
      </c>
      <c r="G76" s="12" t="s">
        <v>77</v>
      </c>
      <c r="H76" s="12" t="s">
        <v>78</v>
      </c>
      <c r="I76" s="12" t="s">
        <v>79</v>
      </c>
      <c r="J76" s="12" t="s">
        <v>80</v>
      </c>
      <c r="K76" s="12" t="s">
        <v>81</v>
      </c>
      <c r="M76" s="28" t="s">
        <v>122</v>
      </c>
      <c r="N76" s="28"/>
      <c r="O76" s="12" t="s">
        <v>74</v>
      </c>
      <c r="P76" s="12" t="s">
        <v>75</v>
      </c>
      <c r="Q76" s="12" t="s">
        <v>30</v>
      </c>
      <c r="R76" s="12" t="s">
        <v>76</v>
      </c>
      <c r="S76" s="12" t="s">
        <v>77</v>
      </c>
      <c r="T76" s="12" t="s">
        <v>78</v>
      </c>
      <c r="U76" s="12" t="s">
        <v>79</v>
      </c>
      <c r="V76" s="12" t="s">
        <v>80</v>
      </c>
      <c r="W76" s="12" t="s">
        <v>81</v>
      </c>
    </row>
    <row r="77" customFormat="false" ht="15" hidden="false" customHeight="true" outlineLevel="0" collapsed="false">
      <c r="A77" s="9" t="s">
        <v>42</v>
      </c>
      <c r="B77" s="29" t="s">
        <v>43</v>
      </c>
      <c r="C77" s="30" t="n">
        <v>75.7</v>
      </c>
      <c r="D77" s="30" t="n">
        <v>-63.1</v>
      </c>
      <c r="E77" s="30" t="n">
        <v>53.1</v>
      </c>
      <c r="F77" s="30" t="n">
        <v>38.5</v>
      </c>
      <c r="G77" s="30" t="n">
        <v>-24.9</v>
      </c>
      <c r="H77" s="30" t="n">
        <v>12.4</v>
      </c>
      <c r="I77" s="30" t="n">
        <v>5.7</v>
      </c>
      <c r="J77" s="30" t="n">
        <v>3.8</v>
      </c>
      <c r="K77" s="30" t="n">
        <v>2.3</v>
      </c>
      <c r="M77" s="4" t="s">
        <v>42</v>
      </c>
      <c r="N77" s="29" t="s">
        <v>43</v>
      </c>
      <c r="O77" s="31" t="n">
        <f aca="false">1/(1+(((1/C8-1)/(0.25-0))+C77/10000)*(0.25-0))</f>
        <v>0.98744925162927</v>
      </c>
      <c r="P77" s="31" t="n">
        <f aca="false">O77/(1+(((C8/D8-1)/(0.5-0.25))+D77/10000)*(0.5-0.25))</f>
        <v>0.978390936455875</v>
      </c>
      <c r="Q77" s="31" t="n">
        <f aca="false">P77/(1+(((D8/E8-1)/(1-0.5))+E77/10000)*(1-0.5))</f>
        <v>0.954991103789659</v>
      </c>
      <c r="R77" s="31" t="n">
        <f aca="false">Q77/(1+(((E8/F8-1)/(2-1))+F77/10000)*(2-1))</f>
        <v>0.91102685899029</v>
      </c>
      <c r="S77" s="31" t="n">
        <f aca="false">R77/(1+(((F8/G8-1)/(3-2))+G77/10000)*(3-2))</f>
        <v>0.874111802463144</v>
      </c>
      <c r="T77" s="31" t="n">
        <f aca="false">S77/(1+(((G8/H8-1)/(5-3))+H77/10000)*(5-3))</f>
        <v>0.79834543799367</v>
      </c>
      <c r="U77" s="31" t="n">
        <f aca="false">T77/(1+(((H8/I8-1)/(10-5))+I77/10000)*(10-5))</f>
        <v>0.635250923059983</v>
      </c>
      <c r="V77" s="31" t="n">
        <f aca="false">U77/(1+(((I8/J8-1)/(20-10))+J77/10000)*(20-10))</f>
        <v>0.406095735473085</v>
      </c>
      <c r="W77" s="31" t="n">
        <f aca="false">V77/(1+(((J8/K8-1)/(30-20))+K77/10000)*(30-20))</f>
        <v>0.259852680196834</v>
      </c>
    </row>
    <row r="78" customFormat="false" ht="15" hidden="false" customHeight="true" outlineLevel="0" collapsed="false">
      <c r="A78" s="9" t="s">
        <v>52</v>
      </c>
      <c r="B78" s="29" t="s">
        <v>43</v>
      </c>
      <c r="C78" s="30" t="n">
        <v>62.8</v>
      </c>
      <c r="D78" s="30" t="n">
        <v>53.9</v>
      </c>
      <c r="E78" s="30" t="n">
        <v>46</v>
      </c>
      <c r="F78" s="30" t="n">
        <v>31.6</v>
      </c>
      <c r="G78" s="30" t="n">
        <v>17.2</v>
      </c>
      <c r="H78" s="30" t="n">
        <v>9.9</v>
      </c>
      <c r="I78" s="30" t="n">
        <v>5</v>
      </c>
      <c r="J78" s="30" t="n">
        <v>2.5</v>
      </c>
      <c r="K78" s="30" t="n">
        <v>1.2</v>
      </c>
      <c r="M78" s="4" t="s">
        <v>52</v>
      </c>
      <c r="N78" s="29" t="s">
        <v>43</v>
      </c>
      <c r="O78" s="31" t="n">
        <f aca="false">1/(1+(((1/C9-1)/(0.25-0))+C78/10000)*(0.25-0))</f>
        <v>0.990727579713388</v>
      </c>
      <c r="P78" s="31" t="n">
        <f aca="false">O78/(1+(((C9/D9-1)/(0.5-0.25))+D78/10000)*(0.5-0.25))</f>
        <v>0.98173889441551</v>
      </c>
      <c r="Q78" s="31" t="n">
        <f aca="false">P78/(1+(((D9/E9-1)/(1-0.5))+E78/10000)*(1-0.5))</f>
        <v>0.96434631914572</v>
      </c>
      <c r="R78" s="31" t="n">
        <f aca="false">Q78/(1+(((E9/F9-1)/(2-1))+F78/10000)*(2-1))</f>
        <v>0.931636791467687</v>
      </c>
      <c r="S78" s="31" t="n">
        <f aca="false">R78/(1+(((F9/G9-1)/(3-2))+G78/10000)*(3-2))</f>
        <v>0.901020547589485</v>
      </c>
      <c r="T78" s="31" t="n">
        <f aca="false">S78/(1+(((G9/H9-1)/(5-3))+H78/10000)*(5-3))</f>
        <v>0.843258829156853</v>
      </c>
      <c r="U78" s="31" t="n">
        <f aca="false">T78/(1+(((H9/I9-1)/(10-5))+I78/10000)*(10-5))</f>
        <v>0.712591396893678</v>
      </c>
      <c r="V78" s="31" t="n">
        <f aca="false">U78/(1+(((I9/J9-1)/(20-10))+J78/10000)*(20-10))</f>
        <v>0.513938910244066</v>
      </c>
      <c r="W78" s="31" t="n">
        <f aca="false">V78/(1+(((J9/K9-1)/(30-20))+K78/10000)*(30-20))</f>
        <v>0.371012734108747</v>
      </c>
    </row>
    <row r="79" customFormat="false" ht="15" hidden="false" customHeight="true" outlineLevel="0" collapsed="false">
      <c r="A79" s="9" t="s">
        <v>45</v>
      </c>
      <c r="B79" s="29" t="s">
        <v>38</v>
      </c>
      <c r="C79" s="30" t="n">
        <v>85.1</v>
      </c>
      <c r="D79" s="30" t="n">
        <v>78</v>
      </c>
      <c r="E79" s="30" t="n">
        <v>58.6</v>
      </c>
      <c r="F79" s="30" t="n">
        <v>-44.2</v>
      </c>
      <c r="G79" s="30" t="n">
        <v>28</v>
      </c>
      <c r="H79" s="30" t="n">
        <v>14.5</v>
      </c>
      <c r="I79" s="30" t="n">
        <v>-7.1</v>
      </c>
      <c r="J79" s="30" t="n">
        <v>3.8</v>
      </c>
      <c r="K79" s="30" t="n">
        <v>2.3</v>
      </c>
      <c r="M79" s="4" t="s">
        <v>45</v>
      </c>
      <c r="N79" s="29" t="s">
        <v>38</v>
      </c>
      <c r="O79" s="31" t="n">
        <f aca="false">1/(1+(((1/C10-1)/(0.25-0))+C79/10000)*(0.25-0))</f>
        <v>0.987467125832578</v>
      </c>
      <c r="P79" s="31" t="n">
        <f aca="false">O79/(1+(((C10/D10-1)/(0.5-0.25))+D79/10000)*(0.5-0.25))</f>
        <v>0.975243092556967</v>
      </c>
      <c r="Q79" s="31" t="n">
        <f aca="false">P79/(1+(((D10/E10-1)/(1-0.5))+E79/10000)*(1-0.5))</f>
        <v>0.952137896569466</v>
      </c>
      <c r="R79" s="31" t="n">
        <f aca="false">Q79/(1+(((E10/F10-1)/(2-1))+F79/10000)*(2-1))</f>
        <v>0.916448055008612</v>
      </c>
      <c r="S79" s="31" t="n">
        <f aca="false">R79/(1+(((F10/G10-1)/(3-2))+G79/10000)*(3-2))</f>
        <v>0.875745364048579</v>
      </c>
      <c r="T79" s="31" t="n">
        <f aca="false">S79/(1+(((G10/H10-1)/(5-3))+H79/10000)*(5-3))</f>
        <v>0.801126744492871</v>
      </c>
      <c r="U79" s="31" t="n">
        <f aca="false">T79/(1+(((H10/I10-1)/(10-5))+I79/10000)*(10-5))</f>
        <v>0.643948934653827</v>
      </c>
      <c r="V79" s="31" t="n">
        <f aca="false">U79/(1+(((I10/J10-1)/(20-10))+J79/10000)*(20-10))</f>
        <v>0.415782964125085</v>
      </c>
      <c r="W79" s="31" t="n">
        <f aca="false">V79/(1+(((J10/K10-1)/(30-20))+K79/10000)*(30-20))</f>
        <v>0.268721745074863</v>
      </c>
    </row>
    <row r="80" customFormat="false" ht="15" hidden="false" customHeight="true" outlineLevel="0" collapsed="false">
      <c r="A80" s="9" t="s">
        <v>37</v>
      </c>
      <c r="B80" s="29" t="s">
        <v>38</v>
      </c>
      <c r="C80" s="30" t="n">
        <v>130.3</v>
      </c>
      <c r="D80" s="30" t="n">
        <v>124.2</v>
      </c>
      <c r="E80" s="30" t="n">
        <v>96.2</v>
      </c>
      <c r="F80" s="30" t="n">
        <v>68.6</v>
      </c>
      <c r="G80" s="30" t="n">
        <v>48.3</v>
      </c>
      <c r="H80" s="30" t="n">
        <v>27.3</v>
      </c>
      <c r="I80" s="30" t="n">
        <v>12.1</v>
      </c>
      <c r="J80" s="30" t="n">
        <v>6.9</v>
      </c>
      <c r="K80" s="30" t="n">
        <v>5</v>
      </c>
      <c r="M80" s="4" t="s">
        <v>37</v>
      </c>
      <c r="N80" s="29" t="s">
        <v>38</v>
      </c>
      <c r="O80" s="31" t="n">
        <f aca="false">1/(1+(((1/C11-1)/(0.25-0))+C80/10000)*(0.25-0))</f>
        <v>0.985383842878698</v>
      </c>
      <c r="P80" s="31" t="n">
        <f aca="false">O80/(1+(((C11/D11-1)/(0.5-0.25))+D80/10000)*(0.5-0.25))</f>
        <v>0.971108484037313</v>
      </c>
      <c r="Q80" s="31" t="n">
        <f aca="false">P80/(1+(((D11/E11-1)/(1-0.5))+E80/10000)*(1-0.5))</f>
        <v>0.944482088523894</v>
      </c>
      <c r="R80" s="31" t="n">
        <f aca="false">Q80/(1+(((E11/F11-1)/(2-1))+F80/10000)*(2-1))</f>
        <v>0.895747962635192</v>
      </c>
      <c r="S80" s="31" t="n">
        <f aca="false">R80/(1+(((F11/G11-1)/(3-2))+G80/10000)*(3-2))</f>
        <v>0.8509138616117</v>
      </c>
      <c r="T80" s="31" t="n">
        <f aca="false">S80/(1+(((G11/H11-1)/(5-3))+H80/10000)*(5-3))</f>
        <v>0.770434682893803</v>
      </c>
      <c r="U80" s="31" t="n">
        <f aca="false">T80/(1+(((H11/I11-1)/(10-5))+I80/10000)*(10-5))</f>
        <v>0.602424589337743</v>
      </c>
      <c r="V80" s="31" t="n">
        <f aca="false">U80/(1+(((I11/J11-1)/(20-10))+J80/10000)*(20-10))</f>
        <v>0.373038151724193</v>
      </c>
      <c r="W80" s="31" t="n">
        <f aca="false">V80/(1+(((J11/K11-1)/(30-20))+K80/10000)*(30-20))</f>
        <v>0.231267312235389</v>
      </c>
    </row>
    <row r="81" customFormat="false" ht="15" hidden="false" customHeight="true" outlineLevel="0" collapsed="false">
      <c r="A81" s="9" t="s">
        <v>40</v>
      </c>
      <c r="B81" s="29" t="s">
        <v>38</v>
      </c>
      <c r="C81" s="30" t="n">
        <v>110.1</v>
      </c>
      <c r="D81" s="30" t="n">
        <v>97.2</v>
      </c>
      <c r="E81" s="30" t="n">
        <v>81.2</v>
      </c>
      <c r="F81" s="30" t="n">
        <v>55.9</v>
      </c>
      <c r="G81" s="30" t="n">
        <v>-32.8</v>
      </c>
      <c r="H81" s="30" t="n">
        <v>-17.4</v>
      </c>
      <c r="I81" s="30" t="n">
        <v>9.7</v>
      </c>
      <c r="J81" s="30" t="n">
        <v>4.6</v>
      </c>
      <c r="K81" s="30" t="n">
        <v>3.6</v>
      </c>
      <c r="M81" s="4" t="s">
        <v>40</v>
      </c>
      <c r="N81" s="29" t="s">
        <v>38</v>
      </c>
      <c r="O81" s="31" t="n">
        <f aca="false">1/(1+(((1/C12-1)/(0.25-0))+C81/10000)*(0.25-0))</f>
        <v>0.989074963141131</v>
      </c>
      <c r="P81" s="31" t="n">
        <f aca="false">O81/(1+(((C12/D12-1)/(0.5-0.25))+D81/10000)*(0.5-0.25))</f>
        <v>0.978561924352935</v>
      </c>
      <c r="Q81" s="31" t="n">
        <f aca="false">P81/(1+(((D12/E12-1)/(1-0.5))+E81/10000)*(1-0.5))</f>
        <v>0.958612050918359</v>
      </c>
      <c r="R81" s="31" t="n">
        <f aca="false">Q81/(1+(((E12/F12-1)/(2-1))+F81/10000)*(2-1))</f>
        <v>0.922091986274837</v>
      </c>
      <c r="S81" s="31" t="n">
        <f aca="false">R81/(1+(((F12/G12-1)/(3-2))+G81/10000)*(3-2))</f>
        <v>0.894327282677946</v>
      </c>
      <c r="T81" s="31" t="n">
        <f aca="false">S81/(1+(((G12/H12-1)/(5-3))+H81/10000)*(5-3))</f>
        <v>0.837923412877144</v>
      </c>
      <c r="U81" s="31" t="n">
        <f aca="false">T81/(1+(((H12/I12-1)/(10-5))+I81/10000)*(10-5))</f>
        <v>0.699676606899493</v>
      </c>
      <c r="V81" s="31" t="n">
        <f aca="false">U81/(1+(((I12/J12-1)/(20-10))+J81/10000)*(20-10))</f>
        <v>0.493916305081595</v>
      </c>
      <c r="W81" s="31" t="n">
        <f aca="false">V81/(1+(((J12/K12-1)/(30-20))+K81/10000)*(30-20))</f>
        <v>0.348911671209494</v>
      </c>
    </row>
    <row r="82" customFormat="false" ht="15" hidden="false" customHeight="true" outlineLevel="0" collapsed="false">
      <c r="A82" s="9" t="s">
        <v>49</v>
      </c>
      <c r="B82" s="29" t="s">
        <v>50</v>
      </c>
      <c r="C82" s="30" t="n">
        <v>51.5</v>
      </c>
      <c r="D82" s="30" t="n">
        <v>-44.7</v>
      </c>
      <c r="E82" s="30" t="n">
        <v>37.2</v>
      </c>
      <c r="F82" s="30" t="n">
        <v>-25.5</v>
      </c>
      <c r="G82" s="30" t="n">
        <v>18.2</v>
      </c>
      <c r="H82" s="30" t="n">
        <v>11.6</v>
      </c>
      <c r="I82" s="30" t="n">
        <v>-6.2</v>
      </c>
      <c r="J82" s="30" t="n">
        <v>3.8</v>
      </c>
      <c r="K82" s="30" t="n">
        <v>2.5</v>
      </c>
      <c r="M82" s="4" t="s">
        <v>49</v>
      </c>
      <c r="N82" s="29" t="s">
        <v>50</v>
      </c>
      <c r="O82" s="31" t="n">
        <f aca="false">1/(1+(((1/C13-1)/(0.25-0))+C82/10000)*(0.25-0))</f>
        <v>0.988780623302765</v>
      </c>
      <c r="P82" s="31" t="n">
        <f aca="false">O82/(1+(((C13/D13-1)/(0.5-0.25))+D82/10000)*(0.5-0.25))</f>
        <v>0.979998420248893</v>
      </c>
      <c r="Q82" s="31" t="n">
        <f aca="false">P82/(1+(((D13/E13-1)/(1-0.5))+E82/10000)*(1-0.5))</f>
        <v>0.958736934866277</v>
      </c>
      <c r="R82" s="31" t="n">
        <f aca="false">Q82/(1+(((E13/F13-1)/(2-1))+F82/10000)*(2-1))</f>
        <v>0.922990898651156</v>
      </c>
      <c r="S82" s="31" t="n">
        <f aca="false">R82/(1+(((F13/G13-1)/(3-2))+G82/10000)*(3-2))</f>
        <v>0.884589147160831</v>
      </c>
      <c r="T82" s="31" t="n">
        <f aca="false">S82/(1+(((G13/H13-1)/(5-3))+H82/10000)*(5-3))</f>
        <v>0.812884187267349</v>
      </c>
      <c r="U82" s="31" t="n">
        <f aca="false">T82/(1+(((H13/I13-1)/(10-5))+I82/10000)*(10-5))</f>
        <v>0.659743663614393</v>
      </c>
      <c r="V82" s="31" t="n">
        <f aca="false">U82/(1+(((I13/J13-1)/(20-10))+J82/10000)*(20-10))</f>
        <v>0.43456476505541</v>
      </c>
      <c r="W82" s="31" t="n">
        <f aca="false">V82/(1+(((J13/K13-1)/(30-20))+K82/10000)*(30-20))</f>
        <v>0.28648794962965</v>
      </c>
    </row>
    <row r="84" customFormat="false" ht="15" hidden="false" customHeight="true" outlineLevel="0" collapsed="false">
      <c r="A84" s="28" t="s">
        <v>123</v>
      </c>
      <c r="B84" s="28"/>
      <c r="C84" s="12" t="s">
        <v>74</v>
      </c>
      <c r="D84" s="12" t="s">
        <v>75</v>
      </c>
      <c r="E84" s="12" t="s">
        <v>30</v>
      </c>
      <c r="F84" s="12" t="s">
        <v>76</v>
      </c>
      <c r="G84" s="12" t="s">
        <v>77</v>
      </c>
      <c r="H84" s="12" t="s">
        <v>78</v>
      </c>
      <c r="I84" s="12" t="s">
        <v>79</v>
      </c>
      <c r="J84" s="12" t="s">
        <v>80</v>
      </c>
      <c r="K84" s="12" t="s">
        <v>81</v>
      </c>
      <c r="M84" s="28" t="s">
        <v>123</v>
      </c>
      <c r="N84" s="28"/>
      <c r="O84" s="12" t="s">
        <v>74</v>
      </c>
      <c r="P84" s="12" t="s">
        <v>75</v>
      </c>
      <c r="Q84" s="12" t="s">
        <v>30</v>
      </c>
      <c r="R84" s="12" t="s">
        <v>76</v>
      </c>
      <c r="S84" s="12" t="s">
        <v>77</v>
      </c>
      <c r="T84" s="12" t="s">
        <v>78</v>
      </c>
      <c r="U84" s="12" t="s">
        <v>79</v>
      </c>
      <c r="V84" s="12" t="s">
        <v>80</v>
      </c>
      <c r="W84" s="12" t="s">
        <v>81</v>
      </c>
    </row>
    <row r="85" customFormat="false" ht="15" hidden="false" customHeight="true" outlineLevel="0" collapsed="false">
      <c r="A85" s="9" t="s">
        <v>42</v>
      </c>
      <c r="B85" s="29" t="s">
        <v>43</v>
      </c>
      <c r="C85" s="30" t="n">
        <v>78.9</v>
      </c>
      <c r="D85" s="30" t="n">
        <v>-69.8</v>
      </c>
      <c r="E85" s="30" t="n">
        <v>62.6</v>
      </c>
      <c r="F85" s="30" t="n">
        <v>41.1</v>
      </c>
      <c r="G85" s="30" t="n">
        <v>25</v>
      </c>
      <c r="H85" s="30" t="n">
        <v>-12.5</v>
      </c>
      <c r="I85" s="30" t="n">
        <v>6.7</v>
      </c>
      <c r="J85" s="30" t="n">
        <v>-4.2</v>
      </c>
      <c r="K85" s="30" t="n">
        <v>2.7</v>
      </c>
      <c r="M85" s="4" t="s">
        <v>42</v>
      </c>
      <c r="N85" s="29" t="s">
        <v>43</v>
      </c>
      <c r="O85" s="31" t="n">
        <f aca="false">1/(1+(((1/C8-1)/(0.25-0))+C85/10000)*(0.25-0))</f>
        <v>0.987371253308857</v>
      </c>
      <c r="P85" s="31" t="n">
        <f aca="false">O85/(1+(((C8/D8-1)/(0.5-0.25))+D85/10000)*(0.5-0.25))</f>
        <v>0.978476044906598</v>
      </c>
      <c r="Q85" s="31" t="n">
        <f aca="false">P85/(1+(((D8/E8-1)/(1-0.5))+E85/10000)*(1-0.5))</f>
        <v>0.954631571739291</v>
      </c>
      <c r="R85" s="31" t="n">
        <f aca="false">Q85/(1+(((E8/F8-1)/(2-1))+F85/10000)*(2-1))</f>
        <v>0.910458057034101</v>
      </c>
      <c r="S85" s="31" t="n">
        <f aca="false">R85/(1+(((F8/G8-1)/(3-2))+G85/10000)*(3-2))</f>
        <v>0.869403515028967</v>
      </c>
      <c r="T85" s="31" t="n">
        <f aca="false">S85/(1+(((G8/H8-1)/(5-3))+H85/10000)*(5-3))</f>
        <v>0.797673348018737</v>
      </c>
      <c r="U85" s="31" t="n">
        <f aca="false">T85/(1+(((H8/I8-1)/(10-5))+I85/10000)*(10-5))</f>
        <v>0.634463710437603</v>
      </c>
      <c r="V85" s="31" t="n">
        <f aca="false">U85/(1+(((I8/J8-1)/(20-10))+J85/10000)*(20-10))</f>
        <v>0.40767741722962</v>
      </c>
      <c r="W85" s="31" t="n">
        <f aca="false">V85/(1+(((J8/K8-1)/(30-20))+K85/10000)*(30-20))</f>
        <v>0.260798015458442</v>
      </c>
    </row>
    <row r="86" customFormat="false" ht="15" hidden="false" customHeight="true" outlineLevel="0" collapsed="false">
      <c r="A86" s="9" t="s">
        <v>52</v>
      </c>
      <c r="B86" s="29" t="s">
        <v>43</v>
      </c>
      <c r="C86" s="30" t="n">
        <v>68.3</v>
      </c>
      <c r="D86" s="30" t="n">
        <v>59.6</v>
      </c>
      <c r="E86" s="30" t="n">
        <v>49.8</v>
      </c>
      <c r="F86" s="30" t="n">
        <v>35</v>
      </c>
      <c r="G86" s="30" t="n">
        <v>20.1</v>
      </c>
      <c r="H86" s="30" t="n">
        <v>10.9</v>
      </c>
      <c r="I86" s="30" t="n">
        <v>5.1</v>
      </c>
      <c r="J86" s="30" t="n">
        <v>2.7</v>
      </c>
      <c r="K86" s="30" t="n">
        <v>-1.3</v>
      </c>
      <c r="M86" s="4" t="s">
        <v>52</v>
      </c>
      <c r="N86" s="29" t="s">
        <v>43</v>
      </c>
      <c r="O86" s="31" t="n">
        <f aca="false">1/(1+(((1/C9-1)/(0.25-0))+C86/10000)*(0.25-0))</f>
        <v>0.99059263618971</v>
      </c>
      <c r="P86" s="31" t="n">
        <f aca="false">O86/(1+(((C9/D9-1)/(0.5-0.25))+D86/10000)*(0.5-0.25))</f>
        <v>0.981466585135041</v>
      </c>
      <c r="Q86" s="31" t="n">
        <f aca="false">P86/(1+(((D9/E9-1)/(1-0.5))+E86/10000)*(1-0.5))</f>
        <v>0.963898937861947</v>
      </c>
      <c r="R86" s="31" t="n">
        <f aca="false">Q86/(1+(((E9/F9-1)/(2-1))+F86/10000)*(2-1))</f>
        <v>0.930898814758972</v>
      </c>
      <c r="S86" s="31" t="n">
        <f aca="false">R86/(1+(((F9/G9-1)/(3-2))+G86/10000)*(3-2))</f>
        <v>0.900054384853211</v>
      </c>
      <c r="T86" s="31" t="n">
        <f aca="false">S86/(1+(((G9/H9-1)/(5-3))+H86/10000)*(5-3))</f>
        <v>0.842196962959345</v>
      </c>
      <c r="U86" s="31" t="n">
        <f aca="false">T86/(1+(((H9/I9-1)/(10-5))+I86/10000)*(10-5))</f>
        <v>0.711664003106313</v>
      </c>
      <c r="V86" s="31" t="n">
        <f aca="false">U86/(1+(((I9/J9-1)/(20-10))+J86/10000)*(20-10))</f>
        <v>0.513196024439014</v>
      </c>
      <c r="W86" s="31" t="n">
        <f aca="false">V86/(1+(((J9/K9-1)/(30-20))+K86/10000)*(30-20))</f>
        <v>0.371146271163474</v>
      </c>
    </row>
    <row r="87" customFormat="false" ht="15" hidden="false" customHeight="true" outlineLevel="0" collapsed="false">
      <c r="A87" s="9" t="s">
        <v>45</v>
      </c>
      <c r="B87" s="29" t="s">
        <v>38</v>
      </c>
      <c r="C87" s="30" t="n">
        <v>86.8</v>
      </c>
      <c r="D87" s="30" t="n">
        <v>86.8</v>
      </c>
      <c r="E87" s="30" t="n">
        <v>63.9</v>
      </c>
      <c r="F87" s="30" t="n">
        <v>47.3</v>
      </c>
      <c r="G87" s="30" t="n">
        <v>29.7</v>
      </c>
      <c r="H87" s="30" t="n">
        <v>16.4</v>
      </c>
      <c r="I87" s="30" t="n">
        <v>8.1</v>
      </c>
      <c r="J87" s="30" t="n">
        <v>3.9</v>
      </c>
      <c r="K87" s="30" t="n">
        <v>2.7</v>
      </c>
      <c r="M87" s="4" t="s">
        <v>45</v>
      </c>
      <c r="N87" s="29" t="s">
        <v>38</v>
      </c>
      <c r="O87" s="31" t="n">
        <f aca="false">1/(1+(((1/C10-1)/(0.25-0))+C87/10000)*(0.25-0))</f>
        <v>0.987425686190395</v>
      </c>
      <c r="P87" s="31" t="n">
        <f aca="false">O87/(1+(((C10/D10-1)/(0.5-0.25))+D87/10000)*(0.5-0.25))</f>
        <v>0.974990323340189</v>
      </c>
      <c r="Q87" s="31" t="n">
        <f aca="false">P87/(1+(((D10/E10-1)/(1-0.5))+E87/10000)*(1-0.5))</f>
        <v>0.951644904713199</v>
      </c>
      <c r="R87" s="31" t="n">
        <f aca="false">Q87/(1+(((E10/F10-1)/(2-1))+F87/10000)*(2-1))</f>
        <v>0.907976968981165</v>
      </c>
      <c r="S87" s="31" t="n">
        <f aca="false">R87/(1+(((F10/G10-1)/(3-2))+G87/10000)*(3-2))</f>
        <v>0.867509582162342</v>
      </c>
      <c r="T87" s="31" t="n">
        <f aca="false">S87/(1+(((G10/H10-1)/(5-3))+H87/10000)*(5-3))</f>
        <v>0.793316925079884</v>
      </c>
      <c r="U87" s="31" t="n">
        <f aca="false">T87/(1+(((H10/I10-1)/(10-5))+I87/10000)*(10-5))</f>
        <v>0.633799545103656</v>
      </c>
      <c r="V87" s="31" t="n">
        <f aca="false">U87/(1+(((I10/J10-1)/(20-10))+J87/10000)*(20-10))</f>
        <v>0.409203316236881</v>
      </c>
      <c r="W87" s="31" t="n">
        <f aca="false">V87/(1+(((J10/K10-1)/(30-20))+K87/10000)*(30-20))</f>
        <v>0.264400946170227</v>
      </c>
    </row>
    <row r="88" customFormat="false" ht="15" hidden="false" customHeight="true" outlineLevel="0" collapsed="false">
      <c r="A88" s="9" t="s">
        <v>37</v>
      </c>
      <c r="B88" s="29" t="s">
        <v>38</v>
      </c>
      <c r="C88" s="30" t="n">
        <v>-150.9</v>
      </c>
      <c r="D88" s="30" t="n">
        <v>126.7</v>
      </c>
      <c r="E88" s="30" t="n">
        <v>115.6</v>
      </c>
      <c r="F88" s="30" t="n">
        <v>-77.2</v>
      </c>
      <c r="G88" s="30" t="n">
        <v>54</v>
      </c>
      <c r="H88" s="30" t="n">
        <v>30.6</v>
      </c>
      <c r="I88" s="30" t="n">
        <v>-13.2</v>
      </c>
      <c r="J88" s="30" t="n">
        <v>7.5</v>
      </c>
      <c r="K88" s="30" t="n">
        <v>5.2</v>
      </c>
      <c r="M88" s="4" t="s">
        <v>37</v>
      </c>
      <c r="N88" s="29" t="s">
        <v>38</v>
      </c>
      <c r="O88" s="31" t="n">
        <f aca="false">1/(1+(((1/C11-1)/(0.25-0))+C88/10000)*(0.25-0))</f>
        <v>0.992257456773841</v>
      </c>
      <c r="P88" s="31" t="n">
        <f aca="false">O88/(1+(((C11/D11-1)/(0.5-0.25))+D88/10000)*(0.5-0.25))</f>
        <v>0.977822290638908</v>
      </c>
      <c r="Q88" s="31" t="n">
        <f aca="false">P88/(1+(((D11/E11-1)/(1-0.5))+E88/10000)*(1-0.5))</f>
        <v>0.950115469489328</v>
      </c>
      <c r="R88" s="31" t="n">
        <f aca="false">Q88/(1+(((E11/F11-1)/(2-1))+F88/10000)*(2-1))</f>
        <v>0.91372537906029</v>
      </c>
      <c r="S88" s="31" t="n">
        <f aca="false">R88/(1+(((F11/G11-1)/(3-2))+G88/10000)*(3-2))</f>
        <v>0.867521732664848</v>
      </c>
      <c r="T88" s="31" t="n">
        <f aca="false">S88/(1+(((G11/H11-1)/(5-3))+H88/10000)*(5-3))</f>
        <v>0.785002686604053</v>
      </c>
      <c r="U88" s="31" t="n">
        <f aca="false">T88/(1+(((H11/I11-1)/(10-5))+I88/10000)*(10-5))</f>
        <v>0.619947869031123</v>
      </c>
      <c r="V88" s="31" t="n">
        <f aca="false">U88/(1+(((I11/J11-1)/(20-10))+J88/10000)*(20-10))</f>
        <v>0.383746480594609</v>
      </c>
      <c r="W88" s="31" t="n">
        <f aca="false">V88/(1+(((J11/K11-1)/(30-20))+K88/10000)*(30-20))</f>
        <v>0.23787651242755</v>
      </c>
    </row>
    <row r="89" customFormat="false" ht="15" hidden="false" customHeight="true" outlineLevel="0" collapsed="false">
      <c r="A89" s="9" t="s">
        <v>40</v>
      </c>
      <c r="B89" s="29" t="s">
        <v>38</v>
      </c>
      <c r="C89" s="30" t="n">
        <v>112.9</v>
      </c>
      <c r="D89" s="30" t="n">
        <v>109.9</v>
      </c>
      <c r="E89" s="30" t="n">
        <v>90.5</v>
      </c>
      <c r="F89" s="30" t="n">
        <v>60.6</v>
      </c>
      <c r="G89" s="30" t="n">
        <v>34.9</v>
      </c>
      <c r="H89" s="30" t="n">
        <v>19.7</v>
      </c>
      <c r="I89" s="30" t="n">
        <v>11.1</v>
      </c>
      <c r="J89" s="30" t="n">
        <v>5.3</v>
      </c>
      <c r="K89" s="30" t="n">
        <v>-4</v>
      </c>
      <c r="M89" s="4" t="s">
        <v>40</v>
      </c>
      <c r="N89" s="29" t="s">
        <v>38</v>
      </c>
      <c r="O89" s="31" t="n">
        <f aca="false">1/(1+(((1/C12-1)/(0.25-0))+C89/10000)*(0.25-0))</f>
        <v>0.989006489032163</v>
      </c>
      <c r="P89" s="31" t="n">
        <f aca="false">O89/(1+(((C12/D12-1)/(0.5-0.25))+D89/10000)*(0.5-0.25))</f>
        <v>0.978186904869363</v>
      </c>
      <c r="Q89" s="31" t="n">
        <f aca="false">P89/(1+(((D12/E12-1)/(1-0.5))+E89/10000)*(1-0.5))</f>
        <v>0.957808375985025</v>
      </c>
      <c r="R89" s="31" t="n">
        <f aca="false">Q89/(1+(((E12/F12-1)/(2-1))+F89/10000)*(2-1))</f>
        <v>0.920902593800176</v>
      </c>
      <c r="S89" s="31" t="n">
        <f aca="false">R89/(1+(((F12/G12-1)/(3-2))+G89/10000)*(3-2))</f>
        <v>0.887347246992719</v>
      </c>
      <c r="T89" s="31" t="n">
        <f aca="false">S89/(1+(((G12/H12-1)/(5-3))+H89/10000)*(5-3))</f>
        <v>0.825643696245752</v>
      </c>
      <c r="U89" s="31" t="n">
        <f aca="false">T89/(1+(((H12/I12-1)/(10-5))+I89/10000)*(10-5))</f>
        <v>0.689020150443237</v>
      </c>
      <c r="V89" s="31" t="n">
        <f aca="false">U89/(1+(((I12/J12-1)/(20-10))+J89/10000)*(20-10))</f>
        <v>0.4861534601771</v>
      </c>
      <c r="W89" s="31" t="n">
        <f aca="false">V89/(1+(((J12/K12-1)/(30-20))+K89/10000)*(30-20))</f>
        <v>0.345281594501379</v>
      </c>
    </row>
    <row r="90" customFormat="false" ht="15" hidden="false" customHeight="true" outlineLevel="0" collapsed="false">
      <c r="A90" s="9" t="s">
        <v>49</v>
      </c>
      <c r="B90" s="29" t="s">
        <v>50</v>
      </c>
      <c r="C90" s="30" t="n">
        <v>51.8</v>
      </c>
      <c r="D90" s="30" t="n">
        <v>51.2</v>
      </c>
      <c r="E90" s="30" t="n">
        <v>41.4</v>
      </c>
      <c r="F90" s="30" t="n">
        <v>28.3</v>
      </c>
      <c r="G90" s="30" t="n">
        <v>20.6</v>
      </c>
      <c r="H90" s="30" t="n">
        <v>11.8</v>
      </c>
      <c r="I90" s="30" t="n">
        <v>6.5</v>
      </c>
      <c r="J90" s="30" t="n">
        <v>3.9</v>
      </c>
      <c r="K90" s="30" t="n">
        <v>2.8</v>
      </c>
      <c r="M90" s="4" t="s">
        <v>49</v>
      </c>
      <c r="N90" s="29" t="s">
        <v>50</v>
      </c>
      <c r="O90" s="31" t="n">
        <f aca="false">1/(1+(((1/C13-1)/(0.25-0))+C90/10000)*(0.25-0))</f>
        <v>0.988773290703735</v>
      </c>
      <c r="P90" s="31" t="n">
        <f aca="false">O90/(1+(((C13/D13-1)/(0.5-0.25))+D90/10000)*(0.5-0.25))</f>
        <v>0.977668012414378</v>
      </c>
      <c r="Q90" s="31" t="n">
        <f aca="false">P90/(1+(((D13/E13-1)/(1-0.5))+E90/10000)*(1-0.5))</f>
        <v>0.956260628257328</v>
      </c>
      <c r="R90" s="31" t="n">
        <f aca="false">Q90/(1+(((E13/F13-1)/(2-1))+F90/10000)*(2-1))</f>
        <v>0.915863289045974</v>
      </c>
      <c r="S90" s="31" t="n">
        <f aca="false">R90/(1+(((F13/G13-1)/(3-2))+G90/10000)*(3-2))</f>
        <v>0.877556236516843</v>
      </c>
      <c r="T90" s="31" t="n">
        <f aca="false">S90/(1+(((G13/H13-1)/(5-3))+H90/10000)*(5-3))</f>
        <v>0.806391724642567</v>
      </c>
      <c r="U90" s="31" t="n">
        <f aca="false">T90/(1+(((H13/I13-1)/(10-5))+I90/10000)*(10-5))</f>
        <v>0.65111864717443</v>
      </c>
      <c r="V90" s="31" t="n">
        <f aca="false">U90/(1+(((I13/J13-1)/(20-10))+J90/10000)*(20-10))</f>
        <v>0.428855328205816</v>
      </c>
      <c r="W90" s="31" t="n">
        <f aca="false">V90/(1+(((J13/K13-1)/(30-20))+K90/10000)*(30-20))</f>
        <v>0.282668083662645</v>
      </c>
    </row>
    <row r="92" customFormat="false" ht="15" hidden="false" customHeight="true" outlineLevel="0" collapsed="false">
      <c r="A92" s="28" t="s">
        <v>124</v>
      </c>
      <c r="B92" s="28"/>
      <c r="C92" s="12" t="s">
        <v>74</v>
      </c>
      <c r="D92" s="12" t="s">
        <v>75</v>
      </c>
      <c r="E92" s="12" t="s">
        <v>30</v>
      </c>
      <c r="F92" s="12" t="s">
        <v>76</v>
      </c>
      <c r="G92" s="12" t="s">
        <v>77</v>
      </c>
      <c r="H92" s="12" t="s">
        <v>78</v>
      </c>
      <c r="I92" s="12" t="s">
        <v>79</v>
      </c>
      <c r="J92" s="12" t="s">
        <v>80</v>
      </c>
      <c r="K92" s="12" t="s">
        <v>81</v>
      </c>
      <c r="M92" s="28" t="s">
        <v>124</v>
      </c>
      <c r="N92" s="28"/>
      <c r="O92" s="12" t="s">
        <v>74</v>
      </c>
      <c r="P92" s="12" t="s">
        <v>75</v>
      </c>
      <c r="Q92" s="12" t="s">
        <v>30</v>
      </c>
      <c r="R92" s="12" t="s">
        <v>76</v>
      </c>
      <c r="S92" s="12" t="s">
        <v>77</v>
      </c>
      <c r="T92" s="12" t="s">
        <v>78</v>
      </c>
      <c r="U92" s="12" t="s">
        <v>79</v>
      </c>
      <c r="V92" s="12" t="s">
        <v>80</v>
      </c>
      <c r="W92" s="12" t="s">
        <v>81</v>
      </c>
    </row>
    <row r="93" customFormat="false" ht="15" hidden="false" customHeight="true" outlineLevel="0" collapsed="false">
      <c r="A93" s="9" t="s">
        <v>42</v>
      </c>
      <c r="B93" s="29" t="s">
        <v>43</v>
      </c>
      <c r="C93" s="30" t="n">
        <v>86.2</v>
      </c>
      <c r="D93" s="30" t="n">
        <v>75.9</v>
      </c>
      <c r="E93" s="30" t="n">
        <v>66.2</v>
      </c>
      <c r="F93" s="30" t="n">
        <v>44.1</v>
      </c>
      <c r="G93" s="30" t="n">
        <v>28.8</v>
      </c>
      <c r="H93" s="30" t="n">
        <v>14.2</v>
      </c>
      <c r="I93" s="30" t="n">
        <v>6.8</v>
      </c>
      <c r="J93" s="30" t="n">
        <v>4.3</v>
      </c>
      <c r="K93" s="30" t="n">
        <v>2.8</v>
      </c>
      <c r="M93" s="4" t="s">
        <v>42</v>
      </c>
      <c r="N93" s="29" t="s">
        <v>43</v>
      </c>
      <c r="O93" s="31" t="n">
        <f aca="false">1/(1+(((1/C8-1)/(0.25-0))+C93/10000)*(0.25-0))</f>
        <v>0.987193365749837</v>
      </c>
      <c r="P93" s="31" t="n">
        <f aca="false">O93/(1+(((C8/D8-1)/(0.5-0.25))+D93/10000)*(0.5-0.25))</f>
        <v>0.974781107397741</v>
      </c>
      <c r="Q93" s="31" t="n">
        <f aca="false">P93/(1+(((D8/E8-1)/(1-0.5))+E93/10000)*(1-0.5))</f>
        <v>0.950859692250137</v>
      </c>
      <c r="R93" s="31" t="n">
        <f aca="false">Q93/(1+(((E8/F8-1)/(2-1))+F93/10000)*(2-1))</f>
        <v>0.906601318034038</v>
      </c>
      <c r="S93" s="31" t="n">
        <f aca="false">R93/(1+(((F8/G8-1)/(3-2))+G93/10000)*(3-2))</f>
        <v>0.865406659051048</v>
      </c>
      <c r="T93" s="31" t="n">
        <f aca="false">S93/(1+(((G8/H8-1)/(5-3))+H93/10000)*(5-3))</f>
        <v>0.790135046868041</v>
      </c>
      <c r="U93" s="31" t="n">
        <f aca="false">T93/(1+(((H8/I8-1)/(10-5))+I93/10000)*(10-5))</f>
        <v>0.628442806344304</v>
      </c>
      <c r="V93" s="31" t="n">
        <f aca="false">U93/(1+(((I8/J8-1)/(20-10))+J93/10000)*(20-10))</f>
        <v>0.401615152821491</v>
      </c>
      <c r="W93" s="31" t="n">
        <f aca="false">V93/(1+(((J8/K8-1)/(30-20))+K93/10000)*(30-20))</f>
        <v>0.256903449679945</v>
      </c>
    </row>
    <row r="94" customFormat="false" ht="15" hidden="false" customHeight="true" outlineLevel="0" collapsed="false">
      <c r="A94" s="9" t="s">
        <v>52</v>
      </c>
      <c r="B94" s="29" t="s">
        <v>43</v>
      </c>
      <c r="C94" s="30" t="n">
        <v>-71.9</v>
      </c>
      <c r="D94" s="30" t="n">
        <v>67.9</v>
      </c>
      <c r="E94" s="30" t="n">
        <v>-54.1</v>
      </c>
      <c r="F94" s="30" t="n">
        <v>37.1</v>
      </c>
      <c r="G94" s="30" t="n">
        <v>22</v>
      </c>
      <c r="H94" s="30" t="n">
        <v>11.1</v>
      </c>
      <c r="I94" s="30" t="n">
        <v>6</v>
      </c>
      <c r="J94" s="30" t="n">
        <v>2.9</v>
      </c>
      <c r="K94" s="30" t="n">
        <v>1.5</v>
      </c>
      <c r="M94" s="4" t="s">
        <v>52</v>
      </c>
      <c r="N94" s="29" t="s">
        <v>43</v>
      </c>
      <c r="O94" s="31" t="n">
        <f aca="false">1/(1+(((1/C9-1)/(0.25-0))+C94/10000)*(0.25-0))</f>
        <v>0.994043983929816</v>
      </c>
      <c r="P94" s="31" t="n">
        <f aca="false">O94/(1+(((C9/D9-1)/(0.5-0.25))+D94/10000)*(0.5-0.25))</f>
        <v>0.984683697072841</v>
      </c>
      <c r="Q94" s="31" t="n">
        <f aca="false">P94/(1+(((D9/E9-1)/(1-0.5))+E94/10000)*(1-0.5))</f>
        <v>0.972017712190285</v>
      </c>
      <c r="R94" s="31" t="n">
        <f aca="false">Q94/(1+(((E9/F9-1)/(2-1))+F94/10000)*(2-1))</f>
        <v>0.938549286485854</v>
      </c>
      <c r="S94" s="31" t="n">
        <f aca="false">R94/(1+(((F9/G9-1)/(3-2))+G94/10000)*(3-2))</f>
        <v>0.907284693303094</v>
      </c>
      <c r="T94" s="31" t="n">
        <f aca="false">S94/(1+(((G9/H9-1)/(5-3))+H94/10000)*(5-3))</f>
        <v>0.848930717324491</v>
      </c>
      <c r="U94" s="31" t="n">
        <f aca="false">T94/(1+(((H9/I9-1)/(10-5))+I94/10000)*(10-5))</f>
        <v>0.717081412958277</v>
      </c>
      <c r="V94" s="31" t="n">
        <f aca="false">U94/(1+(((I9/J9-1)/(20-10))+J94/10000)*(20-10))</f>
        <v>0.517028065735622</v>
      </c>
      <c r="W94" s="31" t="n">
        <f aca="false">V94/(1+(((J9/K9-1)/(30-20))+K94/10000)*(30-20))</f>
        <v>0.373161981128047</v>
      </c>
    </row>
    <row r="95" customFormat="false" ht="15" hidden="false" customHeight="true" outlineLevel="0" collapsed="false">
      <c r="A95" s="9" t="s">
        <v>45</v>
      </c>
      <c r="B95" s="29" t="s">
        <v>38</v>
      </c>
      <c r="C95" s="30" t="n">
        <v>104.3</v>
      </c>
      <c r="D95" s="30" t="n">
        <v>90.6</v>
      </c>
      <c r="E95" s="30" t="n">
        <v>70.8</v>
      </c>
      <c r="F95" s="30" t="n">
        <v>50.1</v>
      </c>
      <c r="G95" s="30" t="n">
        <v>30.7</v>
      </c>
      <c r="H95" s="30" t="n">
        <v>17.3</v>
      </c>
      <c r="I95" s="30" t="n">
        <v>-8.6</v>
      </c>
      <c r="J95" s="30" t="n">
        <v>4.3</v>
      </c>
      <c r="K95" s="30" t="n">
        <v>2.9</v>
      </c>
      <c r="M95" s="4" t="s">
        <v>45</v>
      </c>
      <c r="N95" s="29" t="s">
        <v>38</v>
      </c>
      <c r="O95" s="31" t="n">
        <f aca="false">1/(1+(((1/C10-1)/(0.25-0))+C95/10000)*(0.25-0))</f>
        <v>0.986999303737061</v>
      </c>
      <c r="P95" s="31" t="n">
        <f aca="false">O95/(1+(((C10/D10-1)/(0.5-0.25))+D95/10000)*(0.5-0.25))</f>
        <v>0.974477901096281</v>
      </c>
      <c r="Q95" s="31" t="n">
        <f aca="false">P95/(1+(((D10/E10-1)/(1-0.5))+E95/10000)*(1-0.5))</f>
        <v>0.950824572103433</v>
      </c>
      <c r="R95" s="31" t="n">
        <f aca="false">Q95/(1+(((E10/F10-1)/(2-1))+F95/10000)*(2-1))</f>
        <v>0.906951985044646</v>
      </c>
      <c r="S95" s="31" t="n">
        <f aca="false">R95/(1+(((F10/G10-1)/(3-2))+G95/10000)*(3-2))</f>
        <v>0.866447497362752</v>
      </c>
      <c r="T95" s="31" t="n">
        <f aca="false">S95/(1+(((G10/H10-1)/(5-3))+H95/10000)*(5-3))</f>
        <v>0.792215270564619</v>
      </c>
      <c r="U95" s="31" t="n">
        <f aca="false">T95/(1+(((H10/I10-1)/(10-5))+I95/10000)*(10-5))</f>
        <v>0.637169975538531</v>
      </c>
      <c r="V95" s="31" t="n">
        <f aca="false">U95/(1+(((I10/J10-1)/(20-10))+J95/10000)*(20-10))</f>
        <v>0.411273171892197</v>
      </c>
      <c r="W95" s="31" t="n">
        <f aca="false">V95/(1+(((J10/K10-1)/(30-20))+K95/10000)*(30-20))</f>
        <v>0.265704018002227</v>
      </c>
    </row>
    <row r="96" customFormat="false" ht="15" hidden="false" customHeight="true" outlineLevel="0" collapsed="false">
      <c r="A96" s="9" t="s">
        <v>37</v>
      </c>
      <c r="B96" s="29" t="s">
        <v>38</v>
      </c>
      <c r="C96" s="30" t="n">
        <v>156.5</v>
      </c>
      <c r="D96" s="30" t="n">
        <v>138</v>
      </c>
      <c r="E96" s="30" t="n">
        <v>122.5</v>
      </c>
      <c r="F96" s="30" t="n">
        <v>-88.4</v>
      </c>
      <c r="G96" s="30" t="n">
        <v>58.8</v>
      </c>
      <c r="H96" s="30" t="n">
        <v>32.6</v>
      </c>
      <c r="I96" s="30" t="n">
        <v>14.6</v>
      </c>
      <c r="J96" s="30" t="n">
        <v>9</v>
      </c>
      <c r="K96" s="30" t="n">
        <v>5.4</v>
      </c>
      <c r="M96" s="4" t="s">
        <v>37</v>
      </c>
      <c r="N96" s="29" t="s">
        <v>38</v>
      </c>
      <c r="O96" s="31" t="n">
        <f aca="false">1/(1+(((1/C11-1)/(0.25-0))+C96/10000)*(0.25-0))</f>
        <v>0.984748260337298</v>
      </c>
      <c r="P96" s="31" t="n">
        <f aca="false">O96/(1+(((C11/D11-1)/(0.5-0.25))+D96/10000)*(0.5-0.25))</f>
        <v>0.970152255589067</v>
      </c>
      <c r="Q96" s="31" t="n">
        <f aca="false">P96/(1+(((D11/E11-1)/(1-0.5))+E96/10000)*(1-0.5))</f>
        <v>0.942346869047631</v>
      </c>
      <c r="R96" s="31" t="n">
        <f aca="false">Q96/(1+(((E11/F11-1)/(2-1))+F96/10000)*(2-1))</f>
        <v>0.907231503443921</v>
      </c>
      <c r="S96" s="31" t="n">
        <f aca="false">R96/(1+(((F11/G11-1)/(3-2))+G96/10000)*(3-2))</f>
        <v>0.860963862327311</v>
      </c>
      <c r="T96" s="31" t="n">
        <f aca="false">S96/(1+(((G11/H11-1)/(5-3))+H96/10000)*(5-3))</f>
        <v>0.778786720481855</v>
      </c>
      <c r="U96" s="31" t="n">
        <f aca="false">T96/(1+(((H11/I11-1)/(10-5))+I96/10000)*(10-5))</f>
        <v>0.608360664953194</v>
      </c>
      <c r="V96" s="31" t="n">
        <f aca="false">U96/(1+(((I11/J11-1)/(20-10))+J96/10000)*(20-10))</f>
        <v>0.376224701143073</v>
      </c>
      <c r="W96" s="31" t="n">
        <f aca="false">V96/(1+(((J11/K11-1)/(30-20))+K96/10000)*(30-20))</f>
        <v>0.233185007484868</v>
      </c>
    </row>
    <row r="97" customFormat="false" ht="15" hidden="false" customHeight="true" outlineLevel="0" collapsed="false">
      <c r="A97" s="9" t="s">
        <v>40</v>
      </c>
      <c r="B97" s="29" t="s">
        <v>38</v>
      </c>
      <c r="C97" s="30" t="n">
        <v>130</v>
      </c>
      <c r="D97" s="30" t="n">
        <v>119.2</v>
      </c>
      <c r="E97" s="30" t="n">
        <v>93.2</v>
      </c>
      <c r="F97" s="30" t="n">
        <v>66</v>
      </c>
      <c r="G97" s="30" t="n">
        <v>40.7</v>
      </c>
      <c r="H97" s="30" t="n">
        <v>21.4</v>
      </c>
      <c r="I97" s="30" t="n">
        <v>11.2</v>
      </c>
      <c r="J97" s="30" t="n">
        <v>5.8</v>
      </c>
      <c r="K97" s="30" t="n">
        <v>4.5</v>
      </c>
      <c r="M97" s="4" t="s">
        <v>40</v>
      </c>
      <c r="N97" s="29" t="s">
        <v>38</v>
      </c>
      <c r="O97" s="31" t="n">
        <f aca="false">1/(1+(((1/C12-1)/(0.25-0))+C97/10000)*(0.25-0))</f>
        <v>0.988588513537705</v>
      </c>
      <c r="P97" s="31" t="n">
        <f aca="false">O97/(1+(((C12/D12-1)/(0.5-0.25))+D97/10000)*(0.5-0.25))</f>
        <v>0.977548708300357</v>
      </c>
      <c r="Q97" s="31" t="n">
        <f aca="false">P97/(1+(((D12/E12-1)/(1-0.5))+E97/10000)*(1-0.5))</f>
        <v>0.957056963924134</v>
      </c>
      <c r="R97" s="31" t="n">
        <f aca="false">Q97/(1+(((E12/F12-1)/(2-1))+F97/10000)*(2-1))</f>
        <v>0.919702631599233</v>
      </c>
      <c r="S97" s="31" t="n">
        <f aca="false">R97/(1+(((F12/G12-1)/(3-2))+G97/10000)*(3-2))</f>
        <v>0.885696022722474</v>
      </c>
      <c r="T97" s="31" t="n">
        <f aca="false">S97/(1+(((G12/H12-1)/(5-3))+H97/10000)*(5-3))</f>
        <v>0.82384666333821</v>
      </c>
      <c r="U97" s="31" t="n">
        <f aca="false">T97/(1+(((H12/I12-1)/(10-5))+I97/10000)*(10-5))</f>
        <v>0.687491795445724</v>
      </c>
      <c r="V97" s="31" t="n">
        <f aca="false">U97/(1+(((I12/J12-1)/(20-10))+J97/10000)*(20-10))</f>
        <v>0.484904027986479</v>
      </c>
      <c r="W97" s="31" t="n">
        <f aca="false">V97/(1+(((J12/K12-1)/(30-20))+K97/10000)*(30-20))</f>
        <v>0.342327587002036</v>
      </c>
    </row>
    <row r="98" customFormat="false" ht="15" hidden="false" customHeight="true" outlineLevel="0" collapsed="false">
      <c r="A98" s="9" t="s">
        <v>49</v>
      </c>
      <c r="B98" s="29" t="s">
        <v>50</v>
      </c>
      <c r="C98" s="30" t="n">
        <v>56.4</v>
      </c>
      <c r="D98" s="30" t="n">
        <v>55.7</v>
      </c>
      <c r="E98" s="30" t="n">
        <v>-47.7</v>
      </c>
      <c r="F98" s="30" t="n">
        <v>29.9</v>
      </c>
      <c r="G98" s="30" t="n">
        <v>22.5</v>
      </c>
      <c r="H98" s="30" t="n">
        <v>13.2</v>
      </c>
      <c r="I98" s="30" t="n">
        <v>6.8</v>
      </c>
      <c r="J98" s="30" t="n">
        <v>4.5</v>
      </c>
      <c r="K98" s="30" t="n">
        <v>2.9</v>
      </c>
      <c r="M98" s="4" t="s">
        <v>49</v>
      </c>
      <c r="N98" s="29" t="s">
        <v>50</v>
      </c>
      <c r="O98" s="31" t="n">
        <f aca="false">1/(1+(((1/C13-1)/(0.25-0))+C98/10000)*(0.25-0))</f>
        <v>0.988660871135497</v>
      </c>
      <c r="P98" s="31" t="n">
        <f aca="false">O98/(1+(((C13/D13-1)/(0.5-0.25))+D98/10000)*(0.5-0.25))</f>
        <v>0.977448127591642</v>
      </c>
      <c r="Q98" s="31" t="n">
        <f aca="false">P98/(1+(((D13/E13-1)/(1-0.5))+E98/10000)*(1-0.5))</f>
        <v>0.960229712665626</v>
      </c>
      <c r="R98" s="31" t="n">
        <f aca="false">Q98/(1+(((E13/F13-1)/(2-1))+F98/10000)*(2-1))</f>
        <v>0.919523790486639</v>
      </c>
      <c r="S98" s="31" t="n">
        <f aca="false">R98/(1+(((F13/G13-1)/(3-2))+G98/10000)*(3-2))</f>
        <v>0.880903262100167</v>
      </c>
      <c r="T98" s="31" t="n">
        <f aca="false">S98/(1+(((G13/H13-1)/(5-3))+H98/10000)*(5-3))</f>
        <v>0.809259109398274</v>
      </c>
      <c r="U98" s="31" t="n">
        <f aca="false">T98/(1+(((H13/I13-1)/(10-5))+I98/10000)*(10-5))</f>
        <v>0.653354776224689</v>
      </c>
      <c r="V98" s="31" t="n">
        <f aca="false">U98/(1+(((I13/J13-1)/(20-10))+J98/10000)*(20-10))</f>
        <v>0.430158148349435</v>
      </c>
      <c r="W98" s="31" t="n">
        <f aca="false">V98/(1+(((J13/K13-1)/(30-20))+K98/10000)*(30-20))</f>
        <v>0.283508114740984</v>
      </c>
    </row>
    <row r="100" customFormat="false" ht="15" hidden="false" customHeight="true" outlineLevel="0" collapsed="false">
      <c r="A100" s="28" t="s">
        <v>125</v>
      </c>
      <c r="B100" s="28"/>
      <c r="C100" s="12" t="s">
        <v>74</v>
      </c>
      <c r="D100" s="12" t="s">
        <v>75</v>
      </c>
      <c r="E100" s="12" t="s">
        <v>30</v>
      </c>
      <c r="F100" s="12" t="s">
        <v>76</v>
      </c>
      <c r="G100" s="12" t="s">
        <v>77</v>
      </c>
      <c r="H100" s="12" t="s">
        <v>78</v>
      </c>
      <c r="I100" s="12" t="s">
        <v>79</v>
      </c>
      <c r="J100" s="12" t="s">
        <v>80</v>
      </c>
      <c r="K100" s="12" t="s">
        <v>81</v>
      </c>
      <c r="M100" s="28" t="s">
        <v>125</v>
      </c>
      <c r="N100" s="28"/>
      <c r="O100" s="12" t="s">
        <v>74</v>
      </c>
      <c r="P100" s="12" t="s">
        <v>75</v>
      </c>
      <c r="Q100" s="12" t="s">
        <v>30</v>
      </c>
      <c r="R100" s="12" t="s">
        <v>76</v>
      </c>
      <c r="S100" s="12" t="s">
        <v>77</v>
      </c>
      <c r="T100" s="12" t="s">
        <v>78</v>
      </c>
      <c r="U100" s="12" t="s">
        <v>79</v>
      </c>
      <c r="V100" s="12" t="s">
        <v>80</v>
      </c>
      <c r="W100" s="12" t="s">
        <v>81</v>
      </c>
    </row>
    <row r="101" customFormat="false" ht="15" hidden="false" customHeight="true" outlineLevel="0" collapsed="false">
      <c r="A101" s="9" t="s">
        <v>42</v>
      </c>
      <c r="B101" s="29" t="s">
        <v>43</v>
      </c>
      <c r="C101" s="30" t="n">
        <v>88</v>
      </c>
      <c r="D101" s="30" t="n">
        <v>82.9</v>
      </c>
      <c r="E101" s="30" t="n">
        <v>66.7</v>
      </c>
      <c r="F101" s="30" t="n">
        <v>46.5</v>
      </c>
      <c r="G101" s="30" t="n">
        <v>-29.7</v>
      </c>
      <c r="H101" s="30" t="n">
        <v>16</v>
      </c>
      <c r="I101" s="30" t="n">
        <v>7.5</v>
      </c>
      <c r="J101" s="30" t="n">
        <v>4.4</v>
      </c>
      <c r="K101" s="30" t="n">
        <v>3</v>
      </c>
      <c r="M101" s="4" t="s">
        <v>42</v>
      </c>
      <c r="N101" s="29" t="s">
        <v>43</v>
      </c>
      <c r="O101" s="31" t="n">
        <f aca="false">1/(1+(((1/C8-1)/(0.25-0))+C101/10000)*(0.25-0))</f>
        <v>0.98714951291458</v>
      </c>
      <c r="P101" s="31" t="n">
        <f aca="false">O101/(1+(((C8/D8-1)/(0.5-0.25))+D101/10000)*(0.5-0.25))</f>
        <v>0.974569400659733</v>
      </c>
      <c r="Q101" s="31" t="n">
        <f aca="false">P101/(1+(((D8/E8-1)/(1-0.5))+E101/10000)*(1-0.5))</f>
        <v>0.950629998326299</v>
      </c>
      <c r="R101" s="31" t="n">
        <f aca="false">Q101/(1+(((E8/F8-1)/(2-1))+F101/10000)*(2-1))</f>
        <v>0.906174956210395</v>
      </c>
      <c r="S101" s="31" t="n">
        <f aca="false">R101/(1+(((F8/G8-1)/(3-2))+G101/10000)*(3-2))</f>
        <v>0.869857113033344</v>
      </c>
      <c r="T101" s="31" t="n">
        <f aca="false">S101/(1+(((G8/H8-1)/(5-3))+H101/10000)*(5-3))</f>
        <v>0.793937450306756</v>
      </c>
      <c r="U101" s="31" t="n">
        <f aca="false">T101/(1+(((H8/I8-1)/(10-5))+I101/10000)*(10-5))</f>
        <v>0.631291354093496</v>
      </c>
      <c r="V101" s="31" t="n">
        <f aca="false">U101/(1+(((I8/J8-1)/(20-10))+J101/10000)*(20-10))</f>
        <v>0.403409776580914</v>
      </c>
      <c r="W101" s="31" t="n">
        <f aca="false">V101/(1+(((J8/K8-1)/(30-20))+K101/10000)*(30-20))</f>
        <v>0.258018417248357</v>
      </c>
    </row>
    <row r="102" customFormat="false" ht="15" hidden="false" customHeight="true" outlineLevel="0" collapsed="false">
      <c r="A102" s="9" t="s">
        <v>52</v>
      </c>
      <c r="B102" s="29" t="s">
        <v>43</v>
      </c>
      <c r="C102" s="30" t="n">
        <v>73.1</v>
      </c>
      <c r="D102" s="30" t="n">
        <v>72.2</v>
      </c>
      <c r="E102" s="30" t="n">
        <v>56.4</v>
      </c>
      <c r="F102" s="30" t="n">
        <v>37.9</v>
      </c>
      <c r="G102" s="30" t="n">
        <v>23.4</v>
      </c>
      <c r="H102" s="30" t="n">
        <v>12</v>
      </c>
      <c r="I102" s="30" t="n">
        <v>6</v>
      </c>
      <c r="J102" s="30" t="n">
        <v>3.1</v>
      </c>
      <c r="K102" s="30" t="n">
        <v>1.6</v>
      </c>
      <c r="M102" s="4" t="s">
        <v>52</v>
      </c>
      <c r="N102" s="29" t="s">
        <v>43</v>
      </c>
      <c r="O102" s="31" t="n">
        <f aca="false">1/(1+(((1/C9-1)/(0.25-0))+C102/10000)*(0.25-0))</f>
        <v>0.990474897332954</v>
      </c>
      <c r="P102" s="31" t="n">
        <f aca="false">O102/(1+(((C9/D9-1)/(0.5-0.25))+D102/10000)*(0.5-0.25))</f>
        <v>0.981043749187381</v>
      </c>
      <c r="Q102" s="31" t="n">
        <f aca="false">P102/(1+(((D9/E9-1)/(1-0.5))+E102/10000)*(1-0.5))</f>
        <v>0.963171513076289</v>
      </c>
      <c r="R102" s="31" t="n">
        <f aca="false">Q102/(1+(((E9/F9-1)/(2-1))+F102/10000)*(2-1))</f>
        <v>0.929935845587093</v>
      </c>
      <c r="S102" s="31" t="n">
        <f aca="false">R102/(1+(((F9/G9-1)/(3-2))+G102/10000)*(3-2))</f>
        <v>0.898836534760485</v>
      </c>
      <c r="T102" s="31" t="n">
        <f aca="false">S102/(1+(((G9/H9-1)/(5-3))+H102/10000)*(5-3))</f>
        <v>0.840884296176745</v>
      </c>
      <c r="U102" s="31" t="n">
        <f aca="false">T102/(1+(((H9/I9-1)/(10-5))+I102/10000)*(10-5))</f>
        <v>0.710284699247565</v>
      </c>
      <c r="V102" s="31" t="n">
        <f aca="false">U102/(1+(((I9/J9-1)/(20-10))+J102/10000)*(20-10))</f>
        <v>0.512053678025539</v>
      </c>
      <c r="W102" s="31" t="n">
        <f aca="false">V102/(1+(((J9/K9-1)/(30-20))+K102/10000)*(30-20))</f>
        <v>0.369545074205724</v>
      </c>
    </row>
    <row r="103" customFormat="false" ht="15" hidden="false" customHeight="true" outlineLevel="0" collapsed="false">
      <c r="A103" s="9" t="s">
        <v>45</v>
      </c>
      <c r="B103" s="29" t="s">
        <v>38</v>
      </c>
      <c r="C103" s="30" t="n">
        <v>113.3</v>
      </c>
      <c r="D103" s="30" t="n">
        <v>105.1</v>
      </c>
      <c r="E103" s="30" t="n">
        <v>75.2</v>
      </c>
      <c r="F103" s="30" t="n">
        <v>54.9</v>
      </c>
      <c r="G103" s="30" t="n">
        <v>32.3</v>
      </c>
      <c r="H103" s="30" t="n">
        <v>18.5</v>
      </c>
      <c r="I103" s="30" t="n">
        <v>9</v>
      </c>
      <c r="J103" s="30" t="n">
        <v>4.7</v>
      </c>
      <c r="K103" s="30" t="n">
        <v>3.1</v>
      </c>
      <c r="M103" s="4" t="s">
        <v>45</v>
      </c>
      <c r="N103" s="29" t="s">
        <v>38</v>
      </c>
      <c r="O103" s="31" t="n">
        <f aca="false">1/(1+(((1/C10-1)/(0.25-0))+C103/10000)*(0.25-0))</f>
        <v>0.986780164686577</v>
      </c>
      <c r="P103" s="31" t="n">
        <f aca="false">O103/(1+(((C10/D10-1)/(0.5-0.25))+D103/10000)*(0.5-0.25))</f>
        <v>0.973912977489715</v>
      </c>
      <c r="Q103" s="31" t="n">
        <f aca="false">P103/(1+(((D10/E10-1)/(1-0.5))+E103/10000)*(1-0.5))</f>
        <v>0.950069418905633</v>
      </c>
      <c r="R103" s="31" t="n">
        <f aca="false">Q103/(1+(((E10/F10-1)/(2-1))+F103/10000)*(2-1))</f>
        <v>0.905816945719428</v>
      </c>
      <c r="S103" s="31" t="n">
        <f aca="false">R103/(1+(((F10/G10-1)/(3-2))+G103/10000)*(3-2))</f>
        <v>0.865230894561439</v>
      </c>
      <c r="T103" s="31" t="n">
        <f aca="false">S103/(1+(((G10/H10-1)/(5-3))+H103/10000)*(5-3))</f>
        <v>0.790929339180539</v>
      </c>
      <c r="U103" s="31" t="n">
        <f aca="false">T103/(1+(((H10/I10-1)/(10-5))+I103/10000)*(10-5))</f>
        <v>0.631664953195476</v>
      </c>
      <c r="V103" s="31" t="n">
        <f aca="false">U103/(1+(((I10/J10-1)/(20-10))+J103/10000)*(20-10))</f>
        <v>0.407614612211658</v>
      </c>
      <c r="W103" s="31" t="n">
        <f aca="false">V103/(1+(((J10/K10-1)/(30-20))+K103/10000)*(30-20))</f>
        <v>0.263306374812826</v>
      </c>
    </row>
    <row r="104" customFormat="false" ht="15" hidden="false" customHeight="true" outlineLevel="0" collapsed="false">
      <c r="A104" s="9" t="s">
        <v>37</v>
      </c>
      <c r="B104" s="29" t="s">
        <v>38</v>
      </c>
      <c r="C104" s="30" t="n">
        <v>172.5</v>
      </c>
      <c r="D104" s="30" t="n">
        <v>156.5</v>
      </c>
      <c r="E104" s="30" t="n">
        <v>132.6</v>
      </c>
      <c r="F104" s="30" t="n">
        <v>93.8</v>
      </c>
      <c r="G104" s="30" t="n">
        <v>61.2</v>
      </c>
      <c r="H104" s="30" t="n">
        <v>-34.7</v>
      </c>
      <c r="I104" s="30" t="n">
        <v>15.1</v>
      </c>
      <c r="J104" s="30" t="n">
        <v>-8.9</v>
      </c>
      <c r="K104" s="30" t="n">
        <v>6.2</v>
      </c>
      <c r="M104" s="4" t="s">
        <v>37</v>
      </c>
      <c r="N104" s="29" t="s">
        <v>38</v>
      </c>
      <c r="O104" s="31" t="n">
        <f aca="false">1/(1+(((1/C11-1)/(0.25-0))+C104/10000)*(0.25-0))</f>
        <v>0.984360521412895</v>
      </c>
      <c r="P104" s="31" t="n">
        <f aca="false">O104/(1+(((C11/D11-1)/(0.5-0.25))+D104/10000)*(0.5-0.25))</f>
        <v>0.969328594229379</v>
      </c>
      <c r="Q104" s="31" t="n">
        <f aca="false">P104/(1+(((D11/E11-1)/(1-0.5))+E104/10000)*(1-0.5))</f>
        <v>0.941085187512815</v>
      </c>
      <c r="R104" s="31" t="n">
        <f aca="false">Q104/(1+(((E11/F11-1)/(2-1))+F104/10000)*(2-1))</f>
        <v>0.890398311377447</v>
      </c>
      <c r="S104" s="31" t="n">
        <f aca="false">R104/(1+(((F11/G11-1)/(3-2))+G104/10000)*(3-2))</f>
        <v>0.844796730266138</v>
      </c>
      <c r="T104" s="31" t="n">
        <f aca="false">S104/(1+(((G11/H11-1)/(5-3))+H104/10000)*(5-3))</f>
        <v>0.773581268677914</v>
      </c>
      <c r="U104" s="31" t="n">
        <f aca="false">T104/(1+(((H11/I11-1)/(10-5))+I104/10000)*(10-5))</f>
        <v>0.604176359650982</v>
      </c>
      <c r="V104" s="31" t="n">
        <f aca="false">U104/(1+(((I11/J11-1)/(20-10))+J104/10000)*(20-10))</f>
        <v>0.377819407093138</v>
      </c>
      <c r="W104" s="31" t="n">
        <f aca="false">V104/(1+(((J11/K11-1)/(30-20))+K104/10000)*(30-20))</f>
        <v>0.234057354741949</v>
      </c>
    </row>
    <row r="105" customFormat="false" ht="15" hidden="false" customHeight="true" outlineLevel="0" collapsed="false">
      <c r="A105" s="9" t="s">
        <v>40</v>
      </c>
      <c r="B105" s="29" t="s">
        <v>38</v>
      </c>
      <c r="C105" s="30" t="n">
        <v>139</v>
      </c>
      <c r="D105" s="30" t="n">
        <v>127.4</v>
      </c>
      <c r="E105" s="30" t="n">
        <v>103.5</v>
      </c>
      <c r="F105" s="30" t="n">
        <v>71.5</v>
      </c>
      <c r="G105" s="30" t="n">
        <v>-42.4</v>
      </c>
      <c r="H105" s="30" t="n">
        <v>-24.2</v>
      </c>
      <c r="I105" s="30" t="n">
        <v>12.9</v>
      </c>
      <c r="J105" s="30" t="n">
        <v>6.3</v>
      </c>
      <c r="K105" s="30" t="n">
        <v>4.8</v>
      </c>
      <c r="M105" s="4" t="s">
        <v>40</v>
      </c>
      <c r="N105" s="29" t="s">
        <v>38</v>
      </c>
      <c r="O105" s="31" t="n">
        <f aca="false">1/(1+(((1/C12-1)/(0.25-0))+C105/10000)*(0.25-0))</f>
        <v>0.988368668307364</v>
      </c>
      <c r="P105" s="31" t="n">
        <f aca="false">O105/(1+(((C12/D12-1)/(0.5-0.25))+D105/10000)*(0.5-0.25))</f>
        <v>0.977133242755414</v>
      </c>
      <c r="Q105" s="31" t="n">
        <f aca="false">P105/(1+(((D12/E12-1)/(1-0.5))+E105/10000)*(1-0.5))</f>
        <v>0.956168103382636</v>
      </c>
      <c r="R105" s="31" t="n">
        <f aca="false">Q105/(1+(((E12/F12-1)/(2-1))+F105/10000)*(2-1))</f>
        <v>0.91836307821385</v>
      </c>
      <c r="S105" s="31" t="n">
        <f aca="false">R105/(1+(((F12/G12-1)/(3-2))+G105/10000)*(3-2))</f>
        <v>0.891540762250943</v>
      </c>
      <c r="T105" s="31" t="n">
        <f aca="false">S105/(1+(((G12/H12-1)/(5-3))+H105/10000)*(5-3))</f>
        <v>0.836378369861739</v>
      </c>
      <c r="U105" s="31" t="n">
        <f aca="false">T105/(1+(((H12/I12-1)/(10-5))+I105/10000)*(10-5))</f>
        <v>0.697454663025784</v>
      </c>
      <c r="V105" s="31" t="n">
        <f aca="false">U105/(1+(((I12/J12-1)/(20-10))+J105/10000)*(20-10))</f>
        <v>0.491757647213817</v>
      </c>
      <c r="W105" s="31" t="n">
        <f aca="false">V105/(1+(((J12/K12-1)/(30-20))+K105/10000)*(30-20))</f>
        <v>0.347092523969173</v>
      </c>
    </row>
    <row r="106" customFormat="false" ht="15" hidden="false" customHeight="true" outlineLevel="0" collapsed="false">
      <c r="A106" s="9" t="s">
        <v>49</v>
      </c>
      <c r="B106" s="29" t="s">
        <v>50</v>
      </c>
      <c r="C106" s="30" t="n">
        <v>60.7</v>
      </c>
      <c r="D106" s="30" t="n">
        <v>55.6</v>
      </c>
      <c r="E106" s="30" t="n">
        <v>49</v>
      </c>
      <c r="F106" s="30" t="n">
        <v>34.5</v>
      </c>
      <c r="G106" s="30" t="n">
        <v>23.9</v>
      </c>
      <c r="H106" s="30" t="n">
        <v>13.3</v>
      </c>
      <c r="I106" s="30" t="n">
        <v>7.3</v>
      </c>
      <c r="J106" s="30" t="n">
        <v>4.6</v>
      </c>
      <c r="K106" s="30" t="n">
        <v>-3</v>
      </c>
      <c r="M106" s="4" t="s">
        <v>49</v>
      </c>
      <c r="N106" s="29" t="s">
        <v>50</v>
      </c>
      <c r="O106" s="31" t="n">
        <f aca="false">1/(1+(((1/C13-1)/(0.25-0))+C106/10000)*(0.25-0))</f>
        <v>0.98855580639269</v>
      </c>
      <c r="P106" s="31" t="n">
        <f aca="false">O106/(1+(((C13/D13-1)/(0.5-0.25))+D106/10000)*(0.5-0.25))</f>
        <v>0.977346670079891</v>
      </c>
      <c r="Q106" s="31" t="n">
        <f aca="false">P106/(1+(((D13/E13-1)/(1-0.5))+E106/10000)*(1-0.5))</f>
        <v>0.955591148630945</v>
      </c>
      <c r="R106" s="31" t="n">
        <f aca="false">Q106/(1+(((E13/F13-1)/(2-1))+F106/10000)*(2-1))</f>
        <v>0.914678947959125</v>
      </c>
      <c r="S106" s="31" t="n">
        <f aca="false">R106/(1+(((F13/G13-1)/(3-2))+G106/10000)*(3-2))</f>
        <v>0.876144397331037</v>
      </c>
      <c r="T106" s="31" t="n">
        <f aca="false">S106/(1+(((G13/H13-1)/(5-3))+H106/10000)*(5-3))</f>
        <v>0.804872496430588</v>
      </c>
      <c r="U106" s="31" t="n">
        <f aca="false">T106/(1+(((H13/I13-1)/(10-5))+I106/10000)*(10-5))</f>
        <v>0.649682117211096</v>
      </c>
      <c r="V106" s="31" t="n">
        <f aca="false">U106/(1+(((I13/J13-1)/(20-10))+J106/10000)*(20-10))</f>
        <v>0.427711969584312</v>
      </c>
      <c r="W106" s="31" t="n">
        <f aca="false">V106/(1+(((J13/K13-1)/(30-20))+K106/10000)*(30-20))</f>
        <v>0.282996339818064</v>
      </c>
    </row>
    <row r="108" customFormat="false" ht="15" hidden="false" customHeight="true" outlineLevel="0" collapsed="false">
      <c r="A108" s="28" t="s">
        <v>126</v>
      </c>
      <c r="B108" s="28"/>
      <c r="C108" s="12" t="s">
        <v>74</v>
      </c>
      <c r="D108" s="12" t="s">
        <v>75</v>
      </c>
      <c r="E108" s="12" t="s">
        <v>30</v>
      </c>
      <c r="F108" s="12" t="s">
        <v>76</v>
      </c>
      <c r="G108" s="12" t="s">
        <v>77</v>
      </c>
      <c r="H108" s="12" t="s">
        <v>78</v>
      </c>
      <c r="I108" s="12" t="s">
        <v>79</v>
      </c>
      <c r="J108" s="12" t="s">
        <v>80</v>
      </c>
      <c r="K108" s="12" t="s">
        <v>81</v>
      </c>
      <c r="M108" s="28" t="s">
        <v>126</v>
      </c>
      <c r="N108" s="28"/>
      <c r="O108" s="12" t="s">
        <v>74</v>
      </c>
      <c r="P108" s="12" t="s">
        <v>75</v>
      </c>
      <c r="Q108" s="12" t="s">
        <v>30</v>
      </c>
      <c r="R108" s="12" t="s">
        <v>76</v>
      </c>
      <c r="S108" s="12" t="s">
        <v>77</v>
      </c>
      <c r="T108" s="12" t="s">
        <v>78</v>
      </c>
      <c r="U108" s="12" t="s">
        <v>79</v>
      </c>
      <c r="V108" s="12" t="s">
        <v>80</v>
      </c>
      <c r="W108" s="12" t="s">
        <v>81</v>
      </c>
    </row>
    <row r="109" customFormat="false" ht="15" hidden="false" customHeight="true" outlineLevel="0" collapsed="false">
      <c r="A109" s="9" t="s">
        <v>42</v>
      </c>
      <c r="B109" s="29" t="s">
        <v>43</v>
      </c>
      <c r="C109" s="30" t="n">
        <v>102.1</v>
      </c>
      <c r="D109" s="30" t="n">
        <v>89</v>
      </c>
      <c r="E109" s="30" t="n">
        <v>71.7</v>
      </c>
      <c r="F109" s="30" t="n">
        <v>48.6</v>
      </c>
      <c r="G109" s="30" t="n">
        <v>31.7</v>
      </c>
      <c r="H109" s="30" t="n">
        <v>15.9</v>
      </c>
      <c r="I109" s="30" t="n">
        <v>8.4</v>
      </c>
      <c r="J109" s="30" t="n">
        <v>5.2</v>
      </c>
      <c r="K109" s="30" t="n">
        <v>3.4</v>
      </c>
      <c r="M109" s="4" t="s">
        <v>42</v>
      </c>
      <c r="N109" s="29" t="s">
        <v>43</v>
      </c>
      <c r="O109" s="31" t="n">
        <f aca="false">1/(1+(((1/C8-1)/(0.25-0))+C109/10000)*(0.25-0))</f>
        <v>0.986806133783587</v>
      </c>
      <c r="P109" s="31" t="n">
        <f aca="false">O109/(1+(((C8/D8-1)/(0.5-0.25))+D109/10000)*(0.5-0.25))</f>
        <v>0.974083742814031</v>
      </c>
      <c r="Q109" s="31" t="n">
        <f aca="false">P109/(1+(((D8/E8-1)/(1-0.5))+E109/10000)*(1-0.5))</f>
        <v>0.949924622570429</v>
      </c>
      <c r="R109" s="31" t="n">
        <f aca="false">Q109/(1+(((E8/F8-1)/(2-1))+F109/10000)*(2-1))</f>
        <v>0.905321339612534</v>
      </c>
      <c r="S109" s="31" t="n">
        <f aca="false">R109/(1+(((F8/G8-1)/(3-2))+G109/10000)*(3-2))</f>
        <v>0.863945681129153</v>
      </c>
      <c r="T109" s="31" t="n">
        <f aca="false">S109/(1+(((G8/H8-1)/(5-3))+H109/10000)*(5-3))</f>
        <v>0.788556352865421</v>
      </c>
      <c r="U109" s="31" t="n">
        <f aca="false">T109/(1+(((H8/I8-1)/(10-5))+I109/10000)*(10-5))</f>
        <v>0.626788355752388</v>
      </c>
      <c r="V109" s="31" t="n">
        <f aca="false">U109/(1+(((I8/J8-1)/(20-10))+J109/10000)*(20-10))</f>
        <v>0.400327601612456</v>
      </c>
      <c r="W109" s="31" t="n">
        <f aca="false">V109/(1+(((J8/K8-1)/(30-20))+K109/10000)*(30-20))</f>
        <v>0.255981587353917</v>
      </c>
    </row>
    <row r="110" customFormat="false" ht="15" hidden="false" customHeight="true" outlineLevel="0" collapsed="false">
      <c r="A110" s="9" t="s">
        <v>52</v>
      </c>
      <c r="B110" s="29" t="s">
        <v>43</v>
      </c>
      <c r="C110" s="30" t="n">
        <v>-81.8</v>
      </c>
      <c r="D110" s="30" t="n">
        <v>74.2</v>
      </c>
      <c r="E110" s="30" t="n">
        <v>-65.4</v>
      </c>
      <c r="F110" s="30" t="n">
        <v>40.7</v>
      </c>
      <c r="G110" s="30" t="n">
        <v>25.8</v>
      </c>
      <c r="H110" s="30" t="n">
        <v>12.7</v>
      </c>
      <c r="I110" s="30" t="n">
        <v>6.6</v>
      </c>
      <c r="J110" s="30" t="n">
        <v>3.3</v>
      </c>
      <c r="K110" s="30" t="n">
        <v>-1.6</v>
      </c>
      <c r="M110" s="4" t="s">
        <v>52</v>
      </c>
      <c r="N110" s="29" t="s">
        <v>43</v>
      </c>
      <c r="O110" s="31" t="n">
        <f aca="false">1/(1+(((1/C9-1)/(0.25-0))+C110/10000)*(0.25-0))</f>
        <v>0.99428860466474</v>
      </c>
      <c r="P110" s="31" t="n">
        <f aca="false">O110/(1+(((C9/D9-1)/(0.5-0.25))+D110/10000)*(0.5-0.25))</f>
        <v>0.984772373214066</v>
      </c>
      <c r="Q110" s="31" t="n">
        <f aca="false">P110/(1+(((D9/E9-1)/(1-0.5))+E110/10000)*(1-0.5))</f>
        <v>0.972647724846082</v>
      </c>
      <c r="R110" s="31" t="n">
        <f aca="false">Q110/(1+(((E9/F9-1)/(2-1))+F110/10000)*(2-1))</f>
        <v>0.938831264618829</v>
      </c>
      <c r="S110" s="31" t="n">
        <f aca="false">R110/(1+(((F9/G9-1)/(3-2))+G110/10000)*(3-2))</f>
        <v>0.90722401717951</v>
      </c>
      <c r="T110" s="31" t="n">
        <f aca="false">S110/(1+(((G9/H9-1)/(5-3))+H110/10000)*(5-3))</f>
        <v>0.848619851226901</v>
      </c>
      <c r="U110" s="31" t="n">
        <f aca="false">T110/(1+(((H9/I9-1)/(10-5))+I110/10000)*(10-5))</f>
        <v>0.716637227745561</v>
      </c>
      <c r="V110" s="31" t="n">
        <f aca="false">U110/(1+(((I9/J9-1)/(20-10))+J110/10000)*(20-10))</f>
        <v>0.516558821409125</v>
      </c>
      <c r="W110" s="31" t="n">
        <f aca="false">V110/(1+(((J9/K9-1)/(30-20))+K110/10000)*(30-20))</f>
        <v>0.37365933474026</v>
      </c>
    </row>
    <row r="111" customFormat="false" ht="15" hidden="false" customHeight="true" outlineLevel="0" collapsed="false">
      <c r="A111" s="9" t="s">
        <v>45</v>
      </c>
      <c r="B111" s="29" t="s">
        <v>38</v>
      </c>
      <c r="C111" s="30" t="n">
        <v>119.4</v>
      </c>
      <c r="D111" s="30" t="n">
        <v>108.9</v>
      </c>
      <c r="E111" s="30" t="n">
        <v>-83.3</v>
      </c>
      <c r="F111" s="30" t="n">
        <v>59.4</v>
      </c>
      <c r="G111" s="30" t="n">
        <v>35</v>
      </c>
      <c r="H111" s="30" t="n">
        <v>19</v>
      </c>
      <c r="I111" s="30" t="n">
        <v>9.6</v>
      </c>
      <c r="J111" s="30" t="n">
        <v>5.1</v>
      </c>
      <c r="K111" s="30" t="n">
        <v>3.2</v>
      </c>
      <c r="M111" s="4" t="s">
        <v>45</v>
      </c>
      <c r="N111" s="29" t="s">
        <v>38</v>
      </c>
      <c r="O111" s="31" t="n">
        <f aca="false">1/(1+(((1/C10-1)/(0.25-0))+C111/10000)*(0.25-0))</f>
        <v>0.986631692427526</v>
      </c>
      <c r="P111" s="31" t="n">
        <f aca="false">O111/(1+(((C10/D10-1)/(0.5-0.25))+D111/10000)*(0.5-0.25))</f>
        <v>0.973675148254546</v>
      </c>
      <c r="Q111" s="31" t="n">
        <f aca="false">P111/(1+(((D10/E10-1)/(1-0.5))+E111/10000)*(1-0.5))</f>
        <v>0.957237796944819</v>
      </c>
      <c r="R111" s="31" t="n">
        <f aca="false">Q111/(1+(((E10/F10-1)/(2-1))+F111/10000)*(2-1))</f>
        <v>0.912260038096439</v>
      </c>
      <c r="S111" s="31" t="n">
        <f aca="false">R111/(1+(((F10/G10-1)/(3-2))+G111/10000)*(3-2))</f>
        <v>0.871160623226204</v>
      </c>
      <c r="T111" s="31" t="n">
        <f aca="false">S111/(1+(((G10/H10-1)/(5-3))+H111/10000)*(5-3))</f>
        <v>0.796277063717706</v>
      </c>
      <c r="U111" s="31" t="n">
        <f aca="false">T111/(1+(((H10/I10-1)/(10-5))+I111/10000)*(10-5))</f>
        <v>0.635783512666307</v>
      </c>
      <c r="V111" s="31" t="n">
        <f aca="false">U111/(1+(((I10/J10-1)/(20-10))+J111/10000)*(20-10))</f>
        <v>0.410166454097721</v>
      </c>
      <c r="W111" s="31" t="n">
        <f aca="false">V111/(1+(((J10/K10-1)/(30-20))+K111/10000)*(30-20))</f>
        <v>0.264937671234537</v>
      </c>
    </row>
    <row r="112" customFormat="false" ht="15" hidden="false" customHeight="true" outlineLevel="0" collapsed="false">
      <c r="A112" s="9" t="s">
        <v>37</v>
      </c>
      <c r="B112" s="29" t="s">
        <v>38</v>
      </c>
      <c r="C112" s="30" t="n">
        <v>172.7</v>
      </c>
      <c r="D112" s="30" t="n">
        <v>-159.3</v>
      </c>
      <c r="E112" s="30" t="n">
        <v>136.9</v>
      </c>
      <c r="F112" s="30" t="n">
        <v>-100.5</v>
      </c>
      <c r="G112" s="30" t="n">
        <v>62.9</v>
      </c>
      <c r="H112" s="30" t="n">
        <v>35.4</v>
      </c>
      <c r="I112" s="30" t="n">
        <v>-16</v>
      </c>
      <c r="J112" s="30" t="n">
        <v>10.1</v>
      </c>
      <c r="K112" s="30" t="n">
        <v>6.8</v>
      </c>
      <c r="M112" s="4" t="s">
        <v>37</v>
      </c>
      <c r="N112" s="29" t="s">
        <v>38</v>
      </c>
      <c r="O112" s="31" t="n">
        <f aca="false">1/(1+(((1/C11-1)/(0.25-0))+C112/10000)*(0.25-0))</f>
        <v>0.98435567660856</v>
      </c>
      <c r="P112" s="31" t="n">
        <f aca="false">O112/(1+(((C11/D11-1)/(0.5-0.25))+D112/10000)*(0.5-0.25))</f>
        <v>0.976918817599865</v>
      </c>
      <c r="Q112" s="31" t="n">
        <f aca="false">P112/(1+(((D11/E11-1)/(1-0.5))+E112/10000)*(1-0.5))</f>
        <v>0.94825631913984</v>
      </c>
      <c r="R112" s="31" t="n">
        <f aca="false">Q112/(1+(((E11/F11-1)/(2-1))+F112/10000)*(2-1))</f>
        <v>0.913985456945558</v>
      </c>
      <c r="S112" s="31" t="n">
        <f aca="false">R112/(1+(((F11/G11-1)/(3-2))+G112/10000)*(3-2))</f>
        <v>0.867036017376749</v>
      </c>
      <c r="T112" s="31" t="n">
        <f aca="false">S112/(1+(((G11/H11-1)/(5-3))+H112/10000)*(5-3))</f>
        <v>0.783882226519735</v>
      </c>
      <c r="U112" s="31" t="n">
        <f aca="false">T112/(1+(((H11/I11-1)/(10-5))+I112/10000)*(10-5))</f>
        <v>0.61974821286839</v>
      </c>
      <c r="V112" s="31" t="n">
        <f aca="false">U112/(1+(((I11/J11-1)/(20-10))+J112/10000)*(20-10))</f>
        <v>0.383006485203668</v>
      </c>
      <c r="W112" s="31" t="n">
        <f aca="false">V112/(1+(((J11/K11-1)/(30-20))+K112/10000)*(30-20))</f>
        <v>0.237182565265635</v>
      </c>
    </row>
    <row r="113" customFormat="false" ht="15" hidden="false" customHeight="true" outlineLevel="0" collapsed="false">
      <c r="A113" s="9" t="s">
        <v>40</v>
      </c>
      <c r="B113" s="29" t="s">
        <v>38</v>
      </c>
      <c r="C113" s="30" t="n">
        <v>152.5</v>
      </c>
      <c r="D113" s="30" t="n">
        <v>127</v>
      </c>
      <c r="E113" s="30" t="n">
        <v>-111.9</v>
      </c>
      <c r="F113" s="30" t="n">
        <v>76.3</v>
      </c>
      <c r="G113" s="30" t="n">
        <v>46.3</v>
      </c>
      <c r="H113" s="30" t="n">
        <v>-25.9</v>
      </c>
      <c r="I113" s="30" t="n">
        <v>13.2</v>
      </c>
      <c r="J113" s="30" t="n">
        <v>6.7</v>
      </c>
      <c r="K113" s="30" t="n">
        <v>-5.1</v>
      </c>
      <c r="M113" s="4" t="s">
        <v>40</v>
      </c>
      <c r="N113" s="29" t="s">
        <v>38</v>
      </c>
      <c r="O113" s="31" t="n">
        <f aca="false">1/(1+(((1/C12-1)/(0.25-0))+C113/10000)*(0.25-0))</f>
        <v>0.988039083737581</v>
      </c>
      <c r="P113" s="31" t="n">
        <f aca="false">O113/(1+(((C12/D12-1)/(0.5-0.25))+D113/10000)*(0.5-0.25))</f>
        <v>0.976817061915995</v>
      </c>
      <c r="Q113" s="31" t="n">
        <f aca="false">P113/(1+(((D12/E12-1)/(1-0.5))+E113/10000)*(1-0.5))</f>
        <v>0.966039723186702</v>
      </c>
      <c r="R113" s="31" t="n">
        <f aca="false">Q113/(1+(((E12/F12-1)/(2-1))+F113/10000)*(2-1))</f>
        <v>0.927416834073202</v>
      </c>
      <c r="S113" s="31" t="n">
        <f aca="false">R113/(1+(((F12/G12-1)/(3-2))+G113/10000)*(3-2))</f>
        <v>0.892643590489013</v>
      </c>
      <c r="T113" s="31" t="n">
        <f aca="false">S113/(1+(((G12/H12-1)/(5-3))+H113/10000)*(5-3))</f>
        <v>0.837680151791938</v>
      </c>
      <c r="U113" s="31" t="n">
        <f aca="false">T113/(1+(((H12/I12-1)/(10-5))+I113/10000)*(10-5))</f>
        <v>0.698452851199759</v>
      </c>
      <c r="V113" s="31" t="n">
        <f aca="false">U113/(1+(((I12/J12-1)/(20-10))+J113/10000)*(20-10))</f>
        <v>0.492322594770195</v>
      </c>
      <c r="W113" s="31" t="n">
        <f aca="false">V113/(1+(((J12/K12-1)/(30-20))+K113/10000)*(30-20))</f>
        <v>0.349936498991319</v>
      </c>
    </row>
    <row r="114" customFormat="false" ht="15" hidden="false" customHeight="true" outlineLevel="0" collapsed="false">
      <c r="A114" s="9" t="s">
        <v>49</v>
      </c>
      <c r="B114" s="29" t="s">
        <v>50</v>
      </c>
      <c r="C114" s="30" t="n">
        <v>63.3</v>
      </c>
      <c r="D114" s="30" t="n">
        <v>60.1</v>
      </c>
      <c r="E114" s="30" t="n">
        <v>53.5</v>
      </c>
      <c r="F114" s="30" t="n">
        <v>35.7</v>
      </c>
      <c r="G114" s="30" t="n">
        <v>24.8</v>
      </c>
      <c r="H114" s="30" t="n">
        <v>-15</v>
      </c>
      <c r="I114" s="30" t="n">
        <v>8.4</v>
      </c>
      <c r="J114" s="30" t="n">
        <v>5</v>
      </c>
      <c r="K114" s="30" t="n">
        <v>3.4</v>
      </c>
      <c r="M114" s="4" t="s">
        <v>49</v>
      </c>
      <c r="N114" s="29" t="s">
        <v>50</v>
      </c>
      <c r="O114" s="31" t="n">
        <f aca="false">1/(1+(((1/C13-1)/(0.25-0))+C114/10000)*(0.25-0))</f>
        <v>0.988492289706173</v>
      </c>
      <c r="P114" s="31" t="n">
        <f aca="false">O114/(1+(((C13/D13-1)/(0.5-0.25))+D114/10000)*(0.5-0.25))</f>
        <v>0.977175187904567</v>
      </c>
      <c r="Q114" s="31" t="n">
        <f aca="false">P114/(1+(((D13/E13-1)/(1-0.5))+E114/10000)*(1-0.5))</f>
        <v>0.955213344747142</v>
      </c>
      <c r="R114" s="31" t="n">
        <f aca="false">Q114/(1+(((E13/F13-1)/(2-1))+F114/10000)*(2-1))</f>
        <v>0.914212310579586</v>
      </c>
      <c r="S114" s="31" t="n">
        <f aca="false">R114/(1+(((F13/G13-1)/(3-2))+G114/10000)*(3-2))</f>
        <v>0.875621932985156</v>
      </c>
      <c r="T114" s="31" t="n">
        <f aca="false">S114/(1+(((G13/H13-1)/(5-3))+H114/10000)*(5-3))</f>
        <v>0.808596893129875</v>
      </c>
      <c r="U114" s="31" t="n">
        <f aca="false">T114/(1+(((H13/I13-1)/(10-5))+I114/10000)*(10-5))</f>
        <v>0.6523987654336</v>
      </c>
      <c r="V114" s="31" t="n">
        <f aca="false">U114/(1+(((I13/J13-1)/(20-10))+J114/10000)*(20-10))</f>
        <v>0.429387375579075</v>
      </c>
      <c r="W114" s="31" t="n">
        <f aca="false">V114/(1+(((J13/K13-1)/(30-20))+K114/10000)*(30-20))</f>
        <v>0.282906885786171</v>
      </c>
    </row>
    <row r="116" customFormat="false" ht="27.75" hidden="false" customHeight="true" outlineLevel="0" collapsed="false">
      <c r="A116" s="15" t="s">
        <v>127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</sheetData>
  <mergeCells count="26">
    <mergeCell ref="A3:K3"/>
    <mergeCell ref="A17:I17"/>
    <mergeCell ref="A18:I18"/>
    <mergeCell ref="A34:K34"/>
    <mergeCell ref="M34:W34"/>
    <mergeCell ref="A36:B36"/>
    <mergeCell ref="M36:N36"/>
    <mergeCell ref="A44:B44"/>
    <mergeCell ref="M44:N44"/>
    <mergeCell ref="A52:B52"/>
    <mergeCell ref="M52:N52"/>
    <mergeCell ref="A60:B60"/>
    <mergeCell ref="M60:N60"/>
    <mergeCell ref="A68:B68"/>
    <mergeCell ref="M68:N68"/>
    <mergeCell ref="A76:B76"/>
    <mergeCell ref="M76:N76"/>
    <mergeCell ref="A84:B84"/>
    <mergeCell ref="M84:N84"/>
    <mergeCell ref="A92:B92"/>
    <mergeCell ref="M92:N92"/>
    <mergeCell ref="A100:B100"/>
    <mergeCell ref="M100:N100"/>
    <mergeCell ref="A108:B108"/>
    <mergeCell ref="M108:N108"/>
    <mergeCell ref="A116:W1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11" min="3" style="1" width="11"/>
    <col collapsed="false" customWidth="true" hidden="false" outlineLevel="0" max="12" min="12" style="1" width="3"/>
    <col collapsed="false" customWidth="true" hidden="false" outlineLevel="0" max="13" min="13" style="1" width="16"/>
    <col collapsed="false" customWidth="true" hidden="false" outlineLevel="0" max="14" min="14" style="1" width="12"/>
    <col collapsed="false" customWidth="true" hidden="false" outlineLevel="0" max="23" min="15" style="1" width="11"/>
  </cols>
  <sheetData>
    <row r="1" customFormat="false" ht="17.25" hidden="false" customHeight="true" outlineLevel="0" collapsed="false">
      <c r="A1" s="32" t="s">
        <v>128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customFormat="false" ht="27.75" hidden="false" customHeight="true" outlineLevel="0" collapsed="false">
      <c r="A2" s="15" t="s">
        <v>129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4" customFormat="false" ht="19.5" hidden="false" customHeight="true" outlineLevel="0" collapsed="false">
      <c r="A4" s="17" t="s">
        <v>130</v>
      </c>
      <c r="B4" s="17"/>
      <c r="C4" s="17"/>
      <c r="D4" s="17"/>
      <c r="E4" s="17"/>
      <c r="F4" s="17"/>
      <c r="G4" s="17"/>
      <c r="H4" s="17"/>
      <c r="I4" s="17"/>
      <c r="J4" s="17"/>
      <c r="K4" s="17"/>
      <c r="M4" s="17" t="s">
        <v>131</v>
      </c>
      <c r="N4" s="17"/>
      <c r="O4" s="17"/>
      <c r="P4" s="17"/>
      <c r="Q4" s="17"/>
      <c r="R4" s="17"/>
      <c r="S4" s="17"/>
      <c r="T4" s="17"/>
      <c r="U4" s="17"/>
      <c r="V4" s="17"/>
      <c r="W4" s="17"/>
    </row>
    <row r="6" customFormat="false" ht="15" hidden="false" customHeight="true" outlineLevel="0" collapsed="false">
      <c r="A6" s="28" t="s">
        <v>117</v>
      </c>
      <c r="B6" s="28"/>
      <c r="C6" s="12" t="s">
        <v>74</v>
      </c>
      <c r="D6" s="12" t="s">
        <v>75</v>
      </c>
      <c r="E6" s="12" t="s">
        <v>30</v>
      </c>
      <c r="F6" s="12" t="s">
        <v>76</v>
      </c>
      <c r="G6" s="12" t="s">
        <v>77</v>
      </c>
      <c r="H6" s="12" t="s">
        <v>78</v>
      </c>
      <c r="I6" s="12" t="s">
        <v>79</v>
      </c>
      <c r="J6" s="12" t="s">
        <v>80</v>
      </c>
      <c r="K6" s="12" t="s">
        <v>81</v>
      </c>
      <c r="M6" s="28" t="s">
        <v>117</v>
      </c>
      <c r="N6" s="28"/>
      <c r="O6" s="12" t="s">
        <v>74</v>
      </c>
      <c r="P6" s="12" t="s">
        <v>75</v>
      </c>
      <c r="Q6" s="12" t="s">
        <v>30</v>
      </c>
      <c r="R6" s="12" t="s">
        <v>76</v>
      </c>
      <c r="S6" s="12" t="s">
        <v>77</v>
      </c>
      <c r="T6" s="12" t="s">
        <v>78</v>
      </c>
      <c r="U6" s="12" t="s">
        <v>79</v>
      </c>
      <c r="V6" s="12" t="s">
        <v>80</v>
      </c>
      <c r="W6" s="12" t="s">
        <v>81</v>
      </c>
    </row>
    <row r="7" customFormat="false" ht="15" hidden="false" customHeight="true" outlineLevel="0" collapsed="false">
      <c r="A7" s="9" t="s">
        <v>42</v>
      </c>
      <c r="B7" s="29" t="s">
        <v>43</v>
      </c>
      <c r="C7" s="33" t="n">
        <v>12.12</v>
      </c>
      <c r="D7" s="33" t="n">
        <v>10.86</v>
      </c>
      <c r="E7" s="33" t="n">
        <v>8.58</v>
      </c>
      <c r="F7" s="33" t="n">
        <v>-5.6</v>
      </c>
      <c r="G7" s="33" t="n">
        <v>3.64</v>
      </c>
      <c r="H7" s="33" t="n">
        <v>2.16</v>
      </c>
      <c r="I7" s="33" t="n">
        <v>0.88</v>
      </c>
      <c r="J7" s="33" t="n">
        <v>0.54</v>
      </c>
      <c r="K7" s="33" t="n">
        <v>0.38</v>
      </c>
      <c r="M7" s="4" t="s">
        <v>42</v>
      </c>
      <c r="N7" s="29" t="s">
        <v>43</v>
      </c>
      <c r="O7" s="31" t="n">
        <f aca="false">1/(1+(((1/Curves!C8-1)/(0.25-0))+C7/10000)*(0.25-0))</f>
        <v>0.989001539574735</v>
      </c>
      <c r="P7" s="31" t="n">
        <f aca="false">O7/(1+(((Curves!C8/Curves!D8-1)/(0.5-0.25))+D7/10000)*(0.5-0.25))</f>
        <v>0.978137000127157</v>
      </c>
      <c r="Q7" s="31" t="n">
        <f aca="false">P7/(1+(((Curves!D8/Curves!E8-1)/(1-0.5))+E7/10000)*(1-0.5))</f>
        <v>0.956822187215235</v>
      </c>
      <c r="R7" s="31" t="n">
        <f aca="false">Q7/(1+(((Curves!E8/Curves!F8-1)/(2-1))+F7/10000)*(2-1))</f>
        <v>0.916629889722081</v>
      </c>
      <c r="S7" s="31" t="n">
        <f aca="false">R7/(1+(((Curves!F8/Curves!G8-1)/(3-2))+G7/10000)*(3-2))</f>
        <v>0.877086023839434</v>
      </c>
      <c r="T7" s="31" t="n">
        <f aca="false">S7/(1+(((Curves!G8/Curves!H8-1)/(5-3))+H7/10000)*(5-3))</f>
        <v>0.802563040161486</v>
      </c>
      <c r="U7" s="31" t="n">
        <f aca="false">T7/(1+(((Curves!H8/Curves!I8-1)/(10-5))+I7/10000)*(10-5))</f>
        <v>0.639833892055691</v>
      </c>
      <c r="V7" s="31" t="n">
        <f aca="false">U7/(1+(((Curves!I8/Curves!J8-1)/(20-10))+J7/10000)*(20-10))</f>
        <v>0.409879677134014</v>
      </c>
      <c r="W7" s="31" t="n">
        <f aca="false">V7/(1+(((Curves!J8/Curves!K8-1)/(30-20))+K7/10000)*(30-20))</f>
        <v>0.262596568436564</v>
      </c>
    </row>
    <row r="8" customFormat="false" ht="15" hidden="false" customHeight="true" outlineLevel="0" collapsed="false">
      <c r="A8" s="9" t="s">
        <v>52</v>
      </c>
      <c r="B8" s="29" t="s">
        <v>43</v>
      </c>
      <c r="C8" s="33" t="n">
        <v>9.86</v>
      </c>
      <c r="D8" s="33" t="n">
        <v>-9.57</v>
      </c>
      <c r="E8" s="33" t="n">
        <v>6.86</v>
      </c>
      <c r="F8" s="33" t="n">
        <v>4.36</v>
      </c>
      <c r="G8" s="33" t="n">
        <v>3.18</v>
      </c>
      <c r="H8" s="33" t="n">
        <v>1.68</v>
      </c>
      <c r="I8" s="33" t="n">
        <v>0.86</v>
      </c>
      <c r="J8" s="33" t="n">
        <v>0.37</v>
      </c>
      <c r="K8" s="33" t="n">
        <v>-0.18</v>
      </c>
      <c r="M8" s="4" t="s">
        <v>52</v>
      </c>
      <c r="N8" s="29" t="s">
        <v>43</v>
      </c>
      <c r="O8" s="31" t="n">
        <f aca="false">1/(1+(((1/Curves!C9-1)/(0.25-0))+C8/10000)*(0.25-0))</f>
        <v>0.992028355021421</v>
      </c>
      <c r="P8" s="31" t="n">
        <f aca="false">O8/(1+(((Curves!C9/Curves!D9-1)/(0.5-0.25))+D8/10000)*(0.5-0.25))</f>
        <v>0.984575969717307</v>
      </c>
      <c r="Q8" s="31" t="n">
        <f aca="false">P8/(1+(((Curves!D9/Curves!E9-1)/(1-0.5))+E8/10000)*(1-0.5))</f>
        <v>0.968995862002259</v>
      </c>
      <c r="R8" s="31" t="n">
        <f aca="false">Q8/(1+(((Curves!E9/Curves!F9-1)/(2-1))+F8/10000)*(2-1))</f>
        <v>0.938598648050859</v>
      </c>
      <c r="S8" s="31" t="n">
        <f aca="false">R8/(1+(((Curves!F9/Curves!G9-1)/(3-2))+G8/10000)*(3-2))</f>
        <v>0.908986135884638</v>
      </c>
      <c r="T8" s="31" t="n">
        <f aca="false">S8/(1+(((Curves!G9/Curves!H9-1)/(5-3))+H8/10000)*(5-3))</f>
        <v>0.852024699641035</v>
      </c>
      <c r="U8" s="31" t="n">
        <f aca="false">T8/(1+(((Curves!H9/Curves!I9-1)/(10-5))+I8/10000)*(10-5))</f>
        <v>0.721260608928662</v>
      </c>
      <c r="V8" s="31" t="n">
        <f aca="false">U8/(1+(((Curves!I9/Curves!J9-1)/(20-10))+J8/10000)*(20-10))</f>
        <v>0.520991717459947</v>
      </c>
      <c r="W8" s="31" t="n">
        <f aca="false">V8/(1+(((Curves!J9/Curves!K9-1)/(30-20))+K8/10000)*(30-20))</f>
        <v>0.376479215974972</v>
      </c>
    </row>
    <row r="9" customFormat="false" ht="15" hidden="false" customHeight="true" outlineLevel="0" collapsed="false">
      <c r="A9" s="9" t="s">
        <v>45</v>
      </c>
      <c r="B9" s="29" t="s">
        <v>38</v>
      </c>
      <c r="C9" s="33" t="n">
        <v>12.97</v>
      </c>
      <c r="D9" s="33" t="n">
        <v>13.61</v>
      </c>
      <c r="E9" s="33" t="n">
        <v>8.83</v>
      </c>
      <c r="F9" s="33" t="n">
        <v>-6.3</v>
      </c>
      <c r="G9" s="33" t="n">
        <v>4.46</v>
      </c>
      <c r="H9" s="33" t="n">
        <v>2.24</v>
      </c>
      <c r="I9" s="33" t="n">
        <v>1.22</v>
      </c>
      <c r="J9" s="33" t="n">
        <v>0.66</v>
      </c>
      <c r="K9" s="33" t="n">
        <v>0.37</v>
      </c>
      <c r="M9" s="4" t="s">
        <v>45</v>
      </c>
      <c r="N9" s="29" t="s">
        <v>38</v>
      </c>
      <c r="O9" s="31" t="n">
        <f aca="false">1/(1+(((1/Curves!C10-1)/(0.25-0))+C9/10000)*(0.25-0))</f>
        <v>0.989228595825373</v>
      </c>
      <c r="P9" s="31" t="n">
        <f aca="false">O9/(1+(((Curves!C10/Curves!D10-1)/(0.5-0.25))+D9/10000)*(0.5-0.25))</f>
        <v>0.978538459568385</v>
      </c>
      <c r="Q9" s="31" t="n">
        <f aca="false">P9/(1+(((Curves!D10/Curves!E10-1)/(1-0.5))+E9/10000)*(1-0.5))</f>
        <v>0.957681920165427</v>
      </c>
      <c r="R9" s="31" t="n">
        <f aca="false">Q9/(1+(((Curves!E10/Curves!F10-1)/(2-1))+F9/10000)*(2-1))</f>
        <v>0.918433878950714</v>
      </c>
      <c r="S9" s="31" t="n">
        <f aca="false">R9/(1+(((Curves!F10/Curves!G10-1)/(3-2))+G9/10000)*(3-2))</f>
        <v>0.879621655967443</v>
      </c>
      <c r="T9" s="31" t="n">
        <f aca="false">S9/(1+(((Curves!G10/Curves!H10-1)/(5-3))+H9/10000)*(5-3))</f>
        <v>0.806481752985612</v>
      </c>
      <c r="U9" s="31" t="n">
        <f aca="false">T9/(1+(((Curves!H10/Curves!I10-1)/(10-5))+I9/10000)*(10-5))</f>
        <v>0.646092890748715</v>
      </c>
      <c r="V9" s="31" t="n">
        <f aca="false">U9/(1+(((Curves!I10/Curves!J10-1)/(20-10))+J9/10000)*(20-10))</f>
        <v>0.418014760887252</v>
      </c>
      <c r="W9" s="31" t="n">
        <f aca="false">V9/(1+(((Curves!J10/Curves!K10-1)/(30-20))+K9/10000)*(30-20))</f>
        <v>0.270501575947251</v>
      </c>
    </row>
    <row r="10" customFormat="false" ht="15" hidden="false" customHeight="true" outlineLevel="0" collapsed="false">
      <c r="A10" s="9" t="s">
        <v>37</v>
      </c>
      <c r="B10" s="29" t="s">
        <v>38</v>
      </c>
      <c r="C10" s="33" t="n">
        <v>-20.65</v>
      </c>
      <c r="D10" s="33" t="n">
        <v>19.75</v>
      </c>
      <c r="E10" s="33" t="n">
        <v>16.2</v>
      </c>
      <c r="F10" s="33" t="n">
        <v>-12.65</v>
      </c>
      <c r="G10" s="33" t="n">
        <v>6.97</v>
      </c>
      <c r="H10" s="33" t="n">
        <v>4.75</v>
      </c>
      <c r="I10" s="33" t="n">
        <v>2.12</v>
      </c>
      <c r="J10" s="33" t="n">
        <v>1.25</v>
      </c>
      <c r="K10" s="33" t="n">
        <v>0.85</v>
      </c>
      <c r="M10" s="4" t="s">
        <v>37</v>
      </c>
      <c r="N10" s="29" t="s">
        <v>38</v>
      </c>
      <c r="O10" s="31" t="n">
        <f aca="false">1/(1+(((1/Curves!C11-1)/(0.25-0))+C10/10000)*(0.25-0))</f>
        <v>0.989061760302096</v>
      </c>
      <c r="P10" s="31" t="n">
        <f aca="false">O10/(1+(((Curves!C11/Curves!D11-1)/(0.5-0.25))+D10/10000)*(0.5-0.25))</f>
        <v>0.977247989141905</v>
      </c>
      <c r="Q10" s="31" t="n">
        <f aca="false">P10/(1+(((Curves!D11/Curves!E11-1)/(1-0.5))+E10/10000)*(1-0.5))</f>
        <v>0.954165270979805</v>
      </c>
      <c r="R10" s="31" t="n">
        <f aca="false">Q10/(1+(((Curves!E11/Curves!F11-1)/(2-1))+F10/10000)*(2-1))</f>
        <v>0.911958840521768</v>
      </c>
      <c r="S10" s="31" t="n">
        <f aca="false">R10/(1+(((Curves!F11/Curves!G11-1)/(3-2))+G10/10000)*(3-2))</f>
        <v>0.869728019587885</v>
      </c>
      <c r="T10" s="31" t="n">
        <f aca="false">S10/(1+(((Curves!G11/Curves!H11-1)/(5-3))+H10/10000)*(5-3))</f>
        <v>0.790698176379679</v>
      </c>
      <c r="U10" s="31" t="n">
        <f aca="false">T10/(1+(((Curves!H11/Curves!I11-1)/(10-5))+I10/10000)*(10-5))</f>
        <v>0.620691011524575</v>
      </c>
      <c r="V10" s="31" t="n">
        <f aca="false">U10/(1+(((Curves!I11/Curves!J11-1)/(20-10))+J10/10000)*(20-10))</f>
        <v>0.385698651093847</v>
      </c>
      <c r="W10" s="31" t="n">
        <f aca="false">V10/(1+(((Curves!J11/Curves!K11-1)/(30-20))+K10/10000)*(30-20))</f>
        <v>0.239733056792426</v>
      </c>
    </row>
    <row r="11" customFormat="false" ht="15" hidden="false" customHeight="true" outlineLevel="0" collapsed="false">
      <c r="A11" s="9" t="s">
        <v>40</v>
      </c>
      <c r="B11" s="29" t="s">
        <v>38</v>
      </c>
      <c r="C11" s="33" t="n">
        <v>-19.24</v>
      </c>
      <c r="D11" s="33" t="n">
        <v>-15.73</v>
      </c>
      <c r="E11" s="33" t="n">
        <v>-13.57</v>
      </c>
      <c r="F11" s="33" t="n">
        <v>9.42</v>
      </c>
      <c r="G11" s="33" t="n">
        <v>-4.93</v>
      </c>
      <c r="H11" s="33" t="n">
        <v>2.98</v>
      </c>
      <c r="I11" s="33" t="n">
        <v>1.77</v>
      </c>
      <c r="J11" s="33" t="n">
        <v>0.85</v>
      </c>
      <c r="K11" s="33" t="n">
        <v>0.63</v>
      </c>
      <c r="M11" s="4" t="s">
        <v>40</v>
      </c>
      <c r="N11" s="29" t="s">
        <v>38</v>
      </c>
      <c r="O11" s="31" t="n">
        <f aca="false">1/(1+(((1/Curves!C12-1)/(0.25-0))+C11/10000)*(0.25-0))</f>
        <v>0.992248345896664</v>
      </c>
      <c r="P11" s="31" t="n">
        <f aca="false">O11/(1+(((Curves!C12/Curves!D12-1)/(0.5-0.25))+D11/10000)*(0.5-0.25))</f>
        <v>0.984451386895781</v>
      </c>
      <c r="Q11" s="31" t="n">
        <f aca="false">P11/(1+(((Curves!D12/Curves!E12-1)/(1-0.5))+E11/10000)*(1-0.5))</f>
        <v>0.968878880918249</v>
      </c>
      <c r="R11" s="31" t="n">
        <f aca="false">Q11/(1+(((Curves!E12/Curves!F12-1)/(2-1))+F11/10000)*(2-1))</f>
        <v>0.936153154252632</v>
      </c>
      <c r="S11" s="31" t="n">
        <f aca="false">R11/(1+(((Curves!F12/Curves!G12-1)/(3-2))+G11/10000)*(3-2))</f>
        <v>0.905517373450231</v>
      </c>
      <c r="T11" s="31" t="n">
        <f aca="false">S11/(1+(((Curves!G12/Curves!H12-1)/(5-3))+H11/10000)*(5-3))</f>
        <v>0.845180075592341</v>
      </c>
      <c r="U11" s="31" t="n">
        <f aca="false">T11/(1+(((Curves!H12/Curves!I12-1)/(10-5))+I11/10000)*(10-5))</f>
        <v>0.708080341760849</v>
      </c>
      <c r="V11" s="31" t="n">
        <f aca="false">U11/(1+(((Curves!I12/Curves!J12-1)/(20-10))+J11/10000)*(20-10))</f>
        <v>0.501175389827752</v>
      </c>
      <c r="W11" s="31" t="n">
        <f aca="false">V11/(1+(((Curves!J12/Curves!K12-1)/(30-20))+K11/10000)*(30-20))</f>
        <v>0.35478398303548</v>
      </c>
    </row>
    <row r="12" customFormat="false" ht="15" hidden="false" customHeight="true" outlineLevel="0" collapsed="false">
      <c r="A12" s="9" t="s">
        <v>49</v>
      </c>
      <c r="B12" s="29" t="s">
        <v>50</v>
      </c>
      <c r="C12" s="33" t="n">
        <v>7.83</v>
      </c>
      <c r="D12" s="33" t="n">
        <v>6.65</v>
      </c>
      <c r="E12" s="33" t="n">
        <v>6.3</v>
      </c>
      <c r="F12" s="33" t="n">
        <v>4.58</v>
      </c>
      <c r="G12" s="33" t="n">
        <v>2.79</v>
      </c>
      <c r="H12" s="33" t="n">
        <v>1.86</v>
      </c>
      <c r="I12" s="33" t="n">
        <v>0.96</v>
      </c>
      <c r="J12" s="33" t="n">
        <v>0.56</v>
      </c>
      <c r="K12" s="33" t="n">
        <v>0.35</v>
      </c>
      <c r="M12" s="4" t="s">
        <v>49</v>
      </c>
      <c r="N12" s="29" t="s">
        <v>50</v>
      </c>
      <c r="O12" s="31" t="n">
        <f aca="false">1/(1+(((1/Curves!C13-1)/(0.25-0))+C12/10000)*(0.25-0))</f>
        <v>0.989849166711078</v>
      </c>
      <c r="P12" s="31" t="n">
        <f aca="false">O12/(1+(((Curves!C13/Curves!D13-1)/(0.5-0.25))+D12/10000)*(0.5-0.25))</f>
        <v>0.979810812760724</v>
      </c>
      <c r="Q12" s="31" t="n">
        <f aca="false">P12/(1+(((Curves!D13/Curves!E13-1)/(1-0.5))+E12/10000)*(1-0.5))</f>
        <v>0.960004425633023</v>
      </c>
      <c r="R12" s="31" t="n">
        <f aca="false">Q12/(1+(((Curves!E13/Curves!F13-1)/(2-1))+F12/10000)*(2-1))</f>
        <v>0.921542484505385</v>
      </c>
      <c r="S12" s="31" t="n">
        <f aca="false">R12/(1+(((Curves!F13/Curves!G13-1)/(3-2))+G12/10000)*(3-2))</f>
        <v>0.884507311431639</v>
      </c>
      <c r="T12" s="31" t="n">
        <f aca="false">S12/(1+(((Curves!G13/Curves!H13-1)/(5-3))+H12/10000)*(5-3))</f>
        <v>0.814266599530299</v>
      </c>
      <c r="U12" s="31" t="n">
        <f aca="false">T12/(1+(((Curves!H13/Curves!I13-1)/(10-5))+I12/10000)*(10-5))</f>
        <v>0.658951020527677</v>
      </c>
      <c r="V12" s="31" t="n">
        <f aca="false">U12/(1+(((Curves!I13/Curves!J13-1)/(20-10))+J12/10000)*(20-10))</f>
        <v>0.434970953003884</v>
      </c>
      <c r="W12" s="31" t="n">
        <f aca="false">V12/(1+(((Curves!J13/Curves!K13-1)/(30-20))+K12/10000)*(30-20))</f>
        <v>0.287162752588221</v>
      </c>
    </row>
    <row r="14" customFormat="false" ht="15" hidden="false" customHeight="true" outlineLevel="0" collapsed="false">
      <c r="A14" s="28" t="s">
        <v>118</v>
      </c>
      <c r="B14" s="28"/>
      <c r="C14" s="12" t="s">
        <v>74</v>
      </c>
      <c r="D14" s="12" t="s">
        <v>75</v>
      </c>
      <c r="E14" s="12" t="s">
        <v>30</v>
      </c>
      <c r="F14" s="12" t="s">
        <v>76</v>
      </c>
      <c r="G14" s="12" t="s">
        <v>77</v>
      </c>
      <c r="H14" s="12" t="s">
        <v>78</v>
      </c>
      <c r="I14" s="12" t="s">
        <v>79</v>
      </c>
      <c r="J14" s="12" t="s">
        <v>80</v>
      </c>
      <c r="K14" s="12" t="s">
        <v>81</v>
      </c>
      <c r="M14" s="28" t="s">
        <v>118</v>
      </c>
      <c r="N14" s="28"/>
      <c r="O14" s="12" t="s">
        <v>74</v>
      </c>
      <c r="P14" s="12" t="s">
        <v>75</v>
      </c>
      <c r="Q14" s="12" t="s">
        <v>30</v>
      </c>
      <c r="R14" s="12" t="s">
        <v>76</v>
      </c>
      <c r="S14" s="12" t="s">
        <v>77</v>
      </c>
      <c r="T14" s="12" t="s">
        <v>78</v>
      </c>
      <c r="U14" s="12" t="s">
        <v>79</v>
      </c>
      <c r="V14" s="12" t="s">
        <v>80</v>
      </c>
      <c r="W14" s="12" t="s">
        <v>81</v>
      </c>
    </row>
    <row r="15" customFormat="false" ht="15" hidden="false" customHeight="true" outlineLevel="0" collapsed="false">
      <c r="A15" s="9" t="s">
        <v>42</v>
      </c>
      <c r="B15" s="29" t="s">
        <v>43</v>
      </c>
      <c r="C15" s="33" t="n">
        <v>13.1</v>
      </c>
      <c r="D15" s="33" t="n">
        <v>12.55</v>
      </c>
      <c r="E15" s="33" t="n">
        <v>10.02</v>
      </c>
      <c r="F15" s="33" t="n">
        <v>-7.49</v>
      </c>
      <c r="G15" s="33" t="n">
        <v>5.08</v>
      </c>
      <c r="H15" s="33" t="n">
        <v>2.25</v>
      </c>
      <c r="I15" s="33" t="n">
        <v>1.11</v>
      </c>
      <c r="J15" s="33" t="n">
        <v>0.65</v>
      </c>
      <c r="K15" s="33" t="n">
        <v>0.44</v>
      </c>
      <c r="M15" s="4" t="s">
        <v>42</v>
      </c>
      <c r="N15" s="29" t="s">
        <v>43</v>
      </c>
      <c r="O15" s="31" t="n">
        <f aca="false">1/(1+(((1/Curves!C8-1)/(0.25-0))+C15/10000)*(0.25-0))</f>
        <v>0.988977576116273</v>
      </c>
      <c r="P15" s="31" t="n">
        <f aca="false">O15/(1+(((Curves!C8/Curves!D8-1)/(0.5-0.25))+D15/10000)*(0.5-0.25))</f>
        <v>0.978072430310016</v>
      </c>
      <c r="Q15" s="31" t="n">
        <f aca="false">P15/(1+(((Curves!D8/Curves!E8-1)/(1-0.5))+E15/10000)*(1-0.5))</f>
        <v>0.95669164367522</v>
      </c>
      <c r="R15" s="31" t="n">
        <f aca="false">Q15/(1+(((Curves!E8/Curves!F8-1)/(2-1))+F15/10000)*(2-1))</f>
        <v>0.916670803002334</v>
      </c>
      <c r="S15" s="31" t="n">
        <f aca="false">R15/(1+(((Curves!F8/Curves!G8-1)/(3-2))+G15/10000)*(3-2))</f>
        <v>0.877004331630391</v>
      </c>
      <c r="T15" s="31" t="n">
        <f aca="false">S15/(1+(((Curves!G8/Curves!H8-1)/(5-3))+H15/10000)*(5-3))</f>
        <v>0.80247507181112</v>
      </c>
      <c r="U15" s="31" t="n">
        <f aca="false">T15/(1+(((Curves!H8/Curves!I8-1)/(10-5))+I15/10000)*(10-5))</f>
        <v>0.639705110635353</v>
      </c>
      <c r="V15" s="31" t="n">
        <f aca="false">U15/(1+(((Curves!I8/Curves!J8-1)/(20-10))+J15/10000)*(20-10))</f>
        <v>0.409768304456027</v>
      </c>
      <c r="W15" s="31" t="n">
        <f aca="false">V15/(1+(((Curves!J8/Curves!K8-1)/(30-20))+K15/10000)*(30-20))</f>
        <v>0.262515124492961</v>
      </c>
    </row>
    <row r="16" customFormat="false" ht="15" hidden="false" customHeight="true" outlineLevel="0" collapsed="false">
      <c r="A16" s="9" t="s">
        <v>52</v>
      </c>
      <c r="B16" s="29" t="s">
        <v>43</v>
      </c>
      <c r="C16" s="33" t="n">
        <v>11.68</v>
      </c>
      <c r="D16" s="33" t="n">
        <v>11.38</v>
      </c>
      <c r="E16" s="33" t="n">
        <v>8.82</v>
      </c>
      <c r="F16" s="33" t="n">
        <v>-5.37</v>
      </c>
      <c r="G16" s="33" t="n">
        <v>3.66</v>
      </c>
      <c r="H16" s="33" t="n">
        <v>-1.82</v>
      </c>
      <c r="I16" s="33" t="n">
        <v>0.94</v>
      </c>
      <c r="J16" s="33" t="n">
        <v>0.47</v>
      </c>
      <c r="K16" s="33" t="n">
        <v>0.25</v>
      </c>
      <c r="M16" s="4" t="s">
        <v>52</v>
      </c>
      <c r="N16" s="29" t="s">
        <v>43</v>
      </c>
      <c r="O16" s="31" t="n">
        <f aca="false">1/(1+(((1/Curves!C9-1)/(0.25-0))+C16/10000)*(0.25-0))</f>
        <v>0.991983579570763</v>
      </c>
      <c r="P16" s="31" t="n">
        <f aca="false">O16/(1+(((Curves!C9/Curves!D9-1)/(0.5-0.25))+D16/10000)*(0.5-0.25))</f>
        <v>0.984020021823117</v>
      </c>
      <c r="Q16" s="31" t="n">
        <f aca="false">P16/(1+(((Curves!D9/Curves!E9-1)/(1-0.5))+E16/10000)*(1-0.5))</f>
        <v>0.968355314403056</v>
      </c>
      <c r="R16" s="31" t="n">
        <f aca="false">Q16/(1+(((Curves!E9/Curves!F9-1)/(2-1))+F16/10000)*(2-1))</f>
        <v>0.938863051304923</v>
      </c>
      <c r="S16" s="31" t="n">
        <f aca="false">R16/(1+(((Curves!F9/Curves!G9-1)/(3-2))+G16/10000)*(3-2))</f>
        <v>0.909199932576374</v>
      </c>
      <c r="T16" s="31" t="n">
        <f aca="false">S16/(1+(((Curves!G9/Curves!H9-1)/(5-3))+H16/10000)*(5-3))</f>
        <v>0.852784640347197</v>
      </c>
      <c r="U16" s="31" t="n">
        <f aca="false">T16/(1+(((Curves!H9/Curves!I9-1)/(10-5))+I16/10000)*(10-5))</f>
        <v>0.721879474517328</v>
      </c>
      <c r="V16" s="31" t="n">
        <f aca="false">U16/(1+(((Curves!I9/Curves!J9-1)/(20-10))+J16/10000)*(20-10))</f>
        <v>0.52140108305913</v>
      </c>
      <c r="W16" s="31" t="n">
        <f aca="false">V16/(1+(((Curves!J9/Curves!K9-1)/(30-20))+K16/10000)*(30-20))</f>
        <v>0.376657994172362</v>
      </c>
    </row>
    <row r="17" customFormat="false" ht="15" hidden="false" customHeight="true" outlineLevel="0" collapsed="false">
      <c r="A17" s="9" t="s">
        <v>45</v>
      </c>
      <c r="B17" s="29" t="s">
        <v>38</v>
      </c>
      <c r="C17" s="33" t="n">
        <v>-16.81</v>
      </c>
      <c r="D17" s="33" t="n">
        <v>14.57</v>
      </c>
      <c r="E17" s="33" t="n">
        <v>11.02</v>
      </c>
      <c r="F17" s="33" t="n">
        <v>8.02</v>
      </c>
      <c r="G17" s="33" t="n">
        <v>4.9</v>
      </c>
      <c r="H17" s="33" t="n">
        <v>2.51</v>
      </c>
      <c r="I17" s="33" t="n">
        <v>1.29</v>
      </c>
      <c r="J17" s="33" t="n">
        <v>0.66</v>
      </c>
      <c r="K17" s="33" t="n">
        <v>0.46</v>
      </c>
      <c r="M17" s="4" t="s">
        <v>45</v>
      </c>
      <c r="N17" s="29" t="s">
        <v>38</v>
      </c>
      <c r="O17" s="31" t="n">
        <f aca="false">1/(1+(((1/Curves!C10-1)/(0.25-0))+C17/10000)*(0.25-0))</f>
        <v>0.989957680540604</v>
      </c>
      <c r="P17" s="31" t="n">
        <f aca="false">O17/(1+(((Curves!C10/Curves!D10-1)/(0.5-0.25))+D17/10000)*(0.5-0.25))</f>
        <v>0.979236417699754</v>
      </c>
      <c r="Q17" s="31" t="n">
        <f aca="false">P17/(1+(((Curves!D10/Curves!E10-1)/(1-0.5))+E17/10000)*(1-0.5))</f>
        <v>0.958262308784257</v>
      </c>
      <c r="R17" s="31" t="n">
        <f aca="false">Q17/(1+(((Curves!E10/Curves!F10-1)/(2-1))+F17/10000)*(2-1))</f>
        <v>0.917730150870103</v>
      </c>
      <c r="S17" s="31" t="n">
        <f aca="false">R17/(1+(((Curves!F10/Curves!G10-1)/(3-2))+G17/10000)*(3-2))</f>
        <v>0.878910629008623</v>
      </c>
      <c r="T17" s="31" t="n">
        <f aca="false">S17/(1+(((Curves!G10/Curves!H10-1)/(5-3))+H17/10000)*(5-3))</f>
        <v>0.805789952791405</v>
      </c>
      <c r="U17" s="31" t="n">
        <f aca="false">T17/(1+(((Curves!H10/Curves!I10-1)/(10-5))+I17/10000)*(10-5))</f>
        <v>0.645520572150774</v>
      </c>
      <c r="V17" s="31" t="n">
        <f aca="false">U17/(1+(((Curves!I10/Curves!J10-1)/(20-10))+J17/10000)*(20-10))</f>
        <v>0.417644477255757</v>
      </c>
      <c r="W17" s="31" t="n">
        <f aca="false">V17/(1+(((Curves!J10/Curves!K10-1)/(30-20))+K17/10000)*(30-20))</f>
        <v>0.270246222551934</v>
      </c>
    </row>
    <row r="18" customFormat="false" ht="15" hidden="false" customHeight="true" outlineLevel="0" collapsed="false">
      <c r="A18" s="9" t="s">
        <v>37</v>
      </c>
      <c r="B18" s="29" t="s">
        <v>38</v>
      </c>
      <c r="C18" s="33" t="n">
        <v>27.49</v>
      </c>
      <c r="D18" s="33" t="n">
        <v>21.95</v>
      </c>
      <c r="E18" s="33" t="n">
        <v>18.27</v>
      </c>
      <c r="F18" s="33" t="n">
        <v>14.01</v>
      </c>
      <c r="G18" s="33" t="n">
        <v>9.77</v>
      </c>
      <c r="H18" s="33" t="n">
        <v>5.46</v>
      </c>
      <c r="I18" s="33" t="n">
        <v>2.33</v>
      </c>
      <c r="J18" s="33" t="n">
        <v>1.41</v>
      </c>
      <c r="K18" s="33" t="n">
        <v>1.01</v>
      </c>
      <c r="M18" s="4" t="s">
        <v>37</v>
      </c>
      <c r="N18" s="29" t="s">
        <v>38</v>
      </c>
      <c r="O18" s="31" t="n">
        <f aca="false">1/(1+(((1/Curves!C11-1)/(0.25-0))+C18/10000)*(0.25-0))</f>
        <v>0.987885844387031</v>
      </c>
      <c r="P18" s="31" t="n">
        <f aca="false">O18/(1+(((Curves!C11/Curves!D11-1)/(0.5-0.25))+D18/10000)*(0.5-0.25))</f>
        <v>0.976033078241904</v>
      </c>
      <c r="Q18" s="31" t="n">
        <f aca="false">P18/(1+(((Curves!D11/Curves!E11-1)/(1-0.5))+E18/10000)*(1-0.5))</f>
        <v>0.952882762555419</v>
      </c>
      <c r="R18" s="31" t="n">
        <f aca="false">Q18/(1+(((Curves!E11/Curves!F11-1)/(2-1))+F18/10000)*(2-1))</f>
        <v>0.908418346629097</v>
      </c>
      <c r="S18" s="31" t="n">
        <f aca="false">R18/(1+(((Curves!F11/Curves!G11-1)/(3-2))+G18/10000)*(3-2))</f>
        <v>0.866120194852883</v>
      </c>
      <c r="T18" s="31" t="n">
        <f aca="false">S18/(1+(((Curves!G11/Curves!H11-1)/(5-3))+H18/10000)*(5-3))</f>
        <v>0.787316544883608</v>
      </c>
      <c r="U18" s="31" t="n">
        <f aca="false">T18/(1+(((Curves!H11/Curves!I11-1)/(10-5))+I18/10000)*(10-5))</f>
        <v>0.617985524103318</v>
      </c>
      <c r="V18" s="31" t="n">
        <f aca="false">U18/(1+(((Curves!I11/Curves!J11-1)/(20-10))+J18/10000)*(20-10))</f>
        <v>0.383979278853071</v>
      </c>
      <c r="W18" s="31" t="n">
        <f aca="false">V18/(1+(((Curves!J11/Curves!K11-1)/(30-20))+K18/10000)*(30-20))</f>
        <v>0.23864063925392</v>
      </c>
    </row>
    <row r="19" customFormat="false" ht="15" hidden="false" customHeight="true" outlineLevel="0" collapsed="false">
      <c r="A19" s="9" t="s">
        <v>40</v>
      </c>
      <c r="B19" s="29" t="s">
        <v>38</v>
      </c>
      <c r="C19" s="33" t="n">
        <v>19.01</v>
      </c>
      <c r="D19" s="33" t="n">
        <v>17.11</v>
      </c>
      <c r="E19" s="33" t="n">
        <v>15.88</v>
      </c>
      <c r="F19" s="33" t="n">
        <v>10.29</v>
      </c>
      <c r="G19" s="33" t="n">
        <v>6.32</v>
      </c>
      <c r="H19" s="33" t="n">
        <v>3.68</v>
      </c>
      <c r="I19" s="33" t="n">
        <v>1.94</v>
      </c>
      <c r="J19" s="33" t="n">
        <v>0.9</v>
      </c>
      <c r="K19" s="33" t="n">
        <v>0.69</v>
      </c>
      <c r="M19" s="4" t="s">
        <v>40</v>
      </c>
      <c r="N19" s="29" t="s">
        <v>38</v>
      </c>
      <c r="O19" s="31" t="n">
        <f aca="false">1/(1+(((1/Curves!C12-1)/(0.25-0))+C19/10000)*(0.25-0))</f>
        <v>0.991307755942854</v>
      </c>
      <c r="P19" s="31" t="n">
        <f aca="false">O19/(1+(((Curves!C12/Curves!D12-1)/(0.5-0.25))+D19/10000)*(0.5-0.25))</f>
        <v>0.982717716549009</v>
      </c>
      <c r="Q19" s="31" t="n">
        <f aca="false">P19/(1+(((Curves!D12/Curves!E12-1)/(1-0.5))+E19/10000)*(1-0.5))</f>
        <v>0.965773029228864</v>
      </c>
      <c r="R19" s="31" t="n">
        <f aca="false">Q19/(1+(((Curves!E12/Curves!F12-1)/(2-1))+F19/10000)*(2-1))</f>
        <v>0.933073773113691</v>
      </c>
      <c r="S19" s="31" t="n">
        <f aca="false">R19/(1+(((Curves!F12/Curves!G12-1)/(3-2))+G19/10000)*(3-2))</f>
        <v>0.90155770478981</v>
      </c>
      <c r="T19" s="31" t="n">
        <f aca="false">S19/(1+(((Curves!G12/Curves!H12-1)/(5-3))+H19/10000)*(5-3))</f>
        <v>0.841374307805961</v>
      </c>
      <c r="U19" s="31" t="n">
        <f aca="false">T19/(1+(((Curves!H12/Curves!I12-1)/(10-5))+I19/10000)*(10-5))</f>
        <v>0.704841728331002</v>
      </c>
      <c r="V19" s="31" t="n">
        <f aca="false">U19/(1+(((Curves!I12/Curves!J12-1)/(20-10))+J19/10000)*(20-10))</f>
        <v>0.498865462258285</v>
      </c>
      <c r="W19" s="31" t="n">
        <f aca="false">V19/(1+(((Curves!J12/Curves!K12-1)/(30-20))+K19/10000)*(30-20))</f>
        <v>0.353133777353218</v>
      </c>
    </row>
    <row r="20" customFormat="false" ht="15" hidden="false" customHeight="true" outlineLevel="0" collapsed="false">
      <c r="A20" s="9" t="s">
        <v>49</v>
      </c>
      <c r="B20" s="29" t="s">
        <v>50</v>
      </c>
      <c r="C20" s="33" t="n">
        <v>8.38</v>
      </c>
      <c r="D20" s="33" t="n">
        <v>8.31</v>
      </c>
      <c r="E20" s="33" t="n">
        <v>7.3</v>
      </c>
      <c r="F20" s="33" t="n">
        <v>4.77</v>
      </c>
      <c r="G20" s="33" t="n">
        <v>3.29</v>
      </c>
      <c r="H20" s="33" t="n">
        <v>1.88</v>
      </c>
      <c r="I20" s="33" t="n">
        <v>-1.15</v>
      </c>
      <c r="J20" s="33" t="n">
        <v>0.63</v>
      </c>
      <c r="K20" s="33" t="n">
        <v>0.43</v>
      </c>
      <c r="M20" s="4" t="s">
        <v>49</v>
      </c>
      <c r="N20" s="29" t="s">
        <v>50</v>
      </c>
      <c r="O20" s="31" t="n">
        <f aca="false">1/(1+(((1/Curves!C13-1)/(0.25-0))+C20/10000)*(0.25-0))</f>
        <v>0.989835694625562</v>
      </c>
      <c r="P20" s="31" t="n">
        <f aca="false">O20/(1+(((Curves!C13/Curves!D13-1)/(0.5-0.25))+D20/10000)*(0.5-0.25))</f>
        <v>0.979757229718947</v>
      </c>
      <c r="Q20" s="31" t="n">
        <f aca="false">P20/(1+(((Curves!D13/Curves!E13-1)/(1-0.5))+E20/10000)*(1-0.5))</f>
        <v>0.959904900700641</v>
      </c>
      <c r="R20" s="31" t="n">
        <f aca="false">Q20/(1+(((Curves!E13/Curves!F13-1)/(2-1))+F20/10000)*(2-1))</f>
        <v>0.921430141214053</v>
      </c>
      <c r="S20" s="31" t="n">
        <f aca="false">R20/(1+(((Curves!F13/Curves!G13-1)/(3-2))+G20/10000)*(3-2))</f>
        <v>0.884357042205435</v>
      </c>
      <c r="T20" s="31" t="n">
        <f aca="false">S20/(1+(((Curves!G13/Curves!H13-1)/(5-3))+H20/10000)*(5-3))</f>
        <v>0.814125265625801</v>
      </c>
      <c r="U20" s="31" t="n">
        <f aca="false">T20/(1+(((Curves!H13/Curves!I13-1)/(10-5))+I20/10000)*(10-5))</f>
        <v>0.65939961819062</v>
      </c>
      <c r="V20" s="31" t="n">
        <f aca="false">U20/(1+(((Curves!I13/Curves!J13-1)/(20-10))+J20/10000)*(20-10))</f>
        <v>0.435246959205218</v>
      </c>
      <c r="W20" s="31" t="n">
        <f aca="false">V20/(1+(((Curves!J13/Curves!K13-1)/(30-20))+K20/10000)*(30-20))</f>
        <v>0.287329793322451</v>
      </c>
    </row>
    <row r="22" customFormat="false" ht="15" hidden="false" customHeight="true" outlineLevel="0" collapsed="false">
      <c r="A22" s="28" t="s">
        <v>119</v>
      </c>
      <c r="B22" s="28"/>
      <c r="C22" s="12" t="s">
        <v>74</v>
      </c>
      <c r="D22" s="12" t="s">
        <v>75</v>
      </c>
      <c r="E22" s="12" t="s">
        <v>30</v>
      </c>
      <c r="F22" s="12" t="s">
        <v>76</v>
      </c>
      <c r="G22" s="12" t="s">
        <v>77</v>
      </c>
      <c r="H22" s="12" t="s">
        <v>78</v>
      </c>
      <c r="I22" s="12" t="s">
        <v>79</v>
      </c>
      <c r="J22" s="12" t="s">
        <v>80</v>
      </c>
      <c r="K22" s="12" t="s">
        <v>81</v>
      </c>
      <c r="M22" s="28" t="s">
        <v>119</v>
      </c>
      <c r="N22" s="28"/>
      <c r="O22" s="12" t="s">
        <v>74</v>
      </c>
      <c r="P22" s="12" t="s">
        <v>75</v>
      </c>
      <c r="Q22" s="12" t="s">
        <v>30</v>
      </c>
      <c r="R22" s="12" t="s">
        <v>76</v>
      </c>
      <c r="S22" s="12" t="s">
        <v>77</v>
      </c>
      <c r="T22" s="12" t="s">
        <v>78</v>
      </c>
      <c r="U22" s="12" t="s">
        <v>79</v>
      </c>
      <c r="V22" s="12" t="s">
        <v>80</v>
      </c>
      <c r="W22" s="12" t="s">
        <v>81</v>
      </c>
    </row>
    <row r="23" customFormat="false" ht="15" hidden="false" customHeight="true" outlineLevel="0" collapsed="false">
      <c r="A23" s="9" t="s">
        <v>42</v>
      </c>
      <c r="B23" s="29" t="s">
        <v>43</v>
      </c>
      <c r="C23" s="33" t="n">
        <v>14.57</v>
      </c>
      <c r="D23" s="33" t="n">
        <v>-14.93</v>
      </c>
      <c r="E23" s="33" t="n">
        <v>11</v>
      </c>
      <c r="F23" s="33" t="n">
        <v>8.22</v>
      </c>
      <c r="G23" s="33" t="n">
        <v>-5.24</v>
      </c>
      <c r="H23" s="33" t="n">
        <v>2.7</v>
      </c>
      <c r="I23" s="33" t="n">
        <v>-1.3</v>
      </c>
      <c r="J23" s="33" t="n">
        <v>-0.83</v>
      </c>
      <c r="K23" s="33" t="n">
        <v>0.48</v>
      </c>
      <c r="M23" s="4" t="s">
        <v>42</v>
      </c>
      <c r="N23" s="29" t="s">
        <v>43</v>
      </c>
      <c r="O23" s="31" t="n">
        <f aca="false">1/(1+(((1/Curves!C8-1)/(0.25-0))+C23/10000)*(0.25-0))</f>
        <v>0.988941633105877</v>
      </c>
      <c r="P23" s="31" t="n">
        <f aca="false">O23/(1+(((Curves!C8/Curves!D8-1)/(0.5-0.25))+D23/10000)*(0.5-0.25))</f>
        <v>0.978701837801479</v>
      </c>
      <c r="Q23" s="31" t="n">
        <f aca="false">P23/(1+(((Curves!D8/Curves!E8-1)/(1-0.5))+E23/10000)*(1-0.5))</f>
        <v>0.957261411797292</v>
      </c>
      <c r="R23" s="31" t="n">
        <f aca="false">Q23/(1+(((Curves!E8/Curves!F8-1)/(2-1))+F23/10000)*(2-1))</f>
        <v>0.915838142448083</v>
      </c>
      <c r="S23" s="31" t="n">
        <f aca="false">R23/(1+(((Curves!F8/Curves!G8-1)/(3-2))+G23/10000)*(3-2))</f>
        <v>0.877073674753391</v>
      </c>
      <c r="T23" s="31" t="n">
        <f aca="false">S23/(1+(((Curves!G8/Curves!H8-1)/(5-3))+H23/10000)*(5-3))</f>
        <v>0.802472437110582</v>
      </c>
      <c r="U23" s="31" t="n">
        <f aca="false">T23/(1+(((Curves!H8/Curves!I8-1)/(10-5))+I23/10000)*(10-5))</f>
        <v>0.640318089611123</v>
      </c>
      <c r="V23" s="31" t="n">
        <f aca="false">U23/(1+(((Curves!I8/Curves!J8-1)/(20-10))+J23/10000)*(20-10))</f>
        <v>0.410550165357369</v>
      </c>
      <c r="W23" s="31" t="n">
        <f aca="false">V23/(1+(((Curves!J8/Curves!K8-1)/(30-20))+K23/10000)*(30-20))</f>
        <v>0.263009278269895</v>
      </c>
    </row>
    <row r="24" customFormat="false" ht="15" hidden="false" customHeight="true" outlineLevel="0" collapsed="false">
      <c r="A24" s="9" t="s">
        <v>52</v>
      </c>
      <c r="B24" s="29" t="s">
        <v>43</v>
      </c>
      <c r="C24" s="33" t="n">
        <v>12.53</v>
      </c>
      <c r="D24" s="33" t="n">
        <v>11.15</v>
      </c>
      <c r="E24" s="33" t="n">
        <v>9.15</v>
      </c>
      <c r="F24" s="33" t="n">
        <v>6.46</v>
      </c>
      <c r="G24" s="33" t="n">
        <v>4.04</v>
      </c>
      <c r="H24" s="33" t="n">
        <v>-2.11</v>
      </c>
      <c r="I24" s="33" t="n">
        <v>-0.99</v>
      </c>
      <c r="J24" s="33" t="n">
        <v>-0.56</v>
      </c>
      <c r="K24" s="33" t="n">
        <v>-0.24</v>
      </c>
      <c r="M24" s="4" t="s">
        <v>52</v>
      </c>
      <c r="N24" s="29" t="s">
        <v>43</v>
      </c>
      <c r="O24" s="31" t="n">
        <f aca="false">1/(1+(((1/Curves!C9-1)/(0.25-0))+C24/10000)*(0.25-0))</f>
        <v>0.991962669343823</v>
      </c>
      <c r="P24" s="31" t="n">
        <f aca="false">O24/(1+(((Curves!C9/Curves!D9-1)/(0.5-0.25))+D24/10000)*(0.5-0.25))</f>
        <v>0.984004892067629</v>
      </c>
      <c r="Q24" s="31" t="n">
        <f aca="false">P24/(1+(((Curves!D9/Curves!E9-1)/(1-0.5))+E24/10000)*(1-0.5))</f>
        <v>0.968324702487041</v>
      </c>
      <c r="R24" s="31" t="n">
        <f aca="false">Q24/(1+(((Curves!E9/Curves!F9-1)/(2-1))+F24/10000)*(2-1))</f>
        <v>0.937757791173642</v>
      </c>
      <c r="S24" s="31" t="n">
        <f aca="false">R24/(1+(((Curves!F9/Curves!G9-1)/(3-2))+G24/10000)*(3-2))</f>
        <v>0.908096175438743</v>
      </c>
      <c r="T24" s="31" t="n">
        <f aca="false">S24/(1+(((Curves!G9/Curves!H9-1)/(5-3))+H24/10000)*(5-3))</f>
        <v>0.851795709309954</v>
      </c>
      <c r="U24" s="31" t="n">
        <f aca="false">T24/(1+(((Curves!H9/Curves!I9-1)/(10-5))+I24/10000)*(10-5))</f>
        <v>0.72163182652285</v>
      </c>
      <c r="V24" s="31" t="n">
        <f aca="false">U24/(1+(((Curves!I9/Curves!J9-1)/(20-10))+J24/10000)*(20-10))</f>
        <v>0.521610263779674</v>
      </c>
      <c r="W24" s="31" t="n">
        <f aca="false">V24/(1+(((Curves!J9/Curves!K9-1)/(30-20))+K24/10000)*(30-20))</f>
        <v>0.376942533312215</v>
      </c>
    </row>
    <row r="25" customFormat="false" ht="15" hidden="false" customHeight="true" outlineLevel="0" collapsed="false">
      <c r="A25" s="9" t="s">
        <v>45</v>
      </c>
      <c r="B25" s="29" t="s">
        <v>38</v>
      </c>
      <c r="C25" s="33" t="n">
        <v>17.96</v>
      </c>
      <c r="D25" s="33" t="n">
        <v>18.23</v>
      </c>
      <c r="E25" s="33" t="n">
        <v>14.38</v>
      </c>
      <c r="F25" s="33" t="n">
        <v>9.02</v>
      </c>
      <c r="G25" s="33" t="n">
        <v>6.28</v>
      </c>
      <c r="H25" s="33" t="n">
        <v>3.35</v>
      </c>
      <c r="I25" s="33" t="n">
        <v>1.44</v>
      </c>
      <c r="J25" s="33" t="n">
        <v>-0.76</v>
      </c>
      <c r="K25" s="33" t="n">
        <v>0.49</v>
      </c>
      <c r="M25" s="4" t="s">
        <v>45</v>
      </c>
      <c r="N25" s="29" t="s">
        <v>38</v>
      </c>
      <c r="O25" s="31" t="n">
        <f aca="false">1/(1+(((1/Curves!C10-1)/(0.25-0))+C25/10000)*(0.25-0))</f>
        <v>0.989106533880036</v>
      </c>
      <c r="P25" s="31" t="n">
        <f aca="false">O25/(1+(((Curves!C10/Curves!D10-1)/(0.5-0.25))+D25/10000)*(0.5-0.25))</f>
        <v>0.978305943431186</v>
      </c>
      <c r="Q25" s="31" t="n">
        <f aca="false">P25/(1+(((Curves!D10/Curves!E10-1)/(1-0.5))+E25/10000)*(1-0.5))</f>
        <v>0.957194399871784</v>
      </c>
      <c r="R25" s="31" t="n">
        <f aca="false">Q25/(1+(((Curves!E10/Curves!F10-1)/(2-1))+F25/10000)*(2-1))</f>
        <v>0.916619627014095</v>
      </c>
      <c r="S25" s="31" t="n">
        <f aca="false">R25/(1+(((Curves!F10/Curves!G10-1)/(3-2))+G25/10000)*(3-2))</f>
        <v>0.877731076468485</v>
      </c>
      <c r="T25" s="31" t="n">
        <f aca="false">S25/(1+(((Curves!G10/Curves!H10-1)/(5-3))+H25/10000)*(5-3))</f>
        <v>0.804584607957543</v>
      </c>
      <c r="U25" s="31" t="n">
        <f aca="false">T25/(1+(((Curves!H10/Curves!I10-1)/(10-5))+I25/10000)*(10-5))</f>
        <v>0.644516242770612</v>
      </c>
      <c r="V25" s="31" t="n">
        <f aca="false">U25/(1+(((Curves!I10/Curves!J10-1)/(20-10))+J25/10000)*(20-10))</f>
        <v>0.417378142817977</v>
      </c>
      <c r="W25" s="31" t="n">
        <f aca="false">V25/(1+(((Curves!J10/Curves!K10-1)/(30-20))+K25/10000)*(30-20))</f>
        <v>0.270068642263682</v>
      </c>
    </row>
    <row r="26" customFormat="false" ht="15" hidden="false" customHeight="true" outlineLevel="0" collapsed="false">
      <c r="A26" s="9" t="s">
        <v>37</v>
      </c>
      <c r="B26" s="29" t="s">
        <v>38</v>
      </c>
      <c r="C26" s="33" t="n">
        <v>30.38</v>
      </c>
      <c r="D26" s="33" t="n">
        <v>-26.47</v>
      </c>
      <c r="E26" s="33" t="n">
        <v>-21.02</v>
      </c>
      <c r="F26" s="33" t="n">
        <v>-17.01</v>
      </c>
      <c r="G26" s="33" t="n">
        <v>11.17</v>
      </c>
      <c r="H26" s="33" t="n">
        <v>6.11</v>
      </c>
      <c r="I26" s="33" t="n">
        <v>2.8</v>
      </c>
      <c r="J26" s="33" t="n">
        <v>1.48</v>
      </c>
      <c r="K26" s="33" t="n">
        <v>1.06</v>
      </c>
      <c r="M26" s="4" t="s">
        <v>37</v>
      </c>
      <c r="N26" s="29" t="s">
        <v>38</v>
      </c>
      <c r="O26" s="31" t="n">
        <f aca="false">1/(1+(((1/Curves!C11-1)/(0.25-0))+C26/10000)*(0.25-0))</f>
        <v>0.987815339311912</v>
      </c>
      <c r="P26" s="31" t="n">
        <f aca="false">O26/(1+(((Curves!C11/Curves!D11-1)/(0.5-0.25))+D26/10000)*(0.5-0.25))</f>
        <v>0.97713204584785</v>
      </c>
      <c r="Q26" s="31" t="n">
        <f aca="false">P26/(1+(((Curves!D11/Curves!E11-1)/(1-0.5))+E26/10000)*(1-0.5))</f>
        <v>0.955788775537166</v>
      </c>
      <c r="R26" s="31" t="n">
        <f aca="false">Q26/(1+(((Curves!E11/Curves!F11-1)/(2-1))+F26/10000)*(2-1))</f>
        <v>0.913891362527957</v>
      </c>
      <c r="S26" s="31" t="n">
        <f aca="false">R26/(1+(((Curves!F11/Curves!G11-1)/(3-2))+G26/10000)*(3-2))</f>
        <v>0.871222082092855</v>
      </c>
      <c r="T26" s="31" t="n">
        <f aca="false">S26/(1+(((Curves!G11/Curves!H11-1)/(5-3))+H26/10000)*(5-3))</f>
        <v>0.791860662902562</v>
      </c>
      <c r="U26" s="31" t="n">
        <f aca="false">T26/(1+(((Curves!H11/Curves!I11-1)/(10-5))+I26/10000)*(10-5))</f>
        <v>0.621437693235332</v>
      </c>
      <c r="V26" s="31" t="n">
        <f aca="false">U26/(1+(((Curves!I11/Curves!J11-1)/(20-10))+J26/10000)*(20-10))</f>
        <v>0.386107457190727</v>
      </c>
      <c r="W26" s="31" t="n">
        <f aca="false">V26/(1+(((Curves!J11/Curves!K11-1)/(30-20))+K26/10000)*(30-20))</f>
        <v>0.239955831781492</v>
      </c>
    </row>
    <row r="27" customFormat="false" ht="15" hidden="false" customHeight="true" outlineLevel="0" collapsed="false">
      <c r="A27" s="9" t="s">
        <v>40</v>
      </c>
      <c r="B27" s="29" t="s">
        <v>38</v>
      </c>
      <c r="C27" s="33" t="n">
        <v>24.9</v>
      </c>
      <c r="D27" s="33" t="n">
        <v>-20.85</v>
      </c>
      <c r="E27" s="33" t="n">
        <v>17.83</v>
      </c>
      <c r="F27" s="33" t="n">
        <v>-11.02</v>
      </c>
      <c r="G27" s="33" t="n">
        <v>6.89</v>
      </c>
      <c r="H27" s="33" t="n">
        <v>4.14</v>
      </c>
      <c r="I27" s="33" t="n">
        <v>-1.98</v>
      </c>
      <c r="J27" s="33" t="n">
        <v>1.03</v>
      </c>
      <c r="K27" s="33" t="n">
        <v>0.78</v>
      </c>
      <c r="M27" s="4" t="s">
        <v>40</v>
      </c>
      <c r="N27" s="29" t="s">
        <v>38</v>
      </c>
      <c r="O27" s="31" t="n">
        <f aca="false">1/(1+(((1/Curves!C12-1)/(0.25-0))+C27/10000)*(0.25-0))</f>
        <v>0.991163075802209</v>
      </c>
      <c r="P27" s="31" t="n">
        <f aca="false">O27/(1+(((Curves!C12/Curves!D12-1)/(0.5-0.25))+D27/10000)*(0.5-0.25))</f>
        <v>0.983499543443599</v>
      </c>
      <c r="Q27" s="31" t="n">
        <f aca="false">P27/(1+(((Curves!D12/Curves!E12-1)/(1-0.5))+E27/10000)*(1-0.5))</f>
        <v>0.966448771333421</v>
      </c>
      <c r="R27" s="31" t="n">
        <f aca="false">Q27/(1+(((Curves!E12/Curves!F12-1)/(2-1))+F27/10000)*(2-1))</f>
        <v>0.935653003508243</v>
      </c>
      <c r="S27" s="31" t="n">
        <f aca="false">R27/(1+(((Curves!F12/Curves!G12-1)/(3-2))+G27/10000)*(3-2))</f>
        <v>0.904000029966393</v>
      </c>
      <c r="T27" s="31" t="n">
        <f aca="false">S27/(1+(((Curves!G12/Curves!H12-1)/(5-3))+H27/10000)*(5-3))</f>
        <v>0.843581167147764</v>
      </c>
      <c r="U27" s="31" t="n">
        <f aca="false">T27/(1+(((Curves!H12/Curves!I12-1)/(10-5))+I27/10000)*(10-5))</f>
        <v>0.707852728125191</v>
      </c>
      <c r="V27" s="31" t="n">
        <f aca="false">U27/(1+(((Curves!I12/Curves!J12-1)/(20-10))+J27/10000)*(20-10))</f>
        <v>0.500950463543147</v>
      </c>
      <c r="W27" s="31" t="n">
        <f aca="false">V27/(1+(((Curves!J12/Curves!K12-1)/(30-20))+K27/10000)*(30-20))</f>
        <v>0.354587104818888</v>
      </c>
    </row>
    <row r="28" customFormat="false" ht="15" hidden="false" customHeight="true" outlineLevel="0" collapsed="false">
      <c r="A28" s="9" t="s">
        <v>49</v>
      </c>
      <c r="B28" s="29" t="s">
        <v>50</v>
      </c>
      <c r="C28" s="33" t="n">
        <v>11.35</v>
      </c>
      <c r="D28" s="33" t="n">
        <v>10.56</v>
      </c>
      <c r="E28" s="33" t="n">
        <v>8.56</v>
      </c>
      <c r="F28" s="33" t="n">
        <v>5.41</v>
      </c>
      <c r="G28" s="33" t="n">
        <v>3.64</v>
      </c>
      <c r="H28" s="33" t="n">
        <v>2.25</v>
      </c>
      <c r="I28" s="33" t="n">
        <v>1.21</v>
      </c>
      <c r="J28" s="33" t="n">
        <v>0.79</v>
      </c>
      <c r="K28" s="33" t="n">
        <v>0.57</v>
      </c>
      <c r="M28" s="4" t="s">
        <v>49</v>
      </c>
      <c r="N28" s="29" t="s">
        <v>50</v>
      </c>
      <c r="O28" s="31" t="n">
        <f aca="false">1/(1+(((1/Curves!C13-1)/(0.25-0))+C28/10000)*(0.25-0))</f>
        <v>0.989762951700176</v>
      </c>
      <c r="P28" s="31" t="n">
        <f aca="false">O28/(1+(((Curves!C13/Curves!D13-1)/(0.5-0.25))+D28/10000)*(0.5-0.25))</f>
        <v>0.979630684301822</v>
      </c>
      <c r="Q28" s="31" t="n">
        <f aca="false">P28/(1+(((Curves!D13/Curves!E13-1)/(1-0.5))+E28/10000)*(1-0.5))</f>
        <v>0.959721682064423</v>
      </c>
      <c r="R28" s="31" t="n">
        <f aca="false">Q28/(1+(((Curves!E13/Curves!F13-1)/(2-1))+F28/10000)*(2-1))</f>
        <v>0.921197672759117</v>
      </c>
      <c r="S28" s="31" t="n">
        <f aca="false">R28/(1+(((Curves!F13/Curves!G13-1)/(3-2))+G28/10000)*(3-2))</f>
        <v>0.884104228304732</v>
      </c>
      <c r="T28" s="31" t="n">
        <f aca="false">S28/(1+(((Curves!G13/Curves!H13-1)/(5-3))+H28/10000)*(5-3))</f>
        <v>0.813837087880031</v>
      </c>
      <c r="U28" s="31" t="n">
        <f aca="false">T28/(1+(((Curves!H13/Curves!I13-1)/(10-5))+I28/10000)*(10-5))</f>
        <v>0.658536819479612</v>
      </c>
      <c r="V28" s="31" t="n">
        <f aca="false">U28/(1+(((Curves!I13/Curves!J13-1)/(20-10))+J28/10000)*(20-10))</f>
        <v>0.43463155386659</v>
      </c>
      <c r="W28" s="31" t="n">
        <f aca="false">V28/(1+(((Curves!J13/Curves!K13-1)/(30-20))+K28/10000)*(30-20))</f>
        <v>0.286897015899856</v>
      </c>
    </row>
    <row r="30" customFormat="false" ht="15" hidden="false" customHeight="true" outlineLevel="0" collapsed="false">
      <c r="A30" s="28" t="s">
        <v>120</v>
      </c>
      <c r="B30" s="28"/>
      <c r="C30" s="12" t="s">
        <v>74</v>
      </c>
      <c r="D30" s="12" t="s">
        <v>75</v>
      </c>
      <c r="E30" s="12" t="s">
        <v>30</v>
      </c>
      <c r="F30" s="12" t="s">
        <v>76</v>
      </c>
      <c r="G30" s="12" t="s">
        <v>77</v>
      </c>
      <c r="H30" s="12" t="s">
        <v>78</v>
      </c>
      <c r="I30" s="12" t="s">
        <v>79</v>
      </c>
      <c r="J30" s="12" t="s">
        <v>80</v>
      </c>
      <c r="K30" s="12" t="s">
        <v>81</v>
      </c>
      <c r="M30" s="28" t="s">
        <v>120</v>
      </c>
      <c r="N30" s="28"/>
      <c r="O30" s="12" t="s">
        <v>74</v>
      </c>
      <c r="P30" s="12" t="s">
        <v>75</v>
      </c>
      <c r="Q30" s="12" t="s">
        <v>30</v>
      </c>
      <c r="R30" s="12" t="s">
        <v>76</v>
      </c>
      <c r="S30" s="12" t="s">
        <v>77</v>
      </c>
      <c r="T30" s="12" t="s">
        <v>78</v>
      </c>
      <c r="U30" s="12" t="s">
        <v>79</v>
      </c>
      <c r="V30" s="12" t="s">
        <v>80</v>
      </c>
      <c r="W30" s="12" t="s">
        <v>81</v>
      </c>
    </row>
    <row r="31" customFormat="false" ht="15" hidden="false" customHeight="true" outlineLevel="0" collapsed="false">
      <c r="A31" s="9" t="s">
        <v>42</v>
      </c>
      <c r="B31" s="29" t="s">
        <v>43</v>
      </c>
      <c r="C31" s="33" t="n">
        <v>-19.01</v>
      </c>
      <c r="D31" s="33" t="n">
        <v>-17.29</v>
      </c>
      <c r="E31" s="33" t="n">
        <v>14.24</v>
      </c>
      <c r="F31" s="33" t="n">
        <v>-8.2</v>
      </c>
      <c r="G31" s="33" t="n">
        <v>6.25</v>
      </c>
      <c r="H31" s="33" t="n">
        <v>2.94</v>
      </c>
      <c r="I31" s="33" t="n">
        <v>1.38</v>
      </c>
      <c r="J31" s="33" t="n">
        <v>0.88</v>
      </c>
      <c r="K31" s="33" t="n">
        <v>0.61</v>
      </c>
      <c r="M31" s="4" t="s">
        <v>42</v>
      </c>
      <c r="N31" s="29" t="s">
        <v>43</v>
      </c>
      <c r="O31" s="31" t="n">
        <f aca="false">1/(1+(((1/Curves!C8-1)/(0.25-0))+C31/10000)*(0.25-0))</f>
        <v>0.989763350971931</v>
      </c>
      <c r="P31" s="31" t="n">
        <f aca="false">O31/(1+(((Curves!C8/Curves!D8-1)/(0.5-0.25))+D31/10000)*(0.5-0.25))</f>
        <v>0.979572243695013</v>
      </c>
      <c r="Q31" s="31" t="n">
        <f aca="false">P31/(1+(((Curves!D8/Curves!E8-1)/(1-0.5))+E31/10000)*(1-0.5))</f>
        <v>0.957960959770115</v>
      </c>
      <c r="R31" s="31" t="n">
        <f aca="false">Q31/(1+(((Curves!E8/Curves!F8-1)/(2-1))+F31/10000)*(2-1))</f>
        <v>0.917949468383051</v>
      </c>
      <c r="S31" s="31" t="n">
        <f aca="false">R31/(1+(((Curves!F8/Curves!G8-1)/(3-2))+G31/10000)*(3-2))</f>
        <v>0.878129370905735</v>
      </c>
      <c r="T31" s="31" t="n">
        <f aca="false">S31/(1+(((Curves!G8/Curves!H8-1)/(5-3))+H31/10000)*(5-3))</f>
        <v>0.803403055671972</v>
      </c>
      <c r="U31" s="31" t="n">
        <f aca="false">T31/(1+(((Curves!H8/Curves!I8-1)/(10-5))+I31/10000)*(10-5))</f>
        <v>0.640375951448341</v>
      </c>
      <c r="V31" s="31" t="n">
        <f aca="false">U31/(1+(((Curves!I8/Curves!J8-1)/(20-10))+J31/10000)*(20-10))</f>
        <v>0.410137592085372</v>
      </c>
      <c r="W31" s="31" t="n">
        <f aca="false">V31/(1+(((Curves!J8/Curves!K8-1)/(30-20))+K31/10000)*(30-20))</f>
        <v>0.262723092980362</v>
      </c>
    </row>
    <row r="32" customFormat="false" ht="15" hidden="false" customHeight="true" outlineLevel="0" collapsed="false">
      <c r="A32" s="9" t="s">
        <v>52</v>
      </c>
      <c r="B32" s="29" t="s">
        <v>43</v>
      </c>
      <c r="C32" s="33" t="n">
        <v>15.96</v>
      </c>
      <c r="D32" s="33" t="n">
        <v>-12.95</v>
      </c>
      <c r="E32" s="33" t="n">
        <v>10.93</v>
      </c>
      <c r="F32" s="33" t="n">
        <v>6.93</v>
      </c>
      <c r="G32" s="33" t="n">
        <v>4.41</v>
      </c>
      <c r="H32" s="33" t="n">
        <v>2.31</v>
      </c>
      <c r="I32" s="33" t="n">
        <v>1.14</v>
      </c>
      <c r="J32" s="33" t="n">
        <v>0.57</v>
      </c>
      <c r="K32" s="33" t="n">
        <v>0.28</v>
      </c>
      <c r="M32" s="4" t="s">
        <v>52</v>
      </c>
      <c r="N32" s="29" t="s">
        <v>43</v>
      </c>
      <c r="O32" s="31" t="n">
        <f aca="false">1/(1+(((1/Curves!C9-1)/(0.25-0))+C32/10000)*(0.25-0))</f>
        <v>0.991878299383269</v>
      </c>
      <c r="P32" s="31" t="n">
        <f aca="false">O32/(1+(((Curves!C9/Curves!D9-1)/(0.5-0.25))+D32/10000)*(0.5-0.25))</f>
        <v>0.984509607445766</v>
      </c>
      <c r="Q32" s="31" t="n">
        <f aca="false">P32/(1+(((Curves!D9/Curves!E9-1)/(1-0.5))+E32/10000)*(1-0.5))</f>
        <v>0.968736531520539</v>
      </c>
      <c r="R32" s="31" t="n">
        <f aca="false">Q32/(1+(((Curves!E9/Curves!F9-1)/(2-1))+F32/10000)*(2-1))</f>
        <v>0.938113920551446</v>
      </c>
      <c r="S32" s="31" t="n">
        <f aca="false">R32/(1+(((Curves!F9/Curves!G9-1)/(3-2))+G32/10000)*(3-2))</f>
        <v>0.908408492333819</v>
      </c>
      <c r="T32" s="31" t="n">
        <f aca="false">S32/(1+(((Curves!G9/Curves!H9-1)/(5-3))+H32/10000)*(5-3))</f>
        <v>0.851382702106287</v>
      </c>
      <c r="U32" s="31" t="n">
        <f aca="false">T32/(1+(((Curves!H9/Curves!I9-1)/(10-5))+I32/10000)*(10-5))</f>
        <v>0.720631737027374</v>
      </c>
      <c r="V32" s="31" t="n">
        <f aca="false">U32/(1+(((Curves!I9/Curves!J9-1)/(20-10))+J32/10000)*(20-10))</f>
        <v>0.520462271717659</v>
      </c>
      <c r="W32" s="31" t="n">
        <f aca="false">V32/(1+(((Curves!J9/Curves!K9-1)/(30-20))+K32/10000)*(30-20))</f>
        <v>0.375971652716102</v>
      </c>
    </row>
    <row r="33" customFormat="false" ht="15" hidden="false" customHeight="true" outlineLevel="0" collapsed="false">
      <c r="A33" s="9" t="s">
        <v>45</v>
      </c>
      <c r="B33" s="29" t="s">
        <v>38</v>
      </c>
      <c r="C33" s="33" t="n">
        <v>22.27</v>
      </c>
      <c r="D33" s="33" t="n">
        <v>19.36</v>
      </c>
      <c r="E33" s="33" t="n">
        <v>14.63</v>
      </c>
      <c r="F33" s="33" t="n">
        <v>11.18</v>
      </c>
      <c r="G33" s="33" t="n">
        <v>6.16</v>
      </c>
      <c r="H33" s="33" t="n">
        <v>3.78</v>
      </c>
      <c r="I33" s="33" t="n">
        <v>-1.81</v>
      </c>
      <c r="J33" s="33" t="n">
        <v>0.94</v>
      </c>
      <c r="K33" s="33" t="n">
        <v>0.57</v>
      </c>
      <c r="M33" s="4" t="s">
        <v>45</v>
      </c>
      <c r="N33" s="29" t="s">
        <v>38</v>
      </c>
      <c r="O33" s="31" t="n">
        <f aca="false">1/(1+(((1/Curves!C10-1)/(0.25-0))+C33/10000)*(0.25-0))</f>
        <v>0.989001129869112</v>
      </c>
      <c r="P33" s="31" t="n">
        <f aca="false">O33/(1+(((Curves!C10/Curves!D10-1)/(0.5-0.25))+D33/10000)*(0.5-0.25))</f>
        <v>0.97817435870252</v>
      </c>
      <c r="Q33" s="31" t="n">
        <f aca="false">P33/(1+(((Curves!D10/Curves!E10-1)/(1-0.5))+E33/10000)*(1-0.5))</f>
        <v>0.957053949688665</v>
      </c>
      <c r="R33" s="31" t="n">
        <f aca="false">Q33/(1+(((Curves!E10/Curves!F10-1)/(2-1))+F33/10000)*(2-1))</f>
        <v>0.916295600240357</v>
      </c>
      <c r="S33" s="31" t="n">
        <f aca="false">R33/(1+(((Curves!F10/Curves!G10-1)/(3-2))+G33/10000)*(3-2))</f>
        <v>0.877430879330429</v>
      </c>
      <c r="T33" s="31" t="n">
        <f aca="false">S33/(1+(((Curves!G10/Curves!H10-1)/(5-3))+H33/10000)*(5-3))</f>
        <v>0.804246026783449</v>
      </c>
      <c r="U33" s="31" t="n">
        <f aca="false">T33/(1+(((Curves!H10/Curves!I10-1)/(10-5))+I33/10000)*(10-5))</f>
        <v>0.645084736455447</v>
      </c>
      <c r="V33" s="31" t="n">
        <f aca="false">U33/(1+(((Curves!I10/Curves!J10-1)/(20-10))+J33/10000)*(20-10))</f>
        <v>0.417286902143927</v>
      </c>
      <c r="W33" s="31" t="n">
        <f aca="false">V33/(1+(((Curves!J10/Curves!K10-1)/(30-20))+K33/10000)*(30-20))</f>
        <v>0.269995627819361</v>
      </c>
    </row>
    <row r="34" customFormat="false" ht="15" hidden="false" customHeight="true" outlineLevel="0" collapsed="false">
      <c r="A34" s="9" t="s">
        <v>37</v>
      </c>
      <c r="B34" s="29" t="s">
        <v>38</v>
      </c>
      <c r="C34" s="33" t="n">
        <v>32.63</v>
      </c>
      <c r="D34" s="33" t="n">
        <v>31.59</v>
      </c>
      <c r="E34" s="33" t="n">
        <v>27.09</v>
      </c>
      <c r="F34" s="33" t="n">
        <v>16.43</v>
      </c>
      <c r="G34" s="33" t="n">
        <v>11.1</v>
      </c>
      <c r="H34" s="33" t="n">
        <v>6.25</v>
      </c>
      <c r="I34" s="33" t="n">
        <v>-3.01</v>
      </c>
      <c r="J34" s="33" t="n">
        <v>1.76</v>
      </c>
      <c r="K34" s="33" t="n">
        <v>1.17</v>
      </c>
      <c r="M34" s="4" t="s">
        <v>37</v>
      </c>
      <c r="N34" s="29" t="s">
        <v>38</v>
      </c>
      <c r="O34" s="31" t="n">
        <f aca="false">1/(1+(((1/Curves!C11-1)/(0.25-0))+C34/10000)*(0.25-0))</f>
        <v>0.987760454784667</v>
      </c>
      <c r="P34" s="31" t="n">
        <f aca="false">O34/(1+(((Curves!C11/Curves!D11-1)/(0.5-0.25))+D34/10000)*(0.5-0.25))</f>
        <v>0.975676876164879</v>
      </c>
      <c r="Q34" s="31" t="n">
        <f aca="false">P34/(1+(((Curves!D11/Curves!E11-1)/(1-0.5))+E34/10000)*(1-0.5))</f>
        <v>0.952125081208929</v>
      </c>
      <c r="R34" s="31" t="n">
        <f aca="false">Q34/(1+(((Curves!E11/Curves!F11-1)/(2-1))+F34/10000)*(2-1))</f>
        <v>0.907486656989153</v>
      </c>
      <c r="S34" s="31" t="n">
        <f aca="false">R34/(1+(((Curves!F11/Curves!G11-1)/(3-2))+G34/10000)*(3-2))</f>
        <v>0.865122183211614</v>
      </c>
      <c r="T34" s="31" t="n">
        <f aca="false">S34/(1+(((Curves!G11/Curves!H11-1)/(5-3))+H34/10000)*(5-3))</f>
        <v>0.786296405622149</v>
      </c>
      <c r="U34" s="31" t="n">
        <f aca="false">T34/(1+(((Curves!H11/Curves!I11-1)/(10-5))+I34/10000)*(10-5))</f>
        <v>0.61848097350908</v>
      </c>
      <c r="V34" s="31" t="n">
        <f aca="false">U34/(1+(((Curves!I11/Curves!J11-1)/(20-10))+J34/10000)*(20-10))</f>
        <v>0.384203569110426</v>
      </c>
      <c r="W34" s="31" t="n">
        <f aca="false">V34/(1+(((Curves!J11/Curves!K11-1)/(30-20))+K34/10000)*(30-20))</f>
        <v>0.238756292520009</v>
      </c>
    </row>
    <row r="35" customFormat="false" ht="15" hidden="false" customHeight="true" outlineLevel="0" collapsed="false">
      <c r="A35" s="9" t="s">
        <v>40</v>
      </c>
      <c r="B35" s="29" t="s">
        <v>38</v>
      </c>
      <c r="C35" s="33" t="n">
        <v>27.61</v>
      </c>
      <c r="D35" s="33" t="n">
        <v>23.34</v>
      </c>
      <c r="E35" s="33" t="n">
        <v>19.38</v>
      </c>
      <c r="F35" s="33" t="n">
        <v>-13.99</v>
      </c>
      <c r="G35" s="33" t="n">
        <v>8.3</v>
      </c>
      <c r="H35" s="33" t="n">
        <v>4.12</v>
      </c>
      <c r="I35" s="33" t="n">
        <v>2.53</v>
      </c>
      <c r="J35" s="33" t="n">
        <v>1.27</v>
      </c>
      <c r="K35" s="33" t="n">
        <v>0.92</v>
      </c>
      <c r="M35" s="4" t="s">
        <v>40</v>
      </c>
      <c r="N35" s="29" t="s">
        <v>38</v>
      </c>
      <c r="O35" s="31" t="n">
        <f aca="false">1/(1+(((1/Curves!C12-1)/(0.25-0))+C35/10000)*(0.25-0))</f>
        <v>0.991096522383906</v>
      </c>
      <c r="P35" s="31" t="n">
        <f aca="false">O35/(1+(((Curves!C12/Curves!D12-1)/(0.5-0.25))+D35/10000)*(0.5-0.25))</f>
        <v>0.982356637176765</v>
      </c>
      <c r="Q35" s="31" t="n">
        <f aca="false">P35/(1+(((Curves!D12/Curves!E12-1)/(1-0.5))+E35/10000)*(1-0.5))</f>
        <v>0.965252169321666</v>
      </c>
      <c r="R35" s="31" t="n">
        <f aca="false">Q35/(1+(((Curves!E12/Curves!F12-1)/(2-1))+F35/10000)*(2-1))</f>
        <v>0.93476330929503</v>
      </c>
      <c r="S35" s="31" t="n">
        <f aca="false">R35/(1+(((Curves!F12/Curves!G12-1)/(3-2))+G35/10000)*(3-2))</f>
        <v>0.903017415890798</v>
      </c>
      <c r="T35" s="31" t="n">
        <f aca="false">S35/(1+(((Curves!G12/Curves!H12-1)/(5-3))+H35/10000)*(5-3))</f>
        <v>0.842667371497251</v>
      </c>
      <c r="U35" s="31" t="n">
        <f aca="false">T35/(1+(((Curves!H12/Curves!I12-1)/(10-5))+I35/10000)*(10-5))</f>
        <v>0.705750550624177</v>
      </c>
      <c r="V35" s="31" t="n">
        <f aca="false">U35/(1+(((Curves!I12/Curves!J12-1)/(20-10))+J35/10000)*(20-10))</f>
        <v>0.49937792449086</v>
      </c>
      <c r="W35" s="31" t="n">
        <f aca="false">V35/(1+(((Curves!J12/Curves!K12-1)/(30-20))+K35/10000)*(30-20))</f>
        <v>0.353438992183254</v>
      </c>
    </row>
    <row r="36" customFormat="false" ht="15" hidden="false" customHeight="true" outlineLevel="0" collapsed="false">
      <c r="A36" s="9" t="s">
        <v>49</v>
      </c>
      <c r="B36" s="29" t="s">
        <v>50</v>
      </c>
      <c r="C36" s="33" t="n">
        <v>11.12</v>
      </c>
      <c r="D36" s="33" t="n">
        <v>10.6</v>
      </c>
      <c r="E36" s="33" t="n">
        <v>10.14</v>
      </c>
      <c r="F36" s="33" t="n">
        <v>6.2</v>
      </c>
      <c r="G36" s="33" t="n">
        <v>4.74</v>
      </c>
      <c r="H36" s="33" t="n">
        <v>2.53</v>
      </c>
      <c r="I36" s="33" t="n">
        <v>1.43</v>
      </c>
      <c r="J36" s="33" t="n">
        <v>0.86</v>
      </c>
      <c r="K36" s="33" t="n">
        <v>0.6</v>
      </c>
      <c r="M36" s="4" t="s">
        <v>49</v>
      </c>
      <c r="N36" s="29" t="s">
        <v>50</v>
      </c>
      <c r="O36" s="31" t="n">
        <f aca="false">1/(1+(((1/Curves!C13-1)/(0.25-0))+C36/10000)*(0.25-0))</f>
        <v>0.989768584608762</v>
      </c>
      <c r="P36" s="31" t="n">
        <f aca="false">O36/(1+(((Curves!C13/Curves!D13-1)/(0.5-0.25))+D36/10000)*(0.5-0.25))</f>
        <v>0.979635289939258</v>
      </c>
      <c r="Q36" s="31" t="n">
        <f aca="false">P36/(1+(((Curves!D13/Curves!E13-1)/(1-0.5))+E36/10000)*(1-0.5))</f>
        <v>0.959651922334763</v>
      </c>
      <c r="R36" s="31" t="n">
        <f aca="false">Q36/(1+(((Curves!E13/Curves!F13-1)/(2-1))+F36/10000)*(2-1))</f>
        <v>0.921060870231521</v>
      </c>
      <c r="S36" s="31" t="n">
        <f aca="false">R36/(1+(((Curves!F13/Curves!G13-1)/(3-2))+G36/10000)*(3-2))</f>
        <v>0.883879622568647</v>
      </c>
      <c r="T36" s="31" t="n">
        <f aca="false">S36/(1+(((Curves!G13/Curves!H13-1)/(5-3))+H36/10000)*(5-3))</f>
        <v>0.813588393594855</v>
      </c>
      <c r="U36" s="31" t="n">
        <f aca="false">T36/(1+(((Curves!H13/Curves!I13-1)/(10-5))+I36/10000)*(10-5))</f>
        <v>0.658276989463779</v>
      </c>
      <c r="V36" s="31" t="n">
        <f aca="false">U36/(1+(((Curves!I13/Curves!J13-1)/(20-10))+J36/10000)*(20-10))</f>
        <v>0.434439996139016</v>
      </c>
      <c r="W36" s="31" t="n">
        <f aca="false">V36/(1+(((Curves!J13/Curves!K13-1)/(30-20))+K36/10000)*(30-20))</f>
        <v>0.286764891345965</v>
      </c>
    </row>
    <row r="38" customFormat="false" ht="15" hidden="false" customHeight="true" outlineLevel="0" collapsed="false">
      <c r="A38" s="28" t="s">
        <v>121</v>
      </c>
      <c r="B38" s="28"/>
      <c r="C38" s="12" t="s">
        <v>74</v>
      </c>
      <c r="D38" s="12" t="s">
        <v>75</v>
      </c>
      <c r="E38" s="12" t="s">
        <v>30</v>
      </c>
      <c r="F38" s="12" t="s">
        <v>76</v>
      </c>
      <c r="G38" s="12" t="s">
        <v>77</v>
      </c>
      <c r="H38" s="12" t="s">
        <v>78</v>
      </c>
      <c r="I38" s="12" t="s">
        <v>79</v>
      </c>
      <c r="J38" s="12" t="s">
        <v>80</v>
      </c>
      <c r="K38" s="12" t="s">
        <v>81</v>
      </c>
      <c r="M38" s="28" t="s">
        <v>121</v>
      </c>
      <c r="N38" s="28"/>
      <c r="O38" s="12" t="s">
        <v>74</v>
      </c>
      <c r="P38" s="12" t="s">
        <v>75</v>
      </c>
      <c r="Q38" s="12" t="s">
        <v>30</v>
      </c>
      <c r="R38" s="12" t="s">
        <v>76</v>
      </c>
      <c r="S38" s="12" t="s">
        <v>77</v>
      </c>
      <c r="T38" s="12" t="s">
        <v>78</v>
      </c>
      <c r="U38" s="12" t="s">
        <v>79</v>
      </c>
      <c r="V38" s="12" t="s">
        <v>80</v>
      </c>
      <c r="W38" s="12" t="s">
        <v>81</v>
      </c>
    </row>
    <row r="39" customFormat="false" ht="15" hidden="false" customHeight="true" outlineLevel="0" collapsed="false">
      <c r="A39" s="9" t="s">
        <v>42</v>
      </c>
      <c r="B39" s="29" t="s">
        <v>43</v>
      </c>
      <c r="C39" s="33" t="n">
        <v>20.8</v>
      </c>
      <c r="D39" s="33" t="n">
        <v>18.09</v>
      </c>
      <c r="E39" s="33" t="n">
        <v>14.02</v>
      </c>
      <c r="F39" s="33" t="n">
        <v>10.51</v>
      </c>
      <c r="G39" s="33" t="n">
        <v>7.07</v>
      </c>
      <c r="H39" s="33" t="n">
        <v>3.13</v>
      </c>
      <c r="I39" s="33" t="n">
        <v>1.64</v>
      </c>
      <c r="J39" s="33" t="n">
        <v>1.05</v>
      </c>
      <c r="K39" s="33" t="n">
        <v>0.66</v>
      </c>
      <c r="M39" s="4" t="s">
        <v>42</v>
      </c>
      <c r="N39" s="29" t="s">
        <v>43</v>
      </c>
      <c r="O39" s="31" t="n">
        <f aca="false">1/(1+(((1/Curves!C8-1)/(0.25-0))+C39/10000)*(0.25-0))</f>
        <v>0.988789332199442</v>
      </c>
      <c r="P39" s="31" t="n">
        <f aca="false">O39/(1+(((Curves!C8/Curves!D8-1)/(0.5-0.25))+D39/10000)*(0.5-0.25))</f>
        <v>0.977752336620794</v>
      </c>
      <c r="Q39" s="31" t="n">
        <f aca="false">P39/(1+(((Curves!D8/Curves!E8-1)/(1-0.5))+E39/10000)*(1-0.5))</f>
        <v>0.956191489469807</v>
      </c>
      <c r="R39" s="31" t="n">
        <f aca="false">Q39/(1+(((Curves!E8/Curves!F8-1)/(2-1))+F39/10000)*(2-1))</f>
        <v>0.914614135210911</v>
      </c>
      <c r="S39" s="31" t="n">
        <f aca="false">R39/(1+(((Curves!F8/Curves!G8-1)/(3-2))+G39/10000)*(3-2))</f>
        <v>0.874870095148609</v>
      </c>
      <c r="T39" s="31" t="n">
        <f aca="false">S39/(1+(((Curves!G8/Curves!H8-1)/(5-3))+H39/10000)*(5-3))</f>
        <v>0.800393308303937</v>
      </c>
      <c r="U39" s="31" t="n">
        <f aca="false">T39/(1+(((Curves!H8/Curves!I8-1)/(10-5))+I39/10000)*(10-5))</f>
        <v>0.637910843580398</v>
      </c>
      <c r="V39" s="31" t="n">
        <f aca="false">U39/(1+(((Curves!I8/Curves!J8-1)/(20-10))+J39/10000)*(20-10))</f>
        <v>0.408514301259018</v>
      </c>
      <c r="W39" s="31" t="n">
        <f aca="false">V39/(1+(((Curves!J8/Curves!K8-1)/(30-20))+K39/10000)*(30-20))</f>
        <v>0.261674875512286</v>
      </c>
    </row>
    <row r="40" customFormat="false" ht="15" hidden="false" customHeight="true" outlineLevel="0" collapsed="false">
      <c r="A40" s="9" t="s">
        <v>52</v>
      </c>
      <c r="B40" s="29" t="s">
        <v>43</v>
      </c>
      <c r="C40" s="33" t="n">
        <v>16.07</v>
      </c>
      <c r="D40" s="33" t="n">
        <v>15.03</v>
      </c>
      <c r="E40" s="33" t="n">
        <v>12.95</v>
      </c>
      <c r="F40" s="33" t="n">
        <v>8.58</v>
      </c>
      <c r="G40" s="33" t="n">
        <v>4.65</v>
      </c>
      <c r="H40" s="33" t="n">
        <v>2.65</v>
      </c>
      <c r="I40" s="33" t="n">
        <v>1.41</v>
      </c>
      <c r="J40" s="33" t="n">
        <v>0.7</v>
      </c>
      <c r="K40" s="33" t="n">
        <v>0.35</v>
      </c>
      <c r="M40" s="4" t="s">
        <v>52</v>
      </c>
      <c r="N40" s="29" t="s">
        <v>43</v>
      </c>
      <c r="O40" s="31" t="n">
        <f aca="false">1/(1+(((1/Curves!C9-1)/(0.25-0))+C40/10000)*(0.25-0))</f>
        <v>0.991875593878607</v>
      </c>
      <c r="P40" s="31" t="n">
        <f aca="false">O40/(1+(((Curves!C9/Curves!D9-1)/(0.5-0.25))+D40/10000)*(0.5-0.25))</f>
        <v>0.983823849801653</v>
      </c>
      <c r="Q40" s="31" t="n">
        <f aca="false">P40/(1+(((Curves!D9/Curves!E9-1)/(1-0.5))+E40/10000)*(1-0.5))</f>
        <v>0.967965562360225</v>
      </c>
      <c r="R40" s="31" t="n">
        <f aca="false">Q40/(1+(((Curves!E9/Curves!F9-1)/(2-1))+F40/10000)*(2-1))</f>
        <v>0.937217569837486</v>
      </c>
      <c r="S40" s="31" t="n">
        <f aca="false">R40/(1+(((Curves!F9/Curves!G9-1)/(3-2))+G40/10000)*(3-2))</f>
        <v>0.907519433827113</v>
      </c>
      <c r="T40" s="31" t="n">
        <f aca="false">S40/(1+(((Curves!G9/Curves!H9-1)/(5-3))+H40/10000)*(5-3))</f>
        <v>0.850495251545378</v>
      </c>
      <c r="U40" s="31" t="n">
        <f aca="false">T40/(1+(((Curves!H9/Curves!I9-1)/(10-5))+I40/10000)*(10-5))</f>
        <v>0.719798327066719</v>
      </c>
      <c r="V40" s="31" t="n">
        <f aca="false">U40/(1+(((Curves!I9/Curves!J9-1)/(20-10))+J40/10000)*(20-10))</f>
        <v>0.519811552471627</v>
      </c>
      <c r="W40" s="31" t="n">
        <f aca="false">V40/(1+(((Curves!J9/Curves!K9-1)/(30-20))+K40/10000)*(30-20))</f>
        <v>0.375482599116733</v>
      </c>
    </row>
    <row r="41" customFormat="false" ht="15" hidden="false" customHeight="true" outlineLevel="0" collapsed="false">
      <c r="A41" s="9" t="s">
        <v>45</v>
      </c>
      <c r="B41" s="29" t="s">
        <v>38</v>
      </c>
      <c r="C41" s="33" t="n">
        <v>22.73</v>
      </c>
      <c r="D41" s="33" t="n">
        <v>-21.78</v>
      </c>
      <c r="E41" s="33" t="n">
        <v>17.02</v>
      </c>
      <c r="F41" s="33" t="n">
        <v>11.96</v>
      </c>
      <c r="G41" s="33" t="n">
        <v>7.2</v>
      </c>
      <c r="H41" s="33" t="n">
        <v>3.97</v>
      </c>
      <c r="I41" s="33" t="n">
        <v>2.1</v>
      </c>
      <c r="J41" s="33" t="n">
        <v>1.03</v>
      </c>
      <c r="K41" s="33" t="n">
        <v>0.68</v>
      </c>
      <c r="M41" s="4" t="s">
        <v>45</v>
      </c>
      <c r="N41" s="29" t="s">
        <v>38</v>
      </c>
      <c r="O41" s="31" t="n">
        <f aca="false">1/(1+(((1/Curves!C10-1)/(0.25-0))+C41/10000)*(0.25-0))</f>
        <v>0.988989881579844</v>
      </c>
      <c r="P41" s="31" t="n">
        <f aca="false">O41/(1+(((Curves!C10/Curves!D10-1)/(0.5-0.25))+D41/10000)*(0.5-0.25))</f>
        <v>0.979159274340936</v>
      </c>
      <c r="Q41" s="31" t="n">
        <f aca="false">P41/(1+(((Curves!D10/Curves!E10-1)/(1-0.5))+E41/10000)*(1-0.5))</f>
        <v>0.957905601234653</v>
      </c>
      <c r="R41" s="31" t="n">
        <f aca="false">Q41/(1+(((Curves!E10/Curves!F10-1)/(2-1))+F41/10000)*(2-1))</f>
        <v>0.917042499167211</v>
      </c>
      <c r="S41" s="31" t="n">
        <f aca="false">R41/(1+(((Curves!F10/Curves!G10-1)/(3-2))+G41/10000)*(3-2))</f>
        <v>0.878058653665746</v>
      </c>
      <c r="T41" s="31" t="n">
        <f aca="false">S41/(1+(((Curves!G10/Curves!H10-1)/(5-3))+H41/10000)*(5-3))</f>
        <v>0.804793408296878</v>
      </c>
      <c r="U41" s="31" t="n">
        <f aca="false">T41/(1+(((Curves!H10/Curves!I10-1)/(10-5))+I41/10000)*(10-5))</f>
        <v>0.644513127474894</v>
      </c>
      <c r="V41" s="31" t="n">
        <f aca="false">U41/(1+(((Curves!I10/Curves!J10-1)/(20-10))+J41/10000)*(20-10))</f>
        <v>0.416892873761931</v>
      </c>
      <c r="W41" s="31" t="n">
        <f aca="false">V41/(1+(((Curves!J10/Curves!K10-1)/(30-20))+K41/10000)*(30-20))</f>
        <v>0.269721484207019</v>
      </c>
    </row>
    <row r="42" customFormat="false" ht="15" hidden="false" customHeight="true" outlineLevel="0" collapsed="false">
      <c r="A42" s="9" t="s">
        <v>37</v>
      </c>
      <c r="B42" s="29" t="s">
        <v>38</v>
      </c>
      <c r="C42" s="33" t="n">
        <v>36.17</v>
      </c>
      <c r="D42" s="33" t="n">
        <v>31.56</v>
      </c>
      <c r="E42" s="33" t="n">
        <v>26.02</v>
      </c>
      <c r="F42" s="33" t="n">
        <v>20.58</v>
      </c>
      <c r="G42" s="33" t="n">
        <v>12.85</v>
      </c>
      <c r="H42" s="33" t="n">
        <v>7.78</v>
      </c>
      <c r="I42" s="33" t="n">
        <v>-3.17</v>
      </c>
      <c r="J42" s="33" t="n">
        <v>2.03</v>
      </c>
      <c r="K42" s="33" t="n">
        <v>1.36</v>
      </c>
      <c r="M42" s="4" t="s">
        <v>37</v>
      </c>
      <c r="N42" s="29" t="s">
        <v>38</v>
      </c>
      <c r="O42" s="31" t="n">
        <f aca="false">1/(1+(((1/Curves!C11-1)/(0.25-0))+C42/10000)*(0.25-0))</f>
        <v>0.987674115473804</v>
      </c>
      <c r="P42" s="31" t="n">
        <f aca="false">O42/(1+(((Curves!C11/Curves!D11-1)/(0.5-0.25))+D42/10000)*(0.5-0.25))</f>
        <v>0.975592315812659</v>
      </c>
      <c r="Q42" s="31" t="n">
        <f aca="false">P42/(1+(((Curves!D11/Curves!E11-1)/(1-0.5))+E42/10000)*(1-0.5))</f>
        <v>0.952092269426374</v>
      </c>
      <c r="R42" s="31" t="n">
        <f aca="false">Q42/(1+(((Curves!E11/Curves!F11-1)/(2-1))+F42/10000)*(2-1))</f>
        <v>0.907096587288481</v>
      </c>
      <c r="S42" s="31" t="n">
        <f aca="false">R42/(1+(((Curves!F11/Curves!G11-1)/(3-2))+G42/10000)*(3-2))</f>
        <v>0.864606080655214</v>
      </c>
      <c r="T42" s="31" t="n">
        <f aca="false">S42/(1+(((Curves!G11/Curves!H11-1)/(5-3))+H42/10000)*(5-3))</f>
        <v>0.785608835304313</v>
      </c>
      <c r="U42" s="31" t="n">
        <f aca="false">T42/(1+(((Curves!H11/Curves!I11-1)/(10-5))+I42/10000)*(10-5))</f>
        <v>0.617979034933883</v>
      </c>
      <c r="V42" s="31" t="n">
        <f aca="false">U42/(1+(((Curves!I11/Curves!J11-1)/(20-10))+J42/10000)*(20-10))</f>
        <v>0.383827384681427</v>
      </c>
      <c r="W42" s="31" t="n">
        <f aca="false">V42/(1+(((Curves!J11/Curves!K11-1)/(30-20))+K42/10000)*(30-20))</f>
        <v>0.238494360062297</v>
      </c>
    </row>
    <row r="43" customFormat="false" ht="15" hidden="false" customHeight="true" outlineLevel="0" collapsed="false">
      <c r="A43" s="9" t="s">
        <v>40</v>
      </c>
      <c r="B43" s="29" t="s">
        <v>38</v>
      </c>
      <c r="C43" s="33" t="n">
        <v>28.02</v>
      </c>
      <c r="D43" s="33" t="n">
        <v>27.14</v>
      </c>
      <c r="E43" s="33" t="n">
        <v>21.19</v>
      </c>
      <c r="F43" s="33" t="n">
        <v>13.78</v>
      </c>
      <c r="G43" s="33" t="n">
        <v>-9.13</v>
      </c>
      <c r="H43" s="33" t="n">
        <v>-4.65</v>
      </c>
      <c r="I43" s="33" t="n">
        <v>2.56</v>
      </c>
      <c r="J43" s="33" t="n">
        <v>1.41</v>
      </c>
      <c r="K43" s="33" t="n">
        <v>1.02</v>
      </c>
      <c r="M43" s="4" t="s">
        <v>40</v>
      </c>
      <c r="N43" s="29" t="s">
        <v>38</v>
      </c>
      <c r="O43" s="31" t="n">
        <f aca="false">1/(1+(((1/Curves!C12-1)/(0.25-0))+C43/10000)*(0.25-0))</f>
        <v>0.99108645419494</v>
      </c>
      <c r="P43" s="31" t="n">
        <f aca="false">O43/(1+(((Curves!C12/Curves!D12-1)/(0.5-0.25))+D43/10000)*(0.5-0.25))</f>
        <v>0.982254166508724</v>
      </c>
      <c r="Q43" s="31" t="n">
        <f aca="false">P43/(1+(((Curves!D12/Curves!E12-1)/(1-0.5))+E43/10000)*(1-0.5))</f>
        <v>0.965065665104197</v>
      </c>
      <c r="R43" s="31" t="n">
        <f aca="false">Q43/(1+(((Curves!E12/Curves!F12-1)/(2-1))+F43/10000)*(2-1))</f>
        <v>0.932076078315854</v>
      </c>
      <c r="S43" s="31" t="n">
        <f aca="false">R43/(1+(((Curves!F12/Curves!G12-1)/(3-2))+G43/10000)*(3-2))</f>
        <v>0.901940138632433</v>
      </c>
      <c r="T43" s="31" t="n">
        <f aca="false">S43/(1+(((Curves!G12/Curves!H12-1)/(5-3))+H43/10000)*(5-3))</f>
        <v>0.843041962434969</v>
      </c>
      <c r="U43" s="31" t="n">
        <f aca="false">T43/(1+(((Curves!H12/Curves!I12-1)/(10-5))+I43/10000)*(10-5))</f>
        <v>0.706055407895681</v>
      </c>
      <c r="V43" s="31" t="n">
        <f aca="false">U43/(1+(((Curves!I12/Curves!J12-1)/(20-10))+J43/10000)*(20-10))</f>
        <v>0.499544150937904</v>
      </c>
      <c r="W43" s="31" t="n">
        <f aca="false">V43/(1+(((Curves!J12/Curves!K12-1)/(30-20))+K43/10000)*(30-20))</f>
        <v>0.353531618868859</v>
      </c>
    </row>
    <row r="44" customFormat="false" ht="15" hidden="false" customHeight="true" outlineLevel="0" collapsed="false">
      <c r="A44" s="9" t="s">
        <v>49</v>
      </c>
      <c r="B44" s="29" t="s">
        <v>50</v>
      </c>
      <c r="C44" s="33" t="n">
        <v>-12.66</v>
      </c>
      <c r="D44" s="33" t="n">
        <v>12.1</v>
      </c>
      <c r="E44" s="33" t="n">
        <v>10.69</v>
      </c>
      <c r="F44" s="33" t="n">
        <v>7.43</v>
      </c>
      <c r="G44" s="33" t="n">
        <v>-4.91</v>
      </c>
      <c r="H44" s="33" t="n">
        <v>2.77</v>
      </c>
      <c r="I44" s="33" t="n">
        <v>1.65</v>
      </c>
      <c r="J44" s="33" t="n">
        <v>1.01</v>
      </c>
      <c r="K44" s="33" t="n">
        <v>0.67</v>
      </c>
      <c r="M44" s="4" t="s">
        <v>49</v>
      </c>
      <c r="N44" s="29" t="s">
        <v>50</v>
      </c>
      <c r="O44" s="31" t="n">
        <f aca="false">1/(1+(((1/Curves!C13-1)/(0.25-0))+C44/10000)*(0.25-0))</f>
        <v>0.990351324583582</v>
      </c>
      <c r="P44" s="31" t="n">
        <f aca="false">O44/(1+(((Curves!C13/Curves!D13-1)/(0.5-0.25))+D44/10000)*(0.5-0.25))</f>
        <v>0.980175683523817</v>
      </c>
      <c r="Q44" s="31" t="n">
        <f aca="false">P44/(1+(((Curves!D13/Curves!E13-1)/(1-0.5))+E44/10000)*(1-0.5))</f>
        <v>0.960155426888727</v>
      </c>
      <c r="R44" s="31" t="n">
        <f aca="false">Q44/(1+(((Curves!E13/Curves!F13-1)/(2-1))+F44/10000)*(2-1))</f>
        <v>0.921435348180145</v>
      </c>
      <c r="S44" s="31" t="n">
        <f aca="false">R44/(1+(((Curves!F13/Curves!G13-1)/(3-2))+G44/10000)*(3-2))</f>
        <v>0.885058587748593</v>
      </c>
      <c r="T44" s="31" t="n">
        <f aca="false">S44/(1+(((Curves!G13/Curves!H13-1)/(5-3))+H44/10000)*(5-3))</f>
        <v>0.814637607693079</v>
      </c>
      <c r="U44" s="31" t="n">
        <f aca="false">T44/(1+(((Curves!H13/Curves!I13-1)/(10-5))+I44/10000)*(10-5))</f>
        <v>0.65906725409154</v>
      </c>
      <c r="V44" s="31" t="n">
        <f aca="false">U44/(1+(((Curves!I13/Curves!J13-1)/(20-10))+J44/10000)*(20-10))</f>
        <v>0.434918488732392</v>
      </c>
      <c r="W44" s="31" t="n">
        <f aca="false">V44/(1+(((Curves!J13/Curves!K13-1)/(30-20))+K44/10000)*(30-20))</f>
        <v>0.287067470336578</v>
      </c>
    </row>
    <row r="46" customFormat="false" ht="15" hidden="false" customHeight="true" outlineLevel="0" collapsed="false">
      <c r="A46" s="28" t="s">
        <v>122</v>
      </c>
      <c r="B46" s="28"/>
      <c r="C46" s="12" t="s">
        <v>74</v>
      </c>
      <c r="D46" s="12" t="s">
        <v>75</v>
      </c>
      <c r="E46" s="12" t="s">
        <v>30</v>
      </c>
      <c r="F46" s="12" t="s">
        <v>76</v>
      </c>
      <c r="G46" s="12" t="s">
        <v>77</v>
      </c>
      <c r="H46" s="12" t="s">
        <v>78</v>
      </c>
      <c r="I46" s="12" t="s">
        <v>79</v>
      </c>
      <c r="J46" s="12" t="s">
        <v>80</v>
      </c>
      <c r="K46" s="12" t="s">
        <v>81</v>
      </c>
      <c r="M46" s="28" t="s">
        <v>122</v>
      </c>
      <c r="N46" s="28"/>
      <c r="O46" s="12" t="s">
        <v>74</v>
      </c>
      <c r="P46" s="12" t="s">
        <v>75</v>
      </c>
      <c r="Q46" s="12" t="s">
        <v>30</v>
      </c>
      <c r="R46" s="12" t="s">
        <v>76</v>
      </c>
      <c r="S46" s="12" t="s">
        <v>77</v>
      </c>
      <c r="T46" s="12" t="s">
        <v>78</v>
      </c>
      <c r="U46" s="12" t="s">
        <v>79</v>
      </c>
      <c r="V46" s="12" t="s">
        <v>80</v>
      </c>
      <c r="W46" s="12" t="s">
        <v>81</v>
      </c>
    </row>
    <row r="47" customFormat="false" ht="15" hidden="false" customHeight="true" outlineLevel="0" collapsed="false">
      <c r="A47" s="9" t="s">
        <v>42</v>
      </c>
      <c r="B47" s="29" t="s">
        <v>43</v>
      </c>
      <c r="C47" s="33" t="n">
        <v>21.12</v>
      </c>
      <c r="D47" s="33" t="n">
        <v>19.21</v>
      </c>
      <c r="E47" s="33" t="n">
        <v>15.49</v>
      </c>
      <c r="F47" s="33" t="n">
        <v>11.04</v>
      </c>
      <c r="G47" s="33" t="n">
        <v>7.31</v>
      </c>
      <c r="H47" s="33" t="n">
        <v>-3.52</v>
      </c>
      <c r="I47" s="33" t="n">
        <v>1.73</v>
      </c>
      <c r="J47" s="33" t="n">
        <v>1.11</v>
      </c>
      <c r="K47" s="33" t="n">
        <v>0.75</v>
      </c>
      <c r="M47" s="4" t="s">
        <v>42</v>
      </c>
      <c r="N47" s="29" t="s">
        <v>43</v>
      </c>
      <c r="O47" s="31" t="n">
        <f aca="false">1/(1+(((1/Curves!C8-1)/(0.25-0))+C47/10000)*(0.25-0))</f>
        <v>0.988781510626565</v>
      </c>
      <c r="P47" s="31" t="n">
        <f aca="false">O47/(1+(((Curves!C8/Curves!D8-1)/(0.5-0.25))+D47/10000)*(0.5-0.25))</f>
        <v>0.977717531837942</v>
      </c>
      <c r="Q47" s="31" t="n">
        <f aca="false">P47/(1+(((Curves!D8/Curves!E8-1)/(1-0.5))+E47/10000)*(1-0.5))</f>
        <v>0.956088729271246</v>
      </c>
      <c r="R47" s="31" t="n">
        <f aca="false">Q47/(1+(((Curves!E8/Curves!F8-1)/(2-1))+F47/10000)*(2-1))</f>
        <v>0.914469483822963</v>
      </c>
      <c r="S47" s="31" t="n">
        <f aca="false">R47/(1+(((Curves!F8/Curves!G8-1)/(3-2))+G47/10000)*(3-2))</f>
        <v>0.874711648667763</v>
      </c>
      <c r="T47" s="31" t="n">
        <f aca="false">S47/(1+(((Curves!G8/Curves!H8-1)/(5-3))+H47/10000)*(5-3))</f>
        <v>0.801223261426251</v>
      </c>
      <c r="U47" s="31" t="n">
        <f aca="false">T47/(1+(((Curves!H8/Curves!I8-1)/(10-5))+I47/10000)*(10-5))</f>
        <v>0.638549412018378</v>
      </c>
      <c r="V47" s="31" t="n">
        <f aca="false">U47/(1+(((Curves!I8/Curves!J8-1)/(20-10))+J47/10000)*(20-10))</f>
        <v>0.408907524963336</v>
      </c>
      <c r="W47" s="31" t="n">
        <f aca="false">V47/(1+(((Curves!J8/Curves!K8-1)/(30-20))+K47/10000)*(30-20))</f>
        <v>0.261911656820946</v>
      </c>
    </row>
    <row r="48" customFormat="false" ht="15" hidden="false" customHeight="true" outlineLevel="0" collapsed="false">
      <c r="A48" s="9" t="s">
        <v>52</v>
      </c>
      <c r="B48" s="29" t="s">
        <v>43</v>
      </c>
      <c r="C48" s="33" t="n">
        <v>18.98</v>
      </c>
      <c r="D48" s="33" t="n">
        <v>16.37</v>
      </c>
      <c r="E48" s="33" t="n">
        <v>-14.4</v>
      </c>
      <c r="F48" s="33" t="n">
        <v>8.84</v>
      </c>
      <c r="G48" s="33" t="n">
        <v>5.72</v>
      </c>
      <c r="H48" s="33" t="n">
        <v>2.86</v>
      </c>
      <c r="I48" s="33" t="n">
        <v>1.42</v>
      </c>
      <c r="J48" s="33" t="n">
        <v>0.76</v>
      </c>
      <c r="K48" s="33" t="n">
        <v>0.38</v>
      </c>
      <c r="M48" s="4" t="s">
        <v>52</v>
      </c>
      <c r="N48" s="29" t="s">
        <v>43</v>
      </c>
      <c r="O48" s="31" t="n">
        <f aca="false">1/(1+(((1/Curves!C9-1)/(0.25-0))+C48/10000)*(0.25-0))</f>
        <v>0.991804026342001</v>
      </c>
      <c r="P48" s="31" t="n">
        <f aca="false">O48/(1+(((Curves!C9/Curves!D9-1)/(0.5-0.25))+D48/10000)*(0.5-0.25))</f>
        <v>0.983720176118239</v>
      </c>
      <c r="Q48" s="31" t="n">
        <f aca="false">P48/(1+(((Curves!D9/Curves!E9-1)/(1-0.5))+E48/10000)*(1-0.5))</f>
        <v>0.969167533255704</v>
      </c>
      <c r="R48" s="31" t="n">
        <f aca="false">Q48/(1+(((Curves!E9/Curves!F9-1)/(2-1))+F48/10000)*(2-1))</f>
        <v>0.938357737117484</v>
      </c>
      <c r="S48" s="31" t="n">
        <f aca="false">R48/(1+(((Curves!F9/Curves!G9-1)/(3-2))+G48/10000)*(3-2))</f>
        <v>0.90852933978219</v>
      </c>
      <c r="T48" s="31" t="n">
        <f aca="false">S48/(1+(((Curves!G9/Curves!H9-1)/(5-3))+H48/10000)*(5-3))</f>
        <v>0.851408187628451</v>
      </c>
      <c r="U48" s="31" t="n">
        <f aca="false">T48/(1+(((Curves!H9/Curves!I9-1)/(10-5))+I48/10000)*(10-5))</f>
        <v>0.720567921660225</v>
      </c>
      <c r="V48" s="31" t="n">
        <f aca="false">U48/(1+(((Curves!I9/Curves!J9-1)/(20-10))+J48/10000)*(20-10))</f>
        <v>0.520344778616174</v>
      </c>
      <c r="W48" s="31" t="n">
        <f aca="false">V48/(1+(((Curves!J9/Curves!K9-1)/(30-20))+K48/10000)*(30-20))</f>
        <v>0.375859626666916</v>
      </c>
    </row>
    <row r="49" customFormat="false" ht="15" hidden="false" customHeight="true" outlineLevel="0" collapsed="false">
      <c r="A49" s="9" t="s">
        <v>45</v>
      </c>
      <c r="B49" s="29" t="s">
        <v>38</v>
      </c>
      <c r="C49" s="33" t="n">
        <v>25.73</v>
      </c>
      <c r="D49" s="33" t="n">
        <v>23.39</v>
      </c>
      <c r="E49" s="33" t="n">
        <v>-17.37</v>
      </c>
      <c r="F49" s="33" t="n">
        <v>12.72</v>
      </c>
      <c r="G49" s="33" t="n">
        <v>8.16</v>
      </c>
      <c r="H49" s="33" t="n">
        <v>4.5</v>
      </c>
      <c r="I49" s="33" t="n">
        <v>2.06</v>
      </c>
      <c r="J49" s="33" t="n">
        <v>1.04</v>
      </c>
      <c r="K49" s="33" t="n">
        <v>0.76</v>
      </c>
      <c r="M49" s="4" t="s">
        <v>45</v>
      </c>
      <c r="N49" s="29" t="s">
        <v>38</v>
      </c>
      <c r="O49" s="31" t="n">
        <f aca="false">1/(1+(((1/Curves!C10-1)/(0.25-0))+C49/10000)*(0.25-0))</f>
        <v>0.988916529446742</v>
      </c>
      <c r="P49" s="31" t="n">
        <f aca="false">O49/(1+(((Curves!C10/Curves!D10-1)/(0.5-0.25))+D49/10000)*(0.5-0.25))</f>
        <v>0.977993230254336</v>
      </c>
      <c r="Q49" s="31" t="n">
        <f aca="false">P49/(1+(((Curves!D10/Curves!E10-1)/(1-0.5))+E49/10000)*(1-0.5))</f>
        <v>0.958377026624332</v>
      </c>
      <c r="R49" s="31" t="n">
        <f aca="false">Q49/(1+(((Curves!E10/Curves!F10-1)/(2-1))+F49/10000)*(2-1))</f>
        <v>0.917427064020856</v>
      </c>
      <c r="S49" s="31" t="n">
        <f aca="false">R49/(1+(((Curves!F10/Curves!G10-1)/(3-2))+G49/10000)*(3-2))</f>
        <v>0.878346133813288</v>
      </c>
      <c r="T49" s="31" t="n">
        <f aca="false">S49/(1+(((Curves!G10/Curves!H10-1)/(5-3))+H49/10000)*(5-3))</f>
        <v>0.804978693098981</v>
      </c>
      <c r="U49" s="31" t="n">
        <f aca="false">T49/(1+(((Curves!H10/Curves!I10-1)/(10-5))+I49/10000)*(10-5))</f>
        <v>0.644671837120375</v>
      </c>
      <c r="V49" s="31" t="n">
        <f aca="false">U49/(1+(((Curves!I10/Curves!J10-1)/(20-10))+J49/10000)*(20-10))</f>
        <v>0.41699283527402</v>
      </c>
      <c r="W49" s="31" t="n">
        <f aca="false">V49/(1+(((Curves!J10/Curves!K10-1)/(30-20))+K49/10000)*(30-20))</f>
        <v>0.269772194353923</v>
      </c>
    </row>
    <row r="50" customFormat="false" ht="15" hidden="false" customHeight="true" outlineLevel="0" collapsed="false">
      <c r="A50" s="9" t="s">
        <v>37</v>
      </c>
      <c r="B50" s="29" t="s">
        <v>38</v>
      </c>
      <c r="C50" s="33" t="n">
        <v>38.02</v>
      </c>
      <c r="D50" s="33" t="n">
        <v>36.31</v>
      </c>
      <c r="E50" s="33" t="n">
        <v>32.04</v>
      </c>
      <c r="F50" s="33" t="n">
        <v>20.84</v>
      </c>
      <c r="G50" s="33" t="n">
        <v>15</v>
      </c>
      <c r="H50" s="33" t="n">
        <v>7.79</v>
      </c>
      <c r="I50" s="33" t="n">
        <v>3.87</v>
      </c>
      <c r="J50" s="33" t="n">
        <v>2.13</v>
      </c>
      <c r="K50" s="33" t="n">
        <v>1.48</v>
      </c>
      <c r="M50" s="4" t="s">
        <v>37</v>
      </c>
      <c r="N50" s="29" t="s">
        <v>38</v>
      </c>
      <c r="O50" s="31" t="n">
        <f aca="false">1/(1+(((1/Curves!C11-1)/(0.25-0))+C50/10000)*(0.25-0))</f>
        <v>0.987629000652321</v>
      </c>
      <c r="P50" s="31" t="n">
        <f aca="false">O50/(1+(((Curves!C11/Curves!D11-1)/(0.5-0.25))+D50/10000)*(0.5-0.25))</f>
        <v>0.975433337085452</v>
      </c>
      <c r="Q50" s="31" t="n">
        <f aca="false">P50/(1+(((Curves!D11/Curves!E11-1)/(1-0.5))+E50/10000)*(1-0.5))</f>
        <v>0.951657571221878</v>
      </c>
      <c r="R50" s="31" t="n">
        <f aca="false">Q50/(1+(((Curves!E11/Curves!F11-1)/(2-1))+F50/10000)*(2-1))</f>
        <v>0.90665997373377</v>
      </c>
      <c r="S50" s="31" t="n">
        <f aca="false">R50/(1+(((Curves!F11/Curves!G11-1)/(3-2))+G50/10000)*(3-2))</f>
        <v>0.864012857885402</v>
      </c>
      <c r="T50" s="31" t="n">
        <f aca="false">S50/(1+(((Curves!G11/Curves!H11-1)/(5-3))+H50/10000)*(5-3))</f>
        <v>0.785068387378899</v>
      </c>
      <c r="U50" s="31" t="n">
        <f aca="false">T50/(1+(((Curves!H11/Curves!I11-1)/(10-5))+I50/10000)*(10-5))</f>
        <v>0.615848671157849</v>
      </c>
      <c r="V50" s="31" t="n">
        <f aca="false">U50/(1+(((Curves!I11/Curves!J11-1)/(20-10))+J50/10000)*(20-10))</f>
        <v>0.382480457752031</v>
      </c>
      <c r="W50" s="31" t="n">
        <f aca="false">V50/(1+(((Curves!J11/Curves!K11-1)/(30-20))+K50/10000)*(30-20))</f>
        <v>0.237639716602697</v>
      </c>
    </row>
    <row r="51" customFormat="false" ht="15" hidden="false" customHeight="true" outlineLevel="0" collapsed="false">
      <c r="A51" s="9" t="s">
        <v>40</v>
      </c>
      <c r="B51" s="29" t="s">
        <v>38</v>
      </c>
      <c r="C51" s="33" t="n">
        <v>33.13</v>
      </c>
      <c r="D51" s="33" t="n">
        <v>29.25</v>
      </c>
      <c r="E51" s="33" t="n">
        <v>-24.3</v>
      </c>
      <c r="F51" s="33" t="n">
        <v>15.91</v>
      </c>
      <c r="G51" s="33" t="n">
        <v>9.67</v>
      </c>
      <c r="H51" s="33" t="n">
        <v>5.37</v>
      </c>
      <c r="I51" s="33" t="n">
        <v>-2.83</v>
      </c>
      <c r="J51" s="33" t="n">
        <v>1.5</v>
      </c>
      <c r="K51" s="33" t="n">
        <v>1.06</v>
      </c>
      <c r="M51" s="4" t="s">
        <v>40</v>
      </c>
      <c r="N51" s="29" t="s">
        <v>38</v>
      </c>
      <c r="O51" s="31" t="n">
        <f aca="false">1/(1+(((1/Curves!C12-1)/(0.25-0))+C51/10000)*(0.25-0))</f>
        <v>0.99096098734151</v>
      </c>
      <c r="P51" s="31" t="n">
        <f aca="false">O51/(1+(((Curves!C12/Curves!D12-1)/(0.5-0.25))+D51/10000)*(0.5-0.25))</f>
        <v>0.982078474810142</v>
      </c>
      <c r="Q51" s="31" t="n">
        <f aca="false">P51/(1+(((Curves!D12/Curves!E12-1)/(1-0.5))+E51/10000)*(1-0.5))</f>
        <v>0.967054122180948</v>
      </c>
      <c r="R51" s="31" t="n">
        <f aca="false">Q51/(1+(((Curves!E12/Curves!F12-1)/(2-1))+F51/10000)*(2-1))</f>
        <v>0.933804461239296</v>
      </c>
      <c r="S51" s="31" t="n">
        <f aca="false">R51/(1+(((Curves!F12/Curves!G12-1)/(3-2))+G51/10000)*(3-2))</f>
        <v>0.901971758167543</v>
      </c>
      <c r="T51" s="31" t="n">
        <f aca="false">S51/(1+(((Curves!G12/Curves!H12-1)/(5-3))+H51/10000)*(5-3))</f>
        <v>0.841495282475524</v>
      </c>
      <c r="U51" s="31" t="n">
        <f aca="false">T51/(1+(((Curves!H12/Curves!I12-1)/(10-5))+I51/10000)*(10-5))</f>
        <v>0.706354352638135</v>
      </c>
      <c r="V51" s="31" t="n">
        <f aca="false">U51/(1+(((Curves!I12/Curves!J12-1)/(20-10))+J51/10000)*(20-10))</f>
        <v>0.499723838006788</v>
      </c>
      <c r="W51" s="31" t="n">
        <f aca="false">V51/(1+(((Curves!J12/Curves!K12-1)/(30-20))+K51/10000)*(30-20))</f>
        <v>0.35364877371754</v>
      </c>
    </row>
    <row r="52" customFormat="false" ht="15" hidden="false" customHeight="true" outlineLevel="0" collapsed="false">
      <c r="A52" s="9" t="s">
        <v>49</v>
      </c>
      <c r="B52" s="29" t="s">
        <v>50</v>
      </c>
      <c r="C52" s="33" t="n">
        <v>14.82</v>
      </c>
      <c r="D52" s="33" t="n">
        <v>-13.53</v>
      </c>
      <c r="E52" s="33" t="n">
        <v>11.16</v>
      </c>
      <c r="F52" s="33" t="n">
        <v>8.21</v>
      </c>
      <c r="G52" s="33" t="n">
        <v>5.41</v>
      </c>
      <c r="H52" s="33" t="n">
        <v>3.42</v>
      </c>
      <c r="I52" s="33" t="n">
        <v>1.71</v>
      </c>
      <c r="J52" s="33" t="n">
        <v>1.06</v>
      </c>
      <c r="K52" s="33" t="n">
        <v>0.75</v>
      </c>
      <c r="M52" s="4" t="s">
        <v>49</v>
      </c>
      <c r="N52" s="29" t="s">
        <v>50</v>
      </c>
      <c r="O52" s="31" t="n">
        <f aca="false">1/(1+(((1/Curves!C13-1)/(0.25-0))+C52/10000)*(0.25-0))</f>
        <v>0.989677976033078</v>
      </c>
      <c r="P52" s="31" t="n">
        <f aca="false">O52/(1+(((Curves!C13/Curves!D13-1)/(0.5-0.25))+D52/10000)*(0.5-0.25))</f>
        <v>0.980130819548877</v>
      </c>
      <c r="Q52" s="31" t="n">
        <f aca="false">P52/(1+(((Curves!D13/Curves!E13-1)/(1-0.5))+E52/10000)*(1-0.5))</f>
        <v>0.96008937800257</v>
      </c>
      <c r="R52" s="31" t="n">
        <f aca="false">Q52/(1+(((Curves!E13/Curves!F13-1)/(2-1))+F52/10000)*(2-1))</f>
        <v>0.921302999161914</v>
      </c>
      <c r="S52" s="31" t="n">
        <f aca="false">R52/(1+(((Curves!F13/Curves!G13-1)/(3-2))+G52/10000)*(3-2))</f>
        <v>0.884055136636566</v>
      </c>
      <c r="T52" s="31" t="n">
        <f aca="false">S52/(1+(((Curves!G13/Curves!H13-1)/(5-3))+H52/10000)*(5-3))</f>
        <v>0.813616643229366</v>
      </c>
      <c r="U52" s="31" t="n">
        <f aca="false">T52/(1+(((Curves!H13/Curves!I13-1)/(10-5))+I52/10000)*(10-5))</f>
        <v>0.65822528622619</v>
      </c>
      <c r="V52" s="31" t="n">
        <f aca="false">U52/(1+(((Curves!I13/Curves!J13-1)/(20-10))+J52/10000)*(20-10))</f>
        <v>0.434348542797712</v>
      </c>
      <c r="W52" s="31" t="n">
        <f aca="false">V52/(1+(((Curves!J13/Curves!K13-1)/(30-20))+K52/10000)*(30-20))</f>
        <v>0.286676140527283</v>
      </c>
    </row>
    <row r="54" customFormat="false" ht="15" hidden="false" customHeight="true" outlineLevel="0" collapsed="false">
      <c r="A54" s="28" t="s">
        <v>123</v>
      </c>
      <c r="B54" s="28"/>
      <c r="C54" s="12" t="s">
        <v>74</v>
      </c>
      <c r="D54" s="12" t="s">
        <v>75</v>
      </c>
      <c r="E54" s="12" t="s">
        <v>30</v>
      </c>
      <c r="F54" s="12" t="s">
        <v>76</v>
      </c>
      <c r="G54" s="12" t="s">
        <v>77</v>
      </c>
      <c r="H54" s="12" t="s">
        <v>78</v>
      </c>
      <c r="I54" s="12" t="s">
        <v>79</v>
      </c>
      <c r="J54" s="12" t="s">
        <v>80</v>
      </c>
      <c r="K54" s="12" t="s">
        <v>81</v>
      </c>
      <c r="M54" s="28" t="s">
        <v>123</v>
      </c>
      <c r="N54" s="28"/>
      <c r="O54" s="12" t="s">
        <v>74</v>
      </c>
      <c r="P54" s="12" t="s">
        <v>75</v>
      </c>
      <c r="Q54" s="12" t="s">
        <v>30</v>
      </c>
      <c r="R54" s="12" t="s">
        <v>76</v>
      </c>
      <c r="S54" s="12" t="s">
        <v>77</v>
      </c>
      <c r="T54" s="12" t="s">
        <v>78</v>
      </c>
      <c r="U54" s="12" t="s">
        <v>79</v>
      </c>
      <c r="V54" s="12" t="s">
        <v>80</v>
      </c>
      <c r="W54" s="12" t="s">
        <v>81</v>
      </c>
    </row>
    <row r="55" customFormat="false" ht="15" hidden="false" customHeight="true" outlineLevel="0" collapsed="false">
      <c r="A55" s="9" t="s">
        <v>42</v>
      </c>
      <c r="B55" s="29" t="s">
        <v>43</v>
      </c>
      <c r="C55" s="33" t="n">
        <v>25</v>
      </c>
      <c r="D55" s="33" t="n">
        <v>22.69</v>
      </c>
      <c r="E55" s="33" t="n">
        <v>17.84</v>
      </c>
      <c r="F55" s="33" t="n">
        <v>12.13</v>
      </c>
      <c r="G55" s="33" t="n">
        <v>8.37</v>
      </c>
      <c r="H55" s="33" t="n">
        <v>4.06</v>
      </c>
      <c r="I55" s="33" t="n">
        <v>2.07</v>
      </c>
      <c r="J55" s="33" t="n">
        <v>1.13</v>
      </c>
      <c r="K55" s="33" t="n">
        <v>0.75</v>
      </c>
      <c r="M55" s="4" t="s">
        <v>42</v>
      </c>
      <c r="N55" s="29" t="s">
        <v>43</v>
      </c>
      <c r="O55" s="31" t="n">
        <f aca="false">1/(1+(((1/Curves!C8-1)/(0.25-0))+C55/10000)*(0.25-0))</f>
        <v>0.988686683900619</v>
      </c>
      <c r="P55" s="31" t="n">
        <f aca="false">O55/(1+(((Curves!C8/Curves!D8-1)/(0.5-0.25))+D55/10000)*(0.5-0.25))</f>
        <v>0.977539671847339</v>
      </c>
      <c r="Q55" s="31" t="n">
        <f aca="false">P55/(1+(((Curves!D8/Curves!E8-1)/(1-0.5))+E55/10000)*(1-0.5))</f>
        <v>0.955804981192856</v>
      </c>
      <c r="R55" s="31" t="n">
        <f aca="false">Q55/(1+(((Curves!E8/Curves!F8-1)/(2-1))+F55/10000)*(2-1))</f>
        <v>0.914102787583986</v>
      </c>
      <c r="S55" s="31" t="n">
        <f aca="false">R55/(1+(((Curves!F8/Curves!G8-1)/(3-2))+G55/10000)*(3-2))</f>
        <v>0.874272251281816</v>
      </c>
      <c r="T55" s="31" t="n">
        <f aca="false">S55/(1+(((Curves!G8/Curves!H8-1)/(5-3))+H55/10000)*(5-3))</f>
        <v>0.799710274759105</v>
      </c>
      <c r="U55" s="31" t="n">
        <f aca="false">T55/(1+(((Curves!H8/Curves!I8-1)/(10-5))+I55/10000)*(10-5))</f>
        <v>0.63725727131298</v>
      </c>
      <c r="V55" s="31" t="n">
        <f aca="false">U55/(1+(((Curves!I8/Curves!J8-1)/(20-10))+J55/10000)*(20-10))</f>
        <v>0.408074851179148</v>
      </c>
      <c r="W55" s="31" t="n">
        <f aca="false">V55/(1+(((Curves!J8/Curves!K8-1)/(30-20))+K55/10000)*(30-20))</f>
        <v>0.261378316255918</v>
      </c>
    </row>
    <row r="56" customFormat="false" ht="15" hidden="false" customHeight="true" outlineLevel="0" collapsed="false">
      <c r="A56" s="9" t="s">
        <v>52</v>
      </c>
      <c r="B56" s="29" t="s">
        <v>43</v>
      </c>
      <c r="C56" s="33" t="n">
        <v>19.22</v>
      </c>
      <c r="D56" s="33" t="n">
        <v>17.99</v>
      </c>
      <c r="E56" s="33" t="n">
        <v>15.95</v>
      </c>
      <c r="F56" s="33" t="n">
        <v>9.91</v>
      </c>
      <c r="G56" s="33" t="n">
        <v>5.73</v>
      </c>
      <c r="H56" s="33" t="n">
        <v>3.24</v>
      </c>
      <c r="I56" s="33" t="n">
        <v>1.58</v>
      </c>
      <c r="J56" s="33" t="n">
        <v>0.76</v>
      </c>
      <c r="K56" s="33" t="n">
        <v>0.41</v>
      </c>
      <c r="M56" s="4" t="s">
        <v>52</v>
      </c>
      <c r="N56" s="29" t="s">
        <v>43</v>
      </c>
      <c r="O56" s="31" t="n">
        <f aca="false">1/(1+(((1/Curves!C9-1)/(0.25-0))+C56/10000)*(0.25-0))</f>
        <v>0.991798124325763</v>
      </c>
      <c r="P56" s="31" t="n">
        <f aca="false">O56/(1+(((Curves!C9/Curves!D9-1)/(0.5-0.25))+D56/10000)*(0.5-0.25))</f>
        <v>0.983674808090025</v>
      </c>
      <c r="Q56" s="31" t="n">
        <f aca="false">P56/(1+(((Curves!D9/Curves!E9-1)/(1-0.5))+E56/10000)*(1-0.5))</f>
        <v>0.967676111340144</v>
      </c>
      <c r="R56" s="31" t="n">
        <f aca="false">Q56/(1+(((Curves!E9/Curves!F9-1)/(2-1))+F56/10000)*(2-1))</f>
        <v>0.936816674665182</v>
      </c>
      <c r="S56" s="31" t="n">
        <f aca="false">R56/(1+(((Curves!F9/Curves!G9-1)/(3-2))+G56/10000)*(3-2))</f>
        <v>0.907036386225026</v>
      </c>
      <c r="T56" s="31" t="n">
        <f aca="false">S56/(1+(((Curves!G9/Curves!H9-1)/(5-3))+H56/10000)*(5-3))</f>
        <v>0.849948564405592</v>
      </c>
      <c r="U56" s="31" t="n">
        <f aca="false">T56/(1+(((Curves!H9/Curves!I9-1)/(10-5))+I56/10000)*(10-5))</f>
        <v>0.719283906400859</v>
      </c>
      <c r="V56" s="31" t="n">
        <f aca="false">U56/(1+(((Curves!I9/Curves!J9-1)/(20-10))+J56/10000)*(20-10))</f>
        <v>0.519417550778532</v>
      </c>
      <c r="W56" s="31" t="n">
        <f aca="false">V56/(1+(((Curves!J9/Curves!K9-1)/(30-20))+K56/10000)*(30-20))</f>
        <v>0.375181733867027</v>
      </c>
    </row>
    <row r="57" customFormat="false" ht="15" hidden="false" customHeight="true" outlineLevel="0" collapsed="false">
      <c r="A57" s="9" t="s">
        <v>45</v>
      </c>
      <c r="B57" s="29" t="s">
        <v>38</v>
      </c>
      <c r="C57" s="33" t="n">
        <v>27.38</v>
      </c>
      <c r="D57" s="33" t="n">
        <v>25.98</v>
      </c>
      <c r="E57" s="33" t="n">
        <v>20.21</v>
      </c>
      <c r="F57" s="33" t="n">
        <v>-13.3</v>
      </c>
      <c r="G57" s="33" t="n">
        <v>8.63</v>
      </c>
      <c r="H57" s="33" t="n">
        <v>4.81</v>
      </c>
      <c r="I57" s="33" t="n">
        <v>2.49</v>
      </c>
      <c r="J57" s="33" t="n">
        <v>1.22</v>
      </c>
      <c r="K57" s="33" t="n">
        <v>0.81</v>
      </c>
      <c r="M57" s="4" t="s">
        <v>45</v>
      </c>
      <c r="N57" s="29" t="s">
        <v>38</v>
      </c>
      <c r="O57" s="31" t="n">
        <f aca="false">1/(1+(((1/Curves!C10-1)/(0.25-0))+C57/10000)*(0.25-0))</f>
        <v>0.988876190411319</v>
      </c>
      <c r="P57" s="31" t="n">
        <f aca="false">O57/(1+(((Curves!C10/Curves!D10-1)/(0.5-0.25))+D57/10000)*(0.5-0.25))</f>
        <v>0.97789071776664</v>
      </c>
      <c r="Q57" s="31" t="n">
        <f aca="false">P57/(1+(((Curves!D10/Curves!E10-1)/(1-0.5))+E57/10000)*(1-0.5))</f>
        <v>0.956515327373862</v>
      </c>
      <c r="R57" s="31" t="n">
        <f aca="false">Q57/(1+(((Curves!E10/Curves!F10-1)/(2-1))+F57/10000)*(2-1))</f>
        <v>0.917931314497811</v>
      </c>
      <c r="S57" s="31" t="n">
        <f aca="false">R57/(1+(((Curves!F10/Curves!G10-1)/(3-2))+G57/10000)*(3-2))</f>
        <v>0.878789360370155</v>
      </c>
      <c r="T57" s="31" t="n">
        <f aca="false">S57/(1+(((Curves!G10/Curves!H10-1)/(5-3))+H57/10000)*(5-3))</f>
        <v>0.805339137017218</v>
      </c>
      <c r="U57" s="31" t="n">
        <f aca="false">T57/(1+(((Curves!H10/Curves!I10-1)/(10-5))+I57/10000)*(10-5))</f>
        <v>0.644849467959019</v>
      </c>
      <c r="V57" s="31" t="n">
        <f aca="false">U57/(1+(((Curves!I10/Curves!J10-1)/(20-10))+J57/10000)*(20-10))</f>
        <v>0.417059174240325</v>
      </c>
      <c r="W57" s="31" t="n">
        <f aca="false">V57/(1+(((Curves!J10/Curves!K10-1)/(30-20))+K57/10000)*(30-20))</f>
        <v>0.2698063846188</v>
      </c>
    </row>
    <row r="58" customFormat="false" ht="15" hidden="false" customHeight="true" outlineLevel="0" collapsed="false">
      <c r="A58" s="9" t="s">
        <v>37</v>
      </c>
      <c r="B58" s="29" t="s">
        <v>38</v>
      </c>
      <c r="C58" s="33" t="n">
        <v>43.12</v>
      </c>
      <c r="D58" s="33" t="n">
        <v>37.62</v>
      </c>
      <c r="E58" s="33" t="n">
        <v>32.89</v>
      </c>
      <c r="F58" s="33" t="n">
        <v>-23.01</v>
      </c>
      <c r="G58" s="33" t="n">
        <v>15.48</v>
      </c>
      <c r="H58" s="33" t="n">
        <v>9.12</v>
      </c>
      <c r="I58" s="33" t="n">
        <v>4.12</v>
      </c>
      <c r="J58" s="33" t="n">
        <v>-2.46</v>
      </c>
      <c r="K58" s="33" t="n">
        <v>1.6</v>
      </c>
      <c r="M58" s="4" t="s">
        <v>37</v>
      </c>
      <c r="N58" s="29" t="s">
        <v>38</v>
      </c>
      <c r="O58" s="31" t="n">
        <f aca="false">1/(1+(((1/Curves!C11-1)/(0.25-0))+C58/10000)*(0.25-0))</f>
        <v>0.987504651402741</v>
      </c>
      <c r="P58" s="31" t="n">
        <f aca="false">O58/(1+(((Curves!C11/Curves!D11-1)/(0.5-0.25))+D58/10000)*(0.5-0.25))</f>
        <v>0.975278977380358</v>
      </c>
      <c r="Q58" s="31" t="n">
        <f aca="false">P58/(1+(((Curves!D11/Curves!E11-1)/(1-0.5))+E58/10000)*(1-0.5))</f>
        <v>0.951467522241567</v>
      </c>
      <c r="R58" s="31" t="n">
        <f aca="false">Q58/(1+(((Curves!E11/Curves!F11-1)/(2-1))+F58/10000)*(2-1))</f>
        <v>0.910281760733834</v>
      </c>
      <c r="S58" s="31" t="n">
        <f aca="false">R58/(1+(((Curves!F11/Curves!G11-1)/(3-2))+G58/10000)*(3-2))</f>
        <v>0.867424606785257</v>
      </c>
      <c r="T58" s="31" t="n">
        <f aca="false">S58/(1+(((Curves!G11/Curves!H11-1)/(5-3))+H58/10000)*(5-3))</f>
        <v>0.787977955417148</v>
      </c>
      <c r="U58" s="31" t="n">
        <f aca="false">T58/(1+(((Curves!H11/Curves!I11-1)/(10-5))+I58/10000)*(10-5))</f>
        <v>0.618070482534248</v>
      </c>
      <c r="V58" s="31" t="n">
        <f aca="false">U58/(1+(((Curves!I11/Curves!J11-1)/(20-10))+J58/10000)*(20-10))</f>
        <v>0.384957731209266</v>
      </c>
      <c r="W58" s="31" t="n">
        <f aca="false">V58/(1+(((Curves!J11/Curves!K11-1)/(30-20))+K58/10000)*(30-20))</f>
        <v>0.239161045211703</v>
      </c>
    </row>
    <row r="59" customFormat="false" ht="15" hidden="false" customHeight="true" outlineLevel="0" collapsed="false">
      <c r="A59" s="9" t="s">
        <v>40</v>
      </c>
      <c r="B59" s="29" t="s">
        <v>38</v>
      </c>
      <c r="C59" s="33" t="n">
        <v>37.51</v>
      </c>
      <c r="D59" s="33" t="n">
        <v>30.55</v>
      </c>
      <c r="E59" s="33" t="n">
        <v>24.81</v>
      </c>
      <c r="F59" s="33" t="n">
        <v>-18.84</v>
      </c>
      <c r="G59" s="33" t="n">
        <v>11.03</v>
      </c>
      <c r="H59" s="33" t="n">
        <v>5.75</v>
      </c>
      <c r="I59" s="33" t="n">
        <v>3.09</v>
      </c>
      <c r="J59" s="33" t="n">
        <v>1.5</v>
      </c>
      <c r="K59" s="33" t="n">
        <v>1.16</v>
      </c>
      <c r="M59" s="4" t="s">
        <v>40</v>
      </c>
      <c r="N59" s="29" t="s">
        <v>38</v>
      </c>
      <c r="O59" s="31" t="n">
        <f aca="false">1/(1+(((1/Curves!C12-1)/(0.25-0))+C59/10000)*(0.25-0))</f>
        <v>0.990853469605496</v>
      </c>
      <c r="P59" s="31" t="n">
        <f aca="false">O59/(1+(((Curves!C12/Curves!D12-1)/(0.5-0.25))+D59/10000)*(0.5-0.25))</f>
        <v>0.98194029380726</v>
      </c>
      <c r="Q59" s="31" t="n">
        <f aca="false">P59/(1+(((Curves!D12/Curves!E12-1)/(1-0.5))+E59/10000)*(1-0.5))</f>
        <v>0.964585750008933</v>
      </c>
      <c r="R59" s="31" t="n">
        <f aca="false">Q59/(1+(((Curves!E12/Curves!F12-1)/(2-1))+F59/10000)*(2-1))</f>
        <v>0.934556883007258</v>
      </c>
      <c r="S59" s="31" t="n">
        <f aca="false">R59/(1+(((Curves!F12/Curves!G12-1)/(3-2))+G59/10000)*(3-2))</f>
        <v>0.902579964045612</v>
      </c>
      <c r="T59" s="31" t="n">
        <f aca="false">S59/(1+(((Curves!G12/Curves!H12-1)/(5-3))+H59/10000)*(5-3))</f>
        <v>0.842003007040727</v>
      </c>
      <c r="U59" s="31" t="n">
        <f aca="false">T59/(1+(((Curves!H12/Curves!I12-1)/(10-5))+I59/10000)*(10-5))</f>
        <v>0.705028799134475</v>
      </c>
      <c r="V59" s="31" t="n">
        <f aca="false">U59/(1+(((Curves!I12/Curves!J12-1)/(20-10))+J59/10000)*(20-10))</f>
        <v>0.49878604993787</v>
      </c>
      <c r="W59" s="31" t="n">
        <f aca="false">V59/(1+(((Curves!J12/Curves!K12-1)/(30-20))+K59/10000)*(30-20))</f>
        <v>0.352960133380136</v>
      </c>
    </row>
    <row r="60" customFormat="false" ht="15" hidden="false" customHeight="true" outlineLevel="0" collapsed="false">
      <c r="A60" s="9" t="s">
        <v>49</v>
      </c>
      <c r="B60" s="29" t="s">
        <v>50</v>
      </c>
      <c r="C60" s="33" t="n">
        <v>15.81</v>
      </c>
      <c r="D60" s="33" t="n">
        <v>15.52</v>
      </c>
      <c r="E60" s="33" t="n">
        <v>13.38</v>
      </c>
      <c r="F60" s="33" t="n">
        <v>9.08</v>
      </c>
      <c r="G60" s="33" t="n">
        <v>-6.16</v>
      </c>
      <c r="H60" s="33" t="n">
        <v>-3.78</v>
      </c>
      <c r="I60" s="33" t="n">
        <v>2.01</v>
      </c>
      <c r="J60" s="33" t="n">
        <v>-1.12</v>
      </c>
      <c r="K60" s="33" t="n">
        <v>0.81</v>
      </c>
      <c r="M60" s="4" t="s">
        <v>49</v>
      </c>
      <c r="N60" s="29" t="s">
        <v>50</v>
      </c>
      <c r="O60" s="31" t="n">
        <f aca="false">1/(1+(((1/Curves!C13-1)/(0.25-0))+C60/10000)*(0.25-0))</f>
        <v>0.98965373493007</v>
      </c>
      <c r="P60" s="31" t="n">
        <f aca="false">O60/(1+(((Curves!C13/Curves!D13-1)/(0.5-0.25))+D60/10000)*(0.5-0.25))</f>
        <v>0.979402382944868</v>
      </c>
      <c r="Q60" s="31" t="n">
        <f aca="false">P60/(1+(((Curves!D13/Curves!E13-1)/(1-0.5))+E60/10000)*(1-0.5))</f>
        <v>0.959271534382446</v>
      </c>
      <c r="R60" s="31" t="n">
        <f aca="false">Q60/(1+(((Curves!E13/Curves!F13-1)/(2-1))+F60/10000)*(2-1))</f>
        <v>0.920441352041426</v>
      </c>
      <c r="S60" s="31" t="n">
        <f aca="false">R60/(1+(((Curves!F13/Curves!G13-1)/(3-2))+G60/10000)*(3-2))</f>
        <v>0.884209995805559</v>
      </c>
      <c r="T60" s="31" t="n">
        <f aca="false">S60/(1+(((Curves!G13/Curves!H13-1)/(5-3))+H60/10000)*(5-3))</f>
        <v>0.814839041997588</v>
      </c>
      <c r="U60" s="31" t="n">
        <f aca="false">T60/(1+(((Curves!H13/Curves!I13-1)/(10-5))+I60/10000)*(10-5))</f>
        <v>0.659134233901098</v>
      </c>
      <c r="V60" s="31" t="n">
        <f aca="false">U60/(1+(((Curves!I13/Curves!J13-1)/(20-10))+J60/10000)*(20-10))</f>
        <v>0.435574927175592</v>
      </c>
      <c r="W60" s="31" t="n">
        <f aca="false">V60/(1+(((Curves!J13/Curves!K13-1)/(30-20))+K60/10000)*(30-20))</f>
        <v>0.287474187226349</v>
      </c>
    </row>
    <row r="62" customFormat="false" ht="15" hidden="false" customHeight="true" outlineLevel="0" collapsed="false">
      <c r="A62" s="28" t="s">
        <v>124</v>
      </c>
      <c r="B62" s="28"/>
      <c r="C62" s="12" t="s">
        <v>74</v>
      </c>
      <c r="D62" s="12" t="s">
        <v>75</v>
      </c>
      <c r="E62" s="12" t="s">
        <v>30</v>
      </c>
      <c r="F62" s="12" t="s">
        <v>76</v>
      </c>
      <c r="G62" s="12" t="s">
        <v>77</v>
      </c>
      <c r="H62" s="12" t="s">
        <v>78</v>
      </c>
      <c r="I62" s="12" t="s">
        <v>79</v>
      </c>
      <c r="J62" s="12" t="s">
        <v>80</v>
      </c>
      <c r="K62" s="12" t="s">
        <v>81</v>
      </c>
      <c r="M62" s="28" t="s">
        <v>124</v>
      </c>
      <c r="N62" s="28"/>
      <c r="O62" s="12" t="s">
        <v>74</v>
      </c>
      <c r="P62" s="12" t="s">
        <v>75</v>
      </c>
      <c r="Q62" s="12" t="s">
        <v>30</v>
      </c>
      <c r="R62" s="12" t="s">
        <v>76</v>
      </c>
      <c r="S62" s="12" t="s">
        <v>77</v>
      </c>
      <c r="T62" s="12" t="s">
        <v>78</v>
      </c>
      <c r="U62" s="12" t="s">
        <v>79</v>
      </c>
      <c r="V62" s="12" t="s">
        <v>80</v>
      </c>
      <c r="W62" s="12" t="s">
        <v>81</v>
      </c>
    </row>
    <row r="63" customFormat="false" ht="15" hidden="false" customHeight="true" outlineLevel="0" collapsed="false">
      <c r="A63" s="9" t="s">
        <v>42</v>
      </c>
      <c r="B63" s="29" t="s">
        <v>43</v>
      </c>
      <c r="C63" s="33" t="n">
        <v>26.16</v>
      </c>
      <c r="D63" s="33" t="n">
        <v>23.72</v>
      </c>
      <c r="E63" s="33" t="n">
        <v>18.24</v>
      </c>
      <c r="F63" s="33" t="n">
        <v>12.98</v>
      </c>
      <c r="G63" s="33" t="n">
        <v>8.47</v>
      </c>
      <c r="H63" s="33" t="n">
        <v>-4.14</v>
      </c>
      <c r="I63" s="33" t="n">
        <v>2.09</v>
      </c>
      <c r="J63" s="33" t="n">
        <v>1.25</v>
      </c>
      <c r="K63" s="33" t="n">
        <v>0.81</v>
      </c>
      <c r="M63" s="4" t="s">
        <v>42</v>
      </c>
      <c r="N63" s="29" t="s">
        <v>43</v>
      </c>
      <c r="O63" s="31" t="n">
        <f aca="false">1/(1+(((1/Curves!C8-1)/(0.25-0))+C63/10000)*(0.25-0))</f>
        <v>0.988658337173965</v>
      </c>
      <c r="P63" s="31" t="n">
        <f aca="false">O63/(1+(((Curves!C8/Curves!D8-1)/(0.5-0.25))+D63/10000)*(0.5-0.25))</f>
        <v>0.977486758217664</v>
      </c>
      <c r="Q63" s="31" t="n">
        <f aca="false">P63/(1+(((Curves!D8/Curves!E8-1)/(1-0.5))+E63/10000)*(1-0.5))</f>
        <v>0.9557345543552</v>
      </c>
      <c r="R63" s="31" t="n">
        <f aca="false">Q63/(1+(((Curves!E8/Curves!F8-1)/(2-1))+F63/10000)*(2-1))</f>
        <v>0.91396113630868</v>
      </c>
      <c r="S63" s="31" t="n">
        <f aca="false">R63/(1+(((Curves!F8/Curves!G8-1)/(3-2))+G63/10000)*(3-2))</f>
        <v>0.874128411832588</v>
      </c>
      <c r="T63" s="31" t="n">
        <f aca="false">S63/(1+(((Curves!G8/Curves!H8-1)/(5-3))+H63/10000)*(5-3))</f>
        <v>0.800779979254272</v>
      </c>
      <c r="U63" s="31" t="n">
        <f aca="false">T63/(1+(((Curves!H8/Curves!I8-1)/(10-5))+I63/10000)*(10-5))</f>
        <v>0.638104591425252</v>
      </c>
      <c r="V63" s="31" t="n">
        <f aca="false">U63/(1+(((Curves!I8/Curves!J8-1)/(20-10))+J63/10000)*(20-10))</f>
        <v>0.408586045010336</v>
      </c>
      <c r="W63" s="31" t="n">
        <f aca="false">V63/(1+(((Curves!J8/Curves!K8-1)/(30-20))+K63/10000)*(30-20))</f>
        <v>0.261695686679076</v>
      </c>
    </row>
    <row r="64" customFormat="false" ht="15" hidden="false" customHeight="true" outlineLevel="0" collapsed="false">
      <c r="A64" s="9" t="s">
        <v>52</v>
      </c>
      <c r="B64" s="29" t="s">
        <v>43</v>
      </c>
      <c r="C64" s="33" t="n">
        <v>-21.01</v>
      </c>
      <c r="D64" s="33" t="n">
        <v>19.42</v>
      </c>
      <c r="E64" s="33" t="n">
        <v>15.9</v>
      </c>
      <c r="F64" s="33" t="n">
        <v>10.49</v>
      </c>
      <c r="G64" s="33" t="n">
        <v>-6.26</v>
      </c>
      <c r="H64" s="33" t="n">
        <v>3.43</v>
      </c>
      <c r="I64" s="33" t="n">
        <v>1.74</v>
      </c>
      <c r="J64" s="33" t="n">
        <v>0.81</v>
      </c>
      <c r="K64" s="33" t="n">
        <v>0.44</v>
      </c>
      <c r="M64" s="4" t="s">
        <v>52</v>
      </c>
      <c r="N64" s="29" t="s">
        <v>43</v>
      </c>
      <c r="O64" s="31" t="n">
        <f aca="false">1/(1+(((1/Curves!C9-1)/(0.25-0))+C64/10000)*(0.25-0))</f>
        <v>0.992788431743018</v>
      </c>
      <c r="P64" s="31" t="n">
        <f aca="false">O64/(1+(((Curves!C9/Curves!D9-1)/(0.5-0.25))+D64/10000)*(0.5-0.25))</f>
        <v>0.984622092468207</v>
      </c>
      <c r="Q64" s="31" t="n">
        <f aca="false">P64/(1+(((Curves!D9/Curves!E9-1)/(1-0.5))+E64/10000)*(1-0.5))</f>
        <v>0.968610371024998</v>
      </c>
      <c r="R64" s="31" t="n">
        <f aca="false">Q64/(1+(((Curves!E9/Curves!F9-1)/(2-1))+F64/10000)*(2-1))</f>
        <v>0.93766849014344</v>
      </c>
      <c r="S64" s="31" t="n">
        <f aca="false">R64/(1+(((Curves!F9/Curves!G9-1)/(3-2))+G64/10000)*(3-2))</f>
        <v>0.908916270962756</v>
      </c>
      <c r="T64" s="31" t="n">
        <f aca="false">S64/(1+(((Curves!G9/Curves!H9-1)/(5-3))+H64/10000)*(5-3))</f>
        <v>0.851679804480298</v>
      </c>
      <c r="U64" s="31" t="n">
        <f aca="false">T64/(1+(((Curves!H9/Curves!I9-1)/(10-5))+I64/10000)*(10-5))</f>
        <v>0.720700206315331</v>
      </c>
      <c r="V64" s="31" t="n">
        <f aca="false">U64/(1+(((Curves!I9/Curves!J9-1)/(20-10))+J64/10000)*(20-10))</f>
        <v>0.520421514891847</v>
      </c>
      <c r="W64" s="31" t="n">
        <f aca="false">V64/(1+(((Curves!J9/Curves!K9-1)/(30-20))+K64/10000)*(30-20))</f>
        <v>0.375898764097741</v>
      </c>
    </row>
    <row r="65" customFormat="false" ht="15" hidden="false" customHeight="true" outlineLevel="0" collapsed="false">
      <c r="A65" s="9" t="s">
        <v>45</v>
      </c>
      <c r="B65" s="29" t="s">
        <v>38</v>
      </c>
      <c r="C65" s="33" t="n">
        <v>29.83</v>
      </c>
      <c r="D65" s="33" t="n">
        <v>28.49</v>
      </c>
      <c r="E65" s="33" t="n">
        <v>22.41</v>
      </c>
      <c r="F65" s="33" t="n">
        <v>14.27</v>
      </c>
      <c r="G65" s="33" t="n">
        <v>9.55</v>
      </c>
      <c r="H65" s="33" t="n">
        <v>-5.04</v>
      </c>
      <c r="I65" s="33" t="n">
        <v>2.44</v>
      </c>
      <c r="J65" s="33" t="n">
        <v>1.22</v>
      </c>
      <c r="K65" s="33" t="n">
        <v>-0.82</v>
      </c>
      <c r="M65" s="4" t="s">
        <v>45</v>
      </c>
      <c r="N65" s="29" t="s">
        <v>38</v>
      </c>
      <c r="O65" s="31" t="n">
        <f aca="false">1/(1+(((1/Curves!C10-1)/(0.25-0))+C65/10000)*(0.25-0))</f>
        <v>0.988816299126506</v>
      </c>
      <c r="P65" s="31" t="n">
        <f aca="false">O65/(1+(((Curves!C10/Curves!D10-1)/(0.5-0.25))+D65/10000)*(0.5-0.25))</f>
        <v>0.977770818295046</v>
      </c>
      <c r="Q65" s="31" t="n">
        <f aca="false">P65/(1+(((Curves!D10/Curves!E10-1)/(1-0.5))+E65/10000)*(1-0.5))</f>
        <v>0.956295155645531</v>
      </c>
      <c r="R65" s="31" t="n">
        <f aca="false">Q65/(1+(((Curves!E10/Curves!F10-1)/(2-1))+F65/10000)*(2-1))</f>
        <v>0.915298338852606</v>
      </c>
      <c r="S65" s="31" t="n">
        <f aca="false">R65/(1+(((Curves!F10/Curves!G10-1)/(3-2))+G65/10000)*(3-2))</f>
        <v>0.876191486412704</v>
      </c>
      <c r="T65" s="31" t="n">
        <f aca="false">S65/(1+(((Curves!G10/Curves!H10-1)/(5-3))+H65/10000)*(5-3))</f>
        <v>0.804410635176742</v>
      </c>
      <c r="U65" s="31" t="n">
        <f aca="false">T65/(1+(((Curves!H10/Curves!I10-1)/(10-5))+I65/10000)*(10-5))</f>
        <v>0.644118893847274</v>
      </c>
      <c r="V65" s="31" t="n">
        <f aca="false">U65/(1+(((Curves!I10/Curves!J10-1)/(20-10))+J65/10000)*(20-10))</f>
        <v>0.416586672283039</v>
      </c>
      <c r="W65" s="31" t="n">
        <f aca="false">V65/(1+(((Curves!J10/Curves!K10-1)/(30-20))+K65/10000)*(30-20))</f>
        <v>0.269785196445155</v>
      </c>
    </row>
    <row r="66" customFormat="false" ht="15" hidden="false" customHeight="true" outlineLevel="0" collapsed="false">
      <c r="A66" s="9" t="s">
        <v>37</v>
      </c>
      <c r="B66" s="29" t="s">
        <v>38</v>
      </c>
      <c r="C66" s="33" t="n">
        <v>47.53</v>
      </c>
      <c r="D66" s="33" t="n">
        <v>44.18</v>
      </c>
      <c r="E66" s="33" t="n">
        <v>35.46</v>
      </c>
      <c r="F66" s="33" t="n">
        <v>25.04</v>
      </c>
      <c r="G66" s="33" t="n">
        <v>16.46</v>
      </c>
      <c r="H66" s="33" t="n">
        <v>9.62</v>
      </c>
      <c r="I66" s="33" t="n">
        <v>-4.38</v>
      </c>
      <c r="J66" s="33" t="n">
        <v>2.59</v>
      </c>
      <c r="K66" s="33" t="n">
        <v>1.77</v>
      </c>
      <c r="M66" s="4" t="s">
        <v>37</v>
      </c>
      <c r="N66" s="29" t="s">
        <v>38</v>
      </c>
      <c r="O66" s="31" t="n">
        <f aca="false">1/(1+(((1/Curves!C11-1)/(0.25-0))+C66/10000)*(0.25-0))</f>
        <v>0.987397151117175</v>
      </c>
      <c r="P66" s="31" t="n">
        <f aca="false">O66/(1+(((Curves!C11/Curves!D11-1)/(0.5-0.25))+D66/10000)*(0.5-0.25))</f>
        <v>0.975014885198603</v>
      </c>
      <c r="Q66" s="31" t="n">
        <f aca="false">P66/(1+(((Curves!D11/Curves!E11-1)/(1-0.5))+E66/10000)*(1-0.5))</f>
        <v>0.951090646612669</v>
      </c>
      <c r="R66" s="31" t="n">
        <f aca="false">Q66/(1+(((Curves!E11/Curves!F11-1)/(2-1))+F66/10000)*(2-1))</f>
        <v>0.90575742458328</v>
      </c>
      <c r="S66" s="31" t="n">
        <f aca="false">R66/(1+(((Curves!F11/Curves!G11-1)/(3-2))+G66/10000)*(3-2))</f>
        <v>0.863032686584156</v>
      </c>
      <c r="T66" s="31" t="n">
        <f aca="false">S66/(1+(((Curves!G11/Curves!H11-1)/(5-3))+H66/10000)*(5-3))</f>
        <v>0.783917075416402</v>
      </c>
      <c r="U66" s="31" t="n">
        <f aca="false">T66/(1+(((Curves!H11/Curves!I11-1)/(10-5))+I66/10000)*(10-5))</f>
        <v>0.616941862821794</v>
      </c>
      <c r="V66" s="31" t="n">
        <f aca="false">U66/(1+(((Curves!I11/Curves!J11-1)/(20-10))+J66/10000)*(20-10))</f>
        <v>0.383049964948413</v>
      </c>
      <c r="W66" s="31" t="n">
        <f aca="false">V66/(1+(((Curves!J11/Curves!K11-1)/(30-20))+K66/10000)*(30-20))</f>
        <v>0.237950684213522</v>
      </c>
    </row>
    <row r="67" customFormat="false" ht="15" hidden="false" customHeight="true" outlineLevel="0" collapsed="false">
      <c r="A67" s="9" t="s">
        <v>40</v>
      </c>
      <c r="B67" s="29" t="s">
        <v>38</v>
      </c>
      <c r="C67" s="33" t="n">
        <v>39.99</v>
      </c>
      <c r="D67" s="33" t="n">
        <v>36.17</v>
      </c>
      <c r="E67" s="33" t="n">
        <v>28.19</v>
      </c>
      <c r="F67" s="33" t="n">
        <v>18.72</v>
      </c>
      <c r="G67" s="33" t="n">
        <v>12.57</v>
      </c>
      <c r="H67" s="33" t="n">
        <v>6.3</v>
      </c>
      <c r="I67" s="33" t="n">
        <v>3.37</v>
      </c>
      <c r="J67" s="33" t="n">
        <v>1.71</v>
      </c>
      <c r="K67" s="33" t="n">
        <v>1.34</v>
      </c>
      <c r="M67" s="4" t="s">
        <v>40</v>
      </c>
      <c r="N67" s="29" t="s">
        <v>38</v>
      </c>
      <c r="O67" s="31" t="n">
        <f aca="false">1/(1+(((1/Curves!C12-1)/(0.25-0))+C67/10000)*(0.25-0))</f>
        <v>0.99079260232766</v>
      </c>
      <c r="P67" s="31" t="n">
        <f aca="false">O67/(1+(((Curves!C12/Curves!D12-1)/(0.5-0.25))+D67/10000)*(0.5-0.25))</f>
        <v>0.981743279914517</v>
      </c>
      <c r="Q67" s="31" t="n">
        <f aca="false">P67/(1+(((Curves!D12/Curves!E12-1)/(1-0.5))+E67/10000)*(1-0.5))</f>
        <v>0.964232142879761</v>
      </c>
      <c r="R67" s="31" t="n">
        <f aca="false">Q67/(1+(((Curves!E12/Curves!F12-1)/(2-1))+F67/10000)*(2-1))</f>
        <v>0.930826939192859</v>
      </c>
      <c r="S67" s="31" t="n">
        <f aca="false">R67/(1+(((Curves!F12/Curves!G12-1)/(3-2))+G67/10000)*(3-2))</f>
        <v>0.898843958764642</v>
      </c>
      <c r="T67" s="31" t="n">
        <f aca="false">S67/(1+(((Curves!G12/Curves!H12-1)/(5-3))+H67/10000)*(5-3))</f>
        <v>0.838431707398178</v>
      </c>
      <c r="U67" s="31" t="n">
        <f aca="false">T67/(1+(((Curves!H12/Curves!I12-1)/(10-5))+I67/10000)*(10-5))</f>
        <v>0.701956179462316</v>
      </c>
      <c r="V67" s="31" t="n">
        <f aca="false">U67/(1+(((Curves!I12/Curves!J12-1)/(20-10))+J67/10000)*(20-10))</f>
        <v>0.496538496659174</v>
      </c>
      <c r="W67" s="31" t="n">
        <f aca="false">V67/(1+(((Curves!J12/Curves!K12-1)/(30-20))+K67/10000)*(30-20))</f>
        <v>0.351324928526306</v>
      </c>
    </row>
    <row r="68" customFormat="false" ht="15" hidden="false" customHeight="true" outlineLevel="0" collapsed="false">
      <c r="A68" s="9" t="s">
        <v>49</v>
      </c>
      <c r="B68" s="29" t="s">
        <v>50</v>
      </c>
      <c r="C68" s="33" t="n">
        <v>-17.19</v>
      </c>
      <c r="D68" s="33" t="n">
        <v>16.95</v>
      </c>
      <c r="E68" s="33" t="n">
        <v>13.46</v>
      </c>
      <c r="F68" s="33" t="n">
        <v>9.48</v>
      </c>
      <c r="G68" s="33" t="n">
        <v>6.29</v>
      </c>
      <c r="H68" s="33" t="n">
        <v>4.07</v>
      </c>
      <c r="I68" s="33" t="n">
        <v>2.13</v>
      </c>
      <c r="J68" s="33" t="n">
        <v>-1.34</v>
      </c>
      <c r="K68" s="33" t="n">
        <v>0.82</v>
      </c>
      <c r="M68" s="4" t="s">
        <v>49</v>
      </c>
      <c r="N68" s="29" t="s">
        <v>50</v>
      </c>
      <c r="O68" s="31" t="n">
        <f aca="false">1/(1+(((1/Curves!C13-1)/(0.25-0))+C68/10000)*(0.25-0))</f>
        <v>0.99046241216111</v>
      </c>
      <c r="P68" s="31" t="n">
        <f aca="false">O68/(1+(((Curves!C13/Curves!D13-1)/(0.5-0.25))+D68/10000)*(0.5-0.25))</f>
        <v>0.980168005440295</v>
      </c>
      <c r="Q68" s="31" t="n">
        <f aca="false">P68/(1+(((Curves!D13/Curves!E13-1)/(1-0.5))+E68/10000)*(1-0.5))</f>
        <v>0.960017658966397</v>
      </c>
      <c r="R68" s="31" t="n">
        <f aca="false">Q68/(1+(((Curves!E13/Curves!F13-1)/(2-1))+F68/10000)*(2-1))</f>
        <v>0.921121920941045</v>
      </c>
      <c r="S68" s="31" t="n">
        <f aca="false">R68/(1+(((Curves!F13/Curves!G13-1)/(3-2))+G68/10000)*(3-2))</f>
        <v>0.883806748739914</v>
      </c>
      <c r="T68" s="31" t="n">
        <f aca="false">S68/(1+(((Curves!G13/Curves!H13-1)/(5-3))+H68/10000)*(5-3))</f>
        <v>0.81329074226501</v>
      </c>
      <c r="U68" s="31" t="n">
        <f aca="false">T68/(1+(((Curves!H13/Curves!I13-1)/(10-5))+I68/10000)*(10-5))</f>
        <v>0.657849864858694</v>
      </c>
      <c r="V68" s="31" t="n">
        <f aca="false">U68/(1+(((Curves!I13/Curves!J13-1)/(20-10))+J68/10000)*(20-10))</f>
        <v>0.43478938974332</v>
      </c>
      <c r="W68" s="31" t="n">
        <f aca="false">V68/(1+(((Curves!J13/Curves!K13-1)/(30-20))+K68/10000)*(30-20))</f>
        <v>0.286953848154974</v>
      </c>
    </row>
    <row r="70" customFormat="false" ht="15" hidden="false" customHeight="true" outlineLevel="0" collapsed="false">
      <c r="A70" s="28" t="s">
        <v>125</v>
      </c>
      <c r="B70" s="28"/>
      <c r="C70" s="12" t="s">
        <v>74</v>
      </c>
      <c r="D70" s="12" t="s">
        <v>75</v>
      </c>
      <c r="E70" s="12" t="s">
        <v>30</v>
      </c>
      <c r="F70" s="12" t="s">
        <v>76</v>
      </c>
      <c r="G70" s="12" t="s">
        <v>77</v>
      </c>
      <c r="H70" s="12" t="s">
        <v>78</v>
      </c>
      <c r="I70" s="12" t="s">
        <v>79</v>
      </c>
      <c r="J70" s="12" t="s">
        <v>80</v>
      </c>
      <c r="K70" s="12" t="s">
        <v>81</v>
      </c>
      <c r="M70" s="28" t="s">
        <v>125</v>
      </c>
      <c r="N70" s="28"/>
      <c r="O70" s="12" t="s">
        <v>74</v>
      </c>
      <c r="P70" s="12" t="s">
        <v>75</v>
      </c>
      <c r="Q70" s="12" t="s">
        <v>30</v>
      </c>
      <c r="R70" s="12" t="s">
        <v>76</v>
      </c>
      <c r="S70" s="12" t="s">
        <v>77</v>
      </c>
      <c r="T70" s="12" t="s">
        <v>78</v>
      </c>
      <c r="U70" s="12" t="s">
        <v>79</v>
      </c>
      <c r="V70" s="12" t="s">
        <v>80</v>
      </c>
      <c r="W70" s="12" t="s">
        <v>81</v>
      </c>
    </row>
    <row r="71" customFormat="false" ht="15" hidden="false" customHeight="true" outlineLevel="0" collapsed="false">
      <c r="A71" s="9" t="s">
        <v>42</v>
      </c>
      <c r="B71" s="29" t="s">
        <v>43</v>
      </c>
      <c r="C71" s="33" t="n">
        <v>-28.47</v>
      </c>
      <c r="D71" s="33" t="n">
        <v>25.63</v>
      </c>
      <c r="E71" s="33" t="n">
        <v>20.46</v>
      </c>
      <c r="F71" s="33" t="n">
        <v>14.49</v>
      </c>
      <c r="G71" s="33" t="n">
        <v>-8.92</v>
      </c>
      <c r="H71" s="33" t="n">
        <v>4.76</v>
      </c>
      <c r="I71" s="33" t="n">
        <v>2.25</v>
      </c>
      <c r="J71" s="33" t="n">
        <v>1.34</v>
      </c>
      <c r="K71" s="33" t="n">
        <v>0.9</v>
      </c>
      <c r="M71" s="4" t="s">
        <v>42</v>
      </c>
      <c r="N71" s="29" t="s">
        <v>43</v>
      </c>
      <c r="O71" s="31" t="n">
        <f aca="false">1/(1+(((1/Curves!C8-1)/(0.25-0))+C71/10000)*(0.25-0))</f>
        <v>0.98999508806433</v>
      </c>
      <c r="P71" s="31" t="n">
        <f aca="false">O71/(1+(((Curves!C8/Curves!D8-1)/(0.5-0.25))+D71/10000)*(0.5-0.25))</f>
        <v>0.978762196383285</v>
      </c>
      <c r="Q71" s="31" t="n">
        <f aca="false">P71/(1+(((Curves!D8/Curves!E8-1)/(1-0.5))+E71/10000)*(1-0.5))</f>
        <v>0.956877760102935</v>
      </c>
      <c r="R71" s="31" t="n">
        <f aca="false">Q71/(1+(((Curves!E8/Curves!F8-1)/(2-1))+F71/10000)*(2-1))</f>
        <v>0.91492225978008</v>
      </c>
      <c r="S71" s="31" t="n">
        <f aca="false">R71/(1+(((Curves!F8/Curves!G8-1)/(3-2))+G71/10000)*(3-2))</f>
        <v>0.876505459778501</v>
      </c>
      <c r="T71" s="31" t="n">
        <f aca="false">S71/(1+(((Curves!G8/Curves!H8-1)/(5-3))+H71/10000)*(5-3))</f>
        <v>0.801650365449653</v>
      </c>
      <c r="U71" s="31" t="n">
        <f aca="false">T71/(1+(((Curves!H8/Curves!I8-1)/(10-5))+I71/10000)*(10-5))</f>
        <v>0.638757442291396</v>
      </c>
      <c r="V71" s="31" t="n">
        <f aca="false">U71/(1+(((Curves!I8/Curves!J8-1)/(20-10))+J71/10000)*(20-10))</f>
        <v>0.408980504510154</v>
      </c>
      <c r="W71" s="31" t="n">
        <f aca="false">V71/(1+(((Curves!J8/Curves!K8-1)/(30-20))+K71/10000)*(30-20))</f>
        <v>0.261933235511308</v>
      </c>
    </row>
    <row r="72" customFormat="false" ht="15" hidden="false" customHeight="true" outlineLevel="0" collapsed="false">
      <c r="A72" s="9" t="s">
        <v>52</v>
      </c>
      <c r="B72" s="29" t="s">
        <v>43</v>
      </c>
      <c r="C72" s="33" t="n">
        <v>23.43</v>
      </c>
      <c r="D72" s="33" t="n">
        <v>21.55</v>
      </c>
      <c r="E72" s="33" t="n">
        <v>18.08</v>
      </c>
      <c r="F72" s="33" t="n">
        <v>10.96</v>
      </c>
      <c r="G72" s="33" t="n">
        <v>6.76</v>
      </c>
      <c r="H72" s="33" t="n">
        <v>3.75</v>
      </c>
      <c r="I72" s="33" t="n">
        <v>1.88</v>
      </c>
      <c r="J72" s="33" t="n">
        <v>0.96</v>
      </c>
      <c r="K72" s="33" t="n">
        <v>-0.46</v>
      </c>
      <c r="M72" s="4" t="s">
        <v>52</v>
      </c>
      <c r="N72" s="29" t="s">
        <v>43</v>
      </c>
      <c r="O72" s="31" t="n">
        <f aca="false">1/(1+(((1/Curves!C9-1)/(0.25-0))+C72/10000)*(0.25-0))</f>
        <v>0.991694604546438</v>
      </c>
      <c r="P72" s="31" t="n">
        <f aca="false">O72/(1+(((Curves!C9/Curves!D9-1)/(0.5-0.25))+D72/10000)*(0.5-0.25))</f>
        <v>0.983485322910552</v>
      </c>
      <c r="Q72" s="31" t="n">
        <f aca="false">P72/(1+(((Curves!D9/Curves!E9-1)/(1-0.5))+E72/10000)*(1-0.5))</f>
        <v>0.967388356778832</v>
      </c>
      <c r="R72" s="31" t="n">
        <f aca="false">Q72/(1+(((Curves!E9/Curves!F9-1)/(2-1))+F72/10000)*(2-1))</f>
        <v>0.93644290582191</v>
      </c>
      <c r="S72" s="31" t="n">
        <f aca="false">R72/(1+(((Curves!F9/Curves!G9-1)/(3-2))+G72/10000)*(3-2))</f>
        <v>0.906584089268507</v>
      </c>
      <c r="T72" s="31" t="n">
        <f aca="false">S72/(1+(((Curves!G9/Curves!H9-1)/(5-3))+H72/10000)*(5-3))</f>
        <v>0.849443544480708</v>
      </c>
      <c r="U72" s="31" t="n">
        <f aca="false">T72/(1+(((Curves!H9/Curves!I9-1)/(10-5))+I72/10000)*(10-5))</f>
        <v>0.718765284253524</v>
      </c>
      <c r="V72" s="31" t="n">
        <f aca="false">U72/(1+(((Curves!I9/Curves!J9-1)/(20-10))+J72/10000)*(20-10))</f>
        <v>0.518968084762436</v>
      </c>
      <c r="W72" s="31" t="n">
        <f aca="false">V72/(1+(((Curves!J9/Curves!K9-1)/(30-20))+K72/10000)*(30-20))</f>
        <v>0.375092791723045</v>
      </c>
    </row>
    <row r="73" customFormat="false" ht="15" hidden="false" customHeight="true" outlineLevel="0" collapsed="false">
      <c r="A73" s="9" t="s">
        <v>45</v>
      </c>
      <c r="B73" s="29" t="s">
        <v>38</v>
      </c>
      <c r="C73" s="33" t="n">
        <v>32.94</v>
      </c>
      <c r="D73" s="33" t="n">
        <v>30.77</v>
      </c>
      <c r="E73" s="33" t="n">
        <v>23.2</v>
      </c>
      <c r="F73" s="33" t="n">
        <v>16.87</v>
      </c>
      <c r="G73" s="33" t="n">
        <v>-10.57</v>
      </c>
      <c r="H73" s="33" t="n">
        <v>5.43</v>
      </c>
      <c r="I73" s="33" t="n">
        <v>2.9</v>
      </c>
      <c r="J73" s="33" t="n">
        <v>-1.35</v>
      </c>
      <c r="K73" s="33" t="n">
        <v>0.9</v>
      </c>
      <c r="M73" s="4" t="s">
        <v>45</v>
      </c>
      <c r="N73" s="29" t="s">
        <v>38</v>
      </c>
      <c r="O73" s="31" t="n">
        <f aca="false">1/(1+(((1/Curves!C10-1)/(0.25-0))+C73/10000)*(0.25-0))</f>
        <v>0.988740284311452</v>
      </c>
      <c r="P73" s="31" t="n">
        <f aca="false">O73/(1+(((Curves!C10/Curves!D10-1)/(0.5-0.25))+D73/10000)*(0.5-0.25))</f>
        <v>0.977640549561774</v>
      </c>
      <c r="Q73" s="31" t="n">
        <f aca="false">P73/(1+(((Curves!D10/Curves!E10-1)/(1-0.5))+E73/10000)*(1-0.5))</f>
        <v>0.95613081046933</v>
      </c>
      <c r="R73" s="31" t="n">
        <f aca="false">Q73/(1+(((Curves!E10/Curves!F10-1)/(2-1))+F73/10000)*(2-1))</f>
        <v>0.914913359674409</v>
      </c>
      <c r="S73" s="31" t="n">
        <f aca="false">R73/(1+(((Curves!F10/Curves!G10-1)/(3-2))+G73/10000)*(3-2))</f>
        <v>0.877513077285523</v>
      </c>
      <c r="T73" s="31" t="n">
        <f aca="false">S73/(1+(((Curves!G10/Curves!H10-1)/(5-3))+H73/10000)*(5-3))</f>
        <v>0.80407815496252</v>
      </c>
      <c r="U73" s="31" t="n">
        <f aca="false">T73/(1+(((Curves!H10/Curves!I10-1)/(10-5))+I73/10000)*(10-5))</f>
        <v>0.643734109914887</v>
      </c>
      <c r="V73" s="31" t="n">
        <f aca="false">U73/(1+(((Curves!I10/Curves!J10-1)/(20-10))+J73/10000)*(20-10))</f>
        <v>0.417030983243534</v>
      </c>
      <c r="W73" s="31" t="n">
        <f aca="false">V73/(1+(((Curves!J10/Curves!K10-1)/(30-20))+K73/10000)*(30-20))</f>
        <v>0.269772440082381</v>
      </c>
    </row>
    <row r="74" customFormat="false" ht="15" hidden="false" customHeight="true" outlineLevel="0" collapsed="false">
      <c r="A74" s="9" t="s">
        <v>37</v>
      </c>
      <c r="B74" s="29" t="s">
        <v>38</v>
      </c>
      <c r="C74" s="33" t="n">
        <v>48.79</v>
      </c>
      <c r="D74" s="33" t="n">
        <v>44.35</v>
      </c>
      <c r="E74" s="33" t="n">
        <v>38.83</v>
      </c>
      <c r="F74" s="33" t="n">
        <v>28.13</v>
      </c>
      <c r="G74" s="33" t="n">
        <v>18.14</v>
      </c>
      <c r="H74" s="33" t="n">
        <v>10.47</v>
      </c>
      <c r="I74" s="33" t="n">
        <v>4.42</v>
      </c>
      <c r="J74" s="33" t="n">
        <v>2.71</v>
      </c>
      <c r="K74" s="33" t="n">
        <v>1.82</v>
      </c>
      <c r="M74" s="4" t="s">
        <v>37</v>
      </c>
      <c r="N74" s="29" t="s">
        <v>38</v>
      </c>
      <c r="O74" s="31" t="n">
        <f aca="false">1/(1+(((1/Curves!C11-1)/(0.25-0))+C74/10000)*(0.25-0))</f>
        <v>0.987366441048628</v>
      </c>
      <c r="P74" s="31" t="n">
        <f aca="false">O74/(1+(((Curves!C11/Curves!D11-1)/(0.5-0.25))+D74/10000)*(0.5-0.25))</f>
        <v>0.974980468539698</v>
      </c>
      <c r="Q74" s="31" t="n">
        <f aca="false">P74/(1+(((Curves!D11/Curves!E11-1)/(1-0.5))+E74/10000)*(1-0.5))</f>
        <v>0.95090077919812</v>
      </c>
      <c r="R74" s="31" t="n">
        <f aca="false">Q74/(1+(((Curves!E11/Curves!F11-1)/(2-1))+F74/10000)*(2-1))</f>
        <v>0.90531019994135</v>
      </c>
      <c r="S74" s="31" t="n">
        <f aca="false">R74/(1+(((Curves!F11/Curves!G11-1)/(3-2))+G74/10000)*(3-2))</f>
        <v>0.862468497609126</v>
      </c>
      <c r="T74" s="31" t="n">
        <f aca="false">S74/(1+(((Curves!G11/Curves!H11-1)/(5-3))+H74/10000)*(5-3))</f>
        <v>0.783283655172584</v>
      </c>
      <c r="U74" s="31" t="n">
        <f aca="false">T74/(1+(((Curves!H11/Curves!I11-1)/(10-5))+I74/10000)*(10-5))</f>
        <v>0.61431611098711</v>
      </c>
      <c r="V74" s="31" t="n">
        <f aca="false">U74/(1+(((Curves!I11/Curves!J11-1)/(20-10))+J74/10000)*(20-10))</f>
        <v>0.381391258935884</v>
      </c>
      <c r="W74" s="31" t="n">
        <f aca="false">V74/(1+(((Curves!J11/Curves!K11-1)/(30-20))+K74/10000)*(30-20))</f>
        <v>0.236912937322146</v>
      </c>
    </row>
    <row r="75" customFormat="false" ht="15" hidden="false" customHeight="true" outlineLevel="0" collapsed="false">
      <c r="A75" s="9" t="s">
        <v>40</v>
      </c>
      <c r="B75" s="29" t="s">
        <v>38</v>
      </c>
      <c r="C75" s="33" t="n">
        <v>43.44</v>
      </c>
      <c r="D75" s="33" t="n">
        <v>36.85</v>
      </c>
      <c r="E75" s="33" t="n">
        <v>30.45</v>
      </c>
      <c r="F75" s="33" t="n">
        <v>20.38</v>
      </c>
      <c r="G75" s="33" t="n">
        <v>12.4</v>
      </c>
      <c r="H75" s="33" t="n">
        <v>6.95</v>
      </c>
      <c r="I75" s="33" t="n">
        <v>3.79</v>
      </c>
      <c r="J75" s="33" t="n">
        <v>1.84</v>
      </c>
      <c r="K75" s="33" t="n">
        <v>1.45</v>
      </c>
      <c r="M75" s="4" t="s">
        <v>40</v>
      </c>
      <c r="N75" s="29" t="s">
        <v>38</v>
      </c>
      <c r="O75" s="31" t="n">
        <f aca="false">1/(1+(((1/Curves!C12-1)/(0.25-0))+C75/10000)*(0.25-0))</f>
        <v>0.990707940526661</v>
      </c>
      <c r="P75" s="31" t="n">
        <f aca="false">O75/(1+(((Curves!C12/Curves!D12-1)/(0.5-0.25))+D75/10000)*(0.5-0.25))</f>
        <v>0.981642855854353</v>
      </c>
      <c r="Q75" s="31" t="n">
        <f aca="false">P75/(1+(((Curves!D12/Curves!E12-1)/(1-0.5))+E75/10000)*(1-0.5))</f>
        <v>0.964026518114088</v>
      </c>
      <c r="R75" s="31" t="n">
        <f aca="false">Q75/(1+(((Curves!E12/Curves!F12-1)/(2-1))+F75/10000)*(2-1))</f>
        <v>0.93047932974909</v>
      </c>
      <c r="S75" s="31" t="n">
        <f aca="false">R75/(1+(((Curves!F12/Curves!G12-1)/(3-2))+G75/10000)*(3-2))</f>
        <v>0.898523043144553</v>
      </c>
      <c r="T75" s="31" t="n">
        <f aca="false">S75/(1+(((Curves!G12/Curves!H12-1)/(5-3))+H75/10000)*(5-3))</f>
        <v>0.838030739100607</v>
      </c>
      <c r="U75" s="31" t="n">
        <f aca="false">T75/(1+(((Curves!H12/Curves!I12-1)/(10-5))+I75/10000)*(10-5))</f>
        <v>0.70149714335439</v>
      </c>
      <c r="V75" s="31" t="n">
        <f aca="false">U75/(1+(((Curves!I12/Curves!J12-1)/(20-10))+J75/10000)*(20-10))</f>
        <v>0.496168164772584</v>
      </c>
      <c r="W75" s="31" t="n">
        <f aca="false">V75/(1+(((Curves!J12/Curves!K12-1)/(30-20))+K75/10000)*(30-20))</f>
        <v>0.35103557965397</v>
      </c>
    </row>
    <row r="76" customFormat="false" ht="15" hidden="false" customHeight="true" outlineLevel="0" collapsed="false">
      <c r="A76" s="9" t="s">
        <v>49</v>
      </c>
      <c r="B76" s="29" t="s">
        <v>50</v>
      </c>
      <c r="C76" s="33" t="n">
        <v>-19.21</v>
      </c>
      <c r="D76" s="33" t="n">
        <v>-17.84</v>
      </c>
      <c r="E76" s="33" t="n">
        <v>14.29</v>
      </c>
      <c r="F76" s="33" t="n">
        <v>10.61</v>
      </c>
      <c r="G76" s="33" t="n">
        <v>6.94</v>
      </c>
      <c r="H76" s="33" t="n">
        <v>4.26</v>
      </c>
      <c r="I76" s="33" t="n">
        <v>2.22</v>
      </c>
      <c r="J76" s="33" t="n">
        <v>1.36</v>
      </c>
      <c r="K76" s="33" t="n">
        <v>0.89</v>
      </c>
      <c r="M76" s="4" t="s">
        <v>49</v>
      </c>
      <c r="N76" s="29" t="s">
        <v>50</v>
      </c>
      <c r="O76" s="31" t="n">
        <f aca="false">1/(1+(((1/Curves!C13-1)/(0.25-0))+C76/10000)*(0.25-0))</f>
        <v>0.990511955936598</v>
      </c>
      <c r="P76" s="31" t="n">
        <f aca="false">O76/(1+(((Curves!C13/Curves!D13-1)/(0.5-0.25))+D76/10000)*(0.5-0.25))</f>
        <v>0.981061443894017</v>
      </c>
      <c r="Q76" s="31" t="n">
        <f aca="false">P76/(1+(((Curves!D13/Curves!E13-1)/(1-0.5))+E76/10000)*(1-0.5))</f>
        <v>0.960853674398117</v>
      </c>
      <c r="R76" s="31" t="n">
        <f aca="false">Q76/(1+(((Curves!E13/Curves!F13-1)/(2-1))+F76/10000)*(2-1))</f>
        <v>0.92182411889808</v>
      </c>
      <c r="S76" s="31" t="n">
        <f aca="false">R76/(1+(((Curves!F13/Curves!G13-1)/(3-2))+G76/10000)*(3-2))</f>
        <v>0.884425341468915</v>
      </c>
      <c r="T76" s="31" t="n">
        <f aca="false">S76/(1+(((Curves!G13/Curves!H13-1)/(5-3))+H76/10000)*(5-3))</f>
        <v>0.813831521386703</v>
      </c>
      <c r="U76" s="31" t="n">
        <f aca="false">T76/(1+(((Curves!H13/Curves!I13-1)/(10-5))+I76/10000)*(10-5))</f>
        <v>0.658263326766993</v>
      </c>
      <c r="V76" s="31" t="n">
        <f aca="false">U76/(1+(((Curves!I13/Curves!J13-1)/(20-10))+J76/10000)*(20-10))</f>
        <v>0.434287671827548</v>
      </c>
      <c r="W76" s="31" t="n">
        <f aca="false">V76/(1+(((Curves!J13/Curves!K13-1)/(30-20))+K76/10000)*(30-20))</f>
        <v>0.286609481551955</v>
      </c>
    </row>
    <row r="78" customFormat="false" ht="15" hidden="false" customHeight="true" outlineLevel="0" collapsed="false">
      <c r="A78" s="28" t="s">
        <v>126</v>
      </c>
      <c r="B78" s="28"/>
      <c r="C78" s="12" t="s">
        <v>74</v>
      </c>
      <c r="D78" s="12" t="s">
        <v>75</v>
      </c>
      <c r="E78" s="12" t="s">
        <v>30</v>
      </c>
      <c r="F78" s="12" t="s">
        <v>76</v>
      </c>
      <c r="G78" s="12" t="s">
        <v>77</v>
      </c>
      <c r="H78" s="12" t="s">
        <v>78</v>
      </c>
      <c r="I78" s="12" t="s">
        <v>79</v>
      </c>
      <c r="J78" s="12" t="s">
        <v>80</v>
      </c>
      <c r="K78" s="12" t="s">
        <v>81</v>
      </c>
      <c r="M78" s="28" t="s">
        <v>126</v>
      </c>
      <c r="N78" s="28"/>
      <c r="O78" s="12" t="s">
        <v>74</v>
      </c>
      <c r="P78" s="12" t="s">
        <v>75</v>
      </c>
      <c r="Q78" s="12" t="s">
        <v>30</v>
      </c>
      <c r="R78" s="12" t="s">
        <v>76</v>
      </c>
      <c r="S78" s="12" t="s">
        <v>77</v>
      </c>
      <c r="T78" s="12" t="s">
        <v>78</v>
      </c>
      <c r="U78" s="12" t="s">
        <v>79</v>
      </c>
      <c r="V78" s="12" t="s">
        <v>80</v>
      </c>
      <c r="W78" s="12" t="s">
        <v>81</v>
      </c>
    </row>
    <row r="79" customFormat="false" ht="15" hidden="false" customHeight="true" outlineLevel="0" collapsed="false">
      <c r="A79" s="9" t="s">
        <v>42</v>
      </c>
      <c r="B79" s="29" t="s">
        <v>43</v>
      </c>
      <c r="C79" s="33" t="n">
        <v>30.45</v>
      </c>
      <c r="D79" s="33" t="n">
        <v>27.71</v>
      </c>
      <c r="E79" s="33" t="n">
        <v>21.91</v>
      </c>
      <c r="F79" s="33" t="n">
        <v>15.48</v>
      </c>
      <c r="G79" s="33" t="n">
        <v>9.66</v>
      </c>
      <c r="H79" s="33" t="n">
        <v>5.18</v>
      </c>
      <c r="I79" s="33" t="n">
        <v>2.58</v>
      </c>
      <c r="J79" s="33" t="n">
        <v>1.55</v>
      </c>
      <c r="K79" s="33" t="n">
        <v>0.99</v>
      </c>
      <c r="M79" s="4" t="s">
        <v>42</v>
      </c>
      <c r="N79" s="29" t="s">
        <v>43</v>
      </c>
      <c r="O79" s="31" t="n">
        <f aca="false">1/(1+(((1/Curves!C8-1)/(0.25-0))+C79/10000)*(0.25-0))</f>
        <v>0.98855351727915</v>
      </c>
      <c r="P79" s="31" t="n">
        <f aca="false">O79/(1+(((Curves!C8/Curves!D8-1)/(0.5-0.25))+D79/10000)*(0.5-0.25))</f>
        <v>0.977286739955276</v>
      </c>
      <c r="Q79" s="31" t="n">
        <f aca="false">P79/(1+(((Curves!D8/Curves!E8-1)/(1-0.5))+E79/10000)*(1-0.5))</f>
        <v>0.955367578394252</v>
      </c>
      <c r="R79" s="31" t="n">
        <f aca="false">Q79/(1+(((Curves!E8/Curves!F8-1)/(2-1))+F79/10000)*(2-1))</f>
        <v>0.913391832914591</v>
      </c>
      <c r="S79" s="31" t="n">
        <f aca="false">R79/(1+(((Curves!F8/Curves!G8-1)/(3-2))+G79/10000)*(3-2))</f>
        <v>0.873484505625243</v>
      </c>
      <c r="T79" s="31" t="n">
        <f aca="false">S79/(1+(((Curves!G8/Curves!H8-1)/(5-3))+H79/10000)*(5-3))</f>
        <v>0.798826035236159</v>
      </c>
      <c r="U79" s="31" t="n">
        <f aca="false">T79/(1+(((Curves!H8/Curves!I8-1)/(10-5))+I79/10000)*(10-5))</f>
        <v>0.636423335244977</v>
      </c>
      <c r="V79" s="31" t="n">
        <f aca="false">U79/(1+(((Curves!I8/Curves!J8-1)/(20-10))+J79/10000)*(20-10))</f>
        <v>0.407431251516682</v>
      </c>
      <c r="W79" s="31" t="n">
        <f aca="false">V79/(1+(((Curves!J8/Curves!K8-1)/(30-20))+K79/10000)*(30-20))</f>
        <v>0.260925970100891</v>
      </c>
    </row>
    <row r="80" customFormat="false" ht="15" hidden="false" customHeight="true" outlineLevel="0" collapsed="false">
      <c r="A80" s="9" t="s">
        <v>52</v>
      </c>
      <c r="B80" s="29" t="s">
        <v>43</v>
      </c>
      <c r="C80" s="33" t="n">
        <v>-25.53</v>
      </c>
      <c r="D80" s="33" t="n">
        <v>22.84</v>
      </c>
      <c r="E80" s="33" t="n">
        <v>19.01</v>
      </c>
      <c r="F80" s="33" t="n">
        <v>12.71</v>
      </c>
      <c r="G80" s="33" t="n">
        <v>7.7</v>
      </c>
      <c r="H80" s="33" t="n">
        <v>3.85</v>
      </c>
      <c r="I80" s="33" t="n">
        <v>1.94</v>
      </c>
      <c r="J80" s="33" t="n">
        <v>1.01</v>
      </c>
      <c r="K80" s="33" t="n">
        <v>0.48</v>
      </c>
      <c r="M80" s="4" t="s">
        <v>52</v>
      </c>
      <c r="N80" s="29" t="s">
        <v>43</v>
      </c>
      <c r="O80" s="31" t="n">
        <f aca="false">1/(1+(((1/Curves!C9-1)/(0.25-0))+C80/10000)*(0.25-0))</f>
        <v>0.992899820301487</v>
      </c>
      <c r="P80" s="31" t="n">
        <f aca="false">O80/(1+(((Curves!C9/Curves!D9-1)/(0.5-0.25))+D80/10000)*(0.5-0.25))</f>
        <v>0.984649069784535</v>
      </c>
      <c r="Q80" s="31" t="n">
        <f aca="false">P80/(1+(((Curves!D9/Curves!E9-1)/(1-0.5))+E80/10000)*(1-0.5))</f>
        <v>0.968488758665977</v>
      </c>
      <c r="R80" s="31" t="n">
        <f aca="false">Q80/(1+(((Curves!E9/Curves!F9-1)/(2-1))+F80/10000)*(2-1))</f>
        <v>0.937349318498575</v>
      </c>
      <c r="S80" s="31" t="n">
        <f aca="false">R80/(1+(((Curves!F9/Curves!G9-1)/(3-2))+G80/10000)*(3-2))</f>
        <v>0.90737902664251</v>
      </c>
      <c r="T80" s="31" t="n">
        <f aca="false">S80/(1+(((Curves!G9/Curves!H9-1)/(5-3))+H80/10000)*(5-3))</f>
        <v>0.850172446475028</v>
      </c>
      <c r="U80" s="31" t="n">
        <f aca="false">T80/(1+(((Curves!H9/Curves!I9-1)/(10-5))+I80/10000)*(10-5))</f>
        <v>0.719363791171197</v>
      </c>
      <c r="V80" s="31" t="n">
        <f aca="false">U80/(1+(((Curves!I9/Curves!J9-1)/(20-10))+J80/10000)*(20-10))</f>
        <v>0.519381472658158</v>
      </c>
      <c r="W80" s="31" t="n">
        <f aca="false">V80/(1+(((Curves!J9/Curves!K9-1)/(30-20))+K80/10000)*(30-20))</f>
        <v>0.375136706581133</v>
      </c>
    </row>
    <row r="81" customFormat="false" ht="15" hidden="false" customHeight="true" outlineLevel="0" collapsed="false">
      <c r="A81" s="9" t="s">
        <v>45</v>
      </c>
      <c r="B81" s="29" t="s">
        <v>38</v>
      </c>
      <c r="C81" s="33" t="n">
        <v>33.89</v>
      </c>
      <c r="D81" s="33" t="n">
        <v>31.34</v>
      </c>
      <c r="E81" s="33" t="n">
        <v>24.28</v>
      </c>
      <c r="F81" s="33" t="n">
        <v>17.55</v>
      </c>
      <c r="G81" s="33" t="n">
        <v>10.77</v>
      </c>
      <c r="H81" s="33" t="n">
        <v>5.76</v>
      </c>
      <c r="I81" s="33" t="n">
        <v>2.93</v>
      </c>
      <c r="J81" s="33" t="n">
        <v>1.49</v>
      </c>
      <c r="K81" s="33" t="n">
        <v>-0.99</v>
      </c>
      <c r="M81" s="4" t="s">
        <v>45</v>
      </c>
      <c r="N81" s="29" t="s">
        <v>38</v>
      </c>
      <c r="O81" s="31" t="n">
        <f aca="false">1/(1+(((1/Curves!C10-1)/(0.25-0))+C81/10000)*(0.25-0))</f>
        <v>0.988717066682104</v>
      </c>
      <c r="P81" s="31" t="n">
        <f aca="false">O81/(1+(((Curves!C10/Curves!D10-1)/(0.5-0.25))+D81/10000)*(0.5-0.25))</f>
        <v>0.977603818112018</v>
      </c>
      <c r="Q81" s="31" t="n">
        <f aca="false">P81/(1+(((Curves!D10/Curves!E10-1)/(1-0.5))+E81/10000)*(1-0.5))</f>
        <v>0.956044396643647</v>
      </c>
      <c r="R81" s="31" t="n">
        <f aca="false">Q81/(1+(((Curves!E10/Curves!F10-1)/(2-1))+F81/10000)*(2-1))</f>
        <v>0.914771148134404</v>
      </c>
      <c r="S81" s="31" t="n">
        <f aca="false">R81/(1+(((Curves!F10/Curves!G10-1)/(3-2))+G81/10000)*(3-2))</f>
        <v>0.875584563048292</v>
      </c>
      <c r="T81" s="31" t="n">
        <f aca="false">S81/(1+(((Curves!G10/Curves!H10-1)/(5-3))+H81/10000)*(5-3))</f>
        <v>0.802262510720793</v>
      </c>
      <c r="U81" s="31" t="n">
        <f aca="false">T81/(1+(((Curves!H10/Curves!I10-1)/(10-5))+I81/10000)*(10-5))</f>
        <v>0.642272816735339</v>
      </c>
      <c r="V81" s="31" t="n">
        <f aca="false">U81/(1+(((Curves!I10/Curves!J10-1)/(20-10))+J81/10000)*(20-10))</f>
        <v>0.415320189216587</v>
      </c>
      <c r="W81" s="31" t="n">
        <f aca="false">V81/(1+(((Curves!J10/Curves!K10-1)/(30-20))+K81/10000)*(30-20))</f>
        <v>0.268994625420557</v>
      </c>
    </row>
    <row r="82" customFormat="false" ht="15" hidden="false" customHeight="true" outlineLevel="0" collapsed="false">
      <c r="A82" s="9" t="s">
        <v>37</v>
      </c>
      <c r="B82" s="29" t="s">
        <v>38</v>
      </c>
      <c r="C82" s="33" t="n">
        <v>-55.63</v>
      </c>
      <c r="D82" s="33" t="n">
        <v>51.36</v>
      </c>
      <c r="E82" s="33" t="n">
        <v>43.03</v>
      </c>
      <c r="F82" s="33" t="n">
        <v>30.7</v>
      </c>
      <c r="G82" s="33" t="n">
        <v>20.58</v>
      </c>
      <c r="H82" s="33" t="n">
        <v>-10.85</v>
      </c>
      <c r="I82" s="33" t="n">
        <v>5.06</v>
      </c>
      <c r="J82" s="33" t="n">
        <v>-2.9</v>
      </c>
      <c r="K82" s="33" t="n">
        <v>1.96</v>
      </c>
      <c r="M82" s="4" t="s">
        <v>37</v>
      </c>
      <c r="N82" s="29" t="s">
        <v>38</v>
      </c>
      <c r="O82" s="31" t="n">
        <f aca="false">1/(1+(((1/Curves!C11-1)/(0.25-0))+C82/10000)*(0.25-0))</f>
        <v>0.989917974519718</v>
      </c>
      <c r="P82" s="31" t="n">
        <f aca="false">O82/(1+(((Curves!C11/Curves!D11-1)/(0.5-0.25))+D82/10000)*(0.5-0.25))</f>
        <v>0.977330865762637</v>
      </c>
      <c r="Q82" s="31" t="n">
        <f aca="false">P82/(1+(((Curves!D11/Curves!E11-1)/(1-0.5))+E82/10000)*(1-0.5))</f>
        <v>0.952997940377281</v>
      </c>
      <c r="R82" s="31" t="n">
        <f aca="false">Q82/(1+(((Curves!E11/Curves!F11-1)/(2-1))+F82/10000)*(2-1))</f>
        <v>0.907084869596559</v>
      </c>
      <c r="S82" s="31" t="n">
        <f aca="false">R82/(1+(((Curves!F11/Curves!G11-1)/(3-2))+G82/10000)*(3-2))</f>
        <v>0.863958355203135</v>
      </c>
      <c r="T82" s="31" t="n">
        <f aca="false">S82/(1+(((Curves!G11/Curves!H11-1)/(5-3))+H82/10000)*(5-3))</f>
        <v>0.787687055469218</v>
      </c>
      <c r="U82" s="31" t="n">
        <f aca="false">T82/(1+(((Curves!H11/Curves!I11-1)/(10-5))+I82/10000)*(10-5))</f>
        <v>0.617614620195855</v>
      </c>
      <c r="V82" s="31" t="n">
        <f aca="false">U82/(1+(((Curves!I11/Curves!J11-1)/(20-10))+J82/10000)*(20-10))</f>
        <v>0.3847792511075</v>
      </c>
      <c r="W82" s="31" t="n">
        <f aca="false">V82/(1+(((Curves!J11/Curves!K11-1)/(30-20))+K82/10000)*(30-20))</f>
        <v>0.238996708674176</v>
      </c>
    </row>
    <row r="83" customFormat="false" ht="15" hidden="false" customHeight="true" outlineLevel="0" collapsed="false">
      <c r="A83" s="9" t="s">
        <v>40</v>
      </c>
      <c r="B83" s="29" t="s">
        <v>38</v>
      </c>
      <c r="C83" s="33" t="n">
        <v>42.92</v>
      </c>
      <c r="D83" s="33" t="n">
        <v>38.38</v>
      </c>
      <c r="E83" s="33" t="n">
        <v>32.34</v>
      </c>
      <c r="F83" s="33" t="n">
        <v>23.18</v>
      </c>
      <c r="G83" s="33" t="n">
        <v>13.52</v>
      </c>
      <c r="H83" s="33" t="n">
        <v>-7.14</v>
      </c>
      <c r="I83" s="33" t="n">
        <v>3.83</v>
      </c>
      <c r="J83" s="33" t="n">
        <v>2.07</v>
      </c>
      <c r="K83" s="33" t="n">
        <v>1.53</v>
      </c>
      <c r="M83" s="4" t="s">
        <v>40</v>
      </c>
      <c r="N83" s="29" t="s">
        <v>38</v>
      </c>
      <c r="O83" s="31" t="n">
        <f aca="false">1/(1+(((1/Curves!C12-1)/(0.25-0))+C83/10000)*(0.25-0))</f>
        <v>0.9907207002199</v>
      </c>
      <c r="P83" s="31" t="n">
        <f aca="false">O83/(1+(((Curves!C12/Curves!D12-1)/(0.5-0.25))+D83/10000)*(0.5-0.25))</f>
        <v>0.981618295453409</v>
      </c>
      <c r="Q83" s="31" t="n">
        <f aca="false">P83/(1+(((Curves!D12/Curves!E12-1)/(1-0.5))+E83/10000)*(1-0.5))</f>
        <v>0.963912943371517</v>
      </c>
      <c r="R83" s="31" t="n">
        <f aca="false">Q83/(1+(((Curves!E12/Curves!F12-1)/(2-1))+F83/10000)*(2-1))</f>
        <v>0.930118336983741</v>
      </c>
      <c r="S83" s="31" t="n">
        <f aca="false">R83/(1+(((Curves!F12/Curves!G12-1)/(3-2))+G83/10000)*(3-2))</f>
        <v>0.89807731808729</v>
      </c>
      <c r="T83" s="31" t="n">
        <f aca="false">S83/(1+(((Curves!G12/Curves!H12-1)/(5-3))+H83/10000)*(5-3))</f>
        <v>0.839822310736419</v>
      </c>
      <c r="U83" s="31" t="n">
        <f aca="false">T83/(1+(((Curves!H12/Curves!I12-1)/(10-5))+I83/10000)*(10-5))</f>
        <v>0.702985059592107</v>
      </c>
      <c r="V83" s="31" t="n">
        <f aca="false">U83/(1+(((Curves!I12/Curves!J12-1)/(20-10))+J83/10000)*(20-10))</f>
        <v>0.497139692242155</v>
      </c>
      <c r="W83" s="31" t="n">
        <f aca="false">V83/(1+(((Curves!J12/Curves!K12-1)/(30-20))+K83/10000)*(30-20))</f>
        <v>0.351703022488867</v>
      </c>
    </row>
    <row r="84" customFormat="false" ht="15" hidden="false" customHeight="true" outlineLevel="0" collapsed="false">
      <c r="A84" s="9" t="s">
        <v>49</v>
      </c>
      <c r="B84" s="29" t="s">
        <v>50</v>
      </c>
      <c r="C84" s="33" t="n">
        <v>19.37</v>
      </c>
      <c r="D84" s="33" t="n">
        <v>18.93</v>
      </c>
      <c r="E84" s="33" t="n">
        <v>15.85</v>
      </c>
      <c r="F84" s="33" t="n">
        <v>10.44</v>
      </c>
      <c r="G84" s="33" t="n">
        <v>7.09</v>
      </c>
      <c r="H84" s="33" t="n">
        <v>4.26</v>
      </c>
      <c r="I84" s="33" t="n">
        <v>2.45</v>
      </c>
      <c r="J84" s="33" t="n">
        <v>1.51</v>
      </c>
      <c r="K84" s="33" t="n">
        <v>1.01</v>
      </c>
      <c r="M84" s="4" t="s">
        <v>49</v>
      </c>
      <c r="N84" s="29" t="s">
        <v>50</v>
      </c>
      <c r="O84" s="31" t="n">
        <f aca="false">1/(1+(((1/Curves!C13-1)/(0.25-0))+C84/10000)*(0.25-0))</f>
        <v>0.98956657471523</v>
      </c>
      <c r="P84" s="31" t="n">
        <f aca="false">O84/(1+(((Curves!C13/Curves!D13-1)/(0.5-0.25))+D84/10000)*(0.5-0.25))</f>
        <v>0.979233510650454</v>
      </c>
      <c r="Q84" s="31" t="n">
        <f aca="false">P84/(1+(((Curves!D13/Curves!E13-1)/(1-0.5))+E84/10000)*(1-0.5))</f>
        <v>0.958990132188804</v>
      </c>
      <c r="R84" s="31" t="n">
        <f aca="false">Q84/(1+(((Curves!E13/Curves!F13-1)/(2-1))+F84/10000)*(2-1))</f>
        <v>0.920051278695968</v>
      </c>
      <c r="S84" s="31" t="n">
        <f aca="false">R84/(1+(((Curves!F13/Curves!G13-1)/(3-2))+G84/10000)*(3-2))</f>
        <v>0.882711722614744</v>
      </c>
      <c r="T84" s="31" t="n">
        <f aca="false">S84/(1+(((Curves!G13/Curves!H13-1)/(5-3))+H84/10000)*(5-3))</f>
        <v>0.81225468163124</v>
      </c>
      <c r="U84" s="31" t="n">
        <f aca="false">T84/(1+(((Curves!H13/Curves!I13-1)/(10-5))+I84/10000)*(10-5))</f>
        <v>0.656926802806897</v>
      </c>
      <c r="V84" s="31" t="n">
        <f aca="false">U84/(1+(((Curves!I13/Curves!J13-1)/(20-10))+J84/10000)*(20-10))</f>
        <v>0.433363016774527</v>
      </c>
      <c r="W84" s="31" t="n">
        <f aca="false">V84/(1+(((Curves!J13/Curves!K13-1)/(30-20))+K84/10000)*(30-20))</f>
        <v>0.285976604876043</v>
      </c>
    </row>
    <row r="86" customFormat="false" ht="15" hidden="false" customHeight="true" outlineLevel="0" collapsed="false">
      <c r="A86" s="15" t="s">
        <v>132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</sheetData>
  <mergeCells count="25">
    <mergeCell ref="A1:W1"/>
    <mergeCell ref="A2:W2"/>
    <mergeCell ref="A4:K4"/>
    <mergeCell ref="M4:W4"/>
    <mergeCell ref="A6:B6"/>
    <mergeCell ref="M6:N6"/>
    <mergeCell ref="A14:B14"/>
    <mergeCell ref="M14:N14"/>
    <mergeCell ref="A22:B22"/>
    <mergeCell ref="M22:N22"/>
    <mergeCell ref="A30:B30"/>
    <mergeCell ref="M30:N30"/>
    <mergeCell ref="A38:B38"/>
    <mergeCell ref="M38:N38"/>
    <mergeCell ref="A46:B46"/>
    <mergeCell ref="M46:N46"/>
    <mergeCell ref="A54:B54"/>
    <mergeCell ref="M54:N54"/>
    <mergeCell ref="A62:B62"/>
    <mergeCell ref="M62:N62"/>
    <mergeCell ref="A70:B70"/>
    <mergeCell ref="M70:N70"/>
    <mergeCell ref="A78:B78"/>
    <mergeCell ref="M78:N78"/>
    <mergeCell ref="A86:W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12" min="3" style="1" width="9"/>
    <col collapsed="false" customWidth="true" hidden="false" outlineLevel="0" max="13" min="13" style="1" width="3"/>
    <col collapsed="false" customWidth="true" hidden="false" outlineLevel="0" max="14" min="14" style="1" width="15"/>
    <col collapsed="false" customWidth="true" hidden="false" outlineLevel="0" max="24" min="15" style="1" width="9"/>
    <col collapsed="false" customWidth="true" hidden="false" outlineLevel="0" max="25" min="25" style="1" width="3"/>
    <col collapsed="false" customWidth="true" hidden="false" outlineLevel="0" max="26" min="26" style="1" width="15"/>
    <col collapsed="false" customWidth="true" hidden="false" outlineLevel="0" max="36" min="27" style="1" width="9"/>
    <col collapsed="false" customWidth="true" hidden="false" outlineLevel="0" max="37" min="37" style="1" width="3"/>
    <col collapsed="false" customWidth="true" hidden="false" outlineLevel="0" max="38" min="38" style="1" width="15"/>
    <col collapsed="false" customWidth="true" hidden="false" outlineLevel="0" max="48" min="39" style="1" width="9"/>
  </cols>
  <sheetData>
    <row r="1" customFormat="false" ht="17.25" hidden="false" customHeight="true" outlineLevel="0" collapsed="false">
      <c r="A1" s="6" t="s">
        <v>133</v>
      </c>
    </row>
    <row r="2" customFormat="false" ht="15" hidden="false" customHeight="true" outlineLevel="0" collapsed="false">
      <c r="A2" s="16" t="s">
        <v>134</v>
      </c>
    </row>
    <row r="3" customFormat="false" ht="19.5" hidden="false" customHeight="true" outlineLevel="0" collapsed="false">
      <c r="A3" s="17" t="s">
        <v>135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</row>
    <row r="5" customFormat="false" ht="15" hidden="false" customHeight="true" outlineLevel="0" collapsed="false">
      <c r="B5" s="28" t="s">
        <v>136</v>
      </c>
      <c r="C5" s="28"/>
      <c r="D5" s="28"/>
      <c r="E5" s="28"/>
      <c r="F5" s="28"/>
      <c r="G5" s="28"/>
      <c r="H5" s="28"/>
      <c r="I5" s="28"/>
      <c r="J5" s="28"/>
      <c r="K5" s="28"/>
      <c r="L5" s="28"/>
      <c r="N5" s="28" t="s">
        <v>137</v>
      </c>
      <c r="O5" s="28"/>
      <c r="P5" s="28"/>
      <c r="Q5" s="28"/>
      <c r="R5" s="28"/>
      <c r="S5" s="28"/>
      <c r="T5" s="28"/>
      <c r="U5" s="28"/>
      <c r="V5" s="28"/>
      <c r="W5" s="28"/>
      <c r="X5" s="28"/>
      <c r="Z5" s="28" t="s">
        <v>138</v>
      </c>
      <c r="AA5" s="28"/>
      <c r="AB5" s="28"/>
      <c r="AC5" s="28"/>
      <c r="AD5" s="28"/>
      <c r="AE5" s="28"/>
      <c r="AF5" s="28"/>
      <c r="AG5" s="28"/>
      <c r="AH5" s="28"/>
      <c r="AI5" s="28"/>
      <c r="AJ5" s="28"/>
      <c r="AL5" s="34" t="s">
        <v>139</v>
      </c>
      <c r="AM5" s="34"/>
      <c r="AN5" s="34"/>
      <c r="AO5" s="34"/>
      <c r="AP5" s="34"/>
      <c r="AQ5" s="34"/>
      <c r="AR5" s="34"/>
      <c r="AS5" s="34"/>
      <c r="AT5" s="34"/>
      <c r="AU5" s="34"/>
      <c r="AV5" s="34"/>
    </row>
    <row r="6" customFormat="false" ht="15" hidden="false" customHeight="true" outlineLevel="0" collapsed="false">
      <c r="B6" s="18" t="s">
        <v>140</v>
      </c>
      <c r="C6" s="12" t="s">
        <v>141</v>
      </c>
      <c r="D6" s="12" t="s">
        <v>74</v>
      </c>
      <c r="E6" s="12" t="s">
        <v>75</v>
      </c>
      <c r="F6" s="12" t="s">
        <v>30</v>
      </c>
      <c r="G6" s="12" t="s">
        <v>76</v>
      </c>
      <c r="H6" s="12" t="s">
        <v>77</v>
      </c>
      <c r="I6" s="12" t="s">
        <v>78</v>
      </c>
      <c r="J6" s="12" t="s">
        <v>79</v>
      </c>
      <c r="K6" s="12" t="s">
        <v>80</v>
      </c>
      <c r="L6" s="12" t="s">
        <v>81</v>
      </c>
      <c r="N6" s="18" t="s">
        <v>140</v>
      </c>
      <c r="O6" s="12" t="s">
        <v>141</v>
      </c>
      <c r="P6" s="12" t="s">
        <v>74</v>
      </c>
      <c r="Q6" s="12" t="s">
        <v>75</v>
      </c>
      <c r="R6" s="12" t="s">
        <v>30</v>
      </c>
      <c r="S6" s="12" t="s">
        <v>76</v>
      </c>
      <c r="T6" s="12" t="s">
        <v>77</v>
      </c>
      <c r="U6" s="12" t="s">
        <v>78</v>
      </c>
      <c r="V6" s="12" t="s">
        <v>79</v>
      </c>
      <c r="W6" s="12" t="s">
        <v>80</v>
      </c>
      <c r="X6" s="12" t="s">
        <v>81</v>
      </c>
      <c r="Z6" s="18" t="s">
        <v>140</v>
      </c>
      <c r="AA6" s="12" t="s">
        <v>141</v>
      </c>
      <c r="AB6" s="12" t="s">
        <v>74</v>
      </c>
      <c r="AC6" s="12" t="s">
        <v>75</v>
      </c>
      <c r="AD6" s="12" t="s">
        <v>30</v>
      </c>
      <c r="AE6" s="12" t="s">
        <v>76</v>
      </c>
      <c r="AF6" s="12" t="s">
        <v>77</v>
      </c>
      <c r="AG6" s="12" t="s">
        <v>78</v>
      </c>
      <c r="AH6" s="12" t="s">
        <v>79</v>
      </c>
      <c r="AI6" s="12" t="s">
        <v>80</v>
      </c>
      <c r="AJ6" s="12" t="s">
        <v>81</v>
      </c>
      <c r="AL6" s="18" t="s">
        <v>140</v>
      </c>
      <c r="AM6" s="12" t="s">
        <v>141</v>
      </c>
      <c r="AN6" s="12" t="s">
        <v>74</v>
      </c>
      <c r="AO6" s="12" t="s">
        <v>75</v>
      </c>
      <c r="AP6" s="12" t="s">
        <v>30</v>
      </c>
      <c r="AQ6" s="12" t="s">
        <v>76</v>
      </c>
      <c r="AR6" s="12" t="s">
        <v>77</v>
      </c>
      <c r="AS6" s="12" t="s">
        <v>78</v>
      </c>
      <c r="AT6" s="12" t="s">
        <v>79</v>
      </c>
      <c r="AU6" s="12" t="s">
        <v>80</v>
      </c>
      <c r="AV6" s="12" t="s">
        <v>81</v>
      </c>
    </row>
    <row r="7" customFormat="false" ht="15" hidden="false" customHeight="true" outlineLevel="0" collapsed="false">
      <c r="B7" s="35" t="s">
        <v>141</v>
      </c>
      <c r="C7" s="36" t="n">
        <v>0.5465</v>
      </c>
      <c r="D7" s="36" t="n">
        <v>0.5264</v>
      </c>
      <c r="E7" s="36" t="n">
        <v>0.5197</v>
      </c>
      <c r="F7" s="36" t="n">
        <v>0.4914</v>
      </c>
      <c r="G7" s="36" t="n">
        <v>0.4841</v>
      </c>
      <c r="H7" s="36" t="n">
        <v>0.464</v>
      </c>
      <c r="I7" s="36" t="n">
        <v>0.4412</v>
      </c>
      <c r="J7" s="36" t="n">
        <v>0.4335</v>
      </c>
      <c r="K7" s="36" t="n">
        <v>0.4074</v>
      </c>
      <c r="L7" s="36" t="n">
        <v>0.3987</v>
      </c>
      <c r="N7" s="35" t="s">
        <v>141</v>
      </c>
      <c r="O7" s="36" t="n">
        <v>-0.3586</v>
      </c>
      <c r="P7" s="36" t="n">
        <v>-0.3387</v>
      </c>
      <c r="Q7" s="36" t="n">
        <v>-0.3126</v>
      </c>
      <c r="R7" s="36" t="n">
        <v>-0.2851</v>
      </c>
      <c r="S7" s="36" t="n">
        <v>-0.2797</v>
      </c>
      <c r="T7" s="36" t="n">
        <v>-0.2583</v>
      </c>
      <c r="U7" s="36" t="n">
        <v>-0.2308</v>
      </c>
      <c r="V7" s="36" t="n">
        <v>-0.2049</v>
      </c>
      <c r="W7" s="36" t="n">
        <v>-0.1929</v>
      </c>
      <c r="X7" s="36" t="n">
        <v>-0.1771</v>
      </c>
      <c r="Z7" s="35" t="s">
        <v>141</v>
      </c>
      <c r="AA7" s="36" t="n">
        <v>0.8595</v>
      </c>
      <c r="AB7" s="36" t="n">
        <v>0.8187</v>
      </c>
      <c r="AC7" s="36" t="n">
        <v>0.8127</v>
      </c>
      <c r="AD7" s="36" t="n">
        <v>0.7791</v>
      </c>
      <c r="AE7" s="36" t="n">
        <v>0.754</v>
      </c>
      <c r="AF7" s="36" t="n">
        <v>0.7312</v>
      </c>
      <c r="AG7" s="36" t="n">
        <v>0.7128</v>
      </c>
      <c r="AH7" s="36" t="n">
        <v>0.7008</v>
      </c>
      <c r="AI7" s="36" t="n">
        <v>0.6658</v>
      </c>
      <c r="AJ7" s="36" t="n">
        <v>0.6516</v>
      </c>
      <c r="AL7" s="35" t="s">
        <v>141</v>
      </c>
      <c r="AM7" s="37" t="n">
        <f aca="false">C7*(1+(((2-3*O7^2)/24*AA7^2)+(O7*AA7*C7/4))*0.0833333333333333)</f>
        <v>0.546845064157427</v>
      </c>
      <c r="AN7" s="37" t="n">
        <f aca="false">D7*(1+(((2-3*P7^2)/24*AB7^2)+(P7*AB7*D7/4))*0.0833333333333333)</f>
        <v>0.526827808968387</v>
      </c>
      <c r="AO7" s="37" t="n">
        <f aca="false">E7*(1+(((2-3*Q7^2)/24*AC7^2)+(Q7*AC7*E7/4))*0.0833333333333333)</f>
        <v>0.520304800098428</v>
      </c>
      <c r="AP7" s="37" t="n">
        <f aca="false">F7*(1+(((2-3*R7^2)/24*AD7^2)+(R7*AD7*F7/4))*0.0833333333333333)</f>
        <v>0.492101400288933</v>
      </c>
      <c r="AQ7" s="37" t="n">
        <f aca="false">G7*(1+(((2-3*S7^2)/24*AE7^2)+(S7*AE7*G7/4))*0.0833333333333333)</f>
        <v>0.484757302380308</v>
      </c>
      <c r="AR7" s="37" t="n">
        <f aca="false">H7*(1+(((2-3*T7^2)/24*AF7^2)+(T7*AF7*H7/4))*0.0833333333333333)</f>
        <v>0.46470321978072</v>
      </c>
      <c r="AS7" s="37" t="n">
        <f aca="false">I7*(1+(((2-3*U7^2)/24*AG7^2)+(U7*AG7*I7/4))*0.0833333333333333)</f>
        <v>0.441965161484107</v>
      </c>
      <c r="AT7" s="37" t="n">
        <f aca="false">J7*(1+(((2-3*V7^2)/24*AH7^2)+(V7*AH7*J7/4))*0.0833333333333333)</f>
        <v>0.434323192194644</v>
      </c>
      <c r="AU7" s="37" t="n">
        <f aca="false">K7*(1+(((2-3*W7^2)/24*AI7^2)+(W7*AI7*K7/4))*0.0833333333333333)</f>
        <v>0.408140043694281</v>
      </c>
      <c r="AV7" s="37" t="n">
        <f aca="false">L7*(1+(((2-3*X7^2)/24*AJ7^2)+(X7*AJ7*L7/4))*0.0833333333333333)</f>
        <v>0.399438091739688</v>
      </c>
    </row>
    <row r="8" customFormat="false" ht="15" hidden="false" customHeight="true" outlineLevel="0" collapsed="false">
      <c r="B8" s="35" t="s">
        <v>74</v>
      </c>
      <c r="C8" s="36" t="n">
        <v>0.5361</v>
      </c>
      <c r="D8" s="36" t="n">
        <v>0.5141</v>
      </c>
      <c r="E8" s="36" t="n">
        <v>0.501</v>
      </c>
      <c r="F8" s="36" t="n">
        <v>0.4746</v>
      </c>
      <c r="G8" s="36" t="n">
        <v>0.4579</v>
      </c>
      <c r="H8" s="36" t="n">
        <v>0.4441</v>
      </c>
      <c r="I8" s="36" t="n">
        <v>0.4369</v>
      </c>
      <c r="J8" s="36" t="n">
        <v>0.4152</v>
      </c>
      <c r="K8" s="36" t="n">
        <v>0.3963</v>
      </c>
      <c r="L8" s="36" t="n">
        <v>0.385</v>
      </c>
      <c r="N8" s="35" t="s">
        <v>74</v>
      </c>
      <c r="O8" s="36" t="n">
        <v>-0.3315</v>
      </c>
      <c r="P8" s="36" t="n">
        <v>-0.3151</v>
      </c>
      <c r="Q8" s="36" t="n">
        <v>-0.2858</v>
      </c>
      <c r="R8" s="36" t="n">
        <v>-0.2682</v>
      </c>
      <c r="S8" s="36" t="n">
        <v>-0.2579</v>
      </c>
      <c r="T8" s="36" t="n">
        <v>-0.2318</v>
      </c>
      <c r="U8" s="36" t="n">
        <v>-0.2134</v>
      </c>
      <c r="V8" s="36" t="n">
        <v>-0.1869</v>
      </c>
      <c r="W8" s="36" t="n">
        <v>-0.1704</v>
      </c>
      <c r="X8" s="36" t="n">
        <v>-0.1598</v>
      </c>
      <c r="Z8" s="35" t="s">
        <v>74</v>
      </c>
      <c r="AA8" s="36" t="n">
        <v>0.8374</v>
      </c>
      <c r="AB8" s="36" t="n">
        <v>0.7979</v>
      </c>
      <c r="AC8" s="36" t="n">
        <v>0.7817</v>
      </c>
      <c r="AD8" s="36" t="n">
        <v>0.7663</v>
      </c>
      <c r="AE8" s="36" t="n">
        <v>0.7319</v>
      </c>
      <c r="AF8" s="36" t="n">
        <v>0.7164</v>
      </c>
      <c r="AG8" s="36" t="n">
        <v>0.6852</v>
      </c>
      <c r="AH8" s="36" t="n">
        <v>0.6756</v>
      </c>
      <c r="AI8" s="36" t="n">
        <v>0.6553</v>
      </c>
      <c r="AJ8" s="36" t="n">
        <v>0.6292</v>
      </c>
      <c r="AL8" s="35" t="s">
        <v>74</v>
      </c>
      <c r="AM8" s="37" t="n">
        <f aca="false">C8*(1+(((2-3*O8^2)/24*AA8^2)+(O8*AA8*C8/4))*0.25)</f>
        <v>0.537654541210857</v>
      </c>
      <c r="AN8" s="37" t="n">
        <f aca="false">D8*(1+(((2-3*P8^2)/24*AB8^2)+(P8*AB8*D8/4))*0.25)</f>
        <v>0.515750102984009</v>
      </c>
      <c r="AO8" s="37" t="n">
        <f aca="false">E8*(1+(((2-3*Q8^2)/24*AC8^2)+(Q8*AC8*E8/4))*0.25)</f>
        <v>0.503091695061941</v>
      </c>
      <c r="AP8" s="37" t="n">
        <f aca="false">F8*(1+(((2-3*R8^2)/24*AD8^2)+(R8*AD8*F8/4))*0.25)</f>
        <v>0.476886338251575</v>
      </c>
      <c r="AQ8" s="37" t="n">
        <f aca="false">G8*(1+(((2-3*S8^2)/24*AE8^2)+(S8*AE8*G8/4))*0.25)</f>
        <v>0.460026738415935</v>
      </c>
      <c r="AR8" s="37" t="n">
        <f aca="false">H8*(1+(((2-3*T8^2)/24*AF8^2)+(T8*AF8*H8/4))*0.25)</f>
        <v>0.446418762253124</v>
      </c>
      <c r="AS8" s="37" t="n">
        <f aca="false">I8*(1+(((2-3*U8^2)/24*AG8^2)+(U8*AG8*I8/4))*0.25)</f>
        <v>0.439137065573174</v>
      </c>
      <c r="AT8" s="37" t="n">
        <f aca="false">J8*(1+(((2-3*V8^2)/24*AH8^2)+(V8*AH8*J8/4))*0.25)</f>
        <v>0.417580807518734</v>
      </c>
      <c r="AU8" s="37" t="n">
        <f aca="false">K8*(1+(((2-3*W8^2)/24*AI8^2)+(W8*AI8*K8/4))*0.25)</f>
        <v>0.398594897574334</v>
      </c>
      <c r="AV8" s="37" t="n">
        <f aca="false">L8*(1+(((2-3*X8^2)/24*AJ8^2)+(X8*AJ8*L8/4))*0.25)</f>
        <v>0.387122292686648</v>
      </c>
    </row>
    <row r="9" customFormat="false" ht="15" hidden="false" customHeight="true" outlineLevel="0" collapsed="false">
      <c r="B9" s="35" t="s">
        <v>75</v>
      </c>
      <c r="C9" s="36" t="n">
        <v>0.5242</v>
      </c>
      <c r="D9" s="36" t="n">
        <v>0.4963</v>
      </c>
      <c r="E9" s="36" t="n">
        <v>0.4872</v>
      </c>
      <c r="F9" s="36" t="n">
        <v>0.4686</v>
      </c>
      <c r="G9" s="36" t="n">
        <v>0.4516</v>
      </c>
      <c r="H9" s="36" t="n">
        <v>0.4325</v>
      </c>
      <c r="I9" s="36" t="n">
        <v>0.4235</v>
      </c>
      <c r="J9" s="36" t="n">
        <v>0.4089</v>
      </c>
      <c r="K9" s="36" t="n">
        <v>0.3828</v>
      </c>
      <c r="L9" s="36" t="n">
        <v>0.3699</v>
      </c>
      <c r="N9" s="35" t="s">
        <v>75</v>
      </c>
      <c r="O9" s="36" t="n">
        <v>-0.3199</v>
      </c>
      <c r="P9" s="36" t="n">
        <v>-0.2876</v>
      </c>
      <c r="Q9" s="36" t="n">
        <v>-0.2693</v>
      </c>
      <c r="R9" s="36" t="n">
        <v>-0.2429</v>
      </c>
      <c r="S9" s="36" t="n">
        <v>-0.2269</v>
      </c>
      <c r="T9" s="36" t="n">
        <v>-0.2182</v>
      </c>
      <c r="U9" s="36" t="n">
        <v>-0.1967</v>
      </c>
      <c r="V9" s="36" t="n">
        <v>-0.1716</v>
      </c>
      <c r="W9" s="36" t="n">
        <v>-0.1651</v>
      </c>
      <c r="X9" s="36" t="n">
        <v>-0.1369</v>
      </c>
      <c r="Z9" s="35" t="s">
        <v>75</v>
      </c>
      <c r="AA9" s="36" t="n">
        <v>0.7989</v>
      </c>
      <c r="AB9" s="36" t="n">
        <v>0.7757</v>
      </c>
      <c r="AC9" s="36" t="n">
        <v>0.7523</v>
      </c>
      <c r="AD9" s="36" t="n">
        <v>0.7443</v>
      </c>
      <c r="AE9" s="36" t="n">
        <v>0.7093</v>
      </c>
      <c r="AF9" s="36" t="n">
        <v>0.6894</v>
      </c>
      <c r="AG9" s="36" t="n">
        <v>0.67</v>
      </c>
      <c r="AH9" s="36" t="n">
        <v>0.6574</v>
      </c>
      <c r="AI9" s="36" t="n">
        <v>0.6194</v>
      </c>
      <c r="AJ9" s="36" t="n">
        <v>0.6045</v>
      </c>
      <c r="AL9" s="35" t="s">
        <v>75</v>
      </c>
      <c r="AM9" s="37" t="n">
        <f aca="false">C9*(1+(((2-3*O9^2)/24*AA9^2)+(O9*AA9*C9/4))*0.5)</f>
        <v>0.527222061312468</v>
      </c>
      <c r="AN9" s="37" t="n">
        <f aca="false">D9*(1+(((2-3*P9^2)/24*AB9^2)+(P9*AB9*D9/4))*0.5)</f>
        <v>0.500330270696861</v>
      </c>
      <c r="AO9" s="37" t="n">
        <f aca="false">E9*(1+(((2-3*Q9^2)/24*AC9^2)+(Q9*AC9*E9/4))*0.5)</f>
        <v>0.491428014965522</v>
      </c>
      <c r="AP9" s="37" t="n">
        <f aca="false">F9*(1+(((2-3*R9^2)/24*AD9^2)+(R9*AD9*F9/4))*0.5)</f>
        <v>0.473496859382496</v>
      </c>
      <c r="AQ9" s="37" t="n">
        <f aca="false">G9*(1+(((2-3*S9^2)/24*AE9^2)+(S9*AE9*G9/4))*0.5)</f>
        <v>0.456232891771516</v>
      </c>
      <c r="AR9" s="37" t="n">
        <f aca="false">H9*(1+(((2-3*T9^2)/24*AF9^2)+(T9*AF9*H9/4))*0.5)</f>
        <v>0.436935841894791</v>
      </c>
      <c r="AS9" s="37" t="n">
        <f aca="false">I9*(1+(((2-3*U9^2)/24*AG9^2)+(U9*AG9*I9/4))*0.5)</f>
        <v>0.428006914610762</v>
      </c>
      <c r="AT9" s="37" t="n">
        <f aca="false">J9*(1+(((2-3*V9^2)/24*AH9^2)+(V9*AH9*J9/4))*0.5)</f>
        <v>0.413580232586576</v>
      </c>
      <c r="AU9" s="37" t="n">
        <f aca="false">K9*(1+(((2-3*W9^2)/24*AI9^2)+(W9*AI9*K9/4))*0.5)</f>
        <v>0.386795970029907</v>
      </c>
      <c r="AV9" s="37" t="n">
        <f aca="false">L9*(1+(((2-3*X9^2)/24*AJ9^2)+(X9*AJ9*L9/4))*0.5)</f>
        <v>0.373958311852898</v>
      </c>
    </row>
    <row r="10" customFormat="false" ht="15" hidden="false" customHeight="true" outlineLevel="0" collapsed="false">
      <c r="B10" s="35" t="s">
        <v>30</v>
      </c>
      <c r="C10" s="36" t="n">
        <v>0.501</v>
      </c>
      <c r="D10" s="36" t="n">
        <v>0.491</v>
      </c>
      <c r="E10" s="36" t="n">
        <v>0.4731</v>
      </c>
      <c r="F10" s="36" t="n">
        <v>0.4573</v>
      </c>
      <c r="G10" s="36" t="n">
        <v>0.4289</v>
      </c>
      <c r="H10" s="36" t="n">
        <v>0.415</v>
      </c>
      <c r="I10" s="36" t="n">
        <v>0.3972</v>
      </c>
      <c r="J10" s="36" t="n">
        <v>0.391</v>
      </c>
      <c r="K10" s="36" t="n">
        <v>0.3758</v>
      </c>
      <c r="L10" s="36" t="n">
        <v>0.343</v>
      </c>
      <c r="N10" s="35" t="s">
        <v>30</v>
      </c>
      <c r="O10" s="36" t="n">
        <v>-0.2981</v>
      </c>
      <c r="P10" s="36" t="n">
        <v>-0.2776</v>
      </c>
      <c r="Q10" s="36" t="n">
        <v>-0.2581</v>
      </c>
      <c r="R10" s="36" t="n">
        <v>-0.2336</v>
      </c>
      <c r="S10" s="36" t="n">
        <v>-0.2121</v>
      </c>
      <c r="T10" s="36" t="n">
        <v>-0.1992</v>
      </c>
      <c r="U10" s="36" t="n">
        <v>-0.1849</v>
      </c>
      <c r="V10" s="36" t="n">
        <v>-0.1572</v>
      </c>
      <c r="W10" s="36" t="n">
        <v>-0.1387</v>
      </c>
      <c r="X10" s="36" t="n">
        <v>-0.1153</v>
      </c>
      <c r="Z10" s="35" t="s">
        <v>30</v>
      </c>
      <c r="AA10" s="36" t="n">
        <v>0.7924</v>
      </c>
      <c r="AB10" s="36" t="n">
        <v>0.7649</v>
      </c>
      <c r="AC10" s="36" t="n">
        <v>0.7392</v>
      </c>
      <c r="AD10" s="36" t="n">
        <v>0.719</v>
      </c>
      <c r="AE10" s="36" t="n">
        <v>0.698</v>
      </c>
      <c r="AF10" s="36" t="n">
        <v>0.6633</v>
      </c>
      <c r="AG10" s="36" t="n">
        <v>0.658</v>
      </c>
      <c r="AH10" s="36" t="n">
        <v>0.6334</v>
      </c>
      <c r="AI10" s="36" t="n">
        <v>0.613</v>
      </c>
      <c r="AJ10" s="36" t="n">
        <v>0.5893</v>
      </c>
      <c r="AL10" s="35" t="s">
        <v>30</v>
      </c>
      <c r="AM10" s="37" t="n">
        <f aca="false">C10*(1+(((2-3*O10^2)/24*AA10^2)+(O10*AA10*C10/4))*1)</f>
        <v>0.50889791280465</v>
      </c>
      <c r="AN10" s="37" t="n">
        <f aca="false">D10*(1+(((2-3*P10^2)/24*AB10^2)+(P10*AB10*D10/4))*1)</f>
        <v>0.499374443227893</v>
      </c>
      <c r="AO10" s="37" t="n">
        <f aca="false">E10*(1+(((2-3*Q10^2)/24*AC10^2)+(Q10*AC10*E10/4))*1)</f>
        <v>0.48181419039199</v>
      </c>
      <c r="AP10" s="37" t="n">
        <f aca="false">F10*(1+(((2-3*R10^2)/24*AD10^2)+(R10*AD10*F10/4))*1)</f>
        <v>0.466606963306186</v>
      </c>
      <c r="AQ10" s="37" t="n">
        <f aca="false">G10*(1+(((2-3*S10^2)/24*AE10^2)+(S10*AE10*G10/4))*1)</f>
        <v>0.438329978783113</v>
      </c>
      <c r="AR10" s="37" t="n">
        <f aca="false">H10*(1+(((2-3*T10^2)/24*AF10^2)+(T10*AF10*H10/4))*1)</f>
        <v>0.423620884402723</v>
      </c>
      <c r="AS10" s="37" t="n">
        <f aca="false">I10*(1+(((2-3*U10^2)/24*AG10^2)+(U10*AG10*I10/4))*1)</f>
        <v>0.405997505774233</v>
      </c>
      <c r="AT10" s="37" t="n">
        <f aca="false">J10*(1+(((2-3*V10^2)/24*AH10^2)+(V10*AH10*J10/4))*1)</f>
        <v>0.39978211956629</v>
      </c>
      <c r="AU10" s="37" t="n">
        <f aca="false">K10*(1+(((2-3*W10^2)/24*AI10^2)+(W10*AI10*K10/4))*1)</f>
        <v>0.384226393217704</v>
      </c>
      <c r="AV10" s="37" t="n">
        <f aca="false">L10*(1+(((2-3*X10^2)/24*AJ10^2)+(X10*AJ10*L10/4))*1)</f>
        <v>0.350729868297107</v>
      </c>
    </row>
    <row r="11" customFormat="false" ht="15" hidden="false" customHeight="true" outlineLevel="0" collapsed="false">
      <c r="B11" s="35" t="s">
        <v>76</v>
      </c>
      <c r="C11" s="36" t="n">
        <v>0.4812</v>
      </c>
      <c r="D11" s="36" t="n">
        <v>0.4646</v>
      </c>
      <c r="E11" s="36" t="n">
        <v>0.4421</v>
      </c>
      <c r="F11" s="36" t="n">
        <v>0.436</v>
      </c>
      <c r="G11" s="36" t="n">
        <v>0.4079</v>
      </c>
      <c r="H11" s="36" t="n">
        <v>0.3913</v>
      </c>
      <c r="I11" s="36" t="n">
        <v>0.3775</v>
      </c>
      <c r="J11" s="36" t="n">
        <v>0.3599</v>
      </c>
      <c r="K11" s="36" t="n">
        <v>0.3468</v>
      </c>
      <c r="L11" s="36" t="n">
        <v>0.3244</v>
      </c>
      <c r="N11" s="35" t="s">
        <v>76</v>
      </c>
      <c r="O11" s="36" t="n">
        <v>-0.2822</v>
      </c>
      <c r="P11" s="36" t="n">
        <v>-0.2598</v>
      </c>
      <c r="Q11" s="36" t="n">
        <v>-0.2413</v>
      </c>
      <c r="R11" s="36" t="n">
        <v>-0.2166</v>
      </c>
      <c r="S11" s="36" t="n">
        <v>-0.2039</v>
      </c>
      <c r="T11" s="36" t="n">
        <v>-0.1675</v>
      </c>
      <c r="U11" s="36" t="n">
        <v>-0.1533</v>
      </c>
      <c r="V11" s="36" t="n">
        <v>-0.1431</v>
      </c>
      <c r="W11" s="36" t="n">
        <v>-0.1216</v>
      </c>
      <c r="X11" s="36" t="n">
        <v>-0.1003</v>
      </c>
      <c r="Z11" s="35" t="s">
        <v>76</v>
      </c>
      <c r="AA11" s="36" t="n">
        <v>0.7584</v>
      </c>
      <c r="AB11" s="36" t="n">
        <v>0.7313</v>
      </c>
      <c r="AC11" s="36" t="n">
        <v>0.7236</v>
      </c>
      <c r="AD11" s="36" t="n">
        <v>0.7043</v>
      </c>
      <c r="AE11" s="36" t="n">
        <v>0.6715</v>
      </c>
      <c r="AF11" s="36" t="n">
        <v>0.6497</v>
      </c>
      <c r="AG11" s="36" t="n">
        <v>0.6195</v>
      </c>
      <c r="AH11" s="36" t="n">
        <v>0.5976</v>
      </c>
      <c r="AI11" s="36" t="n">
        <v>0.5802</v>
      </c>
      <c r="AJ11" s="36" t="n">
        <v>0.5564</v>
      </c>
      <c r="AL11" s="35" t="s">
        <v>76</v>
      </c>
      <c r="AM11" s="37" t="n">
        <f aca="false">C11*(1+(((2-3*O11^2)/24*AA11^2)+(O11*AA11*C11/4))*2)</f>
        <v>0.497039776391885</v>
      </c>
      <c r="AN11" s="37" t="n">
        <f aca="false">D11*(1+(((2-3*P11^2)/24*AB11^2)+(P11*AB11*D11/4))*2)</f>
        <v>0.48131351349958</v>
      </c>
      <c r="AO11" s="37" t="n">
        <f aca="false">E11*(1+(((2-3*Q11^2)/24*AC11^2)+(Q11*AC11*E11/4))*2)</f>
        <v>0.460247363646795</v>
      </c>
      <c r="AP11" s="37" t="n">
        <f aca="false">F11*(1+(((2-3*R11^2)/24*AD11^2)+(R11*AD11*F11/4))*2)</f>
        <v>0.455009120374577</v>
      </c>
      <c r="AQ11" s="37" t="n">
        <f aca="false">G11*(1+(((2-3*S11^2)/24*AE11^2)+(S11*AE11*G11/4))*2)</f>
        <v>0.425252371654903</v>
      </c>
      <c r="AR11" s="37" t="n">
        <f aca="false">H11*(1+(((2-3*T11^2)/24*AF11^2)+(T11*AF11*H11/4))*2)</f>
        <v>0.409338700219259</v>
      </c>
      <c r="AS11" s="37" t="n">
        <f aca="false">I11*(1+(((2-3*U11^2)/24*AG11^2)+(U11*AG11*I11/4))*2)</f>
        <v>0.394028126224936</v>
      </c>
      <c r="AT11" s="37" t="n">
        <f aca="false">J11*(1+(((2-3*V11^2)/24*AH11^2)+(V11*AH11*J11/4))*2)</f>
        <v>0.375125204028547</v>
      </c>
      <c r="AU11" s="37" t="n">
        <f aca="false">K11*(1+(((2-3*W11^2)/24*AI11^2)+(W11*AI11*K11/4))*2)</f>
        <v>0.361583099173887</v>
      </c>
      <c r="AV11" s="37" t="n">
        <f aca="false">L11*(1+(((2-3*X11^2)/24*AJ11^2)+(X11*AJ11*L11/4))*2)</f>
        <v>0.337949001073178</v>
      </c>
    </row>
    <row r="12" customFormat="false" ht="15" hidden="false" customHeight="true" outlineLevel="0" collapsed="false">
      <c r="B12" s="35" t="s">
        <v>77</v>
      </c>
      <c r="C12" s="36" t="n">
        <v>0.4732</v>
      </c>
      <c r="D12" s="36" t="n">
        <v>0.4432</v>
      </c>
      <c r="E12" s="36" t="n">
        <v>0.4238</v>
      </c>
      <c r="F12" s="36" t="n">
        <v>0.4257</v>
      </c>
      <c r="G12" s="36" t="n">
        <v>0.4006</v>
      </c>
      <c r="H12" s="36" t="n">
        <v>0.3763</v>
      </c>
      <c r="I12" s="36" t="n">
        <v>0.3675</v>
      </c>
      <c r="J12" s="36" t="n">
        <v>0.3405</v>
      </c>
      <c r="K12" s="36" t="n">
        <v>0.3339</v>
      </c>
      <c r="L12" s="36" t="n">
        <v>0.3262</v>
      </c>
      <c r="N12" s="35" t="s">
        <v>77</v>
      </c>
      <c r="O12" s="36" t="n">
        <v>-0.2455</v>
      </c>
      <c r="P12" s="36" t="n">
        <v>-0.2294</v>
      </c>
      <c r="Q12" s="36" t="n">
        <v>-0.2187</v>
      </c>
      <c r="R12" s="36" t="n">
        <v>-0.1971</v>
      </c>
      <c r="S12" s="36" t="n">
        <v>-0.1817</v>
      </c>
      <c r="T12" s="36" t="n">
        <v>-0.1501</v>
      </c>
      <c r="U12" s="36" t="n">
        <v>-0.1355</v>
      </c>
      <c r="V12" s="36" t="n">
        <v>-0.1111</v>
      </c>
      <c r="W12" s="36" t="n">
        <v>-0.1006</v>
      </c>
      <c r="X12" s="36" t="n">
        <v>-0.0833</v>
      </c>
      <c r="Z12" s="35" t="s">
        <v>77</v>
      </c>
      <c r="AA12" s="36" t="n">
        <v>0.7451</v>
      </c>
      <c r="AB12" s="36" t="n">
        <v>0.7264</v>
      </c>
      <c r="AC12" s="36" t="n">
        <v>0.7015</v>
      </c>
      <c r="AD12" s="36" t="n">
        <v>0.6783</v>
      </c>
      <c r="AE12" s="36" t="n">
        <v>0.6564</v>
      </c>
      <c r="AF12" s="36" t="n">
        <v>0.6326</v>
      </c>
      <c r="AG12" s="36" t="n">
        <v>0.6001</v>
      </c>
      <c r="AH12" s="36" t="n">
        <v>0.5837</v>
      </c>
      <c r="AI12" s="36" t="n">
        <v>0.5582</v>
      </c>
      <c r="AJ12" s="36" t="n">
        <v>0.5295</v>
      </c>
      <c r="AL12" s="35" t="s">
        <v>77</v>
      </c>
      <c r="AM12" s="37" t="n">
        <f aca="false">C12*(1+(((2-3*O12^2)/24*AA12^2)+(O12*AA12*C12/4))*3)</f>
        <v>0.502219836230149</v>
      </c>
      <c r="AN12" s="37" t="n">
        <f aca="false">D12*(1+(((2-3*P12^2)/24*AB12^2)+(P12*AB12*D12/4))*3)</f>
        <v>0.472500628648363</v>
      </c>
      <c r="AO12" s="37" t="n">
        <f aca="false">E12*(1+(((2-3*Q12^2)/24*AC12^2)+(Q12*AC12*E12/4))*3)</f>
        <v>0.451531447733211</v>
      </c>
      <c r="AP12" s="37" t="n">
        <f aca="false">F12*(1+(((2-3*R12^2)/24*AD12^2)+(R12*AD12*F12/4))*3)</f>
        <v>0.453640920582361</v>
      </c>
      <c r="AQ12" s="37" t="n">
        <f aca="false">G12*(1+(((2-3*S12^2)/24*AE12^2)+(S12*AE12*G12/4))*3)</f>
        <v>0.427258686238798</v>
      </c>
      <c r="AR12" s="37" t="n">
        <f aca="false">H12*(1+(((2-3*T12^2)/24*AF12^2)+(T12*AF12*H12/4))*3)</f>
        <v>0.402590749124632</v>
      </c>
      <c r="AS12" s="37" t="n">
        <f aca="false">I12*(1+(((2-3*U12^2)/24*AG12^2)+(U12*AG12*I12/4))*3)</f>
        <v>0.391438397004797</v>
      </c>
      <c r="AT12" s="37" t="n">
        <f aca="false">J12*(1+(((2-3*V12^2)/24*AH12^2)+(V12*AH12*J12/4))*3)</f>
        <v>0.363326631567664</v>
      </c>
      <c r="AU12" s="37" t="n">
        <f aca="false">K12*(1+(((2-3*W12^2)/24*AI12^2)+(W12*AI12*K12/4))*3)</f>
        <v>0.354819402135468</v>
      </c>
      <c r="AV12" s="37" t="n">
        <f aca="false">L12*(1+(((2-3*X12^2)/24*AJ12^2)+(X12*AJ12*L12/4))*3)</f>
        <v>0.345306236129513</v>
      </c>
    </row>
    <row r="13" customFormat="false" ht="15" hidden="false" customHeight="true" outlineLevel="0" collapsed="false">
      <c r="B13" s="35" t="s">
        <v>78</v>
      </c>
      <c r="C13" s="36" t="n">
        <v>0.4406</v>
      </c>
      <c r="D13" s="36" t="n">
        <v>0.4289</v>
      </c>
      <c r="E13" s="36" t="n">
        <v>0.4119</v>
      </c>
      <c r="F13" s="36" t="n">
        <v>0.4039</v>
      </c>
      <c r="G13" s="36" t="n">
        <v>0.3925</v>
      </c>
      <c r="H13" s="36" t="n">
        <v>0.3656</v>
      </c>
      <c r="I13" s="36" t="n">
        <v>0.3587</v>
      </c>
      <c r="J13" s="36" t="n">
        <v>0.3431</v>
      </c>
      <c r="K13" s="36" t="n">
        <v>0.3258</v>
      </c>
      <c r="L13" s="36" t="n">
        <v>0.2973</v>
      </c>
      <c r="N13" s="35" t="s">
        <v>78</v>
      </c>
      <c r="O13" s="36" t="n">
        <v>-0.2389</v>
      </c>
      <c r="P13" s="36" t="n">
        <v>-0.2194</v>
      </c>
      <c r="Q13" s="36" t="n">
        <v>-0.2005</v>
      </c>
      <c r="R13" s="36" t="n">
        <v>-0.1809</v>
      </c>
      <c r="S13" s="36" t="n">
        <v>-0.1531</v>
      </c>
      <c r="T13" s="36" t="n">
        <v>-0.1281</v>
      </c>
      <c r="U13" s="36" t="n">
        <v>-0.1099</v>
      </c>
      <c r="V13" s="36" t="n">
        <v>-0.0976</v>
      </c>
      <c r="W13" s="36" t="n">
        <v>-0.0747</v>
      </c>
      <c r="X13" s="36" t="n">
        <v>-0.0523</v>
      </c>
      <c r="Z13" s="35" t="s">
        <v>78</v>
      </c>
      <c r="AA13" s="36" t="n">
        <v>0.7084</v>
      </c>
      <c r="AB13" s="36" t="n">
        <v>0.6977</v>
      </c>
      <c r="AC13" s="36" t="n">
        <v>0.6804</v>
      </c>
      <c r="AD13" s="36" t="n">
        <v>0.6556</v>
      </c>
      <c r="AE13" s="36" t="n">
        <v>0.6328</v>
      </c>
      <c r="AF13" s="36" t="n">
        <v>0.6051</v>
      </c>
      <c r="AG13" s="36" t="n">
        <v>0.5769</v>
      </c>
      <c r="AH13" s="36" t="n">
        <v>0.5669</v>
      </c>
      <c r="AI13" s="36" t="n">
        <v>0.5355</v>
      </c>
      <c r="AJ13" s="36" t="n">
        <v>0.5227</v>
      </c>
      <c r="AL13" s="35" t="s">
        <v>78</v>
      </c>
      <c r="AM13" s="37" t="n">
        <f aca="false">C13*(1+(((2-3*O13^2)/24*AA13^2)+(O13*AA13*C13/4))*5)</f>
        <v>0.483773620972634</v>
      </c>
      <c r="AN13" s="37" t="n">
        <f aca="false">D13*(1+(((2-3*P13^2)/24*AB13^2)+(P13*AB13*D13/4))*5)</f>
        <v>0.474412560984569</v>
      </c>
      <c r="AO13" s="37" t="n">
        <f aca="false">E13*(1+(((2-3*Q13^2)/24*AC13^2)+(Q13*AC13*E13/4))*5)</f>
        <v>0.457630169879513</v>
      </c>
      <c r="AP13" s="37" t="n">
        <f aca="false">F13*(1+(((2-3*R13^2)/24*AD13^2)+(R13*AD13*F13/4))*5)</f>
        <v>0.448498616508184</v>
      </c>
      <c r="AQ13" s="37" t="n">
        <f aca="false">G13*(1+(((2-3*S13^2)/24*AE13^2)+(S13*AE13*G13/4))*5)</f>
        <v>0.437028891449509</v>
      </c>
      <c r="AR13" s="37" t="n">
        <f aca="false">H13*(1+(((2-3*T13^2)/24*AF13^2)+(T13*AF13*H13/4))*5)</f>
        <v>0.407052480793443</v>
      </c>
      <c r="AS13" s="37" t="n">
        <f aca="false">I13*(1+(((2-3*U13^2)/24*AG13^2)+(U13*AG13*I13/4))*5)</f>
        <v>0.397343628491461</v>
      </c>
      <c r="AT13" s="37" t="n">
        <f aca="false">J13*(1+(((2-3*V13^2)/24*AH13^2)+(V13*AH13*J13/4))*5)</f>
        <v>0.380245292197831</v>
      </c>
      <c r="AU13" s="37" t="n">
        <f aca="false">K13*(1+(((2-3*W13^2)/24*AI13^2)+(W13*AI13*K13/4))*5)</f>
        <v>0.359094346338511</v>
      </c>
      <c r="AV13" s="37" t="n">
        <f aca="false">L13*(1+(((2-3*X13^2)/24*AJ13^2)+(X13*AJ13*L13/4))*5)</f>
        <v>0.327985354699337</v>
      </c>
    </row>
    <row r="14" customFormat="false" ht="15" hidden="false" customHeight="true" outlineLevel="0" collapsed="false">
      <c r="B14" s="35" t="s">
        <v>79</v>
      </c>
      <c r="C14" s="36" t="n">
        <v>0.4428</v>
      </c>
      <c r="D14" s="36" t="n">
        <v>0.4146</v>
      </c>
      <c r="E14" s="36" t="n">
        <v>0.398</v>
      </c>
      <c r="F14" s="36" t="n">
        <v>0.3923</v>
      </c>
      <c r="G14" s="36" t="n">
        <v>0.3712</v>
      </c>
      <c r="H14" s="36" t="n">
        <v>0.3434</v>
      </c>
      <c r="I14" s="36" t="n">
        <v>0.3259</v>
      </c>
      <c r="J14" s="36" t="n">
        <v>0.3097</v>
      </c>
      <c r="K14" s="36" t="n">
        <v>0.3081</v>
      </c>
      <c r="L14" s="36" t="n">
        <v>0.2895</v>
      </c>
      <c r="N14" s="35" t="s">
        <v>79</v>
      </c>
      <c r="O14" s="36" t="n">
        <v>-0.221</v>
      </c>
      <c r="P14" s="36" t="n">
        <v>-0.1879</v>
      </c>
      <c r="Q14" s="36" t="n">
        <v>-0.1654</v>
      </c>
      <c r="R14" s="36" t="n">
        <v>-0.1524</v>
      </c>
      <c r="S14" s="36" t="n">
        <v>-0.1391</v>
      </c>
      <c r="T14" s="36" t="n">
        <v>-0.1157</v>
      </c>
      <c r="U14" s="36" t="n">
        <v>-0.1046</v>
      </c>
      <c r="V14" s="36" t="n">
        <v>-0.0875</v>
      </c>
      <c r="W14" s="36" t="n">
        <v>-0.0489</v>
      </c>
      <c r="X14" s="36" t="n">
        <v>-0.0359</v>
      </c>
      <c r="Z14" s="35" t="s">
        <v>79</v>
      </c>
      <c r="AA14" s="36" t="n">
        <v>0.695</v>
      </c>
      <c r="AB14" s="36" t="n">
        <v>0.6809</v>
      </c>
      <c r="AC14" s="36" t="n">
        <v>0.6487</v>
      </c>
      <c r="AD14" s="36" t="n">
        <v>0.6352</v>
      </c>
      <c r="AE14" s="36" t="n">
        <v>0.6121</v>
      </c>
      <c r="AF14" s="36" t="n">
        <v>0.5776</v>
      </c>
      <c r="AG14" s="36" t="n">
        <v>0.5561</v>
      </c>
      <c r="AH14" s="36" t="n">
        <v>0.5347</v>
      </c>
      <c r="AI14" s="36" t="n">
        <v>0.5115</v>
      </c>
      <c r="AJ14" s="36" t="n">
        <v>0.4962</v>
      </c>
      <c r="AL14" s="35" t="s">
        <v>79</v>
      </c>
      <c r="AM14" s="37" t="n">
        <f aca="false">C14*(1+(((2-3*O14^2)/24*AA14^2)+(O14*AA14*C14/4))*10)</f>
        <v>0.532689236140163</v>
      </c>
      <c r="AN14" s="37" t="n">
        <f aca="false">D14*(1+(((2-3*P14^2)/24*AB14^2)+(P14*AB14*D14/4))*10)</f>
        <v>0.511318670882253</v>
      </c>
      <c r="AO14" s="37" t="n">
        <f aca="false">E14*(1+(((2-3*Q14^2)/24*AC14^2)+(Q14*AC14*E14/4))*10)</f>
        <v>0.4893519996521</v>
      </c>
      <c r="AP14" s="37" t="n">
        <f aca="false">F14*(1+(((2-3*R14^2)/24*AD14^2)+(R14*AD14*F14/4))*10)</f>
        <v>0.482363314208809</v>
      </c>
      <c r="AQ14" s="37" t="n">
        <f aca="false">G14*(1+(((2-3*S14^2)/24*AE14^2)+(S14*AE14*G14/4))*10)</f>
        <v>0.454403557856698</v>
      </c>
      <c r="AR14" s="37" t="n">
        <f aca="false">H14*(1+(((2-3*T14^2)/24*AF14^2)+(T14*AF14*H14/4))*10)</f>
        <v>0.417252802524655</v>
      </c>
      <c r="AS14" s="37" t="n">
        <f aca="false">I14*(1+(((2-3*U14^2)/24*AG14^2)+(U14*AG14*I14/4))*10)</f>
        <v>0.393062833428716</v>
      </c>
      <c r="AT14" s="37" t="n">
        <f aca="false">J14*(1+(((2-3*V14^2)/24*AH14^2)+(V14*AH14*J14/4))*10)</f>
        <v>0.371421030574361</v>
      </c>
      <c r="AU14" s="37" t="n">
        <f aca="false">K14*(1+(((2-3*W14^2)/24*AI14^2)+(W14*AI14*K14/4))*10)</f>
        <v>0.369097357735864</v>
      </c>
      <c r="AV14" s="37" t="n">
        <f aca="false">L14*(1+(((2-3*X14^2)/24*AJ14^2)+(X14*AJ14*L14/4))*10)</f>
        <v>0.345052000677532</v>
      </c>
    </row>
    <row r="15" customFormat="false" ht="15" hidden="false" customHeight="true" outlineLevel="0" collapsed="false">
      <c r="B15" s="35" t="s">
        <v>80</v>
      </c>
      <c r="C15" s="36" t="n">
        <v>0.4119</v>
      </c>
      <c r="D15" s="36" t="n">
        <v>0.3984</v>
      </c>
      <c r="E15" s="36" t="n">
        <v>0.376</v>
      </c>
      <c r="F15" s="36" t="n">
        <v>0.3749</v>
      </c>
      <c r="G15" s="36" t="n">
        <v>0.3471</v>
      </c>
      <c r="H15" s="36" t="n">
        <v>0.3325</v>
      </c>
      <c r="I15" s="36" t="n">
        <v>0.3183</v>
      </c>
      <c r="J15" s="36" t="n">
        <v>0.3081</v>
      </c>
      <c r="K15" s="36" t="n">
        <v>0.2817</v>
      </c>
      <c r="L15" s="36" t="n">
        <v>0.275</v>
      </c>
      <c r="N15" s="35" t="s">
        <v>80</v>
      </c>
      <c r="O15" s="36" t="n">
        <v>-0.1944</v>
      </c>
      <c r="P15" s="36" t="n">
        <v>-0.1744</v>
      </c>
      <c r="Q15" s="36" t="n">
        <v>-0.1551</v>
      </c>
      <c r="R15" s="36" t="n">
        <v>-0.1457</v>
      </c>
      <c r="S15" s="36" t="n">
        <v>-0.1179</v>
      </c>
      <c r="T15" s="36" t="n">
        <v>-0.1036</v>
      </c>
      <c r="U15" s="36" t="n">
        <v>-0.0877</v>
      </c>
      <c r="V15" s="36" t="n">
        <v>-0.0523</v>
      </c>
      <c r="W15" s="36" t="n">
        <v>-0.0454</v>
      </c>
      <c r="X15" s="36" t="n">
        <v>-0.02</v>
      </c>
      <c r="Z15" s="35" t="s">
        <v>80</v>
      </c>
      <c r="AA15" s="36" t="n">
        <v>0.6767</v>
      </c>
      <c r="AB15" s="36" t="n">
        <v>0.6511</v>
      </c>
      <c r="AC15" s="36" t="n">
        <v>0.6243</v>
      </c>
      <c r="AD15" s="36" t="n">
        <v>0.6059</v>
      </c>
      <c r="AE15" s="36" t="n">
        <v>0.5844</v>
      </c>
      <c r="AF15" s="36" t="n">
        <v>0.5668</v>
      </c>
      <c r="AG15" s="36" t="n">
        <v>0.531</v>
      </c>
      <c r="AH15" s="36" t="n">
        <v>0.5179</v>
      </c>
      <c r="AI15" s="36" t="n">
        <v>0.4894</v>
      </c>
      <c r="AJ15" s="36" t="n">
        <v>0.4678</v>
      </c>
      <c r="AL15" s="35" t="s">
        <v>80</v>
      </c>
      <c r="AM15" s="37" t="n">
        <f aca="false">C15*(1+(((2-3*O15^2)/24*AA15^2)+(O15*AA15*C15/4))*20)</f>
        <v>0.596848364549956</v>
      </c>
      <c r="AN15" s="37" t="n">
        <f aca="false">D15*(1+(((2-3*P15^2)/24*AB15^2)+(P15*AB15*D15/4))*20)</f>
        <v>0.576931685466532</v>
      </c>
      <c r="AO15" s="37" t="n">
        <f aca="false">E15*(1+(((2-3*Q15^2)/24*AC15^2)+(Q15*AC15*E15/4))*20)</f>
        <v>0.542983915177752</v>
      </c>
      <c r="AP15" s="37" t="n">
        <f aca="false">F15*(1+(((2-3*R15^2)/24*AD15^2)+(R15*AD15*F15/4))*20)</f>
        <v>0.534942792119242</v>
      </c>
      <c r="AQ15" s="37" t="n">
        <f aca="false">G15*(1+(((2-3*S15^2)/24*AE15^2)+(S15*AE15*G15/4))*20)</f>
        <v>0.499046511341319</v>
      </c>
      <c r="AR15" s="37" t="n">
        <f aca="false">H15*(1+(((2-3*T15^2)/24*AF15^2)+(T15*AF15*H15/4))*20)</f>
        <v>0.475207015552915</v>
      </c>
      <c r="AS15" s="37" t="n">
        <f aca="false">I15*(1+(((2-3*U15^2)/24*AG15^2)+(U15*AG15*I15/4))*20)</f>
        <v>0.442564098590767</v>
      </c>
      <c r="AT15" s="37" t="n">
        <f aca="false">J15*(1+(((2-3*V15^2)/24*AH15^2)+(V15*AH15*J15/4))*20)</f>
        <v>0.432410222404723</v>
      </c>
      <c r="AU15" s="37" t="n">
        <f aca="false">K15*(1+(((2-3*W15^2)/24*AI15^2)+(W15*AI15*K15/4))*20)</f>
        <v>0.384987547322654</v>
      </c>
      <c r="AV15" s="37" t="n">
        <f aca="false">L15*(1+(((2-3*X15^2)/24*AJ15^2)+(X15*AJ15*L15/4))*20)</f>
        <v>0.371702300702333</v>
      </c>
    </row>
    <row r="16" customFormat="false" ht="15" hidden="false" customHeight="true" outlineLevel="0" collapsed="false">
      <c r="B16" s="35" t="s">
        <v>81</v>
      </c>
      <c r="C16" s="36" t="n">
        <v>0.4054</v>
      </c>
      <c r="D16" s="36" t="n">
        <v>0.3835</v>
      </c>
      <c r="E16" s="36" t="n">
        <v>0.3679</v>
      </c>
      <c r="F16" s="36" t="n">
        <v>0.3552</v>
      </c>
      <c r="G16" s="36" t="n">
        <v>0.3416</v>
      </c>
      <c r="H16" s="36" t="n">
        <v>0.3155</v>
      </c>
      <c r="I16" s="36" t="n">
        <v>0.3023</v>
      </c>
      <c r="J16" s="36" t="n">
        <v>0.2834</v>
      </c>
      <c r="K16" s="36" t="n">
        <v>0.2669</v>
      </c>
      <c r="L16" s="36" t="n">
        <v>0.2539</v>
      </c>
      <c r="N16" s="35" t="s">
        <v>81</v>
      </c>
      <c r="O16" s="36" t="n">
        <v>-0.176</v>
      </c>
      <c r="P16" s="36" t="n">
        <v>-0.1549</v>
      </c>
      <c r="Q16" s="36" t="n">
        <v>-0.1366</v>
      </c>
      <c r="R16" s="36" t="n">
        <v>-0.1078</v>
      </c>
      <c r="S16" s="36" t="n">
        <v>-0.0932</v>
      </c>
      <c r="T16" s="36" t="n">
        <v>-0.0702</v>
      </c>
      <c r="U16" s="36" t="n">
        <v>-0.0495</v>
      </c>
      <c r="V16" s="36" t="n">
        <v>-0.0437</v>
      </c>
      <c r="W16" s="36" t="n">
        <v>-0.0183</v>
      </c>
      <c r="X16" s="36" t="n">
        <v>0.0089</v>
      </c>
      <c r="Z16" s="35" t="s">
        <v>81</v>
      </c>
      <c r="AA16" s="36" t="n">
        <v>0.6568</v>
      </c>
      <c r="AB16" s="36" t="n">
        <v>0.6205</v>
      </c>
      <c r="AC16" s="36" t="n">
        <v>0.598</v>
      </c>
      <c r="AD16" s="36" t="n">
        <v>0.5822</v>
      </c>
      <c r="AE16" s="36" t="n">
        <v>0.5526</v>
      </c>
      <c r="AF16" s="36" t="n">
        <v>0.5337</v>
      </c>
      <c r="AG16" s="36" t="n">
        <v>0.5081</v>
      </c>
      <c r="AH16" s="36" t="n">
        <v>0.4978</v>
      </c>
      <c r="AI16" s="36" t="n">
        <v>0.4779</v>
      </c>
      <c r="AJ16" s="36" t="n">
        <v>0.4579</v>
      </c>
      <c r="AL16" s="35" t="s">
        <v>81</v>
      </c>
      <c r="AM16" s="37" t="n">
        <f aca="false">C16*(1+(((2-3*O16^2)/24*AA16^2)+(O16*AA16*C16/4))*30)</f>
        <v>0.679808653586033</v>
      </c>
      <c r="AN16" s="37" t="n">
        <f aca="false">D16*(1+(((2-3*P16^2)/24*AB16^2)+(P16*AB16*D16/4))*30)</f>
        <v>0.633333141280691</v>
      </c>
      <c r="AO16" s="37" t="n">
        <f aca="false">E16*(1+(((2-3*Q16^2)/24*AC16^2)+(Q16*AC16*E16/4))*30)</f>
        <v>0.604677845292024</v>
      </c>
      <c r="AP16" s="37" t="n">
        <f aca="false">F16*(1+(((2-3*R16^2)/24*AD16^2)+(R16*AD16*F16/4))*30)</f>
        <v>0.591559051550297</v>
      </c>
      <c r="AQ16" s="37" t="n">
        <f aca="false">G16*(1+(((2-3*S16^2)/24*AE16^2)+(S16*AE16*G16/4))*30)</f>
        <v>0.553911615459601</v>
      </c>
      <c r="AR16" s="37" t="n">
        <f aca="false">H16*(1+(((2-3*T16^2)/24*AF16^2)+(T16*AF16*H16/4))*30)</f>
        <v>0.510533301161985</v>
      </c>
      <c r="AS16" s="37" t="n">
        <f aca="false">I16*(1+(((2-3*U16^2)/24*AG16^2)+(U16*AG16*I16/4))*30)</f>
        <v>0.479453360820703</v>
      </c>
      <c r="AT16" s="37" t="n">
        <f aca="false">J16*(1+(((2-3*V16^2)/24*AH16^2)+(V16*AH16*J16/4))*30)</f>
        <v>0.445363002645476</v>
      </c>
      <c r="AU16" s="37" t="n">
        <f aca="false">K16*(1+(((2-3*W16^2)/24*AI16^2)+(W16*AI16*K16/4))*30)</f>
        <v>0.414543144550397</v>
      </c>
      <c r="AV16" s="37" t="n">
        <f aca="false">L16*(1+(((2-3*X16^2)/24*AJ16^2)+(X16*AJ16*L16/4))*30)</f>
        <v>0.3889441170734</v>
      </c>
    </row>
    <row r="18" customFormat="false" ht="27.75" hidden="false" customHeight="true" outlineLevel="0" collapsed="false">
      <c r="A18" s="15" t="s">
        <v>142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</row>
    <row r="20" customFormat="false" ht="19.5" hidden="false" customHeight="true" outlineLevel="0" collapsed="false">
      <c r="A20" s="17" t="s">
        <v>143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</row>
    <row r="21" customFormat="false" ht="27.75" hidden="false" customHeight="true" outlineLevel="0" collapsed="false">
      <c r="B21" s="15" t="s">
        <v>144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customFormat="false" ht="15" hidden="false" customHeight="true" outlineLevel="0" collapsed="false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4" customFormat="false" ht="15" hidden="false" customHeight="true" outlineLevel="0" collapsed="false">
      <c r="B24" s="28" t="s">
        <v>145</v>
      </c>
      <c r="C24" s="28"/>
      <c r="D24" s="28"/>
      <c r="E24" s="28"/>
    </row>
    <row r="25" customFormat="false" ht="15" hidden="false" customHeight="true" outlineLevel="0" collapsed="false">
      <c r="B25" s="18" t="s">
        <v>146</v>
      </c>
      <c r="C25" s="12" t="s">
        <v>147</v>
      </c>
      <c r="D25" s="12" t="s">
        <v>148</v>
      </c>
      <c r="E25" s="12" t="s">
        <v>149</v>
      </c>
    </row>
    <row r="26" customFormat="false" ht="15" hidden="false" customHeight="true" outlineLevel="0" collapsed="false">
      <c r="B26" s="9" t="s">
        <v>117</v>
      </c>
      <c r="C26" s="36" t="n">
        <v>0.0099</v>
      </c>
      <c r="D26" s="36" t="n">
        <v>0.0057</v>
      </c>
      <c r="E26" s="36" t="n">
        <v>0.0224</v>
      </c>
    </row>
    <row r="27" customFormat="false" ht="15" hidden="false" customHeight="true" outlineLevel="0" collapsed="false">
      <c r="B27" s="9" t="s">
        <v>118</v>
      </c>
      <c r="C27" s="36" t="n">
        <v>0.0125</v>
      </c>
      <c r="D27" s="36" t="n">
        <v>0.0065</v>
      </c>
      <c r="E27" s="36" t="n">
        <v>0.0206</v>
      </c>
    </row>
    <row r="28" customFormat="false" ht="15" hidden="false" customHeight="true" outlineLevel="0" collapsed="false">
      <c r="B28" s="9" t="s">
        <v>119</v>
      </c>
      <c r="C28" s="36" t="n">
        <v>0.012</v>
      </c>
      <c r="D28" s="36" t="n">
        <v>0.0077</v>
      </c>
      <c r="E28" s="36" t="n">
        <v>0.0249</v>
      </c>
    </row>
    <row r="29" customFormat="false" ht="15" hidden="false" customHeight="true" outlineLevel="0" collapsed="false">
      <c r="B29" s="9" t="s">
        <v>120</v>
      </c>
      <c r="C29" s="36" t="n">
        <v>0.0205</v>
      </c>
      <c r="D29" s="36" t="n">
        <v>0.0056</v>
      </c>
      <c r="E29" s="36" t="n">
        <v>0.0233</v>
      </c>
    </row>
    <row r="30" customFormat="false" ht="15" hidden="false" customHeight="true" outlineLevel="0" collapsed="false">
      <c r="B30" s="9" t="s">
        <v>121</v>
      </c>
      <c r="C30" s="36" t="n">
        <v>0.0159</v>
      </c>
      <c r="D30" s="36" t="n">
        <v>0.0125</v>
      </c>
      <c r="E30" s="36" t="n">
        <v>0.0331</v>
      </c>
    </row>
    <row r="31" customFormat="false" ht="15" hidden="false" customHeight="true" outlineLevel="0" collapsed="false">
      <c r="B31" s="9" t="s">
        <v>122</v>
      </c>
      <c r="C31" s="36" t="n">
        <v>0.0178</v>
      </c>
      <c r="D31" s="36" t="n">
        <v>0.0151</v>
      </c>
      <c r="E31" s="36" t="n">
        <v>0.041</v>
      </c>
    </row>
    <row r="32" customFormat="false" ht="15" hidden="false" customHeight="true" outlineLevel="0" collapsed="false">
      <c r="B32" s="9" t="s">
        <v>123</v>
      </c>
      <c r="C32" s="36" t="n">
        <v>0.0263</v>
      </c>
      <c r="D32" s="36" t="n">
        <v>0.0133</v>
      </c>
      <c r="E32" s="36" t="n">
        <v>0.0317</v>
      </c>
    </row>
    <row r="33" customFormat="false" ht="15" hidden="false" customHeight="true" outlineLevel="0" collapsed="false">
      <c r="B33" s="9" t="s">
        <v>124</v>
      </c>
      <c r="C33" s="36" t="n">
        <v>0.0224</v>
      </c>
      <c r="D33" s="36" t="n">
        <v>0.0138</v>
      </c>
      <c r="E33" s="36" t="n">
        <v>0.0338</v>
      </c>
    </row>
    <row r="34" customFormat="false" ht="15" hidden="false" customHeight="true" outlineLevel="0" collapsed="false">
      <c r="B34" s="9" t="s">
        <v>125</v>
      </c>
      <c r="C34" s="36" t="n">
        <v>0.0265</v>
      </c>
      <c r="D34" s="36" t="n">
        <v>0.0127</v>
      </c>
      <c r="E34" s="36" t="n">
        <v>0.0369</v>
      </c>
    </row>
    <row r="35" customFormat="false" ht="15" hidden="false" customHeight="true" outlineLevel="0" collapsed="false">
      <c r="B35" s="9" t="s">
        <v>126</v>
      </c>
      <c r="C35" s="36" t="n">
        <v>0.0316</v>
      </c>
      <c r="D35" s="36" t="n">
        <v>0.0155</v>
      </c>
      <c r="E35" s="36" t="n">
        <v>0.0535</v>
      </c>
    </row>
    <row r="38" customFormat="false" ht="15" hidden="false" customHeight="true" outlineLevel="0" collapsed="false">
      <c r="B38" s="28" t="s">
        <v>150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customFormat="false" ht="15" hidden="false" customHeight="true" outlineLevel="0" collapsed="false">
      <c r="B39" s="18" t="s">
        <v>140</v>
      </c>
      <c r="C39" s="12" t="s">
        <v>141</v>
      </c>
      <c r="D39" s="12" t="s">
        <v>74</v>
      </c>
      <c r="E39" s="12" t="s">
        <v>75</v>
      </c>
      <c r="F39" s="12" t="s">
        <v>30</v>
      </c>
      <c r="G39" s="12" t="s">
        <v>76</v>
      </c>
      <c r="H39" s="12" t="s">
        <v>77</v>
      </c>
      <c r="I39" s="12" t="s">
        <v>78</v>
      </c>
      <c r="J39" s="12" t="s">
        <v>79</v>
      </c>
      <c r="K39" s="12" t="s">
        <v>80</v>
      </c>
      <c r="L39" s="12" t="s">
        <v>81</v>
      </c>
    </row>
    <row r="40" customFormat="false" ht="15" hidden="false" customHeight="true" outlineLevel="0" collapsed="false">
      <c r="B40" s="35" t="s">
        <v>141</v>
      </c>
      <c r="C40" s="38" t="n">
        <v>1.601</v>
      </c>
      <c r="D40" s="38" t="n">
        <v>1.518</v>
      </c>
      <c r="E40" s="38" t="n">
        <v>1.42</v>
      </c>
      <c r="F40" s="38" t="n">
        <v>1.34</v>
      </c>
      <c r="G40" s="38" t="n">
        <v>1.237</v>
      </c>
      <c r="H40" s="38" t="n">
        <v>1.137</v>
      </c>
      <c r="I40" s="38" t="n">
        <v>1.09</v>
      </c>
      <c r="J40" s="38" t="n">
        <v>1</v>
      </c>
      <c r="K40" s="38" t="n">
        <v>0.9</v>
      </c>
      <c r="L40" s="38" t="n">
        <v>0.802</v>
      </c>
    </row>
    <row r="41" customFormat="false" ht="15" hidden="false" customHeight="true" outlineLevel="0" collapsed="false">
      <c r="B41" s="35" t="s">
        <v>74</v>
      </c>
      <c r="C41" s="38" t="n">
        <v>1.499</v>
      </c>
      <c r="D41" s="38" t="n">
        <v>1.404</v>
      </c>
      <c r="E41" s="38" t="n">
        <v>1.317</v>
      </c>
      <c r="F41" s="38" t="n">
        <v>1.214</v>
      </c>
      <c r="G41" s="38" t="n">
        <v>1.166</v>
      </c>
      <c r="H41" s="38" t="n">
        <v>1.054</v>
      </c>
      <c r="I41" s="38" t="n">
        <v>0.991</v>
      </c>
      <c r="J41" s="38" t="n">
        <v>0.873</v>
      </c>
      <c r="K41" s="38" t="n">
        <v>0.817</v>
      </c>
      <c r="L41" s="38" t="n">
        <v>0.721</v>
      </c>
    </row>
    <row r="42" customFormat="false" ht="15" hidden="false" customHeight="true" outlineLevel="0" collapsed="false">
      <c r="B42" s="35" t="s">
        <v>75</v>
      </c>
      <c r="C42" s="38" t="n">
        <v>1.39</v>
      </c>
      <c r="D42" s="38" t="n">
        <v>1.313</v>
      </c>
      <c r="E42" s="38" t="n">
        <v>1.265</v>
      </c>
      <c r="F42" s="38" t="n">
        <v>1.148</v>
      </c>
      <c r="G42" s="38" t="n">
        <v>1.089</v>
      </c>
      <c r="H42" s="38" t="n">
        <v>0.964</v>
      </c>
      <c r="I42" s="38" t="n">
        <v>0.854</v>
      </c>
      <c r="J42" s="38" t="n">
        <v>0.798</v>
      </c>
      <c r="K42" s="38" t="n">
        <v>0.717</v>
      </c>
      <c r="L42" s="38" t="n">
        <v>0.596</v>
      </c>
    </row>
    <row r="43" customFormat="false" ht="15" hidden="false" customHeight="true" outlineLevel="0" collapsed="false">
      <c r="B43" s="35" t="s">
        <v>30</v>
      </c>
      <c r="C43" s="38" t="n">
        <v>1.305</v>
      </c>
      <c r="D43" s="38" t="n">
        <v>1.23</v>
      </c>
      <c r="E43" s="38" t="n">
        <v>1.178</v>
      </c>
      <c r="F43" s="38" t="n">
        <v>1.075</v>
      </c>
      <c r="G43" s="38" t="n">
        <v>0.947</v>
      </c>
      <c r="H43" s="38" t="n">
        <v>0.865</v>
      </c>
      <c r="I43" s="38" t="n">
        <v>0.766</v>
      </c>
      <c r="J43" s="38" t="n">
        <v>0.674</v>
      </c>
      <c r="K43" s="38" t="n">
        <v>0.628</v>
      </c>
      <c r="L43" s="38" t="n">
        <v>0.501</v>
      </c>
    </row>
    <row r="44" customFormat="false" ht="15" hidden="false" customHeight="true" outlineLevel="0" collapsed="false">
      <c r="B44" s="35" t="s">
        <v>76</v>
      </c>
      <c r="C44" s="38" t="n">
        <v>1.244</v>
      </c>
      <c r="D44" s="38" t="n">
        <v>1.147</v>
      </c>
      <c r="E44" s="38" t="n">
        <v>1.041</v>
      </c>
      <c r="F44" s="38" t="n">
        <v>0.984</v>
      </c>
      <c r="G44" s="38" t="n">
        <v>0.858</v>
      </c>
      <c r="H44" s="38" t="n">
        <v>0.799</v>
      </c>
      <c r="I44" s="38" t="n">
        <v>0.677</v>
      </c>
      <c r="J44" s="38" t="n">
        <v>0.605</v>
      </c>
      <c r="K44" s="38" t="n">
        <v>0.503</v>
      </c>
      <c r="L44" s="38" t="n">
        <v>0.416</v>
      </c>
    </row>
    <row r="45" customFormat="false" ht="15" hidden="false" customHeight="true" outlineLevel="0" collapsed="false">
      <c r="B45" s="35" t="s">
        <v>77</v>
      </c>
      <c r="C45" s="38" t="n">
        <v>1.178</v>
      </c>
      <c r="D45" s="38" t="n">
        <v>1.078</v>
      </c>
      <c r="E45" s="38" t="n">
        <v>0.958</v>
      </c>
      <c r="F45" s="38" t="n">
        <v>0.903</v>
      </c>
      <c r="G45" s="38" t="n">
        <v>0.773</v>
      </c>
      <c r="H45" s="38" t="n">
        <v>0.694</v>
      </c>
      <c r="I45" s="38" t="n">
        <v>0.631</v>
      </c>
      <c r="J45" s="38" t="n">
        <v>0.529</v>
      </c>
      <c r="K45" s="38" t="n">
        <v>0.406</v>
      </c>
      <c r="L45" s="38" t="n">
        <v>0.369</v>
      </c>
    </row>
    <row r="46" customFormat="false" ht="15" hidden="false" customHeight="true" outlineLevel="0" collapsed="false">
      <c r="B46" s="35" t="s">
        <v>78</v>
      </c>
      <c r="C46" s="38" t="n">
        <v>1.043</v>
      </c>
      <c r="D46" s="38" t="n">
        <v>0.955</v>
      </c>
      <c r="E46" s="38" t="n">
        <v>0.896</v>
      </c>
      <c r="F46" s="38" t="n">
        <v>0.78</v>
      </c>
      <c r="G46" s="38" t="n">
        <v>0.688</v>
      </c>
      <c r="H46" s="38" t="n">
        <v>0.584</v>
      </c>
      <c r="I46" s="38" t="n">
        <v>0.495</v>
      </c>
      <c r="J46" s="38" t="n">
        <v>0.435</v>
      </c>
      <c r="K46" s="38" t="n">
        <v>0.325</v>
      </c>
      <c r="L46" s="38" t="n">
        <v>0.256</v>
      </c>
    </row>
    <row r="47" customFormat="false" ht="15" hidden="false" customHeight="true" outlineLevel="0" collapsed="false">
      <c r="B47" s="35" t="s">
        <v>79</v>
      </c>
      <c r="C47" s="38" t="n">
        <v>0.962</v>
      </c>
      <c r="D47" s="38" t="n">
        <v>0.877</v>
      </c>
      <c r="E47" s="38" t="n">
        <v>0.818</v>
      </c>
      <c r="F47" s="38" t="n">
        <v>0.699</v>
      </c>
      <c r="G47" s="38" t="n">
        <v>0.614</v>
      </c>
      <c r="H47" s="38" t="n">
        <v>0.542</v>
      </c>
      <c r="I47" s="38" t="n">
        <v>0.411</v>
      </c>
      <c r="J47" s="38" t="n">
        <v>0.319</v>
      </c>
      <c r="K47" s="38" t="n">
        <v>0.275</v>
      </c>
      <c r="L47" s="38" t="n">
        <v>0.179</v>
      </c>
    </row>
    <row r="48" customFormat="false" ht="15" hidden="false" customHeight="true" outlineLevel="0" collapsed="false">
      <c r="B48" s="35" t="s">
        <v>80</v>
      </c>
      <c r="C48" s="38" t="n">
        <v>0.865</v>
      </c>
      <c r="D48" s="38" t="n">
        <v>0.771</v>
      </c>
      <c r="E48" s="38" t="n">
        <v>0.714</v>
      </c>
      <c r="F48" s="38" t="n">
        <v>0.636</v>
      </c>
      <c r="G48" s="38" t="n">
        <v>0.502</v>
      </c>
      <c r="H48" s="38" t="n">
        <v>0.457</v>
      </c>
      <c r="I48" s="38" t="n">
        <v>0.363</v>
      </c>
      <c r="J48" s="38" t="n">
        <v>0.256</v>
      </c>
      <c r="K48" s="38" t="n">
        <v>0.155</v>
      </c>
      <c r="L48" s="38" t="n">
        <v>0.15</v>
      </c>
    </row>
    <row r="49" customFormat="false" ht="15" hidden="false" customHeight="true" outlineLevel="0" collapsed="false">
      <c r="B49" s="35" t="s">
        <v>81</v>
      </c>
      <c r="C49" s="38" t="n">
        <v>0.762</v>
      </c>
      <c r="D49" s="38" t="n">
        <v>0.728</v>
      </c>
      <c r="E49" s="38" t="n">
        <v>0.594</v>
      </c>
      <c r="F49" s="38" t="n">
        <v>0.532</v>
      </c>
      <c r="G49" s="38" t="n">
        <v>0.415</v>
      </c>
      <c r="H49" s="38" t="n">
        <v>0.359</v>
      </c>
      <c r="I49" s="38" t="n">
        <v>0.256</v>
      </c>
      <c r="J49" s="38" t="n">
        <v>0.15</v>
      </c>
      <c r="K49" s="38" t="n">
        <v>0.15</v>
      </c>
      <c r="L49" s="38" t="n">
        <v>0.15</v>
      </c>
    </row>
    <row r="51" customFormat="false" ht="19.5" hidden="false" customHeight="true" outlineLevel="0" collapsed="false">
      <c r="A51" s="17" t="s">
        <v>151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</row>
    <row r="52" customFormat="false" ht="15" hidden="false" customHeight="true" outlineLevel="0" collapsed="false">
      <c r="A52" s="16" t="s">
        <v>152</v>
      </c>
    </row>
    <row r="54" customFormat="false" ht="15" hidden="false" customHeight="true" outlineLevel="0" collapsed="false">
      <c r="A54" s="28" t="s">
        <v>153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</row>
    <row r="55" customFormat="false" ht="15" hidden="false" customHeight="true" outlineLevel="0" collapsed="false">
      <c r="B55" s="28" t="s">
        <v>136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N55" s="28" t="s">
        <v>137</v>
      </c>
      <c r="O55" s="28"/>
      <c r="P55" s="28"/>
      <c r="Q55" s="28"/>
      <c r="R55" s="28"/>
      <c r="S55" s="28"/>
      <c r="T55" s="28"/>
      <c r="U55" s="28"/>
      <c r="V55" s="28"/>
      <c r="W55" s="28"/>
      <c r="X55" s="28"/>
      <c r="Z55" s="28" t="s">
        <v>138</v>
      </c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L55" s="34" t="s">
        <v>139</v>
      </c>
      <c r="AM55" s="34"/>
      <c r="AN55" s="34"/>
      <c r="AO55" s="34"/>
      <c r="AP55" s="34"/>
      <c r="AQ55" s="34"/>
      <c r="AR55" s="34"/>
      <c r="AS55" s="34"/>
      <c r="AT55" s="34"/>
      <c r="AU55" s="34"/>
      <c r="AV55" s="34"/>
    </row>
    <row r="56" customFormat="false" ht="15" hidden="false" customHeight="true" outlineLevel="0" collapsed="false">
      <c r="B56" s="18" t="s">
        <v>140</v>
      </c>
      <c r="C56" s="12" t="s">
        <v>141</v>
      </c>
      <c r="D56" s="12" t="s">
        <v>74</v>
      </c>
      <c r="E56" s="12" t="s">
        <v>75</v>
      </c>
      <c r="F56" s="12" t="s">
        <v>30</v>
      </c>
      <c r="G56" s="12" t="s">
        <v>76</v>
      </c>
      <c r="H56" s="12" t="s">
        <v>77</v>
      </c>
      <c r="I56" s="12" t="s">
        <v>78</v>
      </c>
      <c r="J56" s="12" t="s">
        <v>79</v>
      </c>
      <c r="K56" s="12" t="s">
        <v>80</v>
      </c>
      <c r="L56" s="12" t="s">
        <v>81</v>
      </c>
      <c r="N56" s="18" t="s">
        <v>140</v>
      </c>
      <c r="O56" s="12" t="s">
        <v>141</v>
      </c>
      <c r="P56" s="12" t="s">
        <v>74</v>
      </c>
      <c r="Q56" s="12" t="s">
        <v>75</v>
      </c>
      <c r="R56" s="12" t="s">
        <v>30</v>
      </c>
      <c r="S56" s="12" t="s">
        <v>76</v>
      </c>
      <c r="T56" s="12" t="s">
        <v>77</v>
      </c>
      <c r="U56" s="12" t="s">
        <v>78</v>
      </c>
      <c r="V56" s="12" t="s">
        <v>79</v>
      </c>
      <c r="W56" s="12" t="s">
        <v>80</v>
      </c>
      <c r="X56" s="12" t="s">
        <v>81</v>
      </c>
      <c r="Z56" s="18" t="s">
        <v>140</v>
      </c>
      <c r="AA56" s="12" t="s">
        <v>141</v>
      </c>
      <c r="AB56" s="12" t="s">
        <v>74</v>
      </c>
      <c r="AC56" s="12" t="s">
        <v>75</v>
      </c>
      <c r="AD56" s="12" t="s">
        <v>30</v>
      </c>
      <c r="AE56" s="12" t="s">
        <v>76</v>
      </c>
      <c r="AF56" s="12" t="s">
        <v>77</v>
      </c>
      <c r="AG56" s="12" t="s">
        <v>78</v>
      </c>
      <c r="AH56" s="12" t="s">
        <v>79</v>
      </c>
      <c r="AI56" s="12" t="s">
        <v>80</v>
      </c>
      <c r="AJ56" s="12" t="s">
        <v>81</v>
      </c>
      <c r="AL56" s="18" t="s">
        <v>140</v>
      </c>
      <c r="AM56" s="12" t="s">
        <v>141</v>
      </c>
      <c r="AN56" s="12" t="s">
        <v>74</v>
      </c>
      <c r="AO56" s="12" t="s">
        <v>75</v>
      </c>
      <c r="AP56" s="12" t="s">
        <v>30</v>
      </c>
      <c r="AQ56" s="12" t="s">
        <v>76</v>
      </c>
      <c r="AR56" s="12" t="s">
        <v>77</v>
      </c>
      <c r="AS56" s="12" t="s">
        <v>78</v>
      </c>
      <c r="AT56" s="12" t="s">
        <v>79</v>
      </c>
      <c r="AU56" s="12" t="s">
        <v>80</v>
      </c>
      <c r="AV56" s="12" t="s">
        <v>81</v>
      </c>
    </row>
    <row r="57" customFormat="false" ht="15" hidden="false" customHeight="true" outlineLevel="0" collapsed="false">
      <c r="B57" s="35" t="s">
        <v>141</v>
      </c>
      <c r="C57" s="24" t="n">
        <f aca="false">C7+$C$26*C40</f>
        <v>0.5623499</v>
      </c>
      <c r="D57" s="24" t="n">
        <f aca="false">D7+$C$26*D40</f>
        <v>0.5414282</v>
      </c>
      <c r="E57" s="24" t="n">
        <f aca="false">E7+$C$26*E40</f>
        <v>0.533758</v>
      </c>
      <c r="F57" s="24" t="n">
        <f aca="false">F7+$C$26*F40</f>
        <v>0.504666</v>
      </c>
      <c r="G57" s="24" t="n">
        <f aca="false">G7+$C$26*G40</f>
        <v>0.4963463</v>
      </c>
      <c r="H57" s="24" t="n">
        <f aca="false">H7+$C$26*H40</f>
        <v>0.4752563</v>
      </c>
      <c r="I57" s="24" t="n">
        <f aca="false">I7+$C$26*I40</f>
        <v>0.451991</v>
      </c>
      <c r="J57" s="24" t="n">
        <f aca="false">J7+$C$26*J40</f>
        <v>0.4434</v>
      </c>
      <c r="K57" s="24" t="n">
        <f aca="false">K7+$C$26*K40</f>
        <v>0.41631</v>
      </c>
      <c r="L57" s="24" t="n">
        <f aca="false">L7+$C$26*L40</f>
        <v>0.4066398</v>
      </c>
      <c r="N57" s="35" t="s">
        <v>141</v>
      </c>
      <c r="O57" s="24" t="n">
        <f aca="false">O7+$D$26*O40</f>
        <v>-0.3586</v>
      </c>
      <c r="P57" s="24" t="n">
        <f aca="false">P7+$D$26*P40</f>
        <v>-0.3387</v>
      </c>
      <c r="Q57" s="24" t="n">
        <f aca="false">Q7+$D$26*Q40</f>
        <v>-0.3126</v>
      </c>
      <c r="R57" s="24" t="n">
        <f aca="false">R7+$D$26*R40</f>
        <v>-0.2851</v>
      </c>
      <c r="S57" s="24" t="n">
        <f aca="false">S7+$D$26*S40</f>
        <v>-0.2797</v>
      </c>
      <c r="T57" s="24" t="n">
        <f aca="false">T7+$D$26*T40</f>
        <v>-0.2583</v>
      </c>
      <c r="U57" s="24" t="n">
        <f aca="false">U7+$D$26*U40</f>
        <v>-0.2308</v>
      </c>
      <c r="V57" s="24" t="n">
        <f aca="false">V7+$D$26*V40</f>
        <v>-0.2049</v>
      </c>
      <c r="W57" s="24" t="n">
        <f aca="false">W7+$D$26*W40</f>
        <v>-0.1929</v>
      </c>
      <c r="X57" s="24" t="n">
        <f aca="false">X7+$D$26*X40</f>
        <v>-0.1771</v>
      </c>
      <c r="Z57" s="35" t="s">
        <v>141</v>
      </c>
      <c r="AA57" s="24" t="n">
        <f aca="false">AA7+$E$26*AA40</f>
        <v>0.8595</v>
      </c>
      <c r="AB57" s="24" t="n">
        <f aca="false">AB7+$E$26*AB40</f>
        <v>0.8187</v>
      </c>
      <c r="AC57" s="24" t="n">
        <f aca="false">AC7+$E$26*AC40</f>
        <v>0.8127</v>
      </c>
      <c r="AD57" s="24" t="n">
        <f aca="false">AD7+$E$26*AD40</f>
        <v>0.7791</v>
      </c>
      <c r="AE57" s="24" t="n">
        <f aca="false">AE7+$E$26*AE40</f>
        <v>0.754</v>
      </c>
      <c r="AF57" s="24" t="n">
        <f aca="false">AF7+$E$26*AF40</f>
        <v>0.7312</v>
      </c>
      <c r="AG57" s="24" t="n">
        <f aca="false">AG7+$E$26*AG40</f>
        <v>0.7128</v>
      </c>
      <c r="AH57" s="24" t="n">
        <f aca="false">AH7+$E$26*AH40</f>
        <v>0.7008</v>
      </c>
      <c r="AI57" s="24" t="n">
        <f aca="false">AI7+$E$26*AI40</f>
        <v>0.6658</v>
      </c>
      <c r="AJ57" s="24" t="n">
        <f aca="false">AJ7+$E$26*AJ40</f>
        <v>0.6516</v>
      </c>
      <c r="AL57" s="35" t="s">
        <v>141</v>
      </c>
      <c r="AM57" s="37" t="n">
        <f aca="false">C57*(1+(((2-3*O57^2)/24*AA57^2)+(O57*AA57*C57/4))*0.0833333333333333)</f>
        <v>0.562647738695512</v>
      </c>
      <c r="AN57" s="37" t="n">
        <f aca="false">D57*(1+(((2-3*P57^2)/24*AB57^2)+(P57*AB57*D57/4))*0.0833333333333333)</f>
        <v>0.541821217217908</v>
      </c>
      <c r="AO57" s="37" t="n">
        <f aca="false">E57*(1+(((2-3*Q57^2)/24*AC57^2)+(Q57*AC57*E57/4))*0.0833333333333333)</f>
        <v>0.534339445864516</v>
      </c>
      <c r="AP57" s="37" t="n">
        <f aca="false">F57*(1+(((2-3*R57^2)/24*AD57^2)+(R57*AD57*F57/4))*0.0833333333333333)</f>
        <v>0.505355354684995</v>
      </c>
      <c r="AQ57" s="37" t="n">
        <f aca="false">G57*(1+(((2-3*S57^2)/24*AE57^2)+(S57*AE57*G57/4))*0.0833333333333333)</f>
        <v>0.496993523979011</v>
      </c>
      <c r="AR57" s="37" t="n">
        <f aca="false">H57*(1+(((2-3*T57^2)/24*AF57^2)+(T57*AF57*H57/4))*0.0833333333333333)</f>
        <v>0.475955529823552</v>
      </c>
      <c r="AS57" s="37" t="n">
        <f aca="false">I57*(1+(((2-3*U57^2)/24*AG57^2)+(U57*AG57*I57/4))*0.0833333333333333)</f>
        <v>0.452758159207072</v>
      </c>
      <c r="AT57" s="37" t="n">
        <f aca="false">J57*(1+(((2-3*V57^2)/24*AH57^2)+(V57*AH57*J57/4))*0.0833333333333333)</f>
        <v>0.444228859896097</v>
      </c>
      <c r="AU57" s="37" t="n">
        <f aca="false">K57*(1+(((2-3*W57^2)/24*AI57^2)+(W57*AI57*K57/4))*0.0833333333333333)</f>
        <v>0.417056303771283</v>
      </c>
      <c r="AV57" s="37" t="n">
        <f aca="false">L57*(1+(((2-3*X57^2)/24*AJ57^2)+(X57*AJ57*L57/4))*0.0833333333333333)</f>
        <v>0.407384828186681</v>
      </c>
    </row>
    <row r="58" customFormat="false" ht="15" hidden="false" customHeight="true" outlineLevel="0" collapsed="false">
      <c r="B58" s="35" t="s">
        <v>74</v>
      </c>
      <c r="C58" s="24" t="n">
        <f aca="false">C8+$C$26*C41</f>
        <v>0.5509401</v>
      </c>
      <c r="D58" s="24" t="n">
        <f aca="false">D8+$C$26*D41</f>
        <v>0.5279996</v>
      </c>
      <c r="E58" s="24" t="n">
        <f aca="false">E8+$C$26*E41</f>
        <v>0.5140383</v>
      </c>
      <c r="F58" s="24" t="n">
        <f aca="false">F8+$C$26*F41</f>
        <v>0.4866186</v>
      </c>
      <c r="G58" s="24" t="n">
        <f aca="false">G8+$C$26*G41</f>
        <v>0.4694434</v>
      </c>
      <c r="H58" s="24" t="n">
        <f aca="false">H8+$C$26*H41</f>
        <v>0.4545346</v>
      </c>
      <c r="I58" s="24" t="n">
        <f aca="false">I8+$C$26*I41</f>
        <v>0.4467109</v>
      </c>
      <c r="J58" s="24" t="n">
        <f aca="false">J8+$C$26*J41</f>
        <v>0.4238427</v>
      </c>
      <c r="K58" s="24" t="n">
        <f aca="false">K8+$C$26*K41</f>
        <v>0.4043883</v>
      </c>
      <c r="L58" s="24" t="n">
        <f aca="false">L8+$C$26*L41</f>
        <v>0.3921379</v>
      </c>
      <c r="N58" s="35" t="s">
        <v>74</v>
      </c>
      <c r="O58" s="24" t="n">
        <f aca="false">O8+$D$26*O41</f>
        <v>-0.3315</v>
      </c>
      <c r="P58" s="24" t="n">
        <f aca="false">P8+$D$26*P41</f>
        <v>-0.3151</v>
      </c>
      <c r="Q58" s="24" t="n">
        <f aca="false">Q8+$D$26*Q41</f>
        <v>-0.2858</v>
      </c>
      <c r="R58" s="24" t="n">
        <f aca="false">R8+$D$26*R41</f>
        <v>-0.2682</v>
      </c>
      <c r="S58" s="24" t="n">
        <f aca="false">S8+$D$26*S41</f>
        <v>-0.2579</v>
      </c>
      <c r="T58" s="24" t="n">
        <f aca="false">T8+$D$26*T41</f>
        <v>-0.2318</v>
      </c>
      <c r="U58" s="24" t="n">
        <f aca="false">U8+$D$26*U41</f>
        <v>-0.2134</v>
      </c>
      <c r="V58" s="24" t="n">
        <f aca="false">V8+$D$26*V41</f>
        <v>-0.1869</v>
      </c>
      <c r="W58" s="24" t="n">
        <f aca="false">W8+$D$26*W41</f>
        <v>-0.1704</v>
      </c>
      <c r="X58" s="24" t="n">
        <f aca="false">X8+$D$26*X41</f>
        <v>-0.1598</v>
      </c>
      <c r="Z58" s="35" t="s">
        <v>74</v>
      </c>
      <c r="AA58" s="24" t="n">
        <f aca="false">AA8+$E$26*AA41</f>
        <v>0.8374</v>
      </c>
      <c r="AB58" s="24" t="n">
        <f aca="false">AB8+$E$26*AB41</f>
        <v>0.7979</v>
      </c>
      <c r="AC58" s="24" t="n">
        <f aca="false">AC8+$E$26*AC41</f>
        <v>0.7817</v>
      </c>
      <c r="AD58" s="24" t="n">
        <f aca="false">AD8+$E$26*AD41</f>
        <v>0.7663</v>
      </c>
      <c r="AE58" s="24" t="n">
        <f aca="false">AE8+$E$26*AE41</f>
        <v>0.7319</v>
      </c>
      <c r="AF58" s="24" t="n">
        <f aca="false">AF8+$E$26*AF41</f>
        <v>0.7164</v>
      </c>
      <c r="AG58" s="24" t="n">
        <f aca="false">AG8+$E$26*AG41</f>
        <v>0.6852</v>
      </c>
      <c r="AH58" s="24" t="n">
        <f aca="false">AH8+$E$26*AH41</f>
        <v>0.6756</v>
      </c>
      <c r="AI58" s="24" t="n">
        <f aca="false">AI8+$E$26*AI41</f>
        <v>0.6553</v>
      </c>
      <c r="AJ58" s="24" t="n">
        <f aca="false">AJ8+$E$26*AJ41</f>
        <v>0.6292</v>
      </c>
      <c r="AL58" s="35" t="s">
        <v>74</v>
      </c>
      <c r="AM58" s="37" t="n">
        <f aca="false">C58*(1+(((2-3*O58^2)/24*AA58^2)+(O58*AA58*C58/4))*0.25)</f>
        <v>0.55239582064585</v>
      </c>
      <c r="AN58" s="37" t="n">
        <f aca="false">D58*(1+(((2-3*P58^2)/24*AB58^2)+(P58*AB58*D58/4))*0.25)</f>
        <v>0.529578994264232</v>
      </c>
      <c r="AO58" s="37" t="n">
        <f aca="false">E58*(1+(((2-3*Q58^2)/24*AC58^2)+(Q58*AC58*E58/4))*0.25)</f>
        <v>0.516090847090345</v>
      </c>
      <c r="AP58" s="37" t="n">
        <f aca="false">F58*(1+(((2-3*R58^2)/24*AD58^2)+(R58*AD58*F58/4))*0.25)</f>
        <v>0.488887712401334</v>
      </c>
      <c r="AQ58" s="37" t="n">
        <f aca="false">G58*(1+(((2-3*S58^2)/24*AE58^2)+(S58*AE58*G58/4))*0.25)</f>
        <v>0.471559822967831</v>
      </c>
      <c r="AR58" s="37" t="n">
        <f aca="false">H58*(1+(((2-3*T58^2)/24*AF58^2)+(T58*AF58*H58/4))*0.25)</f>
        <v>0.456858618342567</v>
      </c>
      <c r="AS58" s="37" t="n">
        <f aca="false">I58*(1+(((2-3*U58^2)/24*AG58^2)+(U58*AG58*I58/4))*0.25)</f>
        <v>0.448958148195841</v>
      </c>
      <c r="AT58" s="37" t="n">
        <f aca="false">J58*(1+(((2-3*V58^2)/24*AH58^2)+(V58*AH58*J58/4))*0.25)</f>
        <v>0.426244156813863</v>
      </c>
      <c r="AU58" s="37" t="n">
        <f aca="false">K58*(1+(((2-3*W58^2)/24*AI58^2)+(W58*AI58*K58/4))*0.25)</f>
        <v>0.406707208543886</v>
      </c>
      <c r="AV58" s="37" t="n">
        <f aca="false">L58*(1+(((2-3*X58^2)/24*AJ58^2)+(X58*AJ58*L58/4))*0.25)</f>
        <v>0.394281950440812</v>
      </c>
    </row>
    <row r="59" customFormat="false" ht="15" hidden="false" customHeight="true" outlineLevel="0" collapsed="false">
      <c r="B59" s="35" t="s">
        <v>75</v>
      </c>
      <c r="C59" s="24" t="n">
        <f aca="false">C9+$C$26*C42</f>
        <v>0.537961</v>
      </c>
      <c r="D59" s="24" t="n">
        <f aca="false">D9+$C$26*D42</f>
        <v>0.5092987</v>
      </c>
      <c r="E59" s="24" t="n">
        <f aca="false">E9+$C$26*E42</f>
        <v>0.4997235</v>
      </c>
      <c r="F59" s="24" t="n">
        <f aca="false">F9+$C$26*F42</f>
        <v>0.4799652</v>
      </c>
      <c r="G59" s="24" t="n">
        <f aca="false">G9+$C$26*G42</f>
        <v>0.4623811</v>
      </c>
      <c r="H59" s="24" t="n">
        <f aca="false">H9+$C$26*H42</f>
        <v>0.4420436</v>
      </c>
      <c r="I59" s="24" t="n">
        <f aca="false">I9+$C$26*I42</f>
        <v>0.4319546</v>
      </c>
      <c r="J59" s="24" t="n">
        <f aca="false">J9+$C$26*J42</f>
        <v>0.4168002</v>
      </c>
      <c r="K59" s="24" t="n">
        <f aca="false">K9+$C$26*K42</f>
        <v>0.3898983</v>
      </c>
      <c r="L59" s="24" t="n">
        <f aca="false">L9+$C$26*L42</f>
        <v>0.3758004</v>
      </c>
      <c r="N59" s="35" t="s">
        <v>75</v>
      </c>
      <c r="O59" s="24" t="n">
        <f aca="false">O9+$D$26*O42</f>
        <v>-0.3199</v>
      </c>
      <c r="P59" s="24" t="n">
        <f aca="false">P9+$D$26*P42</f>
        <v>-0.2876</v>
      </c>
      <c r="Q59" s="24" t="n">
        <f aca="false">Q9+$D$26*Q42</f>
        <v>-0.2693</v>
      </c>
      <c r="R59" s="24" t="n">
        <f aca="false">R9+$D$26*R42</f>
        <v>-0.2429</v>
      </c>
      <c r="S59" s="24" t="n">
        <f aca="false">S9+$D$26*S42</f>
        <v>-0.2269</v>
      </c>
      <c r="T59" s="24" t="n">
        <f aca="false">T9+$D$26*T42</f>
        <v>-0.2182</v>
      </c>
      <c r="U59" s="24" t="n">
        <f aca="false">U9+$D$26*U42</f>
        <v>-0.1967</v>
      </c>
      <c r="V59" s="24" t="n">
        <f aca="false">V9+$D$26*V42</f>
        <v>-0.1716</v>
      </c>
      <c r="W59" s="24" t="n">
        <f aca="false">W9+$D$26*W42</f>
        <v>-0.1651</v>
      </c>
      <c r="X59" s="24" t="n">
        <f aca="false">X9+$D$26*X42</f>
        <v>-0.1369</v>
      </c>
      <c r="Z59" s="35" t="s">
        <v>75</v>
      </c>
      <c r="AA59" s="24" t="n">
        <f aca="false">AA9+$E$26*AA42</f>
        <v>0.7989</v>
      </c>
      <c r="AB59" s="24" t="n">
        <f aca="false">AB9+$E$26*AB42</f>
        <v>0.7757</v>
      </c>
      <c r="AC59" s="24" t="n">
        <f aca="false">AC9+$E$26*AC42</f>
        <v>0.7523</v>
      </c>
      <c r="AD59" s="24" t="n">
        <f aca="false">AD9+$E$26*AD42</f>
        <v>0.7443</v>
      </c>
      <c r="AE59" s="24" t="n">
        <f aca="false">AE9+$E$26*AE42</f>
        <v>0.7093</v>
      </c>
      <c r="AF59" s="24" t="n">
        <f aca="false">AF9+$E$26*AF42</f>
        <v>0.6894</v>
      </c>
      <c r="AG59" s="24" t="n">
        <f aca="false">AG9+$E$26*AG42</f>
        <v>0.67</v>
      </c>
      <c r="AH59" s="24" t="n">
        <f aca="false">AH9+$E$26*AH42</f>
        <v>0.6574</v>
      </c>
      <c r="AI59" s="24" t="n">
        <f aca="false">AI9+$E$26*AI42</f>
        <v>0.6194</v>
      </c>
      <c r="AJ59" s="24" t="n">
        <f aca="false">AJ9+$E$26*AJ42</f>
        <v>0.6045</v>
      </c>
      <c r="AL59" s="35" t="s">
        <v>75</v>
      </c>
      <c r="AM59" s="37" t="n">
        <f aca="false">C59*(1+(((2-3*O59^2)/24*AA59^2)+(O59*AA59*C59/4))*0.5)</f>
        <v>0.540825902197269</v>
      </c>
      <c r="AN59" s="37" t="n">
        <f aca="false">D59*(1+(((2-3*P59^2)/24*AB59^2)+(P59*AB59*D59/4))*0.5)</f>
        <v>0.51324991415263</v>
      </c>
      <c r="AO59" s="37" t="n">
        <f aca="false">E59*(1+(((2-3*Q59^2)/24*AC59^2)+(Q59*AC59*E59/4))*0.5)</f>
        <v>0.503901709562448</v>
      </c>
      <c r="AP59" s="37" t="n">
        <f aca="false">F59*(1+(((2-3*R59^2)/24*AD59^2)+(R59*AD59*F59/4))*0.5)</f>
        <v>0.484857551212037</v>
      </c>
      <c r="AQ59" s="37" t="n">
        <f aca="false">G59*(1+(((2-3*S59^2)/24*AE59^2)+(S59*AE59*G59/4))*0.5)</f>
        <v>0.467024307964289</v>
      </c>
      <c r="AR59" s="37" t="n">
        <f aca="false">H59*(1+(((2-3*T59^2)/24*AF59^2)+(T59*AF59*H59/4))*0.5)</f>
        <v>0.446497998144622</v>
      </c>
      <c r="AS59" s="37" t="n">
        <f aca="false">I59*(1+(((2-3*U59^2)/24*AG59^2)+(U59*AG59*I59/4))*0.5)</f>
        <v>0.436491327281303</v>
      </c>
      <c r="AT59" s="37" t="n">
        <f aca="false">J59*(1+(((2-3*V59^2)/24*AH59^2)+(V59*AH59*J59/4))*0.5)</f>
        <v>0.421524424964713</v>
      </c>
      <c r="AU59" s="37" t="n">
        <f aca="false">K59*(1+(((2-3*W59^2)/24*AI59^2)+(W59*AI59*K59/4))*0.5)</f>
        <v>0.393932989658397</v>
      </c>
      <c r="AV59" s="37" t="n">
        <f aca="false">L59*(1+(((2-3*X59^2)/24*AJ59^2)+(X59*AJ59*L59/4))*0.5)</f>
        <v>0.379900509732234</v>
      </c>
    </row>
    <row r="60" customFormat="false" ht="15" hidden="false" customHeight="true" outlineLevel="0" collapsed="false">
      <c r="B60" s="35" t="s">
        <v>30</v>
      </c>
      <c r="C60" s="24" t="n">
        <f aca="false">C10+$C$26*C43</f>
        <v>0.5139195</v>
      </c>
      <c r="D60" s="24" t="n">
        <f aca="false">D10+$C$26*D43</f>
        <v>0.503177</v>
      </c>
      <c r="E60" s="24" t="n">
        <f aca="false">E10+$C$26*E43</f>
        <v>0.4847622</v>
      </c>
      <c r="F60" s="24" t="n">
        <f aca="false">F10+$C$26*F43</f>
        <v>0.4679425</v>
      </c>
      <c r="G60" s="24" t="n">
        <f aca="false">G10+$C$26*G43</f>
        <v>0.4382753</v>
      </c>
      <c r="H60" s="24" t="n">
        <f aca="false">H10+$C$26*H43</f>
        <v>0.4235635</v>
      </c>
      <c r="I60" s="24" t="n">
        <f aca="false">I10+$C$26*I43</f>
        <v>0.4047834</v>
      </c>
      <c r="J60" s="24" t="n">
        <f aca="false">J10+$C$26*J43</f>
        <v>0.3976726</v>
      </c>
      <c r="K60" s="24" t="n">
        <f aca="false">K10+$C$26*K43</f>
        <v>0.3820172</v>
      </c>
      <c r="L60" s="24" t="n">
        <f aca="false">L10+$C$26*L43</f>
        <v>0.3479599</v>
      </c>
      <c r="N60" s="35" t="s">
        <v>30</v>
      </c>
      <c r="O60" s="24" t="n">
        <f aca="false">O10+$D$26*O43</f>
        <v>-0.2981</v>
      </c>
      <c r="P60" s="24" t="n">
        <f aca="false">P10+$D$26*P43</f>
        <v>-0.2776</v>
      </c>
      <c r="Q60" s="24" t="n">
        <f aca="false">Q10+$D$26*Q43</f>
        <v>-0.2581</v>
      </c>
      <c r="R60" s="24" t="n">
        <f aca="false">R10+$D$26*R43</f>
        <v>-0.2336</v>
      </c>
      <c r="S60" s="24" t="n">
        <f aca="false">S10+$D$26*S43</f>
        <v>-0.2121</v>
      </c>
      <c r="T60" s="24" t="n">
        <f aca="false">T10+$D$26*T43</f>
        <v>-0.1992</v>
      </c>
      <c r="U60" s="24" t="n">
        <f aca="false">U10+$D$26*U43</f>
        <v>-0.1849</v>
      </c>
      <c r="V60" s="24" t="n">
        <f aca="false">V10+$D$26*V43</f>
        <v>-0.1572</v>
      </c>
      <c r="W60" s="24" t="n">
        <f aca="false">W10+$D$26*W43</f>
        <v>-0.1387</v>
      </c>
      <c r="X60" s="24" t="n">
        <f aca="false">X10+$D$26*X43</f>
        <v>-0.1153</v>
      </c>
      <c r="Z60" s="35" t="s">
        <v>30</v>
      </c>
      <c r="AA60" s="24" t="n">
        <f aca="false">AA10+$E$26*AA43</f>
        <v>0.7924</v>
      </c>
      <c r="AB60" s="24" t="n">
        <f aca="false">AB10+$E$26*AB43</f>
        <v>0.7649</v>
      </c>
      <c r="AC60" s="24" t="n">
        <f aca="false">AC10+$E$26*AC43</f>
        <v>0.7392</v>
      </c>
      <c r="AD60" s="24" t="n">
        <f aca="false">AD10+$E$26*AD43</f>
        <v>0.719</v>
      </c>
      <c r="AE60" s="24" t="n">
        <f aca="false">AE10+$E$26*AE43</f>
        <v>0.698</v>
      </c>
      <c r="AF60" s="24" t="n">
        <f aca="false">AF10+$E$26*AF43</f>
        <v>0.6633</v>
      </c>
      <c r="AG60" s="24" t="n">
        <f aca="false">AG10+$E$26*AG43</f>
        <v>0.658</v>
      </c>
      <c r="AH60" s="24" t="n">
        <f aca="false">AH10+$E$26*AH43</f>
        <v>0.6334</v>
      </c>
      <c r="AI60" s="24" t="n">
        <f aca="false">AI10+$E$26*AI43</f>
        <v>0.613</v>
      </c>
      <c r="AJ60" s="24" t="n">
        <f aca="false">AJ10+$E$26*AJ43</f>
        <v>0.5893</v>
      </c>
      <c r="AL60" s="35" t="s">
        <v>30</v>
      </c>
      <c r="AM60" s="37" t="n">
        <f aca="false">C60*(1+(((2-3*O60^2)/24*AA60^2)+(O60*AA60*C60/4))*1)</f>
        <v>0.52162898829606</v>
      </c>
      <c r="AN60" s="37" t="n">
        <f aca="false">D60*(1+(((2-3*P60^2)/24*AB60^2)+(P60*AB60*D60/4))*1)</f>
        <v>0.511433876904403</v>
      </c>
      <c r="AO60" s="37" t="n">
        <f aca="false">E60*(1+(((2-3*Q60^2)/24*AC60^2)+(Q60*AC60*E60/4))*1)</f>
        <v>0.493421551192388</v>
      </c>
      <c r="AP60" s="37" t="n">
        <f aca="false">F60*(1+(((2-3*R60^2)/24*AD60^2)+(R60*AD60*F60/4))*1)</f>
        <v>0.477256947834163</v>
      </c>
      <c r="AQ60" s="37" t="n">
        <f aca="false">G60*(1+(((2-3*S60^2)/24*AE60^2)+(S60*AE60*G60/4))*1)</f>
        <v>0.44775932948031</v>
      </c>
      <c r="AR60" s="37" t="n">
        <f aca="false">H60*(1+(((2-3*T60^2)/24*AF60^2)+(T60*AF60*H60/4))*1)</f>
        <v>0.432242461390783</v>
      </c>
      <c r="AS60" s="37" t="n">
        <f aca="false">I60*(1+(((2-3*U60^2)/24*AG60^2)+(U60*AG60*I60/4))*1)</f>
        <v>0.413655502875772</v>
      </c>
      <c r="AT60" s="37" t="n">
        <f aca="false">J60*(1+(((2-3*V60^2)/24*AH60^2)+(V60*AH60*J60/4))*1)</f>
        <v>0.406538537771067</v>
      </c>
      <c r="AU60" s="37" t="n">
        <f aca="false">K60*(1+(((2-3*W60^2)/24*AI60^2)+(W60*AI60*K60/4))*1)</f>
        <v>0.390532514568366</v>
      </c>
      <c r="AV60" s="37" t="n">
        <f aca="false">L60*(1+(((2-3*X60^2)/24*AJ60^2)+(X60*AJ60*L60/4))*1)</f>
        <v>0.355772228683575</v>
      </c>
    </row>
    <row r="61" customFormat="false" ht="15" hidden="false" customHeight="true" outlineLevel="0" collapsed="false">
      <c r="B61" s="35" t="s">
        <v>76</v>
      </c>
      <c r="C61" s="24" t="n">
        <f aca="false">C11+$C$26*C44</f>
        <v>0.4935156</v>
      </c>
      <c r="D61" s="24" t="n">
        <f aca="false">D11+$C$26*D44</f>
        <v>0.4759553</v>
      </c>
      <c r="E61" s="24" t="n">
        <f aca="false">E11+$C$26*E44</f>
        <v>0.4524059</v>
      </c>
      <c r="F61" s="24" t="n">
        <f aca="false">F11+$C$26*F44</f>
        <v>0.4457416</v>
      </c>
      <c r="G61" s="24" t="n">
        <f aca="false">G11+$C$26*G44</f>
        <v>0.4163942</v>
      </c>
      <c r="H61" s="24" t="n">
        <f aca="false">H11+$C$26*H44</f>
        <v>0.3992101</v>
      </c>
      <c r="I61" s="24" t="n">
        <f aca="false">I11+$C$26*I44</f>
        <v>0.3842023</v>
      </c>
      <c r="J61" s="24" t="n">
        <f aca="false">J11+$C$26*J44</f>
        <v>0.3658895</v>
      </c>
      <c r="K61" s="24" t="n">
        <f aca="false">K11+$C$26*K44</f>
        <v>0.3517797</v>
      </c>
      <c r="L61" s="24" t="n">
        <f aca="false">L11+$C$26*L44</f>
        <v>0.3285184</v>
      </c>
      <c r="N61" s="35" t="s">
        <v>76</v>
      </c>
      <c r="O61" s="24" t="n">
        <f aca="false">O11+$D$26*O44</f>
        <v>-0.2822</v>
      </c>
      <c r="P61" s="24" t="n">
        <f aca="false">P11+$D$26*P44</f>
        <v>-0.2598</v>
      </c>
      <c r="Q61" s="24" t="n">
        <f aca="false">Q11+$D$26*Q44</f>
        <v>-0.2413</v>
      </c>
      <c r="R61" s="24" t="n">
        <f aca="false">R11+$D$26*R44</f>
        <v>-0.2166</v>
      </c>
      <c r="S61" s="24" t="n">
        <f aca="false">S11+$D$26*S44</f>
        <v>-0.2039</v>
      </c>
      <c r="T61" s="24" t="n">
        <f aca="false">T11+$D$26*T44</f>
        <v>-0.1675</v>
      </c>
      <c r="U61" s="24" t="n">
        <f aca="false">U11+$D$26*U44</f>
        <v>-0.1533</v>
      </c>
      <c r="V61" s="24" t="n">
        <f aca="false">V11+$D$26*V44</f>
        <v>-0.1431</v>
      </c>
      <c r="W61" s="24" t="n">
        <f aca="false">W11+$D$26*W44</f>
        <v>-0.1216</v>
      </c>
      <c r="X61" s="24" t="n">
        <f aca="false">X11+$D$26*X44</f>
        <v>-0.1003</v>
      </c>
      <c r="Z61" s="35" t="s">
        <v>76</v>
      </c>
      <c r="AA61" s="24" t="n">
        <f aca="false">AA11+$E$26*AA44</f>
        <v>0.7584</v>
      </c>
      <c r="AB61" s="24" t="n">
        <f aca="false">AB11+$E$26*AB44</f>
        <v>0.7313</v>
      </c>
      <c r="AC61" s="24" t="n">
        <f aca="false">AC11+$E$26*AC44</f>
        <v>0.7236</v>
      </c>
      <c r="AD61" s="24" t="n">
        <f aca="false">AD11+$E$26*AD44</f>
        <v>0.7043</v>
      </c>
      <c r="AE61" s="24" t="n">
        <f aca="false">AE11+$E$26*AE44</f>
        <v>0.6715</v>
      </c>
      <c r="AF61" s="24" t="n">
        <f aca="false">AF11+$E$26*AF44</f>
        <v>0.6497</v>
      </c>
      <c r="AG61" s="24" t="n">
        <f aca="false">AG11+$E$26*AG44</f>
        <v>0.6195</v>
      </c>
      <c r="AH61" s="24" t="n">
        <f aca="false">AH11+$E$26*AH44</f>
        <v>0.5976</v>
      </c>
      <c r="AI61" s="24" t="n">
        <f aca="false">AI11+$E$26*AI44</f>
        <v>0.5802</v>
      </c>
      <c r="AJ61" s="24" t="n">
        <f aca="false">AJ11+$E$26*AJ44</f>
        <v>0.5564</v>
      </c>
      <c r="AL61" s="35" t="s">
        <v>76</v>
      </c>
      <c r="AM61" s="37" t="n">
        <f aca="false">C61*(1+(((2-3*O61^2)/24*AA61^2)+(O61*AA61*C61/4))*2)</f>
        <v>0.509110370070213</v>
      </c>
      <c r="AN61" s="37" t="n">
        <f aca="false">D61*(1+(((2-3*P61^2)/24*AB61^2)+(P61*AB61*D61/4))*2)</f>
        <v>0.492563892768468</v>
      </c>
      <c r="AO61" s="37" t="n">
        <f aca="false">E61*(1+(((2-3*Q61^2)/24*AC61^2)+(Q61*AC61*E61/4))*2)</f>
        <v>0.470569258436747</v>
      </c>
      <c r="AP61" s="37" t="n">
        <f aca="false">F61*(1+(((2-3*R61^2)/24*AD61^2)+(R61*AD61*F61/4))*2)</f>
        <v>0.464844236342942</v>
      </c>
      <c r="AQ61" s="37" t="n">
        <f aca="false">G61*(1+(((2-3*S61^2)/24*AE61^2)+(S61*AE61*G61/4))*2)</f>
        <v>0.433865784709557</v>
      </c>
      <c r="AR61" s="37" t="n">
        <f aca="false">H61*(1+(((2-3*T61^2)/24*AF61^2)+(T61*AF61*H61/4))*2)</f>
        <v>0.417441628232012</v>
      </c>
      <c r="AS61" s="37" t="n">
        <f aca="false">I61*(1+(((2-3*U61^2)/24*AG61^2)+(U61*AG61*I61/4))*2)</f>
        <v>0.400901598908545</v>
      </c>
      <c r="AT61" s="37" t="n">
        <f aca="false">J61*(1+(((2-3*V61^2)/24*AH61^2)+(V61*AH61*J61/4))*2)</f>
        <v>0.381274379180146</v>
      </c>
      <c r="AU61" s="37" t="n">
        <f aca="false">K61*(1+(((2-3*W61^2)/24*AI61^2)+(W61*AI61*K61/4))*2)</f>
        <v>0.366713274370433</v>
      </c>
      <c r="AV61" s="37" t="n">
        <f aca="false">L61*(1+(((2-3*X61^2)/24*AJ61^2)+(X61*AJ61*L61/4))*2)</f>
        <v>0.342201659023364</v>
      </c>
    </row>
    <row r="62" customFormat="false" ht="15" hidden="false" customHeight="true" outlineLevel="0" collapsed="false">
      <c r="B62" s="35" t="s">
        <v>77</v>
      </c>
      <c r="C62" s="24" t="n">
        <f aca="false">C12+$C$26*C45</f>
        <v>0.4848622</v>
      </c>
      <c r="D62" s="24" t="n">
        <f aca="false">D12+$C$26*D45</f>
        <v>0.4538722</v>
      </c>
      <c r="E62" s="24" t="n">
        <f aca="false">E12+$C$26*E45</f>
        <v>0.4332842</v>
      </c>
      <c r="F62" s="24" t="n">
        <f aca="false">F12+$C$26*F45</f>
        <v>0.4346397</v>
      </c>
      <c r="G62" s="24" t="n">
        <f aca="false">G12+$C$26*G45</f>
        <v>0.4082527</v>
      </c>
      <c r="H62" s="24" t="n">
        <f aca="false">H12+$C$26*H45</f>
        <v>0.3831706</v>
      </c>
      <c r="I62" s="24" t="n">
        <f aca="false">I12+$C$26*I45</f>
        <v>0.3737469</v>
      </c>
      <c r="J62" s="24" t="n">
        <f aca="false">J12+$C$26*J45</f>
        <v>0.3457371</v>
      </c>
      <c r="K62" s="24" t="n">
        <f aca="false">K12+$C$26*K45</f>
        <v>0.3379194</v>
      </c>
      <c r="L62" s="24" t="n">
        <f aca="false">L12+$C$26*L45</f>
        <v>0.3298531</v>
      </c>
      <c r="N62" s="35" t="s">
        <v>77</v>
      </c>
      <c r="O62" s="24" t="n">
        <f aca="false">O12+$D$26*O45</f>
        <v>-0.2455</v>
      </c>
      <c r="P62" s="24" t="n">
        <f aca="false">P12+$D$26*P45</f>
        <v>-0.2294</v>
      </c>
      <c r="Q62" s="24" t="n">
        <f aca="false">Q12+$D$26*Q45</f>
        <v>-0.2187</v>
      </c>
      <c r="R62" s="24" t="n">
        <f aca="false">R12+$D$26*R45</f>
        <v>-0.1971</v>
      </c>
      <c r="S62" s="24" t="n">
        <f aca="false">S12+$D$26*S45</f>
        <v>-0.1817</v>
      </c>
      <c r="T62" s="24" t="n">
        <f aca="false">T12+$D$26*T45</f>
        <v>-0.1501</v>
      </c>
      <c r="U62" s="24" t="n">
        <f aca="false">U12+$D$26*U45</f>
        <v>-0.1355</v>
      </c>
      <c r="V62" s="24" t="n">
        <f aca="false">V12+$D$26*V45</f>
        <v>-0.1111</v>
      </c>
      <c r="W62" s="24" t="n">
        <f aca="false">W12+$D$26*W45</f>
        <v>-0.1006</v>
      </c>
      <c r="X62" s="24" t="n">
        <f aca="false">X12+$D$26*X45</f>
        <v>-0.0833</v>
      </c>
      <c r="Z62" s="35" t="s">
        <v>77</v>
      </c>
      <c r="AA62" s="24" t="n">
        <f aca="false">AA12+$E$26*AA45</f>
        <v>0.7451</v>
      </c>
      <c r="AB62" s="24" t="n">
        <f aca="false">AB12+$E$26*AB45</f>
        <v>0.7264</v>
      </c>
      <c r="AC62" s="24" t="n">
        <f aca="false">AC12+$E$26*AC45</f>
        <v>0.7015</v>
      </c>
      <c r="AD62" s="24" t="n">
        <f aca="false">AD12+$E$26*AD45</f>
        <v>0.6783</v>
      </c>
      <c r="AE62" s="24" t="n">
        <f aca="false">AE12+$E$26*AE45</f>
        <v>0.6564</v>
      </c>
      <c r="AF62" s="24" t="n">
        <f aca="false">AF12+$E$26*AF45</f>
        <v>0.6326</v>
      </c>
      <c r="AG62" s="24" t="n">
        <f aca="false">AG12+$E$26*AG45</f>
        <v>0.6001</v>
      </c>
      <c r="AH62" s="24" t="n">
        <f aca="false">AH12+$E$26*AH45</f>
        <v>0.5837</v>
      </c>
      <c r="AI62" s="24" t="n">
        <f aca="false">AI12+$E$26*AI45</f>
        <v>0.5582</v>
      </c>
      <c r="AJ62" s="24" t="n">
        <f aca="false">AJ12+$E$26*AJ45</f>
        <v>0.5295</v>
      </c>
      <c r="AL62" s="35" t="s">
        <v>77</v>
      </c>
      <c r="AM62" s="37" t="n">
        <f aca="false">C62*(1+(((2-3*O62^2)/24*AA62^2)+(O62*AA62*C62/4))*3)</f>
        <v>0.513821483727556</v>
      </c>
      <c r="AN62" s="37" t="n">
        <f aca="false">D62*(1+(((2-3*P62^2)/24*AB62^2)+(P62*AB62*D62/4))*3)</f>
        <v>0.48327301804885</v>
      </c>
      <c r="AO62" s="37" t="n">
        <f aca="false">E62*(1+(((2-3*Q62^2)/24*AC62^2)+(Q62*AC62*E62/4))*3)</f>
        <v>0.461163411671052</v>
      </c>
      <c r="AP62" s="37" t="n">
        <f aca="false">F62*(1+(((2-3*R62^2)/24*AD62^2)+(R62*AD62*F62/4))*3)</f>
        <v>0.462777777139258</v>
      </c>
      <c r="AQ62" s="37" t="n">
        <f aca="false">G62*(1+(((2-3*S62^2)/24*AE62^2)+(S62*AE62*G62/4))*3)</f>
        <v>0.43514118396119</v>
      </c>
      <c r="AR62" s="37" t="n">
        <f aca="false">H62*(1+(((2-3*T62^2)/24*AF62^2)+(T62*AF62*H62/4))*3)</f>
        <v>0.409753892315447</v>
      </c>
      <c r="AS62" s="37" t="n">
        <f aca="false">I62*(1+(((2-3*U62^2)/24*AG62^2)+(U62*AG62*I62/4))*3)</f>
        <v>0.39794982498269</v>
      </c>
      <c r="AT62" s="37" t="n">
        <f aca="false">J62*(1+(((2-3*V62^2)/24*AH62^2)+(V62*AH62*J62/4))*3)</f>
        <v>0.36882675453782</v>
      </c>
      <c r="AU62" s="37" t="n">
        <f aca="false">K62*(1+(((2-3*W62^2)/24*AI62^2)+(W62*AI62*K62/4))*3)</f>
        <v>0.359033420763448</v>
      </c>
      <c r="AV62" s="37" t="n">
        <f aca="false">L62*(1+(((2-3*X62^2)/24*AJ62^2)+(X62*AJ62*L62/4))*3)</f>
        <v>0.349133444493301</v>
      </c>
    </row>
    <row r="63" customFormat="false" ht="15" hidden="false" customHeight="true" outlineLevel="0" collapsed="false">
      <c r="B63" s="35" t="s">
        <v>78</v>
      </c>
      <c r="C63" s="24" t="n">
        <f aca="false">C13+$C$26*C46</f>
        <v>0.4509257</v>
      </c>
      <c r="D63" s="24" t="n">
        <f aca="false">D13+$C$26*D46</f>
        <v>0.4383545</v>
      </c>
      <c r="E63" s="24" t="n">
        <f aca="false">E13+$C$26*E46</f>
        <v>0.4207704</v>
      </c>
      <c r="F63" s="24" t="n">
        <f aca="false">F13+$C$26*F46</f>
        <v>0.411622</v>
      </c>
      <c r="G63" s="24" t="n">
        <f aca="false">G13+$C$26*G46</f>
        <v>0.3993112</v>
      </c>
      <c r="H63" s="24" t="n">
        <f aca="false">H13+$C$26*H46</f>
        <v>0.3713816</v>
      </c>
      <c r="I63" s="24" t="n">
        <f aca="false">I13+$C$26*I46</f>
        <v>0.3636005</v>
      </c>
      <c r="J63" s="24" t="n">
        <f aca="false">J13+$C$26*J46</f>
        <v>0.3474065</v>
      </c>
      <c r="K63" s="24" t="n">
        <f aca="false">K13+$C$26*K46</f>
        <v>0.3290175</v>
      </c>
      <c r="L63" s="24" t="n">
        <f aca="false">L13+$C$26*L46</f>
        <v>0.2998344</v>
      </c>
      <c r="N63" s="35" t="s">
        <v>78</v>
      </c>
      <c r="O63" s="24" t="n">
        <f aca="false">O13+$D$26*O46</f>
        <v>-0.2389</v>
      </c>
      <c r="P63" s="24" t="n">
        <f aca="false">P13+$D$26*P46</f>
        <v>-0.2194</v>
      </c>
      <c r="Q63" s="24" t="n">
        <f aca="false">Q13+$D$26*Q46</f>
        <v>-0.2005</v>
      </c>
      <c r="R63" s="24" t="n">
        <f aca="false">R13+$D$26*R46</f>
        <v>-0.1809</v>
      </c>
      <c r="S63" s="24" t="n">
        <f aca="false">S13+$D$26*S46</f>
        <v>-0.1531</v>
      </c>
      <c r="T63" s="24" t="n">
        <f aca="false">T13+$D$26*T46</f>
        <v>-0.1281</v>
      </c>
      <c r="U63" s="24" t="n">
        <f aca="false">U13+$D$26*U46</f>
        <v>-0.1099</v>
      </c>
      <c r="V63" s="24" t="n">
        <f aca="false">V13+$D$26*V46</f>
        <v>-0.0976</v>
      </c>
      <c r="W63" s="24" t="n">
        <f aca="false">W13+$D$26*W46</f>
        <v>-0.0747</v>
      </c>
      <c r="X63" s="24" t="n">
        <f aca="false">X13+$D$26*X46</f>
        <v>-0.0523</v>
      </c>
      <c r="Z63" s="35" t="s">
        <v>78</v>
      </c>
      <c r="AA63" s="24" t="n">
        <f aca="false">AA13+$E$26*AA46</f>
        <v>0.7084</v>
      </c>
      <c r="AB63" s="24" t="n">
        <f aca="false">AB13+$E$26*AB46</f>
        <v>0.6977</v>
      </c>
      <c r="AC63" s="24" t="n">
        <f aca="false">AC13+$E$26*AC46</f>
        <v>0.6804</v>
      </c>
      <c r="AD63" s="24" t="n">
        <f aca="false">AD13+$E$26*AD46</f>
        <v>0.6556</v>
      </c>
      <c r="AE63" s="24" t="n">
        <f aca="false">AE13+$E$26*AE46</f>
        <v>0.6328</v>
      </c>
      <c r="AF63" s="24" t="n">
        <f aca="false">AF13+$E$26*AF46</f>
        <v>0.6051</v>
      </c>
      <c r="AG63" s="24" t="n">
        <f aca="false">AG13+$E$26*AG46</f>
        <v>0.5769</v>
      </c>
      <c r="AH63" s="24" t="n">
        <f aca="false">AH13+$E$26*AH46</f>
        <v>0.5669</v>
      </c>
      <c r="AI63" s="24" t="n">
        <f aca="false">AI13+$E$26*AI46</f>
        <v>0.5355</v>
      </c>
      <c r="AJ63" s="24" t="n">
        <f aca="false">AJ13+$E$26*AJ46</f>
        <v>0.5227</v>
      </c>
      <c r="AL63" s="35" t="s">
        <v>78</v>
      </c>
      <c r="AM63" s="37" t="n">
        <f aca="false">C63*(1+(((2-3*O63^2)/24*AA63^2)+(O63*AA63*C63/4))*5)</f>
        <v>0.49412613413009</v>
      </c>
      <c r="AN63" s="37" t="n">
        <f aca="false">D63*(1+(((2-3*P63^2)/24*AB63^2)+(P63*AB63*D63/4))*5)</f>
        <v>0.484077310335299</v>
      </c>
      <c r="AO63" s="37" t="n">
        <f aca="false">E63*(1+(((2-3*Q63^2)/24*AC63^2)+(Q63*AC63*E63/4))*5)</f>
        <v>0.466848915166803</v>
      </c>
      <c r="AP63" s="37" t="n">
        <f aca="false">F63*(1+(((2-3*R63^2)/24*AD63^2)+(R63*AD63*F63/4))*5)</f>
        <v>0.456602067816024</v>
      </c>
      <c r="AQ63" s="37" t="n">
        <f aca="false">G63*(1+(((2-3*S63^2)/24*AE63^2)+(S63*AE63*G63/4))*5)</f>
        <v>0.444283445944321</v>
      </c>
      <c r="AR63" s="37" t="n">
        <f aca="false">H63*(1+(((2-3*T63^2)/24*AF63^2)+(T63*AF63*H63/4))*5)</f>
        <v>0.413281566733619</v>
      </c>
      <c r="AS63" s="37" t="n">
        <f aca="false">I63*(1+(((2-3*U63^2)/24*AG63^2)+(U63*AG63*I63/4))*5)</f>
        <v>0.402630858855034</v>
      </c>
      <c r="AT63" s="37" t="n">
        <f aca="false">J63*(1+(((2-3*V63^2)/24*AH63^2)+(V63*AH63*J63/4))*5)</f>
        <v>0.384914556641513</v>
      </c>
      <c r="AU63" s="37" t="n">
        <f aca="false">K63*(1+(((2-3*W63^2)/24*AI63^2)+(W63*AI63*K63/4))*5)</f>
        <v>0.36258771786358</v>
      </c>
      <c r="AV63" s="37" t="n">
        <f aca="false">L63*(1+(((2-3*X63^2)/24*AJ63^2)+(X63*AJ63*L63/4))*5)</f>
        <v>0.330755371890326</v>
      </c>
    </row>
    <row r="64" customFormat="false" ht="15" hidden="false" customHeight="true" outlineLevel="0" collapsed="false">
      <c r="B64" s="35" t="s">
        <v>79</v>
      </c>
      <c r="C64" s="24" t="n">
        <f aca="false">C14+$C$26*C47</f>
        <v>0.4523238</v>
      </c>
      <c r="D64" s="24" t="n">
        <f aca="false">D14+$C$26*D47</f>
        <v>0.4232823</v>
      </c>
      <c r="E64" s="24" t="n">
        <f aca="false">E14+$C$26*E47</f>
        <v>0.4060982</v>
      </c>
      <c r="F64" s="24" t="n">
        <f aca="false">F14+$C$26*F47</f>
        <v>0.3992201</v>
      </c>
      <c r="G64" s="24" t="n">
        <f aca="false">G14+$C$26*G47</f>
        <v>0.3772786</v>
      </c>
      <c r="H64" s="24" t="n">
        <f aca="false">H14+$C$26*H47</f>
        <v>0.3487658</v>
      </c>
      <c r="I64" s="24" t="n">
        <f aca="false">I14+$C$26*I47</f>
        <v>0.3299689</v>
      </c>
      <c r="J64" s="24" t="n">
        <f aca="false">J14+$C$26*J47</f>
        <v>0.3128581</v>
      </c>
      <c r="K64" s="24" t="n">
        <f aca="false">K14+$C$26*K47</f>
        <v>0.3108225</v>
      </c>
      <c r="L64" s="24" t="n">
        <f aca="false">L14+$C$26*L47</f>
        <v>0.2912721</v>
      </c>
      <c r="N64" s="35" t="s">
        <v>79</v>
      </c>
      <c r="O64" s="24" t="n">
        <f aca="false">O14+$D$26*O47</f>
        <v>-0.221</v>
      </c>
      <c r="P64" s="24" t="n">
        <f aca="false">P14+$D$26*P47</f>
        <v>-0.1879</v>
      </c>
      <c r="Q64" s="24" t="n">
        <f aca="false">Q14+$D$26*Q47</f>
        <v>-0.1654</v>
      </c>
      <c r="R64" s="24" t="n">
        <f aca="false">R14+$D$26*R47</f>
        <v>-0.1524</v>
      </c>
      <c r="S64" s="24" t="n">
        <f aca="false">S14+$D$26*S47</f>
        <v>-0.1391</v>
      </c>
      <c r="T64" s="24" t="n">
        <f aca="false">T14+$D$26*T47</f>
        <v>-0.1157</v>
      </c>
      <c r="U64" s="24" t="n">
        <f aca="false">U14+$D$26*U47</f>
        <v>-0.1046</v>
      </c>
      <c r="V64" s="24" t="n">
        <f aca="false">V14+$D$26*V47</f>
        <v>-0.0875</v>
      </c>
      <c r="W64" s="24" t="n">
        <f aca="false">W14+$D$26*W47</f>
        <v>-0.0489</v>
      </c>
      <c r="X64" s="24" t="n">
        <f aca="false">X14+$D$26*X47</f>
        <v>-0.0359</v>
      </c>
      <c r="Z64" s="35" t="s">
        <v>79</v>
      </c>
      <c r="AA64" s="24" t="n">
        <f aca="false">AA14+$E$26*AA47</f>
        <v>0.695</v>
      </c>
      <c r="AB64" s="24" t="n">
        <f aca="false">AB14+$E$26*AB47</f>
        <v>0.6809</v>
      </c>
      <c r="AC64" s="24" t="n">
        <f aca="false">AC14+$E$26*AC47</f>
        <v>0.6487</v>
      </c>
      <c r="AD64" s="24" t="n">
        <f aca="false">AD14+$E$26*AD47</f>
        <v>0.6352</v>
      </c>
      <c r="AE64" s="24" t="n">
        <f aca="false">AE14+$E$26*AE47</f>
        <v>0.6121</v>
      </c>
      <c r="AF64" s="24" t="n">
        <f aca="false">AF14+$E$26*AF47</f>
        <v>0.5776</v>
      </c>
      <c r="AG64" s="24" t="n">
        <f aca="false">AG14+$E$26*AG47</f>
        <v>0.5561</v>
      </c>
      <c r="AH64" s="24" t="n">
        <f aca="false">AH14+$E$26*AH47</f>
        <v>0.5347</v>
      </c>
      <c r="AI64" s="24" t="n">
        <f aca="false">AI14+$E$26*AI47</f>
        <v>0.5115</v>
      </c>
      <c r="AJ64" s="24" t="n">
        <f aca="false">AJ14+$E$26*AJ47</f>
        <v>0.4962</v>
      </c>
      <c r="AL64" s="35" t="s">
        <v>79</v>
      </c>
      <c r="AM64" s="37" t="n">
        <f aca="false">C64*(1+(((2-3*O64^2)/24*AA64^2)+(O64*AA64*C64/4))*10)</f>
        <v>0.542492228271919</v>
      </c>
      <c r="AN64" s="37" t="n">
        <f aca="false">D64*(1+(((2-3*P64^2)/24*AB64^2)+(P64*AB64*D64/4))*10)</f>
        <v>0.520850914829927</v>
      </c>
      <c r="AO64" s="37" t="n">
        <f aca="false">E64*(1+(((2-3*Q64^2)/24*AC64^2)+(Q64*AC64*E64/4))*10)</f>
        <v>0.498426817400458</v>
      </c>
      <c r="AP64" s="37" t="n">
        <f aca="false">F64*(1+(((2-3*R64^2)/24*AD64^2)+(R64*AD64*F64/4))*10)</f>
        <v>0.490203523990869</v>
      </c>
      <c r="AQ64" s="37" t="n">
        <f aca="false">G64*(1+(((2-3*S64^2)/24*AE64^2)+(S64*AE64*G64/4))*10)</f>
        <v>0.461356508740687</v>
      </c>
      <c r="AR64" s="37" t="n">
        <f aca="false">H64*(1+(((2-3*T64^2)/24*AF64^2)+(T64*AF64*H64/4))*10)</f>
        <v>0.42345993264711</v>
      </c>
      <c r="AS64" s="37" t="n">
        <f aca="false">I64*(1+(((2-3*U64^2)/24*AG64^2)+(U64*AG64*I64/4))*10)</f>
        <v>0.397775026724235</v>
      </c>
      <c r="AT64" s="37" t="n">
        <f aca="false">J64*(1+(((2-3*V64^2)/24*AH64^2)+(V64*AH64*J64/4))*10)</f>
        <v>0.375092951295532</v>
      </c>
      <c r="AU64" s="37" t="n">
        <f aca="false">K64*(1+(((2-3*W64^2)/24*AI64^2)+(W64*AI64*K64/4))*10)</f>
        <v>0.372305941291452</v>
      </c>
      <c r="AV64" s="37" t="n">
        <f aca="false">L64*(1+(((2-3*X64^2)/24*AJ64^2)+(X64*AJ64*L64/4))*10)</f>
        <v>0.347141161211809</v>
      </c>
    </row>
    <row r="65" customFormat="false" ht="15" hidden="false" customHeight="true" outlineLevel="0" collapsed="false">
      <c r="B65" s="35" t="s">
        <v>80</v>
      </c>
      <c r="C65" s="24" t="n">
        <f aca="false">C15+$C$26*C48</f>
        <v>0.4204635</v>
      </c>
      <c r="D65" s="24" t="n">
        <f aca="false">D15+$C$26*D48</f>
        <v>0.4060329</v>
      </c>
      <c r="E65" s="24" t="n">
        <f aca="false">E15+$C$26*E48</f>
        <v>0.3830686</v>
      </c>
      <c r="F65" s="24" t="n">
        <f aca="false">F15+$C$26*F48</f>
        <v>0.3811964</v>
      </c>
      <c r="G65" s="24" t="n">
        <f aca="false">G15+$C$26*G48</f>
        <v>0.3520698</v>
      </c>
      <c r="H65" s="24" t="n">
        <f aca="false">H15+$C$26*H48</f>
        <v>0.3370243</v>
      </c>
      <c r="I65" s="24" t="n">
        <f aca="false">I15+$C$26*I48</f>
        <v>0.3218937</v>
      </c>
      <c r="J65" s="24" t="n">
        <f aca="false">J15+$C$26*J48</f>
        <v>0.3106344</v>
      </c>
      <c r="K65" s="24" t="n">
        <f aca="false">K15+$C$26*K48</f>
        <v>0.2832345</v>
      </c>
      <c r="L65" s="24" t="n">
        <f aca="false">L15+$C$26*L48</f>
        <v>0.276485</v>
      </c>
      <c r="N65" s="35" t="s">
        <v>80</v>
      </c>
      <c r="O65" s="24" t="n">
        <f aca="false">O15+$D$26*O48</f>
        <v>-0.1944</v>
      </c>
      <c r="P65" s="24" t="n">
        <f aca="false">P15+$D$26*P48</f>
        <v>-0.1744</v>
      </c>
      <c r="Q65" s="24" t="n">
        <f aca="false">Q15+$D$26*Q48</f>
        <v>-0.1551</v>
      </c>
      <c r="R65" s="24" t="n">
        <f aca="false">R15+$D$26*R48</f>
        <v>-0.1457</v>
      </c>
      <c r="S65" s="24" t="n">
        <f aca="false">S15+$D$26*S48</f>
        <v>-0.1179</v>
      </c>
      <c r="T65" s="24" t="n">
        <f aca="false">T15+$D$26*T48</f>
        <v>-0.1036</v>
      </c>
      <c r="U65" s="24" t="n">
        <f aca="false">U15+$D$26*U48</f>
        <v>-0.0877</v>
      </c>
      <c r="V65" s="24" t="n">
        <f aca="false">V15+$D$26*V48</f>
        <v>-0.0523</v>
      </c>
      <c r="W65" s="24" t="n">
        <f aca="false">W15+$D$26*W48</f>
        <v>-0.0454</v>
      </c>
      <c r="X65" s="24" t="n">
        <f aca="false">X15+$D$26*X48</f>
        <v>-0.02</v>
      </c>
      <c r="Z65" s="35" t="s">
        <v>80</v>
      </c>
      <c r="AA65" s="24" t="n">
        <f aca="false">AA15+$E$26*AA48</f>
        <v>0.6767</v>
      </c>
      <c r="AB65" s="24" t="n">
        <f aca="false">AB15+$E$26*AB48</f>
        <v>0.6511</v>
      </c>
      <c r="AC65" s="24" t="n">
        <f aca="false">AC15+$E$26*AC48</f>
        <v>0.6243</v>
      </c>
      <c r="AD65" s="24" t="n">
        <f aca="false">AD15+$E$26*AD48</f>
        <v>0.6059</v>
      </c>
      <c r="AE65" s="24" t="n">
        <f aca="false">AE15+$E$26*AE48</f>
        <v>0.5844</v>
      </c>
      <c r="AF65" s="24" t="n">
        <f aca="false">AF15+$E$26*AF48</f>
        <v>0.5668</v>
      </c>
      <c r="AG65" s="24" t="n">
        <f aca="false">AG15+$E$26*AG48</f>
        <v>0.531</v>
      </c>
      <c r="AH65" s="24" t="n">
        <f aca="false">AH15+$E$26*AH48</f>
        <v>0.5179</v>
      </c>
      <c r="AI65" s="24" t="n">
        <f aca="false">AI15+$E$26*AI48</f>
        <v>0.4894</v>
      </c>
      <c r="AJ65" s="24" t="n">
        <f aca="false">AJ15+$E$26*AJ48</f>
        <v>0.4678</v>
      </c>
      <c r="AL65" s="35" t="s">
        <v>80</v>
      </c>
      <c r="AM65" s="37" t="n">
        <f aca="false">C65*(1+(((2-3*O65^2)/24*AA65^2)+(O65*AA65*C65/4))*20)</f>
        <v>0.606888656437556</v>
      </c>
      <c r="AN65" s="37" t="n">
        <f aca="false">D65*(1+(((2-3*P65^2)/24*AB65^2)+(P65*AB65*D65/4))*20)</f>
        <v>0.586225449442719</v>
      </c>
      <c r="AO65" s="37" t="n">
        <f aca="false">E65*(1+(((2-3*Q65^2)/24*AC65^2)+(Q65*AC65*E65/4))*20)</f>
        <v>0.551880777070881</v>
      </c>
      <c r="AP65" s="37" t="n">
        <f aca="false">F65*(1+(((2-3*R65^2)/24*AD65^2)+(R65*AD65*F65/4))*20)</f>
        <v>0.542867662992764</v>
      </c>
      <c r="AQ65" s="37" t="n">
        <f aca="false">G65*(1+(((2-3*S65^2)/24*AE65^2)+(S65*AE65*G65/4))*20)</f>
        <v>0.505589107228546</v>
      </c>
      <c r="AR65" s="37" t="n">
        <f aca="false">H65*(1+(((2-3*T65^2)/24*AF65^2)+(T65*AF65*H65/4))*20)</f>
        <v>0.481225433452902</v>
      </c>
      <c r="AS65" s="37" t="n">
        <f aca="false">I65*(1+(((2-3*U65^2)/24*AG65^2)+(U65*AG65*I65/4))*20)</f>
        <v>0.447291425680734</v>
      </c>
      <c r="AT65" s="37" t="n">
        <f aca="false">J65*(1+(((2-3*V65^2)/24*AH65^2)+(V65*AH65*J65/4))*20)</f>
        <v>0.435860565055713</v>
      </c>
      <c r="AU65" s="37" t="n">
        <f aca="false">K65*(1+(((2-3*W65^2)/24*AI65^2)+(W65*AI65*K65/4))*20)</f>
        <v>0.387036400003786</v>
      </c>
      <c r="AV65" s="37" t="n">
        <f aca="false">L65*(1+(((2-3*X65^2)/24*AJ65^2)+(X65*AJ65*L65/4))*20)</f>
        <v>0.3736902861832</v>
      </c>
    </row>
    <row r="66" customFormat="false" ht="15" hidden="false" customHeight="true" outlineLevel="0" collapsed="false">
      <c r="B66" s="35" t="s">
        <v>81</v>
      </c>
      <c r="C66" s="24" t="n">
        <f aca="false">C16+$C$26*C49</f>
        <v>0.4129438</v>
      </c>
      <c r="D66" s="24" t="n">
        <f aca="false">D16+$C$26*D49</f>
        <v>0.3907072</v>
      </c>
      <c r="E66" s="24" t="n">
        <f aca="false">E16+$C$26*E49</f>
        <v>0.3737806</v>
      </c>
      <c r="F66" s="24" t="n">
        <f aca="false">F16+$C$26*F49</f>
        <v>0.3604668</v>
      </c>
      <c r="G66" s="24" t="n">
        <f aca="false">G16+$C$26*G49</f>
        <v>0.3457085</v>
      </c>
      <c r="H66" s="24" t="n">
        <f aca="false">H16+$C$26*H49</f>
        <v>0.3190541</v>
      </c>
      <c r="I66" s="24" t="n">
        <f aca="false">I16+$C$26*I49</f>
        <v>0.3048344</v>
      </c>
      <c r="J66" s="24" t="n">
        <f aca="false">J16+$C$26*J49</f>
        <v>0.284885</v>
      </c>
      <c r="K66" s="24" t="n">
        <f aca="false">K16+$C$26*K49</f>
        <v>0.268385</v>
      </c>
      <c r="L66" s="24" t="n">
        <f aca="false">L16+$C$26*L49</f>
        <v>0.255385</v>
      </c>
      <c r="N66" s="35" t="s">
        <v>81</v>
      </c>
      <c r="O66" s="24" t="n">
        <f aca="false">O16+$D$26*O49</f>
        <v>-0.176</v>
      </c>
      <c r="P66" s="24" t="n">
        <f aca="false">P16+$D$26*P49</f>
        <v>-0.1549</v>
      </c>
      <c r="Q66" s="24" t="n">
        <f aca="false">Q16+$D$26*Q49</f>
        <v>-0.1366</v>
      </c>
      <c r="R66" s="24" t="n">
        <f aca="false">R16+$D$26*R49</f>
        <v>-0.1078</v>
      </c>
      <c r="S66" s="24" t="n">
        <f aca="false">S16+$D$26*S49</f>
        <v>-0.0932</v>
      </c>
      <c r="T66" s="24" t="n">
        <f aca="false">T16+$D$26*T49</f>
        <v>-0.0702</v>
      </c>
      <c r="U66" s="24" t="n">
        <f aca="false">U16+$D$26*U49</f>
        <v>-0.0495</v>
      </c>
      <c r="V66" s="24" t="n">
        <f aca="false">V16+$D$26*V49</f>
        <v>-0.0437</v>
      </c>
      <c r="W66" s="24" t="n">
        <f aca="false">W16+$D$26*W49</f>
        <v>-0.0183</v>
      </c>
      <c r="X66" s="24" t="n">
        <f aca="false">X16+$D$26*X49</f>
        <v>0.0089</v>
      </c>
      <c r="Z66" s="35" t="s">
        <v>81</v>
      </c>
      <c r="AA66" s="24" t="n">
        <f aca="false">AA16+$E$26*AA49</f>
        <v>0.6568</v>
      </c>
      <c r="AB66" s="24" t="n">
        <f aca="false">AB16+$E$26*AB49</f>
        <v>0.6205</v>
      </c>
      <c r="AC66" s="24" t="n">
        <f aca="false">AC16+$E$26*AC49</f>
        <v>0.598</v>
      </c>
      <c r="AD66" s="24" t="n">
        <f aca="false">AD16+$E$26*AD49</f>
        <v>0.5822</v>
      </c>
      <c r="AE66" s="24" t="n">
        <f aca="false">AE16+$E$26*AE49</f>
        <v>0.5526</v>
      </c>
      <c r="AF66" s="24" t="n">
        <f aca="false">AF16+$E$26*AF49</f>
        <v>0.5337</v>
      </c>
      <c r="AG66" s="24" t="n">
        <f aca="false">AG16+$E$26*AG49</f>
        <v>0.5081</v>
      </c>
      <c r="AH66" s="24" t="n">
        <f aca="false">AH16+$E$26*AH49</f>
        <v>0.4978</v>
      </c>
      <c r="AI66" s="24" t="n">
        <f aca="false">AI16+$E$26*AI49</f>
        <v>0.4779</v>
      </c>
      <c r="AJ66" s="24" t="n">
        <f aca="false">AJ16+$E$26*AJ49</f>
        <v>0.4579</v>
      </c>
      <c r="AL66" s="35" t="s">
        <v>81</v>
      </c>
      <c r="AM66" s="37" t="n">
        <f aca="false">C66*(1+(((2-3*O66^2)/24*AA66^2)+(O66*AA66*C66/4))*30)</f>
        <v>0.689757955200821</v>
      </c>
      <c r="AN66" s="37" t="n">
        <f aca="false">D66*(1+(((2-3*P66^2)/24*AB66^2)+(P66*AB66*D66/4))*30)</f>
        <v>0.643205620780152</v>
      </c>
      <c r="AO66" s="37" t="n">
        <f aca="false">E66*(1+(((2-3*Q66^2)/24*AC66^2)+(Q66*AC66*E66/4))*30)</f>
        <v>0.612996517876148</v>
      </c>
      <c r="AP66" s="37" t="n">
        <f aca="false">F66*(1+(((2-3*R66^2)/24*AD66^2)+(R66*AD66*F66/4))*30)</f>
        <v>0.599436869751339</v>
      </c>
      <c r="AQ66" s="37" t="n">
        <f aca="false">G66*(1+(((2-3*S66^2)/24*AE66^2)+(S66*AE66*G66/4))*30)</f>
        <v>0.56002500265005</v>
      </c>
      <c r="AR66" s="37" t="n">
        <f aca="false">H66*(1+(((2-3*T66^2)/24*AF66^2)+(T66*AF66*H66/4))*30)</f>
        <v>0.515965814544554</v>
      </c>
      <c r="AS66" s="37" t="n">
        <f aca="false">I66*(1+(((2-3*U66^2)/24*AG66^2)+(U66*AG66*I66/4))*30)</f>
        <v>0.483327233885794</v>
      </c>
      <c r="AT66" s="37" t="n">
        <f aca="false">J66*(1+(((2-3*V66^2)/24*AH66^2)+(V66*AH66*J66/4))*30)</f>
        <v>0.447627656667471</v>
      </c>
      <c r="AU66" s="37" t="n">
        <f aca="false">K66*(1+(((2-3*W66^2)/24*AI66^2)+(W66*AI66*K66/4))*30)</f>
        <v>0.416823471811186</v>
      </c>
      <c r="AV66" s="37" t="n">
        <f aca="false">L66*(1+(((2-3*X66^2)/24*AJ66^2)+(X66*AJ66*L66/4))*30)</f>
        <v>0.391230549226127</v>
      </c>
    </row>
    <row r="68" customFormat="false" ht="15" hidden="false" customHeight="true" outlineLevel="0" collapsed="false">
      <c r="A68" s="28" t="s">
        <v>154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</row>
    <row r="69" customFormat="false" ht="15" hidden="false" customHeight="true" outlineLevel="0" collapsed="false">
      <c r="B69" s="28" t="s">
        <v>136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N69" s="28" t="s">
        <v>137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Z69" s="28" t="s">
        <v>138</v>
      </c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L69" s="34" t="s">
        <v>139</v>
      </c>
      <c r="AM69" s="34"/>
      <c r="AN69" s="34"/>
      <c r="AO69" s="34"/>
      <c r="AP69" s="34"/>
      <c r="AQ69" s="34"/>
      <c r="AR69" s="34"/>
      <c r="AS69" s="34"/>
      <c r="AT69" s="34"/>
      <c r="AU69" s="34"/>
      <c r="AV69" s="34"/>
    </row>
    <row r="70" customFormat="false" ht="15" hidden="false" customHeight="true" outlineLevel="0" collapsed="false">
      <c r="B70" s="18" t="s">
        <v>140</v>
      </c>
      <c r="C70" s="12" t="s">
        <v>141</v>
      </c>
      <c r="D70" s="12" t="s">
        <v>74</v>
      </c>
      <c r="E70" s="12" t="s">
        <v>75</v>
      </c>
      <c r="F70" s="12" t="s">
        <v>30</v>
      </c>
      <c r="G70" s="12" t="s">
        <v>76</v>
      </c>
      <c r="H70" s="12" t="s">
        <v>77</v>
      </c>
      <c r="I70" s="12" t="s">
        <v>78</v>
      </c>
      <c r="J70" s="12" t="s">
        <v>79</v>
      </c>
      <c r="K70" s="12" t="s">
        <v>80</v>
      </c>
      <c r="L70" s="12" t="s">
        <v>81</v>
      </c>
      <c r="N70" s="18" t="s">
        <v>140</v>
      </c>
      <c r="O70" s="12" t="s">
        <v>141</v>
      </c>
      <c r="P70" s="12" t="s">
        <v>74</v>
      </c>
      <c r="Q70" s="12" t="s">
        <v>75</v>
      </c>
      <c r="R70" s="12" t="s">
        <v>30</v>
      </c>
      <c r="S70" s="12" t="s">
        <v>76</v>
      </c>
      <c r="T70" s="12" t="s">
        <v>77</v>
      </c>
      <c r="U70" s="12" t="s">
        <v>78</v>
      </c>
      <c r="V70" s="12" t="s">
        <v>79</v>
      </c>
      <c r="W70" s="12" t="s">
        <v>80</v>
      </c>
      <c r="X70" s="12" t="s">
        <v>81</v>
      </c>
      <c r="Z70" s="18" t="s">
        <v>140</v>
      </c>
      <c r="AA70" s="12" t="s">
        <v>141</v>
      </c>
      <c r="AB70" s="12" t="s">
        <v>74</v>
      </c>
      <c r="AC70" s="12" t="s">
        <v>75</v>
      </c>
      <c r="AD70" s="12" t="s">
        <v>30</v>
      </c>
      <c r="AE70" s="12" t="s">
        <v>76</v>
      </c>
      <c r="AF70" s="12" t="s">
        <v>77</v>
      </c>
      <c r="AG70" s="12" t="s">
        <v>78</v>
      </c>
      <c r="AH70" s="12" t="s">
        <v>79</v>
      </c>
      <c r="AI70" s="12" t="s">
        <v>80</v>
      </c>
      <c r="AJ70" s="12" t="s">
        <v>81</v>
      </c>
      <c r="AL70" s="18" t="s">
        <v>140</v>
      </c>
      <c r="AM70" s="12" t="s">
        <v>141</v>
      </c>
      <c r="AN70" s="12" t="s">
        <v>74</v>
      </c>
      <c r="AO70" s="12" t="s">
        <v>75</v>
      </c>
      <c r="AP70" s="12" t="s">
        <v>30</v>
      </c>
      <c r="AQ70" s="12" t="s">
        <v>76</v>
      </c>
      <c r="AR70" s="12" t="s">
        <v>77</v>
      </c>
      <c r="AS70" s="12" t="s">
        <v>78</v>
      </c>
      <c r="AT70" s="12" t="s">
        <v>79</v>
      </c>
      <c r="AU70" s="12" t="s">
        <v>80</v>
      </c>
      <c r="AV70" s="12" t="s">
        <v>81</v>
      </c>
    </row>
    <row r="71" customFormat="false" ht="15" hidden="false" customHeight="true" outlineLevel="0" collapsed="false">
      <c r="B71" s="35" t="s">
        <v>141</v>
      </c>
      <c r="C71" s="24" t="n">
        <f aca="false">C7+$C$27*C40</f>
        <v>0.5665125</v>
      </c>
      <c r="D71" s="24" t="n">
        <f aca="false">D7+$C$27*D40</f>
        <v>0.545375</v>
      </c>
      <c r="E71" s="24" t="n">
        <f aca="false">E7+$C$27*E40</f>
        <v>0.53745</v>
      </c>
      <c r="F71" s="24" t="n">
        <f aca="false">F7+$C$27*F40</f>
        <v>0.50815</v>
      </c>
      <c r="G71" s="24" t="n">
        <f aca="false">G7+$C$27*G40</f>
        <v>0.4995625</v>
      </c>
      <c r="H71" s="24" t="n">
        <f aca="false">H7+$C$27*H40</f>
        <v>0.4782125</v>
      </c>
      <c r="I71" s="24" t="n">
        <f aca="false">I7+$C$27*I40</f>
        <v>0.454825</v>
      </c>
      <c r="J71" s="24" t="n">
        <f aca="false">J7+$C$27*J40</f>
        <v>0.446</v>
      </c>
      <c r="K71" s="24" t="n">
        <f aca="false">K7+$C$27*K40</f>
        <v>0.41865</v>
      </c>
      <c r="L71" s="24" t="n">
        <f aca="false">L7+$C$27*L40</f>
        <v>0.408725</v>
      </c>
      <c r="N71" s="35" t="s">
        <v>141</v>
      </c>
      <c r="O71" s="24" t="n">
        <f aca="false">O7+$D$27*O40</f>
        <v>-0.3586</v>
      </c>
      <c r="P71" s="24" t="n">
        <f aca="false">P7+$D$27*P40</f>
        <v>-0.3387</v>
      </c>
      <c r="Q71" s="24" t="n">
        <f aca="false">Q7+$D$27*Q40</f>
        <v>-0.3126</v>
      </c>
      <c r="R71" s="24" t="n">
        <f aca="false">R7+$D$27*R40</f>
        <v>-0.2851</v>
      </c>
      <c r="S71" s="24" t="n">
        <f aca="false">S7+$D$27*S40</f>
        <v>-0.2797</v>
      </c>
      <c r="T71" s="24" t="n">
        <f aca="false">T7+$D$27*T40</f>
        <v>-0.2583</v>
      </c>
      <c r="U71" s="24" t="n">
        <f aca="false">U7+$D$27*U40</f>
        <v>-0.2308</v>
      </c>
      <c r="V71" s="24" t="n">
        <f aca="false">V7+$D$27*V40</f>
        <v>-0.2049</v>
      </c>
      <c r="W71" s="24" t="n">
        <f aca="false">W7+$D$27*W40</f>
        <v>-0.1929</v>
      </c>
      <c r="X71" s="24" t="n">
        <f aca="false">X7+$D$27*X40</f>
        <v>-0.1771</v>
      </c>
      <c r="Z71" s="35" t="s">
        <v>141</v>
      </c>
      <c r="AA71" s="24" t="n">
        <f aca="false">AA7+$E$27*AA40</f>
        <v>0.8595</v>
      </c>
      <c r="AB71" s="24" t="n">
        <f aca="false">AB7+$E$27*AB40</f>
        <v>0.8187</v>
      </c>
      <c r="AC71" s="24" t="n">
        <f aca="false">AC7+$E$27*AC40</f>
        <v>0.8127</v>
      </c>
      <c r="AD71" s="24" t="n">
        <f aca="false">AD7+$E$27*AD40</f>
        <v>0.7791</v>
      </c>
      <c r="AE71" s="24" t="n">
        <f aca="false">AE7+$E$27*AE40</f>
        <v>0.754</v>
      </c>
      <c r="AF71" s="24" t="n">
        <f aca="false">AF7+$E$27*AF40</f>
        <v>0.7312</v>
      </c>
      <c r="AG71" s="24" t="n">
        <f aca="false">AG7+$E$27*AG40</f>
        <v>0.7128</v>
      </c>
      <c r="AH71" s="24" t="n">
        <f aca="false">AH7+$E$27*AH40</f>
        <v>0.7008</v>
      </c>
      <c r="AI71" s="24" t="n">
        <f aca="false">AI7+$E$27*AI40</f>
        <v>0.6658</v>
      </c>
      <c r="AJ71" s="24" t="n">
        <f aca="false">AJ7+$E$27*AJ40</f>
        <v>0.6516</v>
      </c>
      <c r="AL71" s="35" t="s">
        <v>141</v>
      </c>
      <c r="AM71" s="37" t="n">
        <f aca="false">C71*(1+(((2-3*O71^2)/24*AA71^2)+(O71*AA71*C71/4))*0.0833333333333333)</f>
        <v>0.566797401138657</v>
      </c>
      <c r="AN71" s="37" t="n">
        <f aca="false">D71*(1+(((2-3*P71^2)/24*AB71^2)+(P71*AB71*D71/4))*0.0833333333333333)</f>
        <v>0.545758447351522</v>
      </c>
      <c r="AO71" s="37" t="n">
        <f aca="false">E71*(1+(((2-3*Q71^2)/24*AC71^2)+(Q71*AC71*E71/4))*0.0833333333333333)</f>
        <v>0.538024965582265</v>
      </c>
      <c r="AP71" s="37" t="n">
        <f aca="false">F71*(1+(((2-3*R71^2)/24*AD71^2)+(R71*AD71*F71/4))*0.0833333333333333)</f>
        <v>0.50883592114432</v>
      </c>
      <c r="AQ71" s="37" t="n">
        <f aca="false">G71*(1+(((2-3*S71^2)/24*AE71^2)+(S71*AE71*G71/4))*0.0833333333333333)</f>
        <v>0.500206858629218</v>
      </c>
      <c r="AR71" s="37" t="n">
        <f aca="false">H71*(1+(((2-3*T71^2)/24*AF71^2)+(T71*AF71*H71/4))*0.0833333333333333)</f>
        <v>0.478910516636681</v>
      </c>
      <c r="AS71" s="37" t="n">
        <f aca="false">I71*(1+(((2-3*U71^2)/24*AG71^2)+(U71*AG71*I71/4))*0.0833333333333333)</f>
        <v>0.455592551519308</v>
      </c>
      <c r="AT71" s="37" t="n">
        <f aca="false">J71*(1+(((2-3*V71^2)/24*AH71^2)+(V71*AH71*J71/4))*0.0833333333333333)</f>
        <v>0.446830251158298</v>
      </c>
      <c r="AU71" s="37" t="n">
        <f aca="false">K71*(1+(((2-3*W71^2)/24*AI71^2)+(W71*AI71*K71/4))*0.0833333333333333)</f>
        <v>0.419397877394534</v>
      </c>
      <c r="AV71" s="37" t="n">
        <f aca="false">L71*(1+(((2-3*X71^2)/24*AJ71^2)+(X71*AJ71*L71/4))*0.0833333333333333)</f>
        <v>0.409471799623532</v>
      </c>
    </row>
    <row r="72" customFormat="false" ht="15" hidden="false" customHeight="true" outlineLevel="0" collapsed="false">
      <c r="B72" s="35" t="s">
        <v>74</v>
      </c>
      <c r="C72" s="24" t="n">
        <f aca="false">C8+$C$27*C41</f>
        <v>0.5548375</v>
      </c>
      <c r="D72" s="24" t="n">
        <f aca="false">D8+$C$27*D41</f>
        <v>0.53165</v>
      </c>
      <c r="E72" s="24" t="n">
        <f aca="false">E8+$C$27*E41</f>
        <v>0.5174625</v>
      </c>
      <c r="F72" s="24" t="n">
        <f aca="false">F8+$C$27*F41</f>
        <v>0.489775</v>
      </c>
      <c r="G72" s="24" t="n">
        <f aca="false">G8+$C$27*G41</f>
        <v>0.472475</v>
      </c>
      <c r="H72" s="24" t="n">
        <f aca="false">H8+$C$27*H41</f>
        <v>0.457275</v>
      </c>
      <c r="I72" s="24" t="n">
        <f aca="false">I8+$C$27*I41</f>
        <v>0.4492875</v>
      </c>
      <c r="J72" s="24" t="n">
        <f aca="false">J8+$C$27*J41</f>
        <v>0.4261125</v>
      </c>
      <c r="K72" s="24" t="n">
        <f aca="false">K8+$C$27*K41</f>
        <v>0.4065125</v>
      </c>
      <c r="L72" s="24" t="n">
        <f aca="false">L8+$C$27*L41</f>
        <v>0.3940125</v>
      </c>
      <c r="N72" s="35" t="s">
        <v>74</v>
      </c>
      <c r="O72" s="24" t="n">
        <f aca="false">O8+$D$27*O41</f>
        <v>-0.3315</v>
      </c>
      <c r="P72" s="24" t="n">
        <f aca="false">P8+$D$27*P41</f>
        <v>-0.3151</v>
      </c>
      <c r="Q72" s="24" t="n">
        <f aca="false">Q8+$D$27*Q41</f>
        <v>-0.2858</v>
      </c>
      <c r="R72" s="24" t="n">
        <f aca="false">R8+$D$27*R41</f>
        <v>-0.2682</v>
      </c>
      <c r="S72" s="24" t="n">
        <f aca="false">S8+$D$27*S41</f>
        <v>-0.2579</v>
      </c>
      <c r="T72" s="24" t="n">
        <f aca="false">T8+$D$27*T41</f>
        <v>-0.2318</v>
      </c>
      <c r="U72" s="24" t="n">
        <f aca="false">U8+$D$27*U41</f>
        <v>-0.2134</v>
      </c>
      <c r="V72" s="24" t="n">
        <f aca="false">V8+$D$27*V41</f>
        <v>-0.1869</v>
      </c>
      <c r="W72" s="24" t="n">
        <f aca="false">W8+$D$27*W41</f>
        <v>-0.1704</v>
      </c>
      <c r="X72" s="24" t="n">
        <f aca="false">X8+$D$27*X41</f>
        <v>-0.1598</v>
      </c>
      <c r="Z72" s="35" t="s">
        <v>74</v>
      </c>
      <c r="AA72" s="24" t="n">
        <f aca="false">AA8+$E$27*AA41</f>
        <v>0.8374</v>
      </c>
      <c r="AB72" s="24" t="n">
        <f aca="false">AB8+$E$27*AB41</f>
        <v>0.7979</v>
      </c>
      <c r="AC72" s="24" t="n">
        <f aca="false">AC8+$E$27*AC41</f>
        <v>0.7817</v>
      </c>
      <c r="AD72" s="24" t="n">
        <f aca="false">AD8+$E$27*AD41</f>
        <v>0.7663</v>
      </c>
      <c r="AE72" s="24" t="n">
        <f aca="false">AE8+$E$27*AE41</f>
        <v>0.7319</v>
      </c>
      <c r="AF72" s="24" t="n">
        <f aca="false">AF8+$E$27*AF41</f>
        <v>0.7164</v>
      </c>
      <c r="AG72" s="24" t="n">
        <f aca="false">AG8+$E$27*AG41</f>
        <v>0.6852</v>
      </c>
      <c r="AH72" s="24" t="n">
        <f aca="false">AH8+$E$27*AH41</f>
        <v>0.6756</v>
      </c>
      <c r="AI72" s="24" t="n">
        <f aca="false">AI8+$E$27*AI41</f>
        <v>0.6553</v>
      </c>
      <c r="AJ72" s="24" t="n">
        <f aca="false">AJ8+$E$27*AJ41</f>
        <v>0.6292</v>
      </c>
      <c r="AL72" s="35" t="s">
        <v>74</v>
      </c>
      <c r="AM72" s="37" t="n">
        <f aca="false">C72*(1+(((2-3*O72^2)/24*AA72^2)+(O72*AA72*C72/4))*0.25)</f>
        <v>0.556266000751174</v>
      </c>
      <c r="AN72" s="37" t="n">
        <f aca="false">D72*(1+(((2-3*P72^2)/24*AB72^2)+(P72*AB72*D72/4))*0.25)</f>
        <v>0.533209817610418</v>
      </c>
      <c r="AO72" s="37" t="n">
        <f aca="false">E72*(1+(((2-3*Q72^2)/24*AC72^2)+(Q72*AC72*E72/4))*0.25)</f>
        <v>0.51950397869155</v>
      </c>
      <c r="AP72" s="37" t="n">
        <f aca="false">F72*(1+(((2-3*R72^2)/24*AD72^2)+(R72*AD72*F72/4))*0.25)</f>
        <v>0.492038973181132</v>
      </c>
      <c r="AQ72" s="37" t="n">
        <f aca="false">G72*(1+(((2-3*S72^2)/24*AE72^2)+(S72*AE72*G72/4))*0.25)</f>
        <v>0.474588192589244</v>
      </c>
      <c r="AR72" s="37" t="n">
        <f aca="false">H72*(1+(((2-3*T72^2)/24*AF72^2)+(T72*AF72*H72/4))*0.25)</f>
        <v>0.459600024003882</v>
      </c>
      <c r="AS72" s="37" t="n">
        <f aca="false">I72*(1+(((2-3*U72^2)/24*AG72^2)+(U72*AG72*I72/4))*0.25)</f>
        <v>0.45153713072936</v>
      </c>
      <c r="AT72" s="37" t="n">
        <f aca="false">J72*(1+(((2-3*V72^2)/24*AH72^2)+(V72*AH72*J72/4))*0.25)</f>
        <v>0.428519184386254</v>
      </c>
      <c r="AU72" s="37" t="n">
        <f aca="false">K72*(1+(((2-3*W72^2)/24*AI72^2)+(W72*AI72*K72/4))*0.25)</f>
        <v>0.408837563058089</v>
      </c>
      <c r="AV72" s="37" t="n">
        <f aca="false">L72*(1+(((2-3*X72^2)/24*AJ72^2)+(X72*AJ72*L72/4))*0.25)</f>
        <v>0.396162158429063</v>
      </c>
    </row>
    <row r="73" customFormat="false" ht="15" hidden="false" customHeight="true" outlineLevel="0" collapsed="false">
      <c r="B73" s="35" t="s">
        <v>75</v>
      </c>
      <c r="C73" s="24" t="n">
        <f aca="false">C9+$C$27*C42</f>
        <v>0.541575</v>
      </c>
      <c r="D73" s="24" t="n">
        <f aca="false">D9+$C$27*D42</f>
        <v>0.5127125</v>
      </c>
      <c r="E73" s="24" t="n">
        <f aca="false">E9+$C$27*E42</f>
        <v>0.5030125</v>
      </c>
      <c r="F73" s="24" t="n">
        <f aca="false">F9+$C$27*F42</f>
        <v>0.48295</v>
      </c>
      <c r="G73" s="24" t="n">
        <f aca="false">G9+$C$27*G42</f>
        <v>0.4652125</v>
      </c>
      <c r="H73" s="24" t="n">
        <f aca="false">H9+$C$27*H42</f>
        <v>0.44455</v>
      </c>
      <c r="I73" s="24" t="n">
        <f aca="false">I9+$C$27*I42</f>
        <v>0.434175</v>
      </c>
      <c r="J73" s="24" t="n">
        <f aca="false">J9+$C$27*J42</f>
        <v>0.418875</v>
      </c>
      <c r="K73" s="24" t="n">
        <f aca="false">K9+$C$27*K42</f>
        <v>0.3917625</v>
      </c>
      <c r="L73" s="24" t="n">
        <f aca="false">L9+$C$27*L42</f>
        <v>0.37735</v>
      </c>
      <c r="N73" s="35" t="s">
        <v>75</v>
      </c>
      <c r="O73" s="24" t="n">
        <f aca="false">O9+$D$27*O42</f>
        <v>-0.3199</v>
      </c>
      <c r="P73" s="24" t="n">
        <f aca="false">P9+$D$27*P42</f>
        <v>-0.2876</v>
      </c>
      <c r="Q73" s="24" t="n">
        <f aca="false">Q9+$D$27*Q42</f>
        <v>-0.2693</v>
      </c>
      <c r="R73" s="24" t="n">
        <f aca="false">R9+$D$27*R42</f>
        <v>-0.2429</v>
      </c>
      <c r="S73" s="24" t="n">
        <f aca="false">S9+$D$27*S42</f>
        <v>-0.2269</v>
      </c>
      <c r="T73" s="24" t="n">
        <f aca="false">T9+$D$27*T42</f>
        <v>-0.2182</v>
      </c>
      <c r="U73" s="24" t="n">
        <f aca="false">U9+$D$27*U42</f>
        <v>-0.1967</v>
      </c>
      <c r="V73" s="24" t="n">
        <f aca="false">V9+$D$27*V42</f>
        <v>-0.1716</v>
      </c>
      <c r="W73" s="24" t="n">
        <f aca="false">W9+$D$27*W42</f>
        <v>-0.1651</v>
      </c>
      <c r="X73" s="24" t="n">
        <f aca="false">X9+$D$27*X42</f>
        <v>-0.1369</v>
      </c>
      <c r="Z73" s="35" t="s">
        <v>75</v>
      </c>
      <c r="AA73" s="24" t="n">
        <f aca="false">AA9+$E$27*AA42</f>
        <v>0.7989</v>
      </c>
      <c r="AB73" s="24" t="n">
        <f aca="false">AB9+$E$27*AB42</f>
        <v>0.7757</v>
      </c>
      <c r="AC73" s="24" t="n">
        <f aca="false">AC9+$E$27*AC42</f>
        <v>0.7523</v>
      </c>
      <c r="AD73" s="24" t="n">
        <f aca="false">AD9+$E$27*AD42</f>
        <v>0.7443</v>
      </c>
      <c r="AE73" s="24" t="n">
        <f aca="false">AE9+$E$27*AE42</f>
        <v>0.7093</v>
      </c>
      <c r="AF73" s="24" t="n">
        <f aca="false">AF9+$E$27*AF42</f>
        <v>0.6894</v>
      </c>
      <c r="AG73" s="24" t="n">
        <f aca="false">AG9+$E$27*AG42</f>
        <v>0.67</v>
      </c>
      <c r="AH73" s="24" t="n">
        <f aca="false">AH9+$E$27*AH42</f>
        <v>0.6574</v>
      </c>
      <c r="AI73" s="24" t="n">
        <f aca="false">AI9+$E$27*AI42</f>
        <v>0.6194</v>
      </c>
      <c r="AJ73" s="24" t="n">
        <f aca="false">AJ9+$E$27*AJ42</f>
        <v>0.6045</v>
      </c>
      <c r="AL73" s="35" t="s">
        <v>75</v>
      </c>
      <c r="AM73" s="37" t="n">
        <f aca="false">C73*(1+(((2-3*O73^2)/24*AA73^2)+(O73*AA73*C73/4))*0.5)</f>
        <v>0.544396622092179</v>
      </c>
      <c r="AN73" s="37" t="n">
        <f aca="false">D73*(1+(((2-3*P73^2)/24*AB73^2)+(P73*AB73*D73/4))*0.5)</f>
        <v>0.516641389380146</v>
      </c>
      <c r="AO73" s="37" t="n">
        <f aca="false">E73*(1+(((2-3*Q73^2)/24*AC73^2)+(Q73*AC73*E73/4))*0.5)</f>
        <v>0.507176312306861</v>
      </c>
      <c r="AP73" s="37" t="n">
        <f aca="false">F73*(1+(((2-3*R73^2)/24*AD73^2)+(R73*AD73*F73/4))*0.5)</f>
        <v>0.487840199298613</v>
      </c>
      <c r="AQ73" s="37" t="n">
        <f aca="false">G73*(1+(((2-3*S73^2)/24*AE73^2)+(S73*AE73*G73/4))*0.5)</f>
        <v>0.469857641889237</v>
      </c>
      <c r="AR73" s="37" t="n">
        <f aca="false">H73*(1+(((2-3*T73^2)/24*AF73^2)+(T73*AF73*H73/4))*0.5)</f>
        <v>0.449008703601074</v>
      </c>
      <c r="AS73" s="37" t="n">
        <f aca="false">I73*(1+(((2-3*U73^2)/24*AG73^2)+(U73*AG73*I73/4))*0.5)</f>
        <v>0.438719166401001</v>
      </c>
      <c r="AT73" s="37" t="n">
        <f aca="false">J73*(1+(((2-3*V73^2)/24*AH73^2)+(V73*AH73*J73/4))*0.5)</f>
        <v>0.423610486677678</v>
      </c>
      <c r="AU73" s="37" t="n">
        <f aca="false">K73*(1+(((2-3*W73^2)/24*AI73^2)+(W73*AI73*K73/4))*0.5)</f>
        <v>0.395807144874941</v>
      </c>
      <c r="AV73" s="37" t="n">
        <f aca="false">L73*(1+(((2-3*X73^2)/24*AJ73^2)+(X73*AJ73*L73/4))*0.5)</f>
        <v>0.381460967530711</v>
      </c>
    </row>
    <row r="74" customFormat="false" ht="15" hidden="false" customHeight="true" outlineLevel="0" collapsed="false">
      <c r="B74" s="35" t="s">
        <v>30</v>
      </c>
      <c r="C74" s="24" t="n">
        <f aca="false">C10+$C$27*C43</f>
        <v>0.5173125</v>
      </c>
      <c r="D74" s="24" t="n">
        <f aca="false">D10+$C$27*D43</f>
        <v>0.506375</v>
      </c>
      <c r="E74" s="24" t="n">
        <f aca="false">E10+$C$27*E43</f>
        <v>0.487825</v>
      </c>
      <c r="F74" s="24" t="n">
        <f aca="false">F10+$C$27*F43</f>
        <v>0.4707375</v>
      </c>
      <c r="G74" s="24" t="n">
        <f aca="false">G10+$C$27*G43</f>
        <v>0.4407375</v>
      </c>
      <c r="H74" s="24" t="n">
        <f aca="false">H10+$C$27*H43</f>
        <v>0.4258125</v>
      </c>
      <c r="I74" s="24" t="n">
        <f aca="false">I10+$C$27*I43</f>
        <v>0.406775</v>
      </c>
      <c r="J74" s="24" t="n">
        <f aca="false">J10+$C$27*J43</f>
        <v>0.399425</v>
      </c>
      <c r="K74" s="24" t="n">
        <f aca="false">K10+$C$27*K43</f>
        <v>0.38365</v>
      </c>
      <c r="L74" s="24" t="n">
        <f aca="false">L10+$C$27*L43</f>
        <v>0.3492625</v>
      </c>
      <c r="N74" s="35" t="s">
        <v>30</v>
      </c>
      <c r="O74" s="24" t="n">
        <f aca="false">O10+$D$27*O43</f>
        <v>-0.2981</v>
      </c>
      <c r="P74" s="24" t="n">
        <f aca="false">P10+$D$27*P43</f>
        <v>-0.2776</v>
      </c>
      <c r="Q74" s="24" t="n">
        <f aca="false">Q10+$D$27*Q43</f>
        <v>-0.2581</v>
      </c>
      <c r="R74" s="24" t="n">
        <f aca="false">R10+$D$27*R43</f>
        <v>-0.2336</v>
      </c>
      <c r="S74" s="24" t="n">
        <f aca="false">S10+$D$27*S43</f>
        <v>-0.2121</v>
      </c>
      <c r="T74" s="24" t="n">
        <f aca="false">T10+$D$27*T43</f>
        <v>-0.1992</v>
      </c>
      <c r="U74" s="24" t="n">
        <f aca="false">U10+$D$27*U43</f>
        <v>-0.1849</v>
      </c>
      <c r="V74" s="24" t="n">
        <f aca="false">V10+$D$27*V43</f>
        <v>-0.1572</v>
      </c>
      <c r="W74" s="24" t="n">
        <f aca="false">W10+$D$27*W43</f>
        <v>-0.1387</v>
      </c>
      <c r="X74" s="24" t="n">
        <f aca="false">X10+$D$27*X43</f>
        <v>-0.1153</v>
      </c>
      <c r="Z74" s="35" t="s">
        <v>30</v>
      </c>
      <c r="AA74" s="24" t="n">
        <f aca="false">AA10+$E$27*AA43</f>
        <v>0.7924</v>
      </c>
      <c r="AB74" s="24" t="n">
        <f aca="false">AB10+$E$27*AB43</f>
        <v>0.7649</v>
      </c>
      <c r="AC74" s="24" t="n">
        <f aca="false">AC10+$E$27*AC43</f>
        <v>0.7392</v>
      </c>
      <c r="AD74" s="24" t="n">
        <f aca="false">AD10+$E$27*AD43</f>
        <v>0.719</v>
      </c>
      <c r="AE74" s="24" t="n">
        <f aca="false">AE10+$E$27*AE43</f>
        <v>0.698</v>
      </c>
      <c r="AF74" s="24" t="n">
        <f aca="false">AF10+$E$27*AF43</f>
        <v>0.6633</v>
      </c>
      <c r="AG74" s="24" t="n">
        <f aca="false">AG10+$E$27*AG43</f>
        <v>0.658</v>
      </c>
      <c r="AH74" s="24" t="n">
        <f aca="false">AH10+$E$27*AH43</f>
        <v>0.6334</v>
      </c>
      <c r="AI74" s="24" t="n">
        <f aca="false">AI10+$E$27*AI43</f>
        <v>0.613</v>
      </c>
      <c r="AJ74" s="24" t="n">
        <f aca="false">AJ10+$E$27*AJ43</f>
        <v>0.5893</v>
      </c>
      <c r="AL74" s="35" t="s">
        <v>30</v>
      </c>
      <c r="AM74" s="37" t="n">
        <f aca="false">C74*(1+(((2-3*O74^2)/24*AA74^2)+(O74*AA74*C74/4))*1)</f>
        <v>0.524969234553922</v>
      </c>
      <c r="AN74" s="37" t="n">
        <f aca="false">D74*(1+(((2-3*P74^2)/24*AB74^2)+(P74*AB74*D74/4))*1)</f>
        <v>0.514598390796837</v>
      </c>
      <c r="AO74" s="37" t="n">
        <f aca="false">E74*(1+(((2-3*Q74^2)/24*AC74^2)+(Q74*AC74*E74/4))*1)</f>
        <v>0.496467797861941</v>
      </c>
      <c r="AP74" s="37" t="n">
        <f aca="false">F74*(1+(((2-3*R74^2)/24*AD74^2)+(R74*AD74*F74/4))*1)</f>
        <v>0.480052336430249</v>
      </c>
      <c r="AQ74" s="37" t="n">
        <f aca="false">G74*(1+(((2-3*S74^2)/24*AE74^2)+(S74*AE74*G74/4))*1)</f>
        <v>0.45023464586636</v>
      </c>
      <c r="AR74" s="37" t="n">
        <f aca="false">H74*(1+(((2-3*T74^2)/24*AF74^2)+(T74*AF74*H74/4))*1)</f>
        <v>0.434505910675367</v>
      </c>
      <c r="AS74" s="37" t="n">
        <f aca="false">I74*(1+(((2-3*U74^2)/24*AG74^2)+(U74*AG74*I74/4))*1)</f>
        <v>0.415666114012757</v>
      </c>
      <c r="AT74" s="37" t="n">
        <f aca="false">J74*(1+(((2-3*V74^2)/24*AH74^2)+(V74*AH74*J74/4))*1)</f>
        <v>0.408312583119033</v>
      </c>
      <c r="AU74" s="37" t="n">
        <f aca="false">K74*(1+(((2-3*W74^2)/24*AI74^2)+(W74*AI74*K74/4))*1)</f>
        <v>0.392188395204887</v>
      </c>
      <c r="AV74" s="37" t="n">
        <f aca="false">L74*(1+(((2-3*X74^2)/24*AJ74^2)+(X74*AJ74*L74/4))*1)</f>
        <v>0.357096346378171</v>
      </c>
    </row>
    <row r="75" customFormat="false" ht="15" hidden="false" customHeight="true" outlineLevel="0" collapsed="false">
      <c r="B75" s="35" t="s">
        <v>76</v>
      </c>
      <c r="C75" s="24" t="n">
        <f aca="false">C11+$C$27*C44</f>
        <v>0.49675</v>
      </c>
      <c r="D75" s="24" t="n">
        <f aca="false">D11+$C$27*D44</f>
        <v>0.4789375</v>
      </c>
      <c r="E75" s="24" t="n">
        <f aca="false">E11+$C$27*E44</f>
        <v>0.4551125</v>
      </c>
      <c r="F75" s="24" t="n">
        <f aca="false">F11+$C$27*F44</f>
        <v>0.4483</v>
      </c>
      <c r="G75" s="24" t="n">
        <f aca="false">G11+$C$27*G44</f>
        <v>0.418625</v>
      </c>
      <c r="H75" s="24" t="n">
        <f aca="false">H11+$C$27*H44</f>
        <v>0.4012875</v>
      </c>
      <c r="I75" s="24" t="n">
        <f aca="false">I11+$C$27*I44</f>
        <v>0.3859625</v>
      </c>
      <c r="J75" s="24" t="n">
        <f aca="false">J11+$C$27*J44</f>
        <v>0.3674625</v>
      </c>
      <c r="K75" s="24" t="n">
        <f aca="false">K11+$C$27*K44</f>
        <v>0.3530875</v>
      </c>
      <c r="L75" s="24" t="n">
        <f aca="false">L11+$C$27*L44</f>
        <v>0.3296</v>
      </c>
      <c r="N75" s="35" t="s">
        <v>76</v>
      </c>
      <c r="O75" s="24" t="n">
        <f aca="false">O11+$D$27*O44</f>
        <v>-0.2822</v>
      </c>
      <c r="P75" s="24" t="n">
        <f aca="false">P11+$D$27*P44</f>
        <v>-0.2598</v>
      </c>
      <c r="Q75" s="24" t="n">
        <f aca="false">Q11+$D$27*Q44</f>
        <v>-0.2413</v>
      </c>
      <c r="R75" s="24" t="n">
        <f aca="false">R11+$D$27*R44</f>
        <v>-0.2166</v>
      </c>
      <c r="S75" s="24" t="n">
        <f aca="false">S11+$D$27*S44</f>
        <v>-0.2039</v>
      </c>
      <c r="T75" s="24" t="n">
        <f aca="false">T11+$D$27*T44</f>
        <v>-0.1675</v>
      </c>
      <c r="U75" s="24" t="n">
        <f aca="false">U11+$D$27*U44</f>
        <v>-0.1533</v>
      </c>
      <c r="V75" s="24" t="n">
        <f aca="false">V11+$D$27*V44</f>
        <v>-0.1431</v>
      </c>
      <c r="W75" s="24" t="n">
        <f aca="false">W11+$D$27*W44</f>
        <v>-0.1216</v>
      </c>
      <c r="X75" s="24" t="n">
        <f aca="false">X11+$D$27*X44</f>
        <v>-0.1003</v>
      </c>
      <c r="Z75" s="35" t="s">
        <v>76</v>
      </c>
      <c r="AA75" s="24" t="n">
        <f aca="false">AA11+$E$27*AA44</f>
        <v>0.7584</v>
      </c>
      <c r="AB75" s="24" t="n">
        <f aca="false">AB11+$E$27*AB44</f>
        <v>0.7313</v>
      </c>
      <c r="AC75" s="24" t="n">
        <f aca="false">AC11+$E$27*AC44</f>
        <v>0.7236</v>
      </c>
      <c r="AD75" s="24" t="n">
        <f aca="false">AD11+$E$27*AD44</f>
        <v>0.7043</v>
      </c>
      <c r="AE75" s="24" t="n">
        <f aca="false">AE11+$E$27*AE44</f>
        <v>0.6715</v>
      </c>
      <c r="AF75" s="24" t="n">
        <f aca="false">AF11+$E$27*AF44</f>
        <v>0.6497</v>
      </c>
      <c r="AG75" s="24" t="n">
        <f aca="false">AG11+$E$27*AG44</f>
        <v>0.6195</v>
      </c>
      <c r="AH75" s="24" t="n">
        <f aca="false">AH11+$E$27*AH44</f>
        <v>0.5976</v>
      </c>
      <c r="AI75" s="24" t="n">
        <f aca="false">AI11+$E$27*AI44</f>
        <v>0.5802</v>
      </c>
      <c r="AJ75" s="24" t="n">
        <f aca="false">AJ11+$E$27*AJ44</f>
        <v>0.5564</v>
      </c>
      <c r="AL75" s="35" t="s">
        <v>76</v>
      </c>
      <c r="AM75" s="37" t="n">
        <f aca="false">C75*(1+(((2-3*O75^2)/24*AA75^2)+(O75*AA75*C75/4))*2)</f>
        <v>0.512275042904172</v>
      </c>
      <c r="AN75" s="37" t="n">
        <f aca="false">D75*(1+(((2-3*P75^2)/24*AB75^2)+(P75*AB75*D75/4))*2)</f>
        <v>0.495514476062785</v>
      </c>
      <c r="AO75" s="37" t="n">
        <f aca="false">E75*(1+(((2-3*Q75^2)/24*AC75^2)+(Q75*AC75*E75/4))*2)</f>
        <v>0.473276984332322</v>
      </c>
      <c r="AP75" s="37" t="n">
        <f aca="false">F75*(1+(((2-3*R75^2)/24*AD75^2)+(R75*AD75*F75/4))*2)</f>
        <v>0.467424795824388</v>
      </c>
      <c r="AQ75" s="37" t="n">
        <f aca="false">G75*(1+(((2-3*S75^2)/24*AE75^2)+(S75*AE75*G75/4))*2)</f>
        <v>0.436126255274222</v>
      </c>
      <c r="AR75" s="37" t="n">
        <f aca="false">H75*(1+(((2-3*T75^2)/24*AF75^2)+(T75*AF75*H75/4))*2)</f>
        <v>0.419568540982606</v>
      </c>
      <c r="AS75" s="37" t="n">
        <f aca="false">I75*(1+(((2-3*U75^2)/24*AG75^2)+(U75*AG75*I75/4))*2)</f>
        <v>0.402706046033588</v>
      </c>
      <c r="AT75" s="37" t="n">
        <f aca="false">J75*(1+(((2-3*V75^2)/24*AH75^2)+(V75*AH75*J75/4))*2)</f>
        <v>0.382888805423963</v>
      </c>
      <c r="AU75" s="37" t="n">
        <f aca="false">K75*(1+(((2-3*W75^2)/24*AI75^2)+(W75*AI75*K75/4))*2)</f>
        <v>0.368060303040376</v>
      </c>
      <c r="AV75" s="37" t="n">
        <f aca="false">L75*(1+(((2-3*X75^2)/24*AJ75^2)+(X75*AJ75*L75/4))*2)</f>
        <v>0.343318361749061</v>
      </c>
    </row>
    <row r="76" customFormat="false" ht="15" hidden="false" customHeight="true" outlineLevel="0" collapsed="false">
      <c r="B76" s="35" t="s">
        <v>77</v>
      </c>
      <c r="C76" s="24" t="n">
        <f aca="false">C12+$C$27*C45</f>
        <v>0.487925</v>
      </c>
      <c r="D76" s="24" t="n">
        <f aca="false">D12+$C$27*D45</f>
        <v>0.456675</v>
      </c>
      <c r="E76" s="24" t="n">
        <f aca="false">E12+$C$27*E45</f>
        <v>0.435775</v>
      </c>
      <c r="F76" s="24" t="n">
        <f aca="false">F12+$C$27*F45</f>
        <v>0.4369875</v>
      </c>
      <c r="G76" s="24" t="n">
        <f aca="false">G12+$C$27*G45</f>
        <v>0.4102625</v>
      </c>
      <c r="H76" s="24" t="n">
        <f aca="false">H12+$C$27*H45</f>
        <v>0.384975</v>
      </c>
      <c r="I76" s="24" t="n">
        <f aca="false">I12+$C$27*I45</f>
        <v>0.3753875</v>
      </c>
      <c r="J76" s="24" t="n">
        <f aca="false">J12+$C$27*J45</f>
        <v>0.3471125</v>
      </c>
      <c r="K76" s="24" t="n">
        <f aca="false">K12+$C$27*K45</f>
        <v>0.338975</v>
      </c>
      <c r="L76" s="24" t="n">
        <f aca="false">L12+$C$27*L45</f>
        <v>0.3308125</v>
      </c>
      <c r="N76" s="35" t="s">
        <v>77</v>
      </c>
      <c r="O76" s="24" t="n">
        <f aca="false">O12+$D$27*O45</f>
        <v>-0.2455</v>
      </c>
      <c r="P76" s="24" t="n">
        <f aca="false">P12+$D$27*P45</f>
        <v>-0.2294</v>
      </c>
      <c r="Q76" s="24" t="n">
        <f aca="false">Q12+$D$27*Q45</f>
        <v>-0.2187</v>
      </c>
      <c r="R76" s="24" t="n">
        <f aca="false">R12+$D$27*R45</f>
        <v>-0.1971</v>
      </c>
      <c r="S76" s="24" t="n">
        <f aca="false">S12+$D$27*S45</f>
        <v>-0.1817</v>
      </c>
      <c r="T76" s="24" t="n">
        <f aca="false">T12+$D$27*T45</f>
        <v>-0.1501</v>
      </c>
      <c r="U76" s="24" t="n">
        <f aca="false">U12+$D$27*U45</f>
        <v>-0.1355</v>
      </c>
      <c r="V76" s="24" t="n">
        <f aca="false">V12+$D$27*V45</f>
        <v>-0.1111</v>
      </c>
      <c r="W76" s="24" t="n">
        <f aca="false">W12+$D$27*W45</f>
        <v>-0.1006</v>
      </c>
      <c r="X76" s="24" t="n">
        <f aca="false">X12+$D$27*X45</f>
        <v>-0.0833</v>
      </c>
      <c r="Z76" s="35" t="s">
        <v>77</v>
      </c>
      <c r="AA76" s="24" t="n">
        <f aca="false">AA12+$E$27*AA45</f>
        <v>0.7451</v>
      </c>
      <c r="AB76" s="24" t="n">
        <f aca="false">AB12+$E$27*AB45</f>
        <v>0.7264</v>
      </c>
      <c r="AC76" s="24" t="n">
        <f aca="false">AC12+$E$27*AC45</f>
        <v>0.7015</v>
      </c>
      <c r="AD76" s="24" t="n">
        <f aca="false">AD12+$E$27*AD45</f>
        <v>0.6783</v>
      </c>
      <c r="AE76" s="24" t="n">
        <f aca="false">AE12+$E$27*AE45</f>
        <v>0.6564</v>
      </c>
      <c r="AF76" s="24" t="n">
        <f aca="false">AF12+$E$27*AF45</f>
        <v>0.6326</v>
      </c>
      <c r="AG76" s="24" t="n">
        <f aca="false">AG12+$E$27*AG45</f>
        <v>0.6001</v>
      </c>
      <c r="AH76" s="24" t="n">
        <f aca="false">AH12+$E$27*AH45</f>
        <v>0.5837</v>
      </c>
      <c r="AI76" s="24" t="n">
        <f aca="false">AI12+$E$27*AI45</f>
        <v>0.5582</v>
      </c>
      <c r="AJ76" s="24" t="n">
        <f aca="false">AJ12+$E$27*AJ45</f>
        <v>0.5295</v>
      </c>
      <c r="AL76" s="35" t="s">
        <v>77</v>
      </c>
      <c r="AM76" s="37" t="n">
        <f aca="false">C76*(1+(((2-3*O76^2)/24*AA76^2)+(O76*AA76*C76/4))*3)</f>
        <v>0.516862193748808</v>
      </c>
      <c r="AN76" s="37" t="n">
        <f aca="false">D76*(1+(((2-3*P76^2)/24*AB76^2)+(P76*AB76*D76/4))*3)</f>
        <v>0.48609741031453</v>
      </c>
      <c r="AO76" s="37" t="n">
        <f aca="false">E76*(1+(((2-3*Q76^2)/24*AC76^2)+(Q76*AC76*E76/4))*3)</f>
        <v>0.463689586323694</v>
      </c>
      <c r="AP76" s="37" t="n">
        <f aca="false">F76*(1+(((2-3*R76^2)/24*AD76^2)+(R76*AD76*F76/4))*3)</f>
        <v>0.465174698402501</v>
      </c>
      <c r="AQ76" s="37" t="n">
        <f aca="false">G76*(1+(((2-3*S76^2)/24*AE76^2)+(S76*AE76*G76/4))*3)</f>
        <v>0.437209597769015</v>
      </c>
      <c r="AR76" s="37" t="n">
        <f aca="false">H76*(1+(((2-3*T76^2)/24*AF76^2)+(T76*AF76*H76/4))*3)</f>
        <v>0.411634007100666</v>
      </c>
      <c r="AS76" s="37" t="n">
        <f aca="false">I76*(1+(((2-3*U76^2)/24*AG76^2)+(U76*AG76*I76/4))*3)</f>
        <v>0.399659107814702</v>
      </c>
      <c r="AT76" s="37" t="n">
        <f aca="false">J76*(1+(((2-3*V76^2)/24*AH76^2)+(V76*AH76*J76/4))*3)</f>
        <v>0.370270788933885</v>
      </c>
      <c r="AU76" s="37" t="n">
        <f aca="false">K76*(1+(((2-3*W76^2)/24*AI76^2)+(W76*AI76*K76/4))*3)</f>
        <v>0.360139907102763</v>
      </c>
      <c r="AV76" s="37" t="n">
        <f aca="false">L76*(1+(((2-3*X76^2)/24*AJ76^2)+(X76*AJ76*L76/4))*3)</f>
        <v>0.350138423533215</v>
      </c>
    </row>
    <row r="77" customFormat="false" ht="15" hidden="false" customHeight="true" outlineLevel="0" collapsed="false">
      <c r="B77" s="35" t="s">
        <v>78</v>
      </c>
      <c r="C77" s="24" t="n">
        <f aca="false">C13+$C$27*C46</f>
        <v>0.4536375</v>
      </c>
      <c r="D77" s="24" t="n">
        <f aca="false">D13+$C$27*D46</f>
        <v>0.4408375</v>
      </c>
      <c r="E77" s="24" t="n">
        <f aca="false">E13+$C$27*E46</f>
        <v>0.4231</v>
      </c>
      <c r="F77" s="24" t="n">
        <f aca="false">F13+$C$27*F46</f>
        <v>0.41365</v>
      </c>
      <c r="G77" s="24" t="n">
        <f aca="false">G13+$C$27*G46</f>
        <v>0.4011</v>
      </c>
      <c r="H77" s="24" t="n">
        <f aca="false">H13+$C$27*H46</f>
        <v>0.3729</v>
      </c>
      <c r="I77" s="24" t="n">
        <f aca="false">I13+$C$27*I46</f>
        <v>0.3648875</v>
      </c>
      <c r="J77" s="24" t="n">
        <f aca="false">J13+$C$27*J46</f>
        <v>0.3485375</v>
      </c>
      <c r="K77" s="24" t="n">
        <f aca="false">K13+$C$27*K46</f>
        <v>0.3298625</v>
      </c>
      <c r="L77" s="24" t="n">
        <f aca="false">L13+$C$27*L46</f>
        <v>0.3005</v>
      </c>
      <c r="N77" s="35" t="s">
        <v>78</v>
      </c>
      <c r="O77" s="24" t="n">
        <f aca="false">O13+$D$27*O46</f>
        <v>-0.2389</v>
      </c>
      <c r="P77" s="24" t="n">
        <f aca="false">P13+$D$27*P46</f>
        <v>-0.2194</v>
      </c>
      <c r="Q77" s="24" t="n">
        <f aca="false">Q13+$D$27*Q46</f>
        <v>-0.2005</v>
      </c>
      <c r="R77" s="24" t="n">
        <f aca="false">R13+$D$27*R46</f>
        <v>-0.1809</v>
      </c>
      <c r="S77" s="24" t="n">
        <f aca="false">S13+$D$27*S46</f>
        <v>-0.1531</v>
      </c>
      <c r="T77" s="24" t="n">
        <f aca="false">T13+$D$27*T46</f>
        <v>-0.1281</v>
      </c>
      <c r="U77" s="24" t="n">
        <f aca="false">U13+$D$27*U46</f>
        <v>-0.1099</v>
      </c>
      <c r="V77" s="24" t="n">
        <f aca="false">V13+$D$27*V46</f>
        <v>-0.0976</v>
      </c>
      <c r="W77" s="24" t="n">
        <f aca="false">W13+$D$27*W46</f>
        <v>-0.0747</v>
      </c>
      <c r="X77" s="24" t="n">
        <f aca="false">X13+$D$27*X46</f>
        <v>-0.0523</v>
      </c>
      <c r="Z77" s="35" t="s">
        <v>78</v>
      </c>
      <c r="AA77" s="24" t="n">
        <f aca="false">AA13+$E$27*AA46</f>
        <v>0.7084</v>
      </c>
      <c r="AB77" s="24" t="n">
        <f aca="false">AB13+$E$27*AB46</f>
        <v>0.6977</v>
      </c>
      <c r="AC77" s="24" t="n">
        <f aca="false">AC13+$E$27*AC46</f>
        <v>0.6804</v>
      </c>
      <c r="AD77" s="24" t="n">
        <f aca="false">AD13+$E$27*AD46</f>
        <v>0.6556</v>
      </c>
      <c r="AE77" s="24" t="n">
        <f aca="false">AE13+$E$27*AE46</f>
        <v>0.6328</v>
      </c>
      <c r="AF77" s="24" t="n">
        <f aca="false">AF13+$E$27*AF46</f>
        <v>0.6051</v>
      </c>
      <c r="AG77" s="24" t="n">
        <f aca="false">AG13+$E$27*AG46</f>
        <v>0.5769</v>
      </c>
      <c r="AH77" s="24" t="n">
        <f aca="false">AH13+$E$27*AH46</f>
        <v>0.5669</v>
      </c>
      <c r="AI77" s="24" t="n">
        <f aca="false">AI13+$E$27*AI46</f>
        <v>0.5355</v>
      </c>
      <c r="AJ77" s="24" t="n">
        <f aca="false">AJ13+$E$27*AJ46</f>
        <v>0.5227</v>
      </c>
      <c r="AL77" s="35" t="s">
        <v>78</v>
      </c>
      <c r="AM77" s="37" t="n">
        <f aca="false">C77*(1+(((2-3*O77^2)/24*AA77^2)+(O77*AA77*C77/4))*5)</f>
        <v>0.496837496742791</v>
      </c>
      <c r="AN77" s="37" t="n">
        <f aca="false">D77*(1+(((2-3*P77^2)/24*AB77^2)+(P77*AB77*D77/4))*5)</f>
        <v>0.486609855738205</v>
      </c>
      <c r="AO77" s="37" t="n">
        <f aca="false">E77*(1+(((2-3*Q77^2)/24*AC77^2)+(Q77*AC77*E77/4))*5)</f>
        <v>0.469265550524736</v>
      </c>
      <c r="AP77" s="37" t="n">
        <f aca="false">F77*(1+(((2-3*R77^2)/24*AD77^2)+(R77*AD77*F77/4))*5)</f>
        <v>0.458727315648569</v>
      </c>
      <c r="AQ77" s="37" t="n">
        <f aca="false">G77*(1+(((2-3*S77^2)/24*AE77^2)+(S77*AE77*G77/4))*5)</f>
        <v>0.446186819482359</v>
      </c>
      <c r="AR77" s="37" t="n">
        <f aca="false">H77*(1+(((2-3*T77^2)/24*AF77^2)+(T77*AF77*H77/4))*5)</f>
        <v>0.41491641431575</v>
      </c>
      <c r="AS77" s="37" t="n">
        <f aca="false">I77*(1+(((2-3*U77^2)/24*AG77^2)+(U77*AG77*I77/4))*5)</f>
        <v>0.404018793299508</v>
      </c>
      <c r="AT77" s="37" t="n">
        <f aca="false">J77*(1+(((2-3*V77^2)/24*AH77^2)+(V77*AH77*J77/4))*5)</f>
        <v>0.386140402779469</v>
      </c>
      <c r="AU77" s="37" t="n">
        <f aca="false">K77*(1+(((2-3*W77^2)/24*AI77^2)+(W77*AI77*K77/4))*5)</f>
        <v>0.36350499732261</v>
      </c>
      <c r="AV77" s="37" t="n">
        <f aca="false">L77*(1+(((2-3*X77^2)/24*AJ77^2)+(X77*AJ77*L77/4))*5)</f>
        <v>0.331482778370017</v>
      </c>
    </row>
    <row r="78" customFormat="false" ht="15" hidden="false" customHeight="true" outlineLevel="0" collapsed="false">
      <c r="B78" s="35" t="s">
        <v>79</v>
      </c>
      <c r="C78" s="24" t="n">
        <f aca="false">C14+$C$27*C47</f>
        <v>0.454825</v>
      </c>
      <c r="D78" s="24" t="n">
        <f aca="false">D14+$C$27*D47</f>
        <v>0.4255625</v>
      </c>
      <c r="E78" s="24" t="n">
        <f aca="false">E14+$C$27*E47</f>
        <v>0.408225</v>
      </c>
      <c r="F78" s="24" t="n">
        <f aca="false">F14+$C$27*F47</f>
        <v>0.4010375</v>
      </c>
      <c r="G78" s="24" t="n">
        <f aca="false">G14+$C$27*G47</f>
        <v>0.378875</v>
      </c>
      <c r="H78" s="24" t="n">
        <f aca="false">H14+$C$27*H47</f>
        <v>0.350175</v>
      </c>
      <c r="I78" s="24" t="n">
        <f aca="false">I14+$C$27*I47</f>
        <v>0.3310375</v>
      </c>
      <c r="J78" s="24" t="n">
        <f aca="false">J14+$C$27*J47</f>
        <v>0.3136875</v>
      </c>
      <c r="K78" s="24" t="n">
        <f aca="false">K14+$C$27*K47</f>
        <v>0.3115375</v>
      </c>
      <c r="L78" s="24" t="n">
        <f aca="false">L14+$C$27*L47</f>
        <v>0.2917375</v>
      </c>
      <c r="N78" s="35" t="s">
        <v>79</v>
      </c>
      <c r="O78" s="24" t="n">
        <f aca="false">O14+$D$27*O47</f>
        <v>-0.221</v>
      </c>
      <c r="P78" s="24" t="n">
        <f aca="false">P14+$D$27*P47</f>
        <v>-0.1879</v>
      </c>
      <c r="Q78" s="24" t="n">
        <f aca="false">Q14+$D$27*Q47</f>
        <v>-0.1654</v>
      </c>
      <c r="R78" s="24" t="n">
        <f aca="false">R14+$D$27*R47</f>
        <v>-0.1524</v>
      </c>
      <c r="S78" s="24" t="n">
        <f aca="false">S14+$D$27*S47</f>
        <v>-0.1391</v>
      </c>
      <c r="T78" s="24" t="n">
        <f aca="false">T14+$D$27*T47</f>
        <v>-0.1157</v>
      </c>
      <c r="U78" s="24" t="n">
        <f aca="false">U14+$D$27*U47</f>
        <v>-0.1046</v>
      </c>
      <c r="V78" s="24" t="n">
        <f aca="false">V14+$D$27*V47</f>
        <v>-0.0875</v>
      </c>
      <c r="W78" s="24" t="n">
        <f aca="false">W14+$D$27*W47</f>
        <v>-0.0489</v>
      </c>
      <c r="X78" s="24" t="n">
        <f aca="false">X14+$D$27*X47</f>
        <v>-0.0359</v>
      </c>
      <c r="Z78" s="35" t="s">
        <v>79</v>
      </c>
      <c r="AA78" s="24" t="n">
        <f aca="false">AA14+$E$27*AA47</f>
        <v>0.695</v>
      </c>
      <c r="AB78" s="24" t="n">
        <f aca="false">AB14+$E$27*AB47</f>
        <v>0.6809</v>
      </c>
      <c r="AC78" s="24" t="n">
        <f aca="false">AC14+$E$27*AC47</f>
        <v>0.6487</v>
      </c>
      <c r="AD78" s="24" t="n">
        <f aca="false">AD14+$E$27*AD47</f>
        <v>0.6352</v>
      </c>
      <c r="AE78" s="24" t="n">
        <f aca="false">AE14+$E$27*AE47</f>
        <v>0.6121</v>
      </c>
      <c r="AF78" s="24" t="n">
        <f aca="false">AF14+$E$27*AF47</f>
        <v>0.5776</v>
      </c>
      <c r="AG78" s="24" t="n">
        <f aca="false">AG14+$E$27*AG47</f>
        <v>0.5561</v>
      </c>
      <c r="AH78" s="24" t="n">
        <f aca="false">AH14+$E$27*AH47</f>
        <v>0.5347</v>
      </c>
      <c r="AI78" s="24" t="n">
        <f aca="false">AI14+$E$27*AI47</f>
        <v>0.5115</v>
      </c>
      <c r="AJ78" s="24" t="n">
        <f aca="false">AJ14+$E$27*AJ47</f>
        <v>0.4962</v>
      </c>
      <c r="AL78" s="35" t="s">
        <v>79</v>
      </c>
      <c r="AM78" s="37" t="n">
        <f aca="false">C78*(1+(((2-3*O78^2)/24*AA78^2)+(O78*AA78*C78/4))*10)</f>
        <v>0.545055202292878</v>
      </c>
      <c r="AN78" s="37" t="n">
        <f aca="false">D78*(1+(((2-3*P78^2)/24*AB78^2)+(P78*AB78*D78/4))*10)</f>
        <v>0.523346337170885</v>
      </c>
      <c r="AO78" s="37" t="n">
        <f aca="false">E78*(1+(((2-3*Q78^2)/24*AC78^2)+(Q78*AC78*E78/4))*10)</f>
        <v>0.500804269635971</v>
      </c>
      <c r="AP78" s="37" t="n">
        <f aca="false">F78*(1+(((2-3*R78^2)/24*AD78^2)+(R78*AD78*F78/4))*10)</f>
        <v>0.492258725959421</v>
      </c>
      <c r="AQ78" s="37" t="n">
        <f aca="false">G78*(1+(((2-3*S78^2)/24*AE78^2)+(S78*AE78*G78/4))*10)</f>
        <v>0.463179928233356</v>
      </c>
      <c r="AR78" s="37" t="n">
        <f aca="false">H78*(1+(((2-3*T78^2)/24*AF78^2)+(T78*AF78*H78/4))*10)</f>
        <v>0.425088492952744</v>
      </c>
      <c r="AS78" s="37" t="n">
        <f aca="false">I78*(1+(((2-3*U78^2)/24*AG78^2)+(U78*AG78*I78/4))*10)</f>
        <v>0.399011774091402</v>
      </c>
      <c r="AT78" s="37" t="n">
        <f aca="false">J78*(1+(((2-3*V78^2)/24*AH78^2)+(V78*AH78*J78/4))*10)</f>
        <v>0.376056907278677</v>
      </c>
      <c r="AU78" s="37" t="n">
        <f aca="false">K78*(1+(((2-3*W78^2)/24*AI78^2)+(W78*AI78*K78/4))*10)</f>
        <v>0.373148445909814</v>
      </c>
      <c r="AV78" s="37" t="n">
        <f aca="false">L78*(1+(((2-3*X78^2)/24*AJ78^2)+(X78*AJ78*L78/4))*10)</f>
        <v>0.347689783260302</v>
      </c>
    </row>
    <row r="79" customFormat="false" ht="15" hidden="false" customHeight="true" outlineLevel="0" collapsed="false">
      <c r="B79" s="35" t="s">
        <v>80</v>
      </c>
      <c r="C79" s="24" t="n">
        <f aca="false">C15+$C$27*C48</f>
        <v>0.4227125</v>
      </c>
      <c r="D79" s="24" t="n">
        <f aca="false">D15+$C$27*D48</f>
        <v>0.4080375</v>
      </c>
      <c r="E79" s="24" t="n">
        <f aca="false">E15+$C$27*E48</f>
        <v>0.384925</v>
      </c>
      <c r="F79" s="24" t="n">
        <f aca="false">F15+$C$27*F48</f>
        <v>0.38285</v>
      </c>
      <c r="G79" s="24" t="n">
        <f aca="false">G15+$C$27*G48</f>
        <v>0.353375</v>
      </c>
      <c r="H79" s="24" t="n">
        <f aca="false">H15+$C$27*H48</f>
        <v>0.3382125</v>
      </c>
      <c r="I79" s="24" t="n">
        <f aca="false">I15+$C$27*I48</f>
        <v>0.3228375</v>
      </c>
      <c r="J79" s="24" t="n">
        <f aca="false">J15+$C$27*J48</f>
        <v>0.3113</v>
      </c>
      <c r="K79" s="24" t="n">
        <f aca="false">K15+$C$27*K48</f>
        <v>0.2836375</v>
      </c>
      <c r="L79" s="24" t="n">
        <f aca="false">L15+$C$27*L48</f>
        <v>0.276875</v>
      </c>
      <c r="N79" s="35" t="s">
        <v>80</v>
      </c>
      <c r="O79" s="24" t="n">
        <f aca="false">O15+$D$27*O48</f>
        <v>-0.1944</v>
      </c>
      <c r="P79" s="24" t="n">
        <f aca="false">P15+$D$27*P48</f>
        <v>-0.1744</v>
      </c>
      <c r="Q79" s="24" t="n">
        <f aca="false">Q15+$D$27*Q48</f>
        <v>-0.1551</v>
      </c>
      <c r="R79" s="24" t="n">
        <f aca="false">R15+$D$27*R48</f>
        <v>-0.1457</v>
      </c>
      <c r="S79" s="24" t="n">
        <f aca="false">S15+$D$27*S48</f>
        <v>-0.1179</v>
      </c>
      <c r="T79" s="24" t="n">
        <f aca="false">T15+$D$27*T48</f>
        <v>-0.1036</v>
      </c>
      <c r="U79" s="24" t="n">
        <f aca="false">U15+$D$27*U48</f>
        <v>-0.0877</v>
      </c>
      <c r="V79" s="24" t="n">
        <f aca="false">V15+$D$27*V48</f>
        <v>-0.0523</v>
      </c>
      <c r="W79" s="24" t="n">
        <f aca="false">W15+$D$27*W48</f>
        <v>-0.0454</v>
      </c>
      <c r="X79" s="24" t="n">
        <f aca="false">X15+$D$27*X48</f>
        <v>-0.02</v>
      </c>
      <c r="Z79" s="35" t="s">
        <v>80</v>
      </c>
      <c r="AA79" s="24" t="n">
        <f aca="false">AA15+$E$27*AA48</f>
        <v>0.6767</v>
      </c>
      <c r="AB79" s="24" t="n">
        <f aca="false">AB15+$E$27*AB48</f>
        <v>0.6511</v>
      </c>
      <c r="AC79" s="24" t="n">
        <f aca="false">AC15+$E$27*AC48</f>
        <v>0.6243</v>
      </c>
      <c r="AD79" s="24" t="n">
        <f aca="false">AD15+$E$27*AD48</f>
        <v>0.6059</v>
      </c>
      <c r="AE79" s="24" t="n">
        <f aca="false">AE15+$E$27*AE48</f>
        <v>0.5844</v>
      </c>
      <c r="AF79" s="24" t="n">
        <f aca="false">AF15+$E$27*AF48</f>
        <v>0.5668</v>
      </c>
      <c r="AG79" s="24" t="n">
        <f aca="false">AG15+$E$27*AG48</f>
        <v>0.531</v>
      </c>
      <c r="AH79" s="24" t="n">
        <f aca="false">AH15+$E$27*AH48</f>
        <v>0.5179</v>
      </c>
      <c r="AI79" s="24" t="n">
        <f aca="false">AI15+$E$27*AI48</f>
        <v>0.4894</v>
      </c>
      <c r="AJ79" s="24" t="n">
        <f aca="false">AJ15+$E$27*AJ48</f>
        <v>0.4678</v>
      </c>
      <c r="AL79" s="35" t="s">
        <v>80</v>
      </c>
      <c r="AM79" s="37" t="n">
        <f aca="false">C79*(1+(((2-3*O79^2)/24*AA79^2)+(O79*AA79*C79/4))*20)</f>
        <v>0.609509506001014</v>
      </c>
      <c r="AN79" s="37" t="n">
        <f aca="false">D79*(1+(((2-3*P79^2)/24*AB79^2)+(P79*AB79*D79/4))*20)</f>
        <v>0.588655267212751</v>
      </c>
      <c r="AO79" s="37" t="n">
        <f aca="false">E79*(1+(((2-3*Q79^2)/24*AC79^2)+(Q79*AC79*E79/4))*20)</f>
        <v>0.55420930517128</v>
      </c>
      <c r="AP79" s="37" t="n">
        <f aca="false">F79*(1+(((2-3*R79^2)/24*AD79^2)+(R79*AD79*F79/4))*20)</f>
        <v>0.544943139539025</v>
      </c>
      <c r="AQ79" s="37" t="n">
        <f aca="false">G79*(1+(((2-3*S79^2)/24*AE79^2)+(S79*AE79*G79/4))*20)</f>
        <v>0.507304543203375</v>
      </c>
      <c r="AR79" s="37" t="n">
        <f aca="false">H79*(1+(((2-3*T79^2)/24*AF79^2)+(T79*AF79*H79/4))*20)</f>
        <v>0.482804035199451</v>
      </c>
      <c r="AS79" s="37" t="n">
        <f aca="false">I79*(1+(((2-3*U79^2)/24*AG79^2)+(U79*AG79*I79/4))*20)</f>
        <v>0.448531948776041</v>
      </c>
      <c r="AT79" s="37" t="n">
        <f aca="false">J79*(1+(((2-3*V79^2)/24*AH79^2)+(V79*AH79*J79/4))*20)</f>
        <v>0.436766427194046</v>
      </c>
      <c r="AU79" s="37" t="n">
        <f aca="false">K79*(1+(((2-3*W79^2)/24*AI79^2)+(W79*AI79*K79/4))*20)</f>
        <v>0.387574395782676</v>
      </c>
      <c r="AV79" s="37" t="n">
        <f aca="false">L79*(1+(((2-3*X79^2)/24*AJ79^2)+(X79*AJ79*L79/4))*20)</f>
        <v>0.374212349172321</v>
      </c>
    </row>
    <row r="80" customFormat="false" ht="15" hidden="false" customHeight="true" outlineLevel="0" collapsed="false">
      <c r="B80" s="35" t="s">
        <v>81</v>
      </c>
      <c r="C80" s="24" t="n">
        <f aca="false">C16+$C$27*C49</f>
        <v>0.414925</v>
      </c>
      <c r="D80" s="24" t="n">
        <f aca="false">D16+$C$27*D49</f>
        <v>0.3926</v>
      </c>
      <c r="E80" s="24" t="n">
        <f aca="false">E16+$C$27*E49</f>
        <v>0.375325</v>
      </c>
      <c r="F80" s="24" t="n">
        <f aca="false">F16+$C$27*F49</f>
        <v>0.36185</v>
      </c>
      <c r="G80" s="24" t="n">
        <f aca="false">G16+$C$27*G49</f>
        <v>0.3467875</v>
      </c>
      <c r="H80" s="24" t="n">
        <f aca="false">H16+$C$27*H49</f>
        <v>0.3199875</v>
      </c>
      <c r="I80" s="24" t="n">
        <f aca="false">I16+$C$27*I49</f>
        <v>0.3055</v>
      </c>
      <c r="J80" s="24" t="n">
        <f aca="false">J16+$C$27*J49</f>
        <v>0.285275</v>
      </c>
      <c r="K80" s="24" t="n">
        <f aca="false">K16+$C$27*K49</f>
        <v>0.268775</v>
      </c>
      <c r="L80" s="24" t="n">
        <f aca="false">L16+$C$27*L49</f>
        <v>0.255775</v>
      </c>
      <c r="N80" s="35" t="s">
        <v>81</v>
      </c>
      <c r="O80" s="24" t="n">
        <f aca="false">O16+$D$27*O49</f>
        <v>-0.176</v>
      </c>
      <c r="P80" s="24" t="n">
        <f aca="false">P16+$D$27*P49</f>
        <v>-0.1549</v>
      </c>
      <c r="Q80" s="24" t="n">
        <f aca="false">Q16+$D$27*Q49</f>
        <v>-0.1366</v>
      </c>
      <c r="R80" s="24" t="n">
        <f aca="false">R16+$D$27*R49</f>
        <v>-0.1078</v>
      </c>
      <c r="S80" s="24" t="n">
        <f aca="false">S16+$D$27*S49</f>
        <v>-0.0932</v>
      </c>
      <c r="T80" s="24" t="n">
        <f aca="false">T16+$D$27*T49</f>
        <v>-0.0702</v>
      </c>
      <c r="U80" s="24" t="n">
        <f aca="false">U16+$D$27*U49</f>
        <v>-0.0495</v>
      </c>
      <c r="V80" s="24" t="n">
        <f aca="false">V16+$D$27*V49</f>
        <v>-0.0437</v>
      </c>
      <c r="W80" s="24" t="n">
        <f aca="false">W16+$D$27*W49</f>
        <v>-0.0183</v>
      </c>
      <c r="X80" s="24" t="n">
        <f aca="false">X16+$D$27*X49</f>
        <v>0.0089</v>
      </c>
      <c r="Z80" s="35" t="s">
        <v>81</v>
      </c>
      <c r="AA80" s="24" t="n">
        <f aca="false">AA16+$E$27*AA49</f>
        <v>0.6568</v>
      </c>
      <c r="AB80" s="24" t="n">
        <f aca="false">AB16+$E$27*AB49</f>
        <v>0.6205</v>
      </c>
      <c r="AC80" s="24" t="n">
        <f aca="false">AC16+$E$27*AC49</f>
        <v>0.598</v>
      </c>
      <c r="AD80" s="24" t="n">
        <f aca="false">AD16+$E$27*AD49</f>
        <v>0.5822</v>
      </c>
      <c r="AE80" s="24" t="n">
        <f aca="false">AE16+$E$27*AE49</f>
        <v>0.5526</v>
      </c>
      <c r="AF80" s="24" t="n">
        <f aca="false">AF16+$E$27*AF49</f>
        <v>0.5337</v>
      </c>
      <c r="AG80" s="24" t="n">
        <f aca="false">AG16+$E$27*AG49</f>
        <v>0.5081</v>
      </c>
      <c r="AH80" s="24" t="n">
        <f aca="false">AH16+$E$27*AH49</f>
        <v>0.4978</v>
      </c>
      <c r="AI80" s="24" t="n">
        <f aca="false">AI16+$E$27*AI49</f>
        <v>0.4779</v>
      </c>
      <c r="AJ80" s="24" t="n">
        <f aca="false">AJ16+$E$27*AJ49</f>
        <v>0.4579</v>
      </c>
      <c r="AL80" s="35" t="s">
        <v>81</v>
      </c>
      <c r="AM80" s="37" t="n">
        <f aca="false">C80*(1+(((2-3*O80^2)/24*AA80^2)+(O80*AA80*C80/4))*30)</f>
        <v>0.692354542456247</v>
      </c>
      <c r="AN80" s="37" t="n">
        <f aca="false">D80*(1+(((2-3*P80^2)/24*AB80^2)+(P80*AB80*D80/4))*30)</f>
        <v>0.645785976634103</v>
      </c>
      <c r="AO80" s="37" t="n">
        <f aca="false">E80*(1+(((2-3*Q80^2)/24*AC80^2)+(Q80*AC80*E80/4))*30)</f>
        <v>0.615174194393761</v>
      </c>
      <c r="AP80" s="37" t="n">
        <f aca="false">F80*(1+(((2-3*R80^2)/24*AD80^2)+(R80*AD80*F80/4))*30)</f>
        <v>0.601501461992706</v>
      </c>
      <c r="AQ80" s="37" t="n">
        <f aca="false">G80*(1+(((2-3*S80^2)/24*AE80^2)+(S80*AE80*G80/4))*30)</f>
        <v>0.561628376620518</v>
      </c>
      <c r="AR80" s="37" t="n">
        <f aca="false">H80*(1+(((2-3*T80^2)/24*AF80^2)+(T80*AF80*H80/4))*30)</f>
        <v>0.517391358254264</v>
      </c>
      <c r="AS80" s="37" t="n">
        <f aca="false">I80*(1+(((2-3*U80^2)/24*AG80^2)+(U80*AG80*I80/4))*30)</f>
        <v>0.484344212919432</v>
      </c>
      <c r="AT80" s="37" t="n">
        <f aca="false">J80*(1+(((2-3*V80^2)/24*AH80^2)+(V80*AH80*J80/4))*30)</f>
        <v>0.448222294983083</v>
      </c>
      <c r="AU80" s="37" t="n">
        <f aca="false">K80*(1+(((2-3*W80^2)/24*AI80^2)+(W80*AI80*K80/4))*30)</f>
        <v>0.417422297673267</v>
      </c>
      <c r="AV80" s="37" t="n">
        <f aca="false">L80*(1+(((2-3*X80^2)/24*AJ80^2)+(X80*AJ80*L80/4))*30)</f>
        <v>0.391831048707675</v>
      </c>
    </row>
    <row r="82" customFormat="false" ht="15" hidden="false" customHeight="true" outlineLevel="0" collapsed="false">
      <c r="A82" s="28" t="s">
        <v>155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</row>
    <row r="83" customFormat="false" ht="15" hidden="false" customHeight="true" outlineLevel="0" collapsed="false">
      <c r="B83" s="28" t="s">
        <v>136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N83" s="28" t="s">
        <v>137</v>
      </c>
      <c r="O83" s="28"/>
      <c r="P83" s="28"/>
      <c r="Q83" s="28"/>
      <c r="R83" s="28"/>
      <c r="S83" s="28"/>
      <c r="T83" s="28"/>
      <c r="U83" s="28"/>
      <c r="V83" s="28"/>
      <c r="W83" s="28"/>
      <c r="X83" s="28"/>
      <c r="Z83" s="28" t="s">
        <v>138</v>
      </c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L83" s="34" t="s">
        <v>139</v>
      </c>
      <c r="AM83" s="34"/>
      <c r="AN83" s="34"/>
      <c r="AO83" s="34"/>
      <c r="AP83" s="34"/>
      <c r="AQ83" s="34"/>
      <c r="AR83" s="34"/>
      <c r="AS83" s="34"/>
      <c r="AT83" s="34"/>
      <c r="AU83" s="34"/>
      <c r="AV83" s="34"/>
    </row>
    <row r="84" customFormat="false" ht="15" hidden="false" customHeight="true" outlineLevel="0" collapsed="false">
      <c r="B84" s="18" t="s">
        <v>140</v>
      </c>
      <c r="C84" s="12" t="s">
        <v>141</v>
      </c>
      <c r="D84" s="12" t="s">
        <v>74</v>
      </c>
      <c r="E84" s="12" t="s">
        <v>75</v>
      </c>
      <c r="F84" s="12" t="s">
        <v>30</v>
      </c>
      <c r="G84" s="12" t="s">
        <v>76</v>
      </c>
      <c r="H84" s="12" t="s">
        <v>77</v>
      </c>
      <c r="I84" s="12" t="s">
        <v>78</v>
      </c>
      <c r="J84" s="12" t="s">
        <v>79</v>
      </c>
      <c r="K84" s="12" t="s">
        <v>80</v>
      </c>
      <c r="L84" s="12" t="s">
        <v>81</v>
      </c>
      <c r="N84" s="18" t="s">
        <v>140</v>
      </c>
      <c r="O84" s="12" t="s">
        <v>141</v>
      </c>
      <c r="P84" s="12" t="s">
        <v>74</v>
      </c>
      <c r="Q84" s="12" t="s">
        <v>75</v>
      </c>
      <c r="R84" s="12" t="s">
        <v>30</v>
      </c>
      <c r="S84" s="12" t="s">
        <v>76</v>
      </c>
      <c r="T84" s="12" t="s">
        <v>77</v>
      </c>
      <c r="U84" s="12" t="s">
        <v>78</v>
      </c>
      <c r="V84" s="12" t="s">
        <v>79</v>
      </c>
      <c r="W84" s="12" t="s">
        <v>80</v>
      </c>
      <c r="X84" s="12" t="s">
        <v>81</v>
      </c>
      <c r="Z84" s="18" t="s">
        <v>140</v>
      </c>
      <c r="AA84" s="12" t="s">
        <v>141</v>
      </c>
      <c r="AB84" s="12" t="s">
        <v>74</v>
      </c>
      <c r="AC84" s="12" t="s">
        <v>75</v>
      </c>
      <c r="AD84" s="12" t="s">
        <v>30</v>
      </c>
      <c r="AE84" s="12" t="s">
        <v>76</v>
      </c>
      <c r="AF84" s="12" t="s">
        <v>77</v>
      </c>
      <c r="AG84" s="12" t="s">
        <v>78</v>
      </c>
      <c r="AH84" s="12" t="s">
        <v>79</v>
      </c>
      <c r="AI84" s="12" t="s">
        <v>80</v>
      </c>
      <c r="AJ84" s="12" t="s">
        <v>81</v>
      </c>
      <c r="AL84" s="18" t="s">
        <v>140</v>
      </c>
      <c r="AM84" s="12" t="s">
        <v>141</v>
      </c>
      <c r="AN84" s="12" t="s">
        <v>74</v>
      </c>
      <c r="AO84" s="12" t="s">
        <v>75</v>
      </c>
      <c r="AP84" s="12" t="s">
        <v>30</v>
      </c>
      <c r="AQ84" s="12" t="s">
        <v>76</v>
      </c>
      <c r="AR84" s="12" t="s">
        <v>77</v>
      </c>
      <c r="AS84" s="12" t="s">
        <v>78</v>
      </c>
      <c r="AT84" s="12" t="s">
        <v>79</v>
      </c>
      <c r="AU84" s="12" t="s">
        <v>80</v>
      </c>
      <c r="AV84" s="12" t="s">
        <v>81</v>
      </c>
    </row>
    <row r="85" customFormat="false" ht="15" hidden="false" customHeight="true" outlineLevel="0" collapsed="false">
      <c r="B85" s="35" t="s">
        <v>141</v>
      </c>
      <c r="C85" s="24" t="n">
        <f aca="false">C7+$C$28*C40</f>
        <v>0.565712</v>
      </c>
      <c r="D85" s="24" t="n">
        <f aca="false">D7+$C$28*D40</f>
        <v>0.544616</v>
      </c>
      <c r="E85" s="24" t="n">
        <f aca="false">E7+$C$28*E40</f>
        <v>0.53674</v>
      </c>
      <c r="F85" s="24" t="n">
        <f aca="false">F7+$C$28*F40</f>
        <v>0.50748</v>
      </c>
      <c r="G85" s="24" t="n">
        <f aca="false">G7+$C$28*G40</f>
        <v>0.498944</v>
      </c>
      <c r="H85" s="24" t="n">
        <f aca="false">H7+$C$28*H40</f>
        <v>0.477644</v>
      </c>
      <c r="I85" s="24" t="n">
        <f aca="false">I7+$C$28*I40</f>
        <v>0.45428</v>
      </c>
      <c r="J85" s="24" t="n">
        <f aca="false">J7+$C$28*J40</f>
        <v>0.4455</v>
      </c>
      <c r="K85" s="24" t="n">
        <f aca="false">K7+$C$28*K40</f>
        <v>0.4182</v>
      </c>
      <c r="L85" s="24" t="n">
        <f aca="false">L7+$C$28*L40</f>
        <v>0.408324</v>
      </c>
      <c r="N85" s="35" t="s">
        <v>141</v>
      </c>
      <c r="O85" s="24" t="n">
        <f aca="false">O7+$D$28*O40</f>
        <v>-0.3586</v>
      </c>
      <c r="P85" s="24" t="n">
        <f aca="false">P7+$D$28*P40</f>
        <v>-0.3387</v>
      </c>
      <c r="Q85" s="24" t="n">
        <f aca="false">Q7+$D$28*Q40</f>
        <v>-0.3126</v>
      </c>
      <c r="R85" s="24" t="n">
        <f aca="false">R7+$D$28*R40</f>
        <v>-0.2851</v>
      </c>
      <c r="S85" s="24" t="n">
        <f aca="false">S7+$D$28*S40</f>
        <v>-0.2797</v>
      </c>
      <c r="T85" s="24" t="n">
        <f aca="false">T7+$D$28*T40</f>
        <v>-0.2583</v>
      </c>
      <c r="U85" s="24" t="n">
        <f aca="false">U7+$D$28*U40</f>
        <v>-0.2308</v>
      </c>
      <c r="V85" s="24" t="n">
        <f aca="false">V7+$D$28*V40</f>
        <v>-0.2049</v>
      </c>
      <c r="W85" s="24" t="n">
        <f aca="false">W7+$D$28*W40</f>
        <v>-0.1929</v>
      </c>
      <c r="X85" s="24" t="n">
        <f aca="false">X7+$D$28*X40</f>
        <v>-0.1771</v>
      </c>
      <c r="Z85" s="35" t="s">
        <v>141</v>
      </c>
      <c r="AA85" s="24" t="n">
        <f aca="false">AA7+$E$28*AA40</f>
        <v>0.8595</v>
      </c>
      <c r="AB85" s="24" t="n">
        <f aca="false">AB7+$E$28*AB40</f>
        <v>0.8187</v>
      </c>
      <c r="AC85" s="24" t="n">
        <f aca="false">AC7+$E$28*AC40</f>
        <v>0.8127</v>
      </c>
      <c r="AD85" s="24" t="n">
        <f aca="false">AD7+$E$28*AD40</f>
        <v>0.7791</v>
      </c>
      <c r="AE85" s="24" t="n">
        <f aca="false">AE7+$E$28*AE40</f>
        <v>0.754</v>
      </c>
      <c r="AF85" s="24" t="n">
        <f aca="false">AF7+$E$28*AF40</f>
        <v>0.7312</v>
      </c>
      <c r="AG85" s="24" t="n">
        <f aca="false">AG7+$E$28*AG40</f>
        <v>0.7128</v>
      </c>
      <c r="AH85" s="24" t="n">
        <f aca="false">AH7+$E$28*AH40</f>
        <v>0.7008</v>
      </c>
      <c r="AI85" s="24" t="n">
        <f aca="false">AI7+$E$28*AI40</f>
        <v>0.6658</v>
      </c>
      <c r="AJ85" s="24" t="n">
        <f aca="false">AJ7+$E$28*AJ40</f>
        <v>0.6516</v>
      </c>
      <c r="AL85" s="35" t="s">
        <v>141</v>
      </c>
      <c r="AM85" s="37" t="n">
        <f aca="false">C85*(1+(((2-3*O85^2)/24*AA85^2)+(O85*AA85*C85/4))*0.0833333333333333)</f>
        <v>0.565999406412077</v>
      </c>
      <c r="AN85" s="37" t="n">
        <f aca="false">D85*(1+(((2-3*P85^2)/24*AB85^2)+(P85*AB85*D85/4))*0.0833333333333333)</f>
        <v>0.54500130168801</v>
      </c>
      <c r="AO85" s="37" t="n">
        <f aca="false">E85*(1+(((2-3*Q85^2)/24*AC85^2)+(Q85*AC85*E85/4))*0.0833333333333333)</f>
        <v>0.537316222996219</v>
      </c>
      <c r="AP85" s="37" t="n">
        <f aca="false">F85*(1+(((2-3*R85^2)/24*AD85^2)+(R85*AD85*F85/4))*0.0833333333333333)</f>
        <v>0.508166590165255</v>
      </c>
      <c r="AQ85" s="37" t="n">
        <f aca="false">G85*(1+(((2-3*S85^2)/24*AE85^2)+(S85*AE85*G85/4))*0.0833333333333333)</f>
        <v>0.499588916717156</v>
      </c>
      <c r="AR85" s="37" t="n">
        <f aca="false">H85*(1+(((2-3*T85^2)/24*AF85^2)+(T85*AF85*H85/4))*0.0833333333333333)</f>
        <v>0.478342255282935</v>
      </c>
      <c r="AS85" s="37" t="n">
        <f aca="false">I85*(1+(((2-3*U85^2)/24*AG85^2)+(U85*AG85*I85/4))*0.0833333333333333)</f>
        <v>0.455047480350321</v>
      </c>
      <c r="AT85" s="37" t="n">
        <f aca="false">J85*(1+(((2-3*V85^2)/24*AH85^2)+(V85*AH85*J85/4))*0.0833333333333333)</f>
        <v>0.446329986748992</v>
      </c>
      <c r="AU85" s="37" t="n">
        <f aca="false">K85*(1+(((2-3*W85^2)/24*AI85^2)+(W85*AI85*K85/4))*0.0833333333333333)</f>
        <v>0.418947577050347</v>
      </c>
      <c r="AV85" s="37" t="n">
        <f aca="false">L85*(1+(((2-3*X85^2)/24*AJ85^2)+(X85*AJ85*L85/4))*0.0833333333333333)</f>
        <v>0.409070460586264</v>
      </c>
    </row>
    <row r="86" customFormat="false" ht="15" hidden="false" customHeight="true" outlineLevel="0" collapsed="false">
      <c r="B86" s="35" t="s">
        <v>74</v>
      </c>
      <c r="C86" s="24" t="n">
        <f aca="false">C8+$C$28*C41</f>
        <v>0.554088</v>
      </c>
      <c r="D86" s="24" t="n">
        <f aca="false">D8+$C$28*D41</f>
        <v>0.530948</v>
      </c>
      <c r="E86" s="24" t="n">
        <f aca="false">E8+$C$28*E41</f>
        <v>0.516804</v>
      </c>
      <c r="F86" s="24" t="n">
        <f aca="false">F8+$C$28*F41</f>
        <v>0.489168</v>
      </c>
      <c r="G86" s="24" t="n">
        <f aca="false">G8+$C$28*G41</f>
        <v>0.471892</v>
      </c>
      <c r="H86" s="24" t="n">
        <f aca="false">H8+$C$28*H41</f>
        <v>0.456748</v>
      </c>
      <c r="I86" s="24" t="n">
        <f aca="false">I8+$C$28*I41</f>
        <v>0.448792</v>
      </c>
      <c r="J86" s="24" t="n">
        <f aca="false">J8+$C$28*J41</f>
        <v>0.425676</v>
      </c>
      <c r="K86" s="24" t="n">
        <f aca="false">K8+$C$28*K41</f>
        <v>0.406104</v>
      </c>
      <c r="L86" s="24" t="n">
        <f aca="false">L8+$C$28*L41</f>
        <v>0.393652</v>
      </c>
      <c r="N86" s="35" t="s">
        <v>74</v>
      </c>
      <c r="O86" s="24" t="n">
        <f aca="false">O8+$D$28*O41</f>
        <v>-0.3315</v>
      </c>
      <c r="P86" s="24" t="n">
        <f aca="false">P8+$D$28*P41</f>
        <v>-0.3151</v>
      </c>
      <c r="Q86" s="24" t="n">
        <f aca="false">Q8+$D$28*Q41</f>
        <v>-0.2858</v>
      </c>
      <c r="R86" s="24" t="n">
        <f aca="false">R8+$D$28*R41</f>
        <v>-0.2682</v>
      </c>
      <c r="S86" s="24" t="n">
        <f aca="false">S8+$D$28*S41</f>
        <v>-0.2579</v>
      </c>
      <c r="T86" s="24" t="n">
        <f aca="false">T8+$D$28*T41</f>
        <v>-0.2318</v>
      </c>
      <c r="U86" s="24" t="n">
        <f aca="false">U8+$D$28*U41</f>
        <v>-0.2134</v>
      </c>
      <c r="V86" s="24" t="n">
        <f aca="false">V8+$D$28*V41</f>
        <v>-0.1869</v>
      </c>
      <c r="W86" s="24" t="n">
        <f aca="false">W8+$D$28*W41</f>
        <v>-0.1704</v>
      </c>
      <c r="X86" s="24" t="n">
        <f aca="false">X8+$D$28*X41</f>
        <v>-0.1598</v>
      </c>
      <c r="Z86" s="35" t="s">
        <v>74</v>
      </c>
      <c r="AA86" s="24" t="n">
        <f aca="false">AA8+$E$28*AA41</f>
        <v>0.8374</v>
      </c>
      <c r="AB86" s="24" t="n">
        <f aca="false">AB8+$E$28*AB41</f>
        <v>0.7979</v>
      </c>
      <c r="AC86" s="24" t="n">
        <f aca="false">AC8+$E$28*AC41</f>
        <v>0.7817</v>
      </c>
      <c r="AD86" s="24" t="n">
        <f aca="false">AD8+$E$28*AD41</f>
        <v>0.7663</v>
      </c>
      <c r="AE86" s="24" t="n">
        <f aca="false">AE8+$E$28*AE41</f>
        <v>0.7319</v>
      </c>
      <c r="AF86" s="24" t="n">
        <f aca="false">AF8+$E$28*AF41</f>
        <v>0.7164</v>
      </c>
      <c r="AG86" s="24" t="n">
        <f aca="false">AG8+$E$28*AG41</f>
        <v>0.6852</v>
      </c>
      <c r="AH86" s="24" t="n">
        <f aca="false">AH8+$E$28*AH41</f>
        <v>0.6756</v>
      </c>
      <c r="AI86" s="24" t="n">
        <f aca="false">AI8+$E$28*AI41</f>
        <v>0.6553</v>
      </c>
      <c r="AJ86" s="24" t="n">
        <f aca="false">AJ8+$E$28*AJ41</f>
        <v>0.6292</v>
      </c>
      <c r="AL86" s="35" t="s">
        <v>74</v>
      </c>
      <c r="AM86" s="37" t="n">
        <f aca="false">C86*(1+(((2-3*O86^2)/24*AA86^2)+(O86*AA86*C86/4))*0.25)</f>
        <v>0.555521776280765</v>
      </c>
      <c r="AN86" s="37" t="n">
        <f aca="false">D86*(1+(((2-3*P86^2)/24*AB86^2)+(P86*AB86*D86/4))*0.25)</f>
        <v>0.53251161487527</v>
      </c>
      <c r="AO86" s="37" t="n">
        <f aca="false">E86*(1+(((2-3*Q86^2)/24*AC86^2)+(Q86*AC86*E86/4))*0.25)</f>
        <v>0.518847632659595</v>
      </c>
      <c r="AP86" s="37" t="n">
        <f aca="false">F86*(1+(((2-3*R86^2)/24*AD86^2)+(R86*AD86*F86/4))*0.25)</f>
        <v>0.491432981370325</v>
      </c>
      <c r="AQ86" s="37" t="n">
        <f aca="false">G86*(1+(((2-3*S86^2)/24*AE86^2)+(S86*AE86*G86/4))*0.25)</f>
        <v>0.474005830656958</v>
      </c>
      <c r="AR86" s="37" t="n">
        <f aca="false">H86*(1+(((2-3*T86^2)/24*AF86^2)+(T86*AF86*H86/4))*0.25)</f>
        <v>0.459072842714001</v>
      </c>
      <c r="AS86" s="37" t="n">
        <f aca="false">I86*(1+(((2-3*U86^2)/24*AG86^2)+(U86*AG86*I86/4))*0.25)</f>
        <v>0.451041181973688</v>
      </c>
      <c r="AT86" s="37" t="n">
        <f aca="false">J86*(1+(((2-3*V86^2)/24*AH86^2)+(V86*AH86*J86/4))*0.25)</f>
        <v>0.428081685399211</v>
      </c>
      <c r="AU86" s="37" t="n">
        <f aca="false">K86*(1+(((2-3*W86^2)/24*AI86^2)+(W86*AI86*K86/4))*0.25)</f>
        <v>0.408427884388952</v>
      </c>
      <c r="AV86" s="37" t="n">
        <f aca="false">L86*(1+(((2-3*X86^2)/24*AJ86^2)+(X86*AJ86*L86/4))*0.25)</f>
        <v>0.395800583399873</v>
      </c>
    </row>
    <row r="87" customFormat="false" ht="15" hidden="false" customHeight="true" outlineLevel="0" collapsed="false">
      <c r="B87" s="35" t="s">
        <v>75</v>
      </c>
      <c r="C87" s="24" t="n">
        <f aca="false">C9+$C$28*C42</f>
        <v>0.54088</v>
      </c>
      <c r="D87" s="24" t="n">
        <f aca="false">D9+$C$28*D42</f>
        <v>0.512056</v>
      </c>
      <c r="E87" s="24" t="n">
        <f aca="false">E9+$C$28*E42</f>
        <v>0.50238</v>
      </c>
      <c r="F87" s="24" t="n">
        <f aca="false">F9+$C$28*F42</f>
        <v>0.482376</v>
      </c>
      <c r="G87" s="24" t="n">
        <f aca="false">G9+$C$28*G42</f>
        <v>0.464668</v>
      </c>
      <c r="H87" s="24" t="n">
        <f aca="false">H9+$C$28*H42</f>
        <v>0.444068</v>
      </c>
      <c r="I87" s="24" t="n">
        <f aca="false">I9+$C$28*I42</f>
        <v>0.433748</v>
      </c>
      <c r="J87" s="24" t="n">
        <f aca="false">J9+$C$28*J42</f>
        <v>0.418476</v>
      </c>
      <c r="K87" s="24" t="n">
        <f aca="false">K9+$C$28*K42</f>
        <v>0.391404</v>
      </c>
      <c r="L87" s="24" t="n">
        <f aca="false">L9+$C$28*L42</f>
        <v>0.377052</v>
      </c>
      <c r="N87" s="35" t="s">
        <v>75</v>
      </c>
      <c r="O87" s="24" t="n">
        <f aca="false">O9+$D$28*O42</f>
        <v>-0.3199</v>
      </c>
      <c r="P87" s="24" t="n">
        <f aca="false">P9+$D$28*P42</f>
        <v>-0.2876</v>
      </c>
      <c r="Q87" s="24" t="n">
        <f aca="false">Q9+$D$28*Q42</f>
        <v>-0.2693</v>
      </c>
      <c r="R87" s="24" t="n">
        <f aca="false">R9+$D$28*R42</f>
        <v>-0.2429</v>
      </c>
      <c r="S87" s="24" t="n">
        <f aca="false">S9+$D$28*S42</f>
        <v>-0.2269</v>
      </c>
      <c r="T87" s="24" t="n">
        <f aca="false">T9+$D$28*T42</f>
        <v>-0.2182</v>
      </c>
      <c r="U87" s="24" t="n">
        <f aca="false">U9+$D$28*U42</f>
        <v>-0.1967</v>
      </c>
      <c r="V87" s="24" t="n">
        <f aca="false">V9+$D$28*V42</f>
        <v>-0.1716</v>
      </c>
      <c r="W87" s="24" t="n">
        <f aca="false">W9+$D$28*W42</f>
        <v>-0.1651</v>
      </c>
      <c r="X87" s="24" t="n">
        <f aca="false">X9+$D$28*X42</f>
        <v>-0.1369</v>
      </c>
      <c r="Z87" s="35" t="s">
        <v>75</v>
      </c>
      <c r="AA87" s="24" t="n">
        <f aca="false">AA9+$E$28*AA42</f>
        <v>0.7989</v>
      </c>
      <c r="AB87" s="24" t="n">
        <f aca="false">AB9+$E$28*AB42</f>
        <v>0.7757</v>
      </c>
      <c r="AC87" s="24" t="n">
        <f aca="false">AC9+$E$28*AC42</f>
        <v>0.7523</v>
      </c>
      <c r="AD87" s="24" t="n">
        <f aca="false">AD9+$E$28*AD42</f>
        <v>0.7443</v>
      </c>
      <c r="AE87" s="24" t="n">
        <f aca="false">AE9+$E$28*AE42</f>
        <v>0.7093</v>
      </c>
      <c r="AF87" s="24" t="n">
        <f aca="false">AF9+$E$28*AF42</f>
        <v>0.6894</v>
      </c>
      <c r="AG87" s="24" t="n">
        <f aca="false">AG9+$E$28*AG42</f>
        <v>0.67</v>
      </c>
      <c r="AH87" s="24" t="n">
        <f aca="false">AH9+$E$28*AH42</f>
        <v>0.6574</v>
      </c>
      <c r="AI87" s="24" t="n">
        <f aca="false">AI9+$E$28*AI42</f>
        <v>0.6194</v>
      </c>
      <c r="AJ87" s="24" t="n">
        <f aca="false">AJ9+$E$28*AJ42</f>
        <v>0.6045</v>
      </c>
      <c r="AL87" s="35" t="s">
        <v>75</v>
      </c>
      <c r="AM87" s="37" t="n">
        <f aca="false">C87*(1+(((2-3*O87^2)/24*AA87^2)+(O87*AA87*C87/4))*0.5)</f>
        <v>0.54371000999835</v>
      </c>
      <c r="AN87" s="37" t="n">
        <f aca="false">D87*(1+(((2-3*P87^2)/24*AB87^2)+(P87*AB87*D87/4))*0.5)</f>
        <v>0.515989233084705</v>
      </c>
      <c r="AO87" s="37" t="n">
        <f aca="false">E87*(1+(((2-3*Q87^2)/24*AC87^2)+(Q87*AC87*E87/4))*0.5)</f>
        <v>0.506546623560663</v>
      </c>
      <c r="AP87" s="37" t="n">
        <f aca="false">F87*(1+(((2-3*R87^2)/24*AD87^2)+(R87*AD87*F87/4))*0.5)</f>
        <v>0.487266644400331</v>
      </c>
      <c r="AQ87" s="37" t="n">
        <f aca="false">G87*(1+(((2-3*S87^2)/24*AE87^2)+(S87*AE87*G87/4))*0.5)</f>
        <v>0.469312795031274</v>
      </c>
      <c r="AR87" s="37" t="n">
        <f aca="false">H87*(1+(((2-3*T87^2)/24*AF87^2)+(T87*AF87*H87/4))*0.5)</f>
        <v>0.448525893976285</v>
      </c>
      <c r="AS87" s="37" t="n">
        <f aca="false">I87*(1+(((2-3*U87^2)/24*AG87^2)+(U87*AG87*I87/4))*0.5)</f>
        <v>0.438290748416261</v>
      </c>
      <c r="AT87" s="37" t="n">
        <f aca="false">J87*(1+(((2-3*V87^2)/24*AH87^2)+(V87*AH87*J87/4))*0.5)</f>
        <v>0.423209330392352</v>
      </c>
      <c r="AU87" s="37" t="n">
        <f aca="false">K87*(1+(((2-3*W87^2)/24*AI87^2)+(W87*AI87*K87/4))*0.5)</f>
        <v>0.39544673731033</v>
      </c>
      <c r="AV87" s="37" t="n">
        <f aca="false">L87*(1+(((2-3*X87^2)/24*AJ87^2)+(X87*AJ87*L87/4))*0.5)</f>
        <v>0.381160883350803</v>
      </c>
    </row>
    <row r="88" customFormat="false" ht="15" hidden="false" customHeight="true" outlineLevel="0" collapsed="false">
      <c r="B88" s="35" t="s">
        <v>30</v>
      </c>
      <c r="C88" s="24" t="n">
        <f aca="false">C10+$C$28*C43</f>
        <v>0.51666</v>
      </c>
      <c r="D88" s="24" t="n">
        <f aca="false">D10+$C$28*D43</f>
        <v>0.50576</v>
      </c>
      <c r="E88" s="24" t="n">
        <f aca="false">E10+$C$28*E43</f>
        <v>0.487236</v>
      </c>
      <c r="F88" s="24" t="n">
        <f aca="false">F10+$C$28*F43</f>
        <v>0.4702</v>
      </c>
      <c r="G88" s="24" t="n">
        <f aca="false">G10+$C$28*G43</f>
        <v>0.440264</v>
      </c>
      <c r="H88" s="24" t="n">
        <f aca="false">H10+$C$28*H43</f>
        <v>0.42538</v>
      </c>
      <c r="I88" s="24" t="n">
        <f aca="false">I10+$C$28*I43</f>
        <v>0.406392</v>
      </c>
      <c r="J88" s="24" t="n">
        <f aca="false">J10+$C$28*J43</f>
        <v>0.399088</v>
      </c>
      <c r="K88" s="24" t="n">
        <f aca="false">K10+$C$28*K43</f>
        <v>0.383336</v>
      </c>
      <c r="L88" s="24" t="n">
        <f aca="false">L10+$C$28*L43</f>
        <v>0.349012</v>
      </c>
      <c r="N88" s="35" t="s">
        <v>30</v>
      </c>
      <c r="O88" s="24" t="n">
        <f aca="false">O10+$D$28*O43</f>
        <v>-0.2981</v>
      </c>
      <c r="P88" s="24" t="n">
        <f aca="false">P10+$D$28*P43</f>
        <v>-0.2776</v>
      </c>
      <c r="Q88" s="24" t="n">
        <f aca="false">Q10+$D$28*Q43</f>
        <v>-0.2581</v>
      </c>
      <c r="R88" s="24" t="n">
        <f aca="false">R10+$D$28*R43</f>
        <v>-0.2336</v>
      </c>
      <c r="S88" s="24" t="n">
        <f aca="false">S10+$D$28*S43</f>
        <v>-0.2121</v>
      </c>
      <c r="T88" s="24" t="n">
        <f aca="false">T10+$D$28*T43</f>
        <v>-0.1992</v>
      </c>
      <c r="U88" s="24" t="n">
        <f aca="false">U10+$D$28*U43</f>
        <v>-0.1849</v>
      </c>
      <c r="V88" s="24" t="n">
        <f aca="false">V10+$D$28*V43</f>
        <v>-0.1572</v>
      </c>
      <c r="W88" s="24" t="n">
        <f aca="false">W10+$D$28*W43</f>
        <v>-0.1387</v>
      </c>
      <c r="X88" s="24" t="n">
        <f aca="false">X10+$D$28*X43</f>
        <v>-0.1153</v>
      </c>
      <c r="Z88" s="35" t="s">
        <v>30</v>
      </c>
      <c r="AA88" s="24" t="n">
        <f aca="false">AA10+$E$28*AA43</f>
        <v>0.7924</v>
      </c>
      <c r="AB88" s="24" t="n">
        <f aca="false">AB10+$E$28*AB43</f>
        <v>0.7649</v>
      </c>
      <c r="AC88" s="24" t="n">
        <f aca="false">AC10+$E$28*AC43</f>
        <v>0.7392</v>
      </c>
      <c r="AD88" s="24" t="n">
        <f aca="false">AD10+$E$28*AD43</f>
        <v>0.719</v>
      </c>
      <c r="AE88" s="24" t="n">
        <f aca="false">AE10+$E$28*AE43</f>
        <v>0.698</v>
      </c>
      <c r="AF88" s="24" t="n">
        <f aca="false">AF10+$E$28*AF43</f>
        <v>0.6633</v>
      </c>
      <c r="AG88" s="24" t="n">
        <f aca="false">AG10+$E$28*AG43</f>
        <v>0.658</v>
      </c>
      <c r="AH88" s="24" t="n">
        <f aca="false">AH10+$E$28*AH43</f>
        <v>0.6334</v>
      </c>
      <c r="AI88" s="24" t="n">
        <f aca="false">AI10+$E$28*AI43</f>
        <v>0.613</v>
      </c>
      <c r="AJ88" s="24" t="n">
        <f aca="false">AJ10+$E$28*AJ43</f>
        <v>0.5893</v>
      </c>
      <c r="AL88" s="35" t="s">
        <v>30</v>
      </c>
      <c r="AM88" s="37" t="n">
        <f aca="false">C88*(1+(((2-3*O88^2)/24*AA88^2)+(O88*AA88*C88/4))*1)</f>
        <v>0.524326985102596</v>
      </c>
      <c r="AN88" s="37" t="n">
        <f aca="false">D88*(1+(((2-3*P88^2)/24*AB88^2)+(P88*AB88*D88/4))*1)</f>
        <v>0.513989914759326</v>
      </c>
      <c r="AO88" s="37" t="n">
        <f aca="false">E88*(1+(((2-3*Q88^2)/24*AC88^2)+(Q88*AC88*E88/4))*1)</f>
        <v>0.495882050692326</v>
      </c>
      <c r="AP88" s="37" t="n">
        <f aca="false">F88*(1+(((2-3*R88^2)/24*AD88^2)+(R88*AD88*F88/4))*1)</f>
        <v>0.479514812650676</v>
      </c>
      <c r="AQ88" s="37" t="n">
        <f aca="false">G88*(1+(((2-3*S88^2)/24*AE88^2)+(S88*AE88*G88/4))*1)</f>
        <v>0.449758658336239</v>
      </c>
      <c r="AR88" s="37" t="n">
        <f aca="false">H88*(1+(((2-3*T88^2)/24*AF88^2)+(T88*AF88*H88/4))*1)</f>
        <v>0.434070657918197</v>
      </c>
      <c r="AS88" s="37" t="n">
        <f aca="false">I88*(1+(((2-3*U88^2)/24*AG88^2)+(U88*AG88*I88/4))*1)</f>
        <v>0.415279476764015</v>
      </c>
      <c r="AT88" s="37" t="n">
        <f aca="false">J88*(1+(((2-3*V88^2)/24*AH88^2)+(V88*AH88*J88/4))*1)</f>
        <v>0.407971432425642</v>
      </c>
      <c r="AU88" s="37" t="n">
        <f aca="false">K88*(1+(((2-3*W88^2)/24*AI88^2)+(W88*AI88*K88/4))*1)</f>
        <v>0.391869965423025</v>
      </c>
      <c r="AV88" s="37" t="n">
        <f aca="false">L88*(1+(((2-3*X88^2)/24*AJ88^2)+(X88*AJ88*L88/4))*1)</f>
        <v>0.356841712836808</v>
      </c>
    </row>
    <row r="89" customFormat="false" ht="15" hidden="false" customHeight="true" outlineLevel="0" collapsed="false">
      <c r="B89" s="35" t="s">
        <v>76</v>
      </c>
      <c r="C89" s="24" t="n">
        <f aca="false">C11+$C$28*C44</f>
        <v>0.496128</v>
      </c>
      <c r="D89" s="24" t="n">
        <f aca="false">D11+$C$28*D44</f>
        <v>0.478364</v>
      </c>
      <c r="E89" s="24" t="n">
        <f aca="false">E11+$C$28*E44</f>
        <v>0.454592</v>
      </c>
      <c r="F89" s="24" t="n">
        <f aca="false">F11+$C$28*F44</f>
        <v>0.447808</v>
      </c>
      <c r="G89" s="24" t="n">
        <f aca="false">G11+$C$28*G44</f>
        <v>0.418196</v>
      </c>
      <c r="H89" s="24" t="n">
        <f aca="false">H11+$C$28*H44</f>
        <v>0.400888</v>
      </c>
      <c r="I89" s="24" t="n">
        <f aca="false">I11+$C$28*I44</f>
        <v>0.385624</v>
      </c>
      <c r="J89" s="24" t="n">
        <f aca="false">J11+$C$28*J44</f>
        <v>0.36716</v>
      </c>
      <c r="K89" s="24" t="n">
        <f aca="false">K11+$C$28*K44</f>
        <v>0.352836</v>
      </c>
      <c r="L89" s="24" t="n">
        <f aca="false">L11+$C$28*L44</f>
        <v>0.329392</v>
      </c>
      <c r="N89" s="35" t="s">
        <v>76</v>
      </c>
      <c r="O89" s="24" t="n">
        <f aca="false">O11+$D$28*O44</f>
        <v>-0.2822</v>
      </c>
      <c r="P89" s="24" t="n">
        <f aca="false">P11+$D$28*P44</f>
        <v>-0.2598</v>
      </c>
      <c r="Q89" s="24" t="n">
        <f aca="false">Q11+$D$28*Q44</f>
        <v>-0.2413</v>
      </c>
      <c r="R89" s="24" t="n">
        <f aca="false">R11+$D$28*R44</f>
        <v>-0.2166</v>
      </c>
      <c r="S89" s="24" t="n">
        <f aca="false">S11+$D$28*S44</f>
        <v>-0.2039</v>
      </c>
      <c r="T89" s="24" t="n">
        <f aca="false">T11+$D$28*T44</f>
        <v>-0.1675</v>
      </c>
      <c r="U89" s="24" t="n">
        <f aca="false">U11+$D$28*U44</f>
        <v>-0.1533</v>
      </c>
      <c r="V89" s="24" t="n">
        <f aca="false">V11+$D$28*V44</f>
        <v>-0.1431</v>
      </c>
      <c r="W89" s="24" t="n">
        <f aca="false">W11+$D$28*W44</f>
        <v>-0.1216</v>
      </c>
      <c r="X89" s="24" t="n">
        <f aca="false">X11+$D$28*X44</f>
        <v>-0.1003</v>
      </c>
      <c r="Z89" s="35" t="s">
        <v>76</v>
      </c>
      <c r="AA89" s="24" t="n">
        <f aca="false">AA11+$E$28*AA44</f>
        <v>0.7584</v>
      </c>
      <c r="AB89" s="24" t="n">
        <f aca="false">AB11+$E$28*AB44</f>
        <v>0.7313</v>
      </c>
      <c r="AC89" s="24" t="n">
        <f aca="false">AC11+$E$28*AC44</f>
        <v>0.7236</v>
      </c>
      <c r="AD89" s="24" t="n">
        <f aca="false">AD11+$E$28*AD44</f>
        <v>0.7043</v>
      </c>
      <c r="AE89" s="24" t="n">
        <f aca="false">AE11+$E$28*AE44</f>
        <v>0.6715</v>
      </c>
      <c r="AF89" s="24" t="n">
        <f aca="false">AF11+$E$28*AF44</f>
        <v>0.6497</v>
      </c>
      <c r="AG89" s="24" t="n">
        <f aca="false">AG11+$E$28*AG44</f>
        <v>0.6195</v>
      </c>
      <c r="AH89" s="24" t="n">
        <f aca="false">AH11+$E$28*AH44</f>
        <v>0.5976</v>
      </c>
      <c r="AI89" s="24" t="n">
        <f aca="false">AI11+$E$28*AI44</f>
        <v>0.5802</v>
      </c>
      <c r="AJ89" s="24" t="n">
        <f aca="false">AJ11+$E$28*AJ44</f>
        <v>0.5564</v>
      </c>
      <c r="AL89" s="35" t="s">
        <v>76</v>
      </c>
      <c r="AM89" s="37" t="n">
        <f aca="false">C89*(1+(((2-3*O89^2)/24*AA89^2)+(O89*AA89*C89/4))*2)</f>
        <v>0.511666625856873</v>
      </c>
      <c r="AN89" s="37" t="n">
        <f aca="false">D89*(1+(((2-3*P89^2)/24*AB89^2)+(P89*AB89*D89/4))*2)</f>
        <v>0.494947187424786</v>
      </c>
      <c r="AO89" s="37" t="n">
        <f aca="false">E89*(1+(((2-3*Q89^2)/24*AC89^2)+(Q89*AC89*E89/4))*2)</f>
        <v>0.472756367152223</v>
      </c>
      <c r="AP89" s="37" t="n">
        <f aca="false">F89*(1+(((2-3*R89^2)/24*AD89^2)+(R89*AD89*F89/4))*2)</f>
        <v>0.466928611932762</v>
      </c>
      <c r="AQ89" s="37" t="n">
        <f aca="false">G89*(1+(((2-3*S89^2)/24*AE89^2)+(S89*AE89*G89/4))*2)</f>
        <v>0.435691602313634</v>
      </c>
      <c r="AR89" s="37" t="n">
        <f aca="false">H89*(1+(((2-3*T89^2)/24*AF89^2)+(T89*AF89*H89/4))*2)</f>
        <v>0.419159555773559</v>
      </c>
      <c r="AS89" s="37" t="n">
        <f aca="false">I89*(1+(((2-3*U89^2)/24*AG89^2)+(U89*AG89*I89/4))*2)</f>
        <v>0.402359059822863</v>
      </c>
      <c r="AT89" s="37" t="n">
        <f aca="false">J89*(1+(((2-3*V89^2)/24*AH89^2)+(V89*AH89*J89/4))*2)</f>
        <v>0.382578355271743</v>
      </c>
      <c r="AU89" s="37" t="n">
        <f aca="false">K89*(1+(((2-3*W89^2)/24*AI89^2)+(W89*AI89*K89/4))*2)</f>
        <v>0.367801268436832</v>
      </c>
      <c r="AV89" s="37" t="n">
        <f aca="false">L89*(1+(((2-3*X89^2)/24*AJ89^2)+(X89*AJ89*L89/4))*2)</f>
        <v>0.343103616295193</v>
      </c>
    </row>
    <row r="90" customFormat="false" ht="15" hidden="false" customHeight="true" outlineLevel="0" collapsed="false">
      <c r="B90" s="35" t="s">
        <v>77</v>
      </c>
      <c r="C90" s="24" t="n">
        <f aca="false">C12+$C$28*C45</f>
        <v>0.487336</v>
      </c>
      <c r="D90" s="24" t="n">
        <f aca="false">D12+$C$28*D45</f>
        <v>0.456136</v>
      </c>
      <c r="E90" s="24" t="n">
        <f aca="false">E12+$C$28*E45</f>
        <v>0.435296</v>
      </c>
      <c r="F90" s="24" t="n">
        <f aca="false">F12+$C$28*F45</f>
        <v>0.436536</v>
      </c>
      <c r="G90" s="24" t="n">
        <f aca="false">G12+$C$28*G45</f>
        <v>0.409876</v>
      </c>
      <c r="H90" s="24" t="n">
        <f aca="false">H12+$C$28*H45</f>
        <v>0.384628</v>
      </c>
      <c r="I90" s="24" t="n">
        <f aca="false">I12+$C$28*I45</f>
        <v>0.375072</v>
      </c>
      <c r="J90" s="24" t="n">
        <f aca="false">J12+$C$28*J45</f>
        <v>0.346848</v>
      </c>
      <c r="K90" s="24" t="n">
        <f aca="false">K12+$C$28*K45</f>
        <v>0.338772</v>
      </c>
      <c r="L90" s="24" t="n">
        <f aca="false">L12+$C$28*L45</f>
        <v>0.330628</v>
      </c>
      <c r="N90" s="35" t="s">
        <v>77</v>
      </c>
      <c r="O90" s="24" t="n">
        <f aca="false">O12+$D$28*O45</f>
        <v>-0.2455</v>
      </c>
      <c r="P90" s="24" t="n">
        <f aca="false">P12+$D$28*P45</f>
        <v>-0.2294</v>
      </c>
      <c r="Q90" s="24" t="n">
        <f aca="false">Q12+$D$28*Q45</f>
        <v>-0.2187</v>
      </c>
      <c r="R90" s="24" t="n">
        <f aca="false">R12+$D$28*R45</f>
        <v>-0.1971</v>
      </c>
      <c r="S90" s="24" t="n">
        <f aca="false">S12+$D$28*S45</f>
        <v>-0.1817</v>
      </c>
      <c r="T90" s="24" t="n">
        <f aca="false">T12+$D$28*T45</f>
        <v>-0.1501</v>
      </c>
      <c r="U90" s="24" t="n">
        <f aca="false">U12+$D$28*U45</f>
        <v>-0.1355</v>
      </c>
      <c r="V90" s="24" t="n">
        <f aca="false">V12+$D$28*V45</f>
        <v>-0.1111</v>
      </c>
      <c r="W90" s="24" t="n">
        <f aca="false">W12+$D$28*W45</f>
        <v>-0.1006</v>
      </c>
      <c r="X90" s="24" t="n">
        <f aca="false">X12+$D$28*X45</f>
        <v>-0.0833</v>
      </c>
      <c r="Z90" s="35" t="s">
        <v>77</v>
      </c>
      <c r="AA90" s="24" t="n">
        <f aca="false">AA12+$E$28*AA45</f>
        <v>0.7451</v>
      </c>
      <c r="AB90" s="24" t="n">
        <f aca="false">AB12+$E$28*AB45</f>
        <v>0.7264</v>
      </c>
      <c r="AC90" s="24" t="n">
        <f aca="false">AC12+$E$28*AC45</f>
        <v>0.7015</v>
      </c>
      <c r="AD90" s="24" t="n">
        <f aca="false">AD12+$E$28*AD45</f>
        <v>0.6783</v>
      </c>
      <c r="AE90" s="24" t="n">
        <f aca="false">AE12+$E$28*AE45</f>
        <v>0.6564</v>
      </c>
      <c r="AF90" s="24" t="n">
        <f aca="false">AF12+$E$28*AF45</f>
        <v>0.6326</v>
      </c>
      <c r="AG90" s="24" t="n">
        <f aca="false">AG12+$E$28*AG45</f>
        <v>0.6001</v>
      </c>
      <c r="AH90" s="24" t="n">
        <f aca="false">AH12+$E$28*AH45</f>
        <v>0.5837</v>
      </c>
      <c r="AI90" s="24" t="n">
        <f aca="false">AI12+$E$28*AI45</f>
        <v>0.5582</v>
      </c>
      <c r="AJ90" s="24" t="n">
        <f aca="false">AJ12+$E$28*AJ45</f>
        <v>0.5295</v>
      </c>
      <c r="AL90" s="35" t="s">
        <v>77</v>
      </c>
      <c r="AM90" s="37" t="n">
        <f aca="false">C90*(1+(((2-3*O90^2)/24*AA90^2)+(O90*AA90*C90/4))*3)</f>
        <v>0.516277641719071</v>
      </c>
      <c r="AN90" s="37" t="n">
        <f aca="false">D90*(1+(((2-3*P90^2)/24*AB90^2)+(P90*AB90*D90/4))*3)</f>
        <v>0.485554410451352</v>
      </c>
      <c r="AO90" s="37" t="n">
        <f aca="false">E90*(1+(((2-3*Q90^2)/24*AC90^2)+(Q90*AC90*E90/4))*3)</f>
        <v>0.463203894387109</v>
      </c>
      <c r="AP90" s="37" t="n">
        <f aca="false">F90*(1+(((2-3*R90^2)/24*AD90^2)+(R90*AD90*F90/4))*3)</f>
        <v>0.464713837854578</v>
      </c>
      <c r="AQ90" s="37" t="n">
        <f aca="false">G90*(1+(((2-3*S90^2)/24*AE90^2)+(S90*AE90*G90/4))*3)</f>
        <v>0.436811882004883</v>
      </c>
      <c r="AR90" s="37" t="n">
        <f aca="false">H90*(1+(((2-3*T90^2)/24*AF90^2)+(T90*AF90*H90/4))*3)</f>
        <v>0.411272482579712</v>
      </c>
      <c r="AS90" s="37" t="n">
        <f aca="false">I90*(1+(((2-3*U90^2)/24*AG90^2)+(U90*AG90*I90/4))*3)</f>
        <v>0.399330425073785</v>
      </c>
      <c r="AT90" s="37" t="n">
        <f aca="false">J90*(1+(((2-3*V90^2)/24*AH90^2)+(V90*AH90*J90/4))*3)</f>
        <v>0.369993104302665</v>
      </c>
      <c r="AU90" s="37" t="n">
        <f aca="false">K90*(1+(((2-3*W90^2)/24*AI90^2)+(W90*AI90*K90/4))*3)</f>
        <v>0.359927128557657</v>
      </c>
      <c r="AV90" s="37" t="n">
        <f aca="false">L90*(1+(((2-3*X90^2)/24*AJ90^2)+(X90*AJ90*L90/4))*3)</f>
        <v>0.349945163062721</v>
      </c>
    </row>
    <row r="91" customFormat="false" ht="15" hidden="false" customHeight="true" outlineLevel="0" collapsed="false">
      <c r="B91" s="35" t="s">
        <v>78</v>
      </c>
      <c r="C91" s="24" t="n">
        <f aca="false">C13+$C$28*C46</f>
        <v>0.453116</v>
      </c>
      <c r="D91" s="24" t="n">
        <f aca="false">D13+$C$28*D46</f>
        <v>0.44036</v>
      </c>
      <c r="E91" s="24" t="n">
        <f aca="false">E13+$C$28*E46</f>
        <v>0.422652</v>
      </c>
      <c r="F91" s="24" t="n">
        <f aca="false">F13+$C$28*F46</f>
        <v>0.41326</v>
      </c>
      <c r="G91" s="24" t="n">
        <f aca="false">G13+$C$28*G46</f>
        <v>0.400756</v>
      </c>
      <c r="H91" s="24" t="n">
        <f aca="false">H13+$C$28*H46</f>
        <v>0.372608</v>
      </c>
      <c r="I91" s="24" t="n">
        <f aca="false">I13+$C$28*I46</f>
        <v>0.36464</v>
      </c>
      <c r="J91" s="24" t="n">
        <f aca="false">J13+$C$28*J46</f>
        <v>0.34832</v>
      </c>
      <c r="K91" s="24" t="n">
        <f aca="false">K13+$C$28*K46</f>
        <v>0.3297</v>
      </c>
      <c r="L91" s="24" t="n">
        <f aca="false">L13+$C$28*L46</f>
        <v>0.300372</v>
      </c>
      <c r="N91" s="35" t="s">
        <v>78</v>
      </c>
      <c r="O91" s="24" t="n">
        <f aca="false">O13+$D$28*O46</f>
        <v>-0.2389</v>
      </c>
      <c r="P91" s="24" t="n">
        <f aca="false">P13+$D$28*P46</f>
        <v>-0.2194</v>
      </c>
      <c r="Q91" s="24" t="n">
        <f aca="false">Q13+$D$28*Q46</f>
        <v>-0.2005</v>
      </c>
      <c r="R91" s="24" t="n">
        <f aca="false">R13+$D$28*R46</f>
        <v>-0.1809</v>
      </c>
      <c r="S91" s="24" t="n">
        <f aca="false">S13+$D$28*S46</f>
        <v>-0.1531</v>
      </c>
      <c r="T91" s="24" t="n">
        <f aca="false">T13+$D$28*T46</f>
        <v>-0.1281</v>
      </c>
      <c r="U91" s="24" t="n">
        <f aca="false">U13+$D$28*U46</f>
        <v>-0.1099</v>
      </c>
      <c r="V91" s="24" t="n">
        <f aca="false">V13+$D$28*V46</f>
        <v>-0.0976</v>
      </c>
      <c r="W91" s="24" t="n">
        <f aca="false">W13+$D$28*W46</f>
        <v>-0.0747</v>
      </c>
      <c r="X91" s="24" t="n">
        <f aca="false">X13+$D$28*X46</f>
        <v>-0.0523</v>
      </c>
      <c r="Z91" s="35" t="s">
        <v>78</v>
      </c>
      <c r="AA91" s="24" t="n">
        <f aca="false">AA13+$E$28*AA46</f>
        <v>0.7084</v>
      </c>
      <c r="AB91" s="24" t="n">
        <f aca="false">AB13+$E$28*AB46</f>
        <v>0.6977</v>
      </c>
      <c r="AC91" s="24" t="n">
        <f aca="false">AC13+$E$28*AC46</f>
        <v>0.6804</v>
      </c>
      <c r="AD91" s="24" t="n">
        <f aca="false">AD13+$E$28*AD46</f>
        <v>0.6556</v>
      </c>
      <c r="AE91" s="24" t="n">
        <f aca="false">AE13+$E$28*AE46</f>
        <v>0.6328</v>
      </c>
      <c r="AF91" s="24" t="n">
        <f aca="false">AF13+$E$28*AF46</f>
        <v>0.6051</v>
      </c>
      <c r="AG91" s="24" t="n">
        <f aca="false">AG13+$E$28*AG46</f>
        <v>0.5769</v>
      </c>
      <c r="AH91" s="24" t="n">
        <f aca="false">AH13+$E$28*AH46</f>
        <v>0.5669</v>
      </c>
      <c r="AI91" s="24" t="n">
        <f aca="false">AI13+$E$28*AI46</f>
        <v>0.5355</v>
      </c>
      <c r="AJ91" s="24" t="n">
        <f aca="false">AJ13+$E$28*AJ46</f>
        <v>0.5227</v>
      </c>
      <c r="AL91" s="35" t="s">
        <v>78</v>
      </c>
      <c r="AM91" s="37" t="n">
        <f aca="false">C91*(1+(((2-3*O91^2)/24*AA91^2)+(O91*AA91*C91/4))*5)</f>
        <v>0.496316322492286</v>
      </c>
      <c r="AN91" s="37" t="n">
        <f aca="false">D91*(1+(((2-3*P91^2)/24*AB91^2)+(P91*AB91*D91/4))*5)</f>
        <v>0.486123011012361</v>
      </c>
      <c r="AO91" s="37" t="n">
        <f aca="false">E91*(1+(((2-3*Q91^2)/24*AC91^2)+(Q91*AC91*E91/4))*5)</f>
        <v>0.468800956701322</v>
      </c>
      <c r="AP91" s="37" t="n">
        <f aca="false">F91*(1+(((2-3*R91^2)/24*AD91^2)+(R91*AD91*F91/4))*5)</f>
        <v>0.45831870884581</v>
      </c>
      <c r="AQ91" s="37" t="n">
        <f aca="false">G91*(1+(((2-3*S91^2)/24*AE91^2)+(S91*AE91*G91/4))*5)</f>
        <v>0.445820846298759</v>
      </c>
      <c r="AR91" s="37" t="n">
        <f aca="false">H91*(1+(((2-3*T91^2)/24*AF91^2)+(T91*AF91*H91/4))*5)</f>
        <v>0.414602055247703</v>
      </c>
      <c r="AS91" s="37" t="n">
        <f aca="false">I91*(1+(((2-3*U91^2)/24*AG91^2)+(U91*AG91*I91/4))*5)</f>
        <v>0.403751903218981</v>
      </c>
      <c r="AT91" s="37" t="n">
        <f aca="false">J91*(1+(((2-3*V91^2)/24*AH91^2)+(V91*AH91*J91/4))*5)</f>
        <v>0.385904676879053</v>
      </c>
      <c r="AU91" s="37" t="n">
        <f aca="false">K91*(1+(((2-3*W91^2)/24*AI91^2)+(W91*AI91*K91/4))*5)</f>
        <v>0.363328602972212</v>
      </c>
      <c r="AV91" s="37" t="n">
        <f aca="false">L91*(1+(((2-3*X91^2)/24*AJ91^2)+(X91*AJ91*L91/4))*5)</f>
        <v>0.331342894859976</v>
      </c>
    </row>
    <row r="92" customFormat="false" ht="15" hidden="false" customHeight="true" outlineLevel="0" collapsed="false">
      <c r="B92" s="35" t="s">
        <v>79</v>
      </c>
      <c r="C92" s="24" t="n">
        <f aca="false">C14+$C$28*C47</f>
        <v>0.454344</v>
      </c>
      <c r="D92" s="24" t="n">
        <f aca="false">D14+$C$28*D47</f>
        <v>0.425124</v>
      </c>
      <c r="E92" s="24" t="n">
        <f aca="false">E14+$C$28*E47</f>
        <v>0.407816</v>
      </c>
      <c r="F92" s="24" t="n">
        <f aca="false">F14+$C$28*F47</f>
        <v>0.400688</v>
      </c>
      <c r="G92" s="24" t="n">
        <f aca="false">G14+$C$28*G47</f>
        <v>0.378568</v>
      </c>
      <c r="H92" s="24" t="n">
        <f aca="false">H14+$C$28*H47</f>
        <v>0.349904</v>
      </c>
      <c r="I92" s="24" t="n">
        <f aca="false">I14+$C$28*I47</f>
        <v>0.330832</v>
      </c>
      <c r="J92" s="24" t="n">
        <f aca="false">J14+$C$28*J47</f>
        <v>0.313528</v>
      </c>
      <c r="K92" s="24" t="n">
        <f aca="false">K14+$C$28*K47</f>
        <v>0.3114</v>
      </c>
      <c r="L92" s="24" t="n">
        <f aca="false">L14+$C$28*L47</f>
        <v>0.291648</v>
      </c>
      <c r="N92" s="35" t="s">
        <v>79</v>
      </c>
      <c r="O92" s="24" t="n">
        <f aca="false">O14+$D$28*O47</f>
        <v>-0.221</v>
      </c>
      <c r="P92" s="24" t="n">
        <f aca="false">P14+$D$28*P47</f>
        <v>-0.1879</v>
      </c>
      <c r="Q92" s="24" t="n">
        <f aca="false">Q14+$D$28*Q47</f>
        <v>-0.1654</v>
      </c>
      <c r="R92" s="24" t="n">
        <f aca="false">R14+$D$28*R47</f>
        <v>-0.1524</v>
      </c>
      <c r="S92" s="24" t="n">
        <f aca="false">S14+$D$28*S47</f>
        <v>-0.1391</v>
      </c>
      <c r="T92" s="24" t="n">
        <f aca="false">T14+$D$28*T47</f>
        <v>-0.1157</v>
      </c>
      <c r="U92" s="24" t="n">
        <f aca="false">U14+$D$28*U47</f>
        <v>-0.1046</v>
      </c>
      <c r="V92" s="24" t="n">
        <f aca="false">V14+$D$28*V47</f>
        <v>-0.0875</v>
      </c>
      <c r="W92" s="24" t="n">
        <f aca="false">W14+$D$28*W47</f>
        <v>-0.0489</v>
      </c>
      <c r="X92" s="24" t="n">
        <f aca="false">X14+$D$28*X47</f>
        <v>-0.0359</v>
      </c>
      <c r="Z92" s="35" t="s">
        <v>79</v>
      </c>
      <c r="AA92" s="24" t="n">
        <f aca="false">AA14+$E$28*AA47</f>
        <v>0.695</v>
      </c>
      <c r="AB92" s="24" t="n">
        <f aca="false">AB14+$E$28*AB47</f>
        <v>0.6809</v>
      </c>
      <c r="AC92" s="24" t="n">
        <f aca="false">AC14+$E$28*AC47</f>
        <v>0.6487</v>
      </c>
      <c r="AD92" s="24" t="n">
        <f aca="false">AD14+$E$28*AD47</f>
        <v>0.6352</v>
      </c>
      <c r="AE92" s="24" t="n">
        <f aca="false">AE14+$E$28*AE47</f>
        <v>0.6121</v>
      </c>
      <c r="AF92" s="24" t="n">
        <f aca="false">AF14+$E$28*AF47</f>
        <v>0.5776</v>
      </c>
      <c r="AG92" s="24" t="n">
        <f aca="false">AG14+$E$28*AG47</f>
        <v>0.5561</v>
      </c>
      <c r="AH92" s="24" t="n">
        <f aca="false">AH14+$E$28*AH47</f>
        <v>0.5347</v>
      </c>
      <c r="AI92" s="24" t="n">
        <f aca="false">AI14+$E$28*AI47</f>
        <v>0.5115</v>
      </c>
      <c r="AJ92" s="24" t="n">
        <f aca="false">AJ14+$E$28*AJ47</f>
        <v>0.4962</v>
      </c>
      <c r="AL92" s="35" t="s">
        <v>79</v>
      </c>
      <c r="AM92" s="37" t="n">
        <f aca="false">C92*(1+(((2-3*O92^2)/24*AA92^2)+(O92*AA92*C92/4))*10)</f>
        <v>0.544562695800337</v>
      </c>
      <c r="AN92" s="37" t="n">
        <f aca="false">D92*(1+(((2-3*P92^2)/24*AB92^2)+(P92*AB92*D92/4))*10)</f>
        <v>0.522866706567609</v>
      </c>
      <c r="AO92" s="37" t="n">
        <f aca="false">E92*(1+(((2-3*Q92^2)/24*AC92^2)+(Q92*AC92*E92/4))*10)</f>
        <v>0.500347255741309</v>
      </c>
      <c r="AP92" s="37" t="n">
        <f aca="false">F92*(1+(((2-3*R92^2)/24*AD92^2)+(R92*AD92*F92/4))*10)</f>
        <v>0.491863618970883</v>
      </c>
      <c r="AQ92" s="37" t="n">
        <f aca="false">G92*(1+(((2-3*S92^2)/24*AE92^2)+(S92*AE92*G92/4))*10)</f>
        <v>0.462829354897468</v>
      </c>
      <c r="AR92" s="37" t="n">
        <f aca="false">H92*(1+(((2-3*T92^2)/24*AF92^2)+(T92*AF92*H92/4))*10)</f>
        <v>0.42477535981194</v>
      </c>
      <c r="AS92" s="37" t="n">
        <f aca="false">I92*(1+(((2-3*U92^2)/24*AG92^2)+(U92*AG92*I92/4))*10)</f>
        <v>0.398773963851998</v>
      </c>
      <c r="AT92" s="37" t="n">
        <f aca="false">J92*(1+(((2-3*V92^2)/24*AH92^2)+(V92*AH92*J92/4))*10)</f>
        <v>0.375871543625738</v>
      </c>
      <c r="AU92" s="37" t="n">
        <f aca="false">K92*(1+(((2-3*W92^2)/24*AI92^2)+(W92*AI92*K92/4))*10)</f>
        <v>0.372986430756241</v>
      </c>
      <c r="AV92" s="37" t="n">
        <f aca="false">L92*(1+(((2-3*X92^2)/24*AJ92^2)+(X92*AJ92*L92/4))*10)</f>
        <v>0.347584280518465</v>
      </c>
    </row>
    <row r="93" customFormat="false" ht="15" hidden="false" customHeight="true" outlineLevel="0" collapsed="false">
      <c r="B93" s="35" t="s">
        <v>80</v>
      </c>
      <c r="C93" s="24" t="n">
        <f aca="false">C15+$C$28*C48</f>
        <v>0.42228</v>
      </c>
      <c r="D93" s="24" t="n">
        <f aca="false">D15+$C$28*D48</f>
        <v>0.407652</v>
      </c>
      <c r="E93" s="24" t="n">
        <f aca="false">E15+$C$28*E48</f>
        <v>0.384568</v>
      </c>
      <c r="F93" s="24" t="n">
        <f aca="false">F15+$C$28*F48</f>
        <v>0.382532</v>
      </c>
      <c r="G93" s="24" t="n">
        <f aca="false">G15+$C$28*G48</f>
        <v>0.353124</v>
      </c>
      <c r="H93" s="24" t="n">
        <f aca="false">H15+$C$28*H48</f>
        <v>0.337984</v>
      </c>
      <c r="I93" s="24" t="n">
        <f aca="false">I15+$C$28*I48</f>
        <v>0.322656</v>
      </c>
      <c r="J93" s="24" t="n">
        <f aca="false">J15+$C$28*J48</f>
        <v>0.311172</v>
      </c>
      <c r="K93" s="24" t="n">
        <f aca="false">K15+$C$28*K48</f>
        <v>0.28356</v>
      </c>
      <c r="L93" s="24" t="n">
        <f aca="false">L15+$C$28*L48</f>
        <v>0.2768</v>
      </c>
      <c r="N93" s="35" t="s">
        <v>80</v>
      </c>
      <c r="O93" s="24" t="n">
        <f aca="false">O15+$D$28*O48</f>
        <v>-0.1944</v>
      </c>
      <c r="P93" s="24" t="n">
        <f aca="false">P15+$D$28*P48</f>
        <v>-0.1744</v>
      </c>
      <c r="Q93" s="24" t="n">
        <f aca="false">Q15+$D$28*Q48</f>
        <v>-0.1551</v>
      </c>
      <c r="R93" s="24" t="n">
        <f aca="false">R15+$D$28*R48</f>
        <v>-0.1457</v>
      </c>
      <c r="S93" s="24" t="n">
        <f aca="false">S15+$D$28*S48</f>
        <v>-0.1179</v>
      </c>
      <c r="T93" s="24" t="n">
        <f aca="false">T15+$D$28*T48</f>
        <v>-0.1036</v>
      </c>
      <c r="U93" s="24" t="n">
        <f aca="false">U15+$D$28*U48</f>
        <v>-0.0877</v>
      </c>
      <c r="V93" s="24" t="n">
        <f aca="false">V15+$D$28*V48</f>
        <v>-0.0523</v>
      </c>
      <c r="W93" s="24" t="n">
        <f aca="false">W15+$D$28*W48</f>
        <v>-0.0454</v>
      </c>
      <c r="X93" s="24" t="n">
        <f aca="false">X15+$D$28*X48</f>
        <v>-0.02</v>
      </c>
      <c r="Z93" s="35" t="s">
        <v>80</v>
      </c>
      <c r="AA93" s="24" t="n">
        <f aca="false">AA15+$E$28*AA48</f>
        <v>0.6767</v>
      </c>
      <c r="AB93" s="24" t="n">
        <f aca="false">AB15+$E$28*AB48</f>
        <v>0.6511</v>
      </c>
      <c r="AC93" s="24" t="n">
        <f aca="false">AC15+$E$28*AC48</f>
        <v>0.6243</v>
      </c>
      <c r="AD93" s="24" t="n">
        <f aca="false">AD15+$E$28*AD48</f>
        <v>0.6059</v>
      </c>
      <c r="AE93" s="24" t="n">
        <f aca="false">AE15+$E$28*AE48</f>
        <v>0.5844</v>
      </c>
      <c r="AF93" s="24" t="n">
        <f aca="false">AF15+$E$28*AF48</f>
        <v>0.5668</v>
      </c>
      <c r="AG93" s="24" t="n">
        <f aca="false">AG15+$E$28*AG48</f>
        <v>0.531</v>
      </c>
      <c r="AH93" s="24" t="n">
        <f aca="false">AH15+$E$28*AH48</f>
        <v>0.5179</v>
      </c>
      <c r="AI93" s="24" t="n">
        <f aca="false">AI15+$E$28*AI48</f>
        <v>0.4894</v>
      </c>
      <c r="AJ93" s="24" t="n">
        <f aca="false">AJ15+$E$28*AJ48</f>
        <v>0.4678</v>
      </c>
      <c r="AL93" s="35" t="s">
        <v>80</v>
      </c>
      <c r="AM93" s="37" t="n">
        <f aca="false">C93*(1+(((2-3*O93^2)/24*AA93^2)+(O93*AA93*C93/4))*20)</f>
        <v>0.609006013223709</v>
      </c>
      <c r="AN93" s="37" t="n">
        <f aca="false">D93*(1+(((2-3*P93^2)/24*AB93^2)+(P93*AB93*D93/4))*20)</f>
        <v>0.588188348938982</v>
      </c>
      <c r="AO93" s="37" t="n">
        <f aca="false">E93*(1+(((2-3*Q93^2)/24*AC93^2)+(Q93*AC93*E93/4))*20)</f>
        <v>0.553761770461575</v>
      </c>
      <c r="AP93" s="37" t="n">
        <f aca="false">F93*(1+(((2-3*R93^2)/24*AD93^2)+(R93*AD93*F93/4))*20)</f>
        <v>0.54454419690495</v>
      </c>
      <c r="AQ93" s="37" t="n">
        <f aca="false">G93*(1+(((2-3*S93^2)/24*AE93^2)+(S93*AE93*G93/4))*20)</f>
        <v>0.506974742826907</v>
      </c>
      <c r="AR93" s="37" t="n">
        <f aca="false">H93*(1+(((2-3*T93^2)/24*AF93^2)+(T93*AF93*H93/4))*20)</f>
        <v>0.482500522324995</v>
      </c>
      <c r="AS93" s="37" t="n">
        <f aca="false">I93*(1+(((2-3*U93^2)/24*AG93^2)+(U93*AG93*I93/4))*20)</f>
        <v>0.448293418857961</v>
      </c>
      <c r="AT93" s="37" t="n">
        <f aca="false">J93*(1+(((2-3*V93^2)/24*AH93^2)+(V93*AH93*J93/4))*20)</f>
        <v>0.436592232256051</v>
      </c>
      <c r="AU93" s="37" t="n">
        <f aca="false">K93*(1+(((2-3*W93^2)/24*AI93^2)+(W93*AI93*K93/4))*20)</f>
        <v>0.387470937858446</v>
      </c>
      <c r="AV93" s="37" t="n">
        <f aca="false">L93*(1+(((2-3*X93^2)/24*AJ93^2)+(X93*AJ93*L93/4))*20)</f>
        <v>0.374111953548821</v>
      </c>
    </row>
    <row r="94" customFormat="false" ht="15" hidden="false" customHeight="true" outlineLevel="0" collapsed="false">
      <c r="B94" s="35" t="s">
        <v>81</v>
      </c>
      <c r="C94" s="24" t="n">
        <f aca="false">C16+$C$28*C49</f>
        <v>0.414544</v>
      </c>
      <c r="D94" s="24" t="n">
        <f aca="false">D16+$C$28*D49</f>
        <v>0.392236</v>
      </c>
      <c r="E94" s="24" t="n">
        <f aca="false">E16+$C$28*E49</f>
        <v>0.375028</v>
      </c>
      <c r="F94" s="24" t="n">
        <f aca="false">F16+$C$28*F49</f>
        <v>0.361584</v>
      </c>
      <c r="G94" s="24" t="n">
        <f aca="false">G16+$C$28*G49</f>
        <v>0.34658</v>
      </c>
      <c r="H94" s="24" t="n">
        <f aca="false">H16+$C$28*H49</f>
        <v>0.319808</v>
      </c>
      <c r="I94" s="24" t="n">
        <f aca="false">I16+$C$28*I49</f>
        <v>0.305372</v>
      </c>
      <c r="J94" s="24" t="n">
        <f aca="false">J16+$C$28*J49</f>
        <v>0.2852</v>
      </c>
      <c r="K94" s="24" t="n">
        <f aca="false">K16+$C$28*K49</f>
        <v>0.2687</v>
      </c>
      <c r="L94" s="24" t="n">
        <f aca="false">L16+$C$28*L49</f>
        <v>0.2557</v>
      </c>
      <c r="N94" s="35" t="s">
        <v>81</v>
      </c>
      <c r="O94" s="24" t="n">
        <f aca="false">O16+$D$28*O49</f>
        <v>-0.176</v>
      </c>
      <c r="P94" s="24" t="n">
        <f aca="false">P16+$D$28*P49</f>
        <v>-0.1549</v>
      </c>
      <c r="Q94" s="24" t="n">
        <f aca="false">Q16+$D$28*Q49</f>
        <v>-0.1366</v>
      </c>
      <c r="R94" s="24" t="n">
        <f aca="false">R16+$D$28*R49</f>
        <v>-0.1078</v>
      </c>
      <c r="S94" s="24" t="n">
        <f aca="false">S16+$D$28*S49</f>
        <v>-0.0932</v>
      </c>
      <c r="T94" s="24" t="n">
        <f aca="false">T16+$D$28*T49</f>
        <v>-0.0702</v>
      </c>
      <c r="U94" s="24" t="n">
        <f aca="false">U16+$D$28*U49</f>
        <v>-0.0495</v>
      </c>
      <c r="V94" s="24" t="n">
        <f aca="false">V16+$D$28*V49</f>
        <v>-0.0437</v>
      </c>
      <c r="W94" s="24" t="n">
        <f aca="false">W16+$D$28*W49</f>
        <v>-0.0183</v>
      </c>
      <c r="X94" s="24" t="n">
        <f aca="false">X16+$D$28*X49</f>
        <v>0.0089</v>
      </c>
      <c r="Z94" s="35" t="s">
        <v>81</v>
      </c>
      <c r="AA94" s="24" t="n">
        <f aca="false">AA16+$E$28*AA49</f>
        <v>0.6568</v>
      </c>
      <c r="AB94" s="24" t="n">
        <f aca="false">AB16+$E$28*AB49</f>
        <v>0.6205</v>
      </c>
      <c r="AC94" s="24" t="n">
        <f aca="false">AC16+$E$28*AC49</f>
        <v>0.598</v>
      </c>
      <c r="AD94" s="24" t="n">
        <f aca="false">AD16+$E$28*AD49</f>
        <v>0.5822</v>
      </c>
      <c r="AE94" s="24" t="n">
        <f aca="false">AE16+$E$28*AE49</f>
        <v>0.5526</v>
      </c>
      <c r="AF94" s="24" t="n">
        <f aca="false">AF16+$E$28*AF49</f>
        <v>0.5337</v>
      </c>
      <c r="AG94" s="24" t="n">
        <f aca="false">AG16+$E$28*AG49</f>
        <v>0.5081</v>
      </c>
      <c r="AH94" s="24" t="n">
        <f aca="false">AH16+$E$28*AH49</f>
        <v>0.4978</v>
      </c>
      <c r="AI94" s="24" t="n">
        <f aca="false">AI16+$E$28*AI49</f>
        <v>0.4779</v>
      </c>
      <c r="AJ94" s="24" t="n">
        <f aca="false">AJ16+$E$28*AJ49</f>
        <v>0.4579</v>
      </c>
      <c r="AL94" s="35" t="s">
        <v>81</v>
      </c>
      <c r="AM94" s="37" t="n">
        <f aca="false">C94*(1+(((2-3*O94^2)/24*AA94^2)+(O94*AA94*C94/4))*30)</f>
        <v>0.691855727327914</v>
      </c>
      <c r="AN94" s="37" t="n">
        <f aca="false">D94*(1+(((2-3*P94^2)/24*AB94^2)+(P94*AB94*D94/4))*30)</f>
        <v>0.645290155504246</v>
      </c>
      <c r="AO94" s="37" t="n">
        <f aca="false">E94*(1+(((2-3*Q94^2)/24*AC94^2)+(Q94*AC94*E94/4))*30)</f>
        <v>0.614755637421661</v>
      </c>
      <c r="AP94" s="37" t="n">
        <f aca="false">F94*(1+(((2-3*R94^2)/24*AD94^2)+(R94*AD94*F94/4))*30)</f>
        <v>0.601104564906165</v>
      </c>
      <c r="AQ94" s="37" t="n">
        <f aca="false">G94*(1+(((2-3*S94^2)/24*AE94^2)+(S94*AE94*G94/4))*30)</f>
        <v>0.561320105323499</v>
      </c>
      <c r="AR94" s="37" t="n">
        <f aca="false">H94*(1+(((2-3*T94^2)/24*AF94^2)+(T94*AF94*H94/4))*30)</f>
        <v>0.517117253258564</v>
      </c>
      <c r="AS94" s="37" t="n">
        <f aca="false">I94*(1+(((2-3*U94^2)/24*AG94^2)+(U94*AG94*I94/4))*30)</f>
        <v>0.484148653008652</v>
      </c>
      <c r="AT94" s="37" t="n">
        <f aca="false">J94*(1+(((2-3*V94^2)/24*AH94^2)+(V94*AH94*J94/4))*30)</f>
        <v>0.448107945315362</v>
      </c>
      <c r="AU94" s="37" t="n">
        <f aca="false">K94*(1+(((2-3*W94^2)/24*AI94^2)+(W94*AI94*K94/4))*30)</f>
        <v>0.417307140403241</v>
      </c>
      <c r="AV94" s="37" t="n">
        <f aca="false">L94*(1+(((2-3*X94^2)/24*AJ94^2)+(X94*AJ94*L94/4))*30)</f>
        <v>0.391715567316053</v>
      </c>
    </row>
    <row r="96" customFormat="false" ht="15" hidden="false" customHeight="true" outlineLevel="0" collapsed="false">
      <c r="A96" s="28" t="s">
        <v>156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</row>
    <row r="97" customFormat="false" ht="15" hidden="false" customHeight="true" outlineLevel="0" collapsed="false">
      <c r="B97" s="28" t="s">
        <v>136</v>
      </c>
      <c r="C97" s="28"/>
      <c r="D97" s="28"/>
      <c r="E97" s="28"/>
      <c r="F97" s="28"/>
      <c r="G97" s="28"/>
      <c r="H97" s="28"/>
      <c r="I97" s="28"/>
      <c r="J97" s="28"/>
      <c r="K97" s="28"/>
      <c r="L97" s="28"/>
      <c r="N97" s="28" t="s">
        <v>137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Z97" s="28" t="s">
        <v>138</v>
      </c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L97" s="34" t="s">
        <v>139</v>
      </c>
      <c r="AM97" s="34"/>
      <c r="AN97" s="34"/>
      <c r="AO97" s="34"/>
      <c r="AP97" s="34"/>
      <c r="AQ97" s="34"/>
      <c r="AR97" s="34"/>
      <c r="AS97" s="34"/>
      <c r="AT97" s="34"/>
      <c r="AU97" s="34"/>
      <c r="AV97" s="34"/>
    </row>
    <row r="98" customFormat="false" ht="15" hidden="false" customHeight="true" outlineLevel="0" collapsed="false">
      <c r="B98" s="18" t="s">
        <v>140</v>
      </c>
      <c r="C98" s="12" t="s">
        <v>141</v>
      </c>
      <c r="D98" s="12" t="s">
        <v>74</v>
      </c>
      <c r="E98" s="12" t="s">
        <v>75</v>
      </c>
      <c r="F98" s="12" t="s">
        <v>30</v>
      </c>
      <c r="G98" s="12" t="s">
        <v>76</v>
      </c>
      <c r="H98" s="12" t="s">
        <v>77</v>
      </c>
      <c r="I98" s="12" t="s">
        <v>78</v>
      </c>
      <c r="J98" s="12" t="s">
        <v>79</v>
      </c>
      <c r="K98" s="12" t="s">
        <v>80</v>
      </c>
      <c r="L98" s="12" t="s">
        <v>81</v>
      </c>
      <c r="N98" s="18" t="s">
        <v>140</v>
      </c>
      <c r="O98" s="12" t="s">
        <v>141</v>
      </c>
      <c r="P98" s="12" t="s">
        <v>74</v>
      </c>
      <c r="Q98" s="12" t="s">
        <v>75</v>
      </c>
      <c r="R98" s="12" t="s">
        <v>30</v>
      </c>
      <c r="S98" s="12" t="s">
        <v>76</v>
      </c>
      <c r="T98" s="12" t="s">
        <v>77</v>
      </c>
      <c r="U98" s="12" t="s">
        <v>78</v>
      </c>
      <c r="V98" s="12" t="s">
        <v>79</v>
      </c>
      <c r="W98" s="12" t="s">
        <v>80</v>
      </c>
      <c r="X98" s="12" t="s">
        <v>81</v>
      </c>
      <c r="Z98" s="18" t="s">
        <v>140</v>
      </c>
      <c r="AA98" s="12" t="s">
        <v>141</v>
      </c>
      <c r="AB98" s="12" t="s">
        <v>74</v>
      </c>
      <c r="AC98" s="12" t="s">
        <v>75</v>
      </c>
      <c r="AD98" s="12" t="s">
        <v>30</v>
      </c>
      <c r="AE98" s="12" t="s">
        <v>76</v>
      </c>
      <c r="AF98" s="12" t="s">
        <v>77</v>
      </c>
      <c r="AG98" s="12" t="s">
        <v>78</v>
      </c>
      <c r="AH98" s="12" t="s">
        <v>79</v>
      </c>
      <c r="AI98" s="12" t="s">
        <v>80</v>
      </c>
      <c r="AJ98" s="12" t="s">
        <v>81</v>
      </c>
      <c r="AL98" s="18" t="s">
        <v>140</v>
      </c>
      <c r="AM98" s="12" t="s">
        <v>141</v>
      </c>
      <c r="AN98" s="12" t="s">
        <v>74</v>
      </c>
      <c r="AO98" s="12" t="s">
        <v>75</v>
      </c>
      <c r="AP98" s="12" t="s">
        <v>30</v>
      </c>
      <c r="AQ98" s="12" t="s">
        <v>76</v>
      </c>
      <c r="AR98" s="12" t="s">
        <v>77</v>
      </c>
      <c r="AS98" s="12" t="s">
        <v>78</v>
      </c>
      <c r="AT98" s="12" t="s">
        <v>79</v>
      </c>
      <c r="AU98" s="12" t="s">
        <v>80</v>
      </c>
      <c r="AV98" s="12" t="s">
        <v>81</v>
      </c>
    </row>
    <row r="99" customFormat="false" ht="15" hidden="false" customHeight="true" outlineLevel="0" collapsed="false">
      <c r="B99" s="35" t="s">
        <v>141</v>
      </c>
      <c r="C99" s="24" t="n">
        <f aca="false">C7+$C$29*C40</f>
        <v>0.5793205</v>
      </c>
      <c r="D99" s="24" t="n">
        <f aca="false">D7+$C$29*D40</f>
        <v>0.557519</v>
      </c>
      <c r="E99" s="24" t="n">
        <f aca="false">E7+$C$29*E40</f>
        <v>0.54881</v>
      </c>
      <c r="F99" s="24" t="n">
        <f aca="false">F7+$C$29*F40</f>
        <v>0.51887</v>
      </c>
      <c r="G99" s="24" t="n">
        <f aca="false">G7+$C$29*G40</f>
        <v>0.5094585</v>
      </c>
      <c r="H99" s="24" t="n">
        <f aca="false">H7+$C$29*H40</f>
        <v>0.4873085</v>
      </c>
      <c r="I99" s="24" t="n">
        <f aca="false">I7+$C$29*I40</f>
        <v>0.463545</v>
      </c>
      <c r="J99" s="24" t="n">
        <f aca="false">J7+$C$29*J40</f>
        <v>0.454</v>
      </c>
      <c r="K99" s="24" t="n">
        <f aca="false">K7+$C$29*K40</f>
        <v>0.42585</v>
      </c>
      <c r="L99" s="24" t="n">
        <f aca="false">L7+$C$29*L40</f>
        <v>0.415141</v>
      </c>
      <c r="N99" s="35" t="s">
        <v>141</v>
      </c>
      <c r="O99" s="24" t="n">
        <f aca="false">O7+$D$29*O40</f>
        <v>-0.3586</v>
      </c>
      <c r="P99" s="24" t="n">
        <f aca="false">P7+$D$29*P40</f>
        <v>-0.3387</v>
      </c>
      <c r="Q99" s="24" t="n">
        <f aca="false">Q7+$D$29*Q40</f>
        <v>-0.3126</v>
      </c>
      <c r="R99" s="24" t="n">
        <f aca="false">R7+$D$29*R40</f>
        <v>-0.2851</v>
      </c>
      <c r="S99" s="24" t="n">
        <f aca="false">S7+$D$29*S40</f>
        <v>-0.2797</v>
      </c>
      <c r="T99" s="24" t="n">
        <f aca="false">T7+$D$29*T40</f>
        <v>-0.2583</v>
      </c>
      <c r="U99" s="24" t="n">
        <f aca="false">U7+$D$29*U40</f>
        <v>-0.2308</v>
      </c>
      <c r="V99" s="24" t="n">
        <f aca="false">V7+$D$29*V40</f>
        <v>-0.2049</v>
      </c>
      <c r="W99" s="24" t="n">
        <f aca="false">W7+$D$29*W40</f>
        <v>-0.1929</v>
      </c>
      <c r="X99" s="24" t="n">
        <f aca="false">X7+$D$29*X40</f>
        <v>-0.1771</v>
      </c>
      <c r="Z99" s="35" t="s">
        <v>141</v>
      </c>
      <c r="AA99" s="24" t="n">
        <f aca="false">AA7+$E$29*AA40</f>
        <v>0.8595</v>
      </c>
      <c r="AB99" s="24" t="n">
        <f aca="false">AB7+$E$29*AB40</f>
        <v>0.8187</v>
      </c>
      <c r="AC99" s="24" t="n">
        <f aca="false">AC7+$E$29*AC40</f>
        <v>0.8127</v>
      </c>
      <c r="AD99" s="24" t="n">
        <f aca="false">AD7+$E$29*AD40</f>
        <v>0.7791</v>
      </c>
      <c r="AE99" s="24" t="n">
        <f aca="false">AE7+$E$29*AE40</f>
        <v>0.754</v>
      </c>
      <c r="AF99" s="24" t="n">
        <f aca="false">AF7+$E$29*AF40</f>
        <v>0.7312</v>
      </c>
      <c r="AG99" s="24" t="n">
        <f aca="false">AG7+$E$29*AG40</f>
        <v>0.7128</v>
      </c>
      <c r="AH99" s="24" t="n">
        <f aca="false">AH7+$E$29*AH40</f>
        <v>0.7008</v>
      </c>
      <c r="AI99" s="24" t="n">
        <f aca="false">AI7+$E$29*AI40</f>
        <v>0.6658</v>
      </c>
      <c r="AJ99" s="24" t="n">
        <f aca="false">AJ7+$E$29*AJ40</f>
        <v>0.6516</v>
      </c>
      <c r="AL99" s="35" t="s">
        <v>141</v>
      </c>
      <c r="AM99" s="37" t="n">
        <f aca="false">C99*(1+(((2-3*O99^2)/24*AA99^2)+(O99*AA99*C99/4))*0.0833333333333333)</f>
        <v>0.579564197567019</v>
      </c>
      <c r="AN99" s="37" t="n">
        <f aca="false">D99*(1+(((2-3*P99^2)/24*AB99^2)+(P99*AB99*D99/4))*0.0833333333333333)</f>
        <v>0.557871872753836</v>
      </c>
      <c r="AO99" s="37" t="n">
        <f aca="false">E99*(1+(((2-3*Q99^2)/24*AC99^2)+(Q99*AC99*E99/4))*0.0833333333333333)</f>
        <v>0.549364121248182</v>
      </c>
      <c r="AP99" s="37" t="n">
        <f aca="false">F99*(1+(((2-3*R99^2)/24*AD99^2)+(R99*AD99*F99/4))*0.0833333333333333)</f>
        <v>0.519544651784322</v>
      </c>
      <c r="AQ99" s="37" t="n">
        <f aca="false">G99*(1+(((2-3*S99^2)/24*AE99^2)+(S99*AE99*G99/4))*0.0833333333333333)</f>
        <v>0.510093472059407</v>
      </c>
      <c r="AR99" s="37" t="n">
        <f aca="false">H99*(1+(((2-3*T99^2)/24*AF99^2)+(T99*AF99*H99/4))*0.0833333333333333)</f>
        <v>0.488002352397713</v>
      </c>
      <c r="AS99" s="37" t="n">
        <f aca="false">I99*(1+(((2-3*U99^2)/24*AG99^2)+(U99*AG99*I99/4))*0.0833333333333333)</f>
        <v>0.464313413322327</v>
      </c>
      <c r="AT99" s="37" t="n">
        <f aca="false">J99*(1+(((2-3*V99^2)/24*AH99^2)+(V99*AH99*J99/4))*0.0833333333333333)</f>
        <v>0.454834278282476</v>
      </c>
      <c r="AU99" s="37" t="n">
        <f aca="false">K99*(1+(((2-3*W99^2)/24*AI99^2)+(W99*AI99*K99/4))*0.0833333333333333)</f>
        <v>0.426602535524867</v>
      </c>
      <c r="AV99" s="37" t="n">
        <f aca="false">L99*(1+(((2-3*X99^2)/24*AJ99^2)+(X99*AJ99*L99/4))*0.0833333333333333)</f>
        <v>0.415893119068179</v>
      </c>
    </row>
    <row r="100" customFormat="false" ht="15" hidden="false" customHeight="true" outlineLevel="0" collapsed="false">
      <c r="B100" s="35" t="s">
        <v>74</v>
      </c>
      <c r="C100" s="24" t="n">
        <f aca="false">C8+$C$29*C41</f>
        <v>0.5668295</v>
      </c>
      <c r="D100" s="24" t="n">
        <f aca="false">D8+$C$29*D41</f>
        <v>0.542882</v>
      </c>
      <c r="E100" s="24" t="n">
        <f aca="false">E8+$C$29*E41</f>
        <v>0.5279985</v>
      </c>
      <c r="F100" s="24" t="n">
        <f aca="false">F8+$C$29*F41</f>
        <v>0.499487</v>
      </c>
      <c r="G100" s="24" t="n">
        <f aca="false">G8+$C$29*G41</f>
        <v>0.481803</v>
      </c>
      <c r="H100" s="24" t="n">
        <f aca="false">H8+$C$29*H41</f>
        <v>0.465707</v>
      </c>
      <c r="I100" s="24" t="n">
        <f aca="false">I8+$C$29*I41</f>
        <v>0.4572155</v>
      </c>
      <c r="J100" s="24" t="n">
        <f aca="false">J8+$C$29*J41</f>
        <v>0.4330965</v>
      </c>
      <c r="K100" s="24" t="n">
        <f aca="false">K8+$C$29*K41</f>
        <v>0.4130485</v>
      </c>
      <c r="L100" s="24" t="n">
        <f aca="false">L8+$C$29*L41</f>
        <v>0.3997805</v>
      </c>
      <c r="N100" s="35" t="s">
        <v>74</v>
      </c>
      <c r="O100" s="24" t="n">
        <f aca="false">O8+$D$29*O41</f>
        <v>-0.3315</v>
      </c>
      <c r="P100" s="24" t="n">
        <f aca="false">P8+$D$29*P41</f>
        <v>-0.3151</v>
      </c>
      <c r="Q100" s="24" t="n">
        <f aca="false">Q8+$D$29*Q41</f>
        <v>-0.2858</v>
      </c>
      <c r="R100" s="24" t="n">
        <f aca="false">R8+$D$29*R41</f>
        <v>-0.2682</v>
      </c>
      <c r="S100" s="24" t="n">
        <f aca="false">S8+$D$29*S41</f>
        <v>-0.2579</v>
      </c>
      <c r="T100" s="24" t="n">
        <f aca="false">T8+$D$29*T41</f>
        <v>-0.2318</v>
      </c>
      <c r="U100" s="24" t="n">
        <f aca="false">U8+$D$29*U41</f>
        <v>-0.2134</v>
      </c>
      <c r="V100" s="24" t="n">
        <f aca="false">V8+$D$29*V41</f>
        <v>-0.1869</v>
      </c>
      <c r="W100" s="24" t="n">
        <f aca="false">W8+$D$29*W41</f>
        <v>-0.1704</v>
      </c>
      <c r="X100" s="24" t="n">
        <f aca="false">X8+$D$29*X41</f>
        <v>-0.1598</v>
      </c>
      <c r="Z100" s="35" t="s">
        <v>74</v>
      </c>
      <c r="AA100" s="24" t="n">
        <f aca="false">AA8+$E$29*AA41</f>
        <v>0.8374</v>
      </c>
      <c r="AB100" s="24" t="n">
        <f aca="false">AB8+$E$29*AB41</f>
        <v>0.7979</v>
      </c>
      <c r="AC100" s="24" t="n">
        <f aca="false">AC8+$E$29*AC41</f>
        <v>0.7817</v>
      </c>
      <c r="AD100" s="24" t="n">
        <f aca="false">AD8+$E$29*AD41</f>
        <v>0.7663</v>
      </c>
      <c r="AE100" s="24" t="n">
        <f aca="false">AE8+$E$29*AE41</f>
        <v>0.7319</v>
      </c>
      <c r="AF100" s="24" t="n">
        <f aca="false">AF8+$E$29*AF41</f>
        <v>0.7164</v>
      </c>
      <c r="AG100" s="24" t="n">
        <f aca="false">AG8+$E$29*AG41</f>
        <v>0.6852</v>
      </c>
      <c r="AH100" s="24" t="n">
        <f aca="false">AH8+$E$29*AH41</f>
        <v>0.6756</v>
      </c>
      <c r="AI100" s="24" t="n">
        <f aca="false">AI8+$E$29*AI41</f>
        <v>0.6553</v>
      </c>
      <c r="AJ100" s="24" t="n">
        <f aca="false">AJ8+$E$29*AJ41</f>
        <v>0.6292</v>
      </c>
      <c r="AL100" s="35" t="s">
        <v>74</v>
      </c>
      <c r="AM100" s="37" t="n">
        <f aca="false">C100*(1+(((2-3*O100^2)/24*AA100^2)+(O100*AA100*C100/4))*0.25)</f>
        <v>0.568170941284092</v>
      </c>
      <c r="AN100" s="37" t="n">
        <f aca="false">D100*(1+(((2-3*P100^2)/24*AB100^2)+(P100*AB100*D100/4))*0.25)</f>
        <v>0.544378955073821</v>
      </c>
      <c r="AO100" s="37" t="n">
        <f aca="false">E100*(1+(((2-3*Q100^2)/24*AC100^2)+(Q100*AC100*E100/4))*0.25)</f>
        <v>0.530003868319567</v>
      </c>
      <c r="AP100" s="37" t="n">
        <f aca="false">F100*(1+(((2-3*R100^2)/24*AD100^2)+(R100*AD100*F100/4))*0.25)</f>
        <v>0.501733554841795</v>
      </c>
      <c r="AQ100" s="37" t="n">
        <f aca="false">G100*(1+(((2-3*S100^2)/24*AE100^2)+(S100*AE100*G100/4))*0.25)</f>
        <v>0.483904892846475</v>
      </c>
      <c r="AR100" s="37" t="n">
        <f aca="false">H100*(1+(((2-3*T100^2)/24*AF100^2)+(T100*AF100*H100/4))*0.25)</f>
        <v>0.468034140600272</v>
      </c>
      <c r="AS100" s="37" t="n">
        <f aca="false">I100*(1+(((2-3*U100^2)/24*AG100^2)+(U100*AG100*I100/4))*0.25)</f>
        <v>0.459471700513599</v>
      </c>
      <c r="AT100" s="37" t="n">
        <f aca="false">J100*(1+(((2-3*V100^2)/24*AH100^2)+(V100*AH100*J100/4))*0.25)</f>
        <v>0.435518759185484</v>
      </c>
      <c r="AU100" s="37" t="n">
        <f aca="false">K100*(1+(((2-3*W100^2)/24*AI100^2)+(W100*AI100*K100/4))*0.25)</f>
        <v>0.415392104995172</v>
      </c>
      <c r="AV100" s="37" t="n">
        <f aca="false">L100*(1+(((2-3*X100^2)/24*AJ100^2)+(X100*AJ100*L100/4))*0.25)</f>
        <v>0.401947136757041</v>
      </c>
    </row>
    <row r="101" customFormat="false" ht="15" hidden="false" customHeight="true" outlineLevel="0" collapsed="false">
      <c r="B101" s="35" t="s">
        <v>75</v>
      </c>
      <c r="C101" s="24" t="n">
        <f aca="false">C9+$C$29*C42</f>
        <v>0.552695</v>
      </c>
      <c r="D101" s="24" t="n">
        <f aca="false">D9+$C$29*D42</f>
        <v>0.5232165</v>
      </c>
      <c r="E101" s="24" t="n">
        <f aca="false">E9+$C$29*E42</f>
        <v>0.5131325</v>
      </c>
      <c r="F101" s="24" t="n">
        <f aca="false">F9+$C$29*F42</f>
        <v>0.492134</v>
      </c>
      <c r="G101" s="24" t="n">
        <f aca="false">G9+$C$29*G42</f>
        <v>0.4739245</v>
      </c>
      <c r="H101" s="24" t="n">
        <f aca="false">H9+$C$29*H42</f>
        <v>0.452262</v>
      </c>
      <c r="I101" s="24" t="n">
        <f aca="false">I9+$C$29*I42</f>
        <v>0.441007</v>
      </c>
      <c r="J101" s="24" t="n">
        <f aca="false">J9+$C$29*J42</f>
        <v>0.425259</v>
      </c>
      <c r="K101" s="24" t="n">
        <f aca="false">K9+$C$29*K42</f>
        <v>0.3974985</v>
      </c>
      <c r="L101" s="24" t="n">
        <f aca="false">L9+$C$29*L42</f>
        <v>0.382118</v>
      </c>
      <c r="N101" s="35" t="s">
        <v>75</v>
      </c>
      <c r="O101" s="24" t="n">
        <f aca="false">O9+$D$29*O42</f>
        <v>-0.3199</v>
      </c>
      <c r="P101" s="24" t="n">
        <f aca="false">P9+$D$29*P42</f>
        <v>-0.2876</v>
      </c>
      <c r="Q101" s="24" t="n">
        <f aca="false">Q9+$D$29*Q42</f>
        <v>-0.2693</v>
      </c>
      <c r="R101" s="24" t="n">
        <f aca="false">R9+$D$29*R42</f>
        <v>-0.2429</v>
      </c>
      <c r="S101" s="24" t="n">
        <f aca="false">S9+$D$29*S42</f>
        <v>-0.2269</v>
      </c>
      <c r="T101" s="24" t="n">
        <f aca="false">T9+$D$29*T42</f>
        <v>-0.2182</v>
      </c>
      <c r="U101" s="24" t="n">
        <f aca="false">U9+$D$29*U42</f>
        <v>-0.1967</v>
      </c>
      <c r="V101" s="24" t="n">
        <f aca="false">V9+$D$29*V42</f>
        <v>-0.1716</v>
      </c>
      <c r="W101" s="24" t="n">
        <f aca="false">W9+$D$29*W42</f>
        <v>-0.1651</v>
      </c>
      <c r="X101" s="24" t="n">
        <f aca="false">X9+$D$29*X42</f>
        <v>-0.1369</v>
      </c>
      <c r="Z101" s="35" t="s">
        <v>75</v>
      </c>
      <c r="AA101" s="24" t="n">
        <f aca="false">AA9+$E$29*AA42</f>
        <v>0.7989</v>
      </c>
      <c r="AB101" s="24" t="n">
        <f aca="false">AB9+$E$29*AB42</f>
        <v>0.7757</v>
      </c>
      <c r="AC101" s="24" t="n">
        <f aca="false">AC9+$E$29*AC42</f>
        <v>0.7523</v>
      </c>
      <c r="AD101" s="24" t="n">
        <f aca="false">AD9+$E$29*AD42</f>
        <v>0.7443</v>
      </c>
      <c r="AE101" s="24" t="n">
        <f aca="false">AE9+$E$29*AE42</f>
        <v>0.7093</v>
      </c>
      <c r="AF101" s="24" t="n">
        <f aca="false">AF9+$E$29*AF42</f>
        <v>0.6894</v>
      </c>
      <c r="AG101" s="24" t="n">
        <f aca="false">AG9+$E$29*AG42</f>
        <v>0.67</v>
      </c>
      <c r="AH101" s="24" t="n">
        <f aca="false">AH9+$E$29*AH42</f>
        <v>0.6574</v>
      </c>
      <c r="AI101" s="24" t="n">
        <f aca="false">AI9+$E$29*AI42</f>
        <v>0.6194</v>
      </c>
      <c r="AJ101" s="24" t="n">
        <f aca="false">AJ9+$E$29*AJ42</f>
        <v>0.6045</v>
      </c>
      <c r="AL101" s="35" t="s">
        <v>75</v>
      </c>
      <c r="AM101" s="37" t="n">
        <f aca="false">C101*(1+(((2-3*O101^2)/24*AA101^2)+(O101*AA101*C101/4))*0.5)</f>
        <v>0.555378218436715</v>
      </c>
      <c r="AN101" s="37" t="n">
        <f aca="false">D101*(1+(((2-3*P101^2)/24*AB101^2)+(P101*AB101*D101/4))*0.5)</f>
        <v>0.527072620985792</v>
      </c>
      <c r="AO101" s="37" t="n">
        <f aca="false">E101*(1+(((2-3*Q101^2)/24*AC101^2)+(Q101*AC101*E101/4))*0.5)</f>
        <v>0.51724857657486</v>
      </c>
      <c r="AP101" s="37" t="n">
        <f aca="false">F101*(1+(((2-3*R101^2)/24*AD101^2)+(R101*AD101*F101/4))*0.5)</f>
        <v>0.497015052423015</v>
      </c>
      <c r="AQ101" s="37" t="n">
        <f aca="false">G101*(1+(((2-3*S101^2)/24*AE101^2)+(S101*AE101*G101/4))*0.5)</f>
        <v>0.478573569286868</v>
      </c>
      <c r="AR101" s="37" t="n">
        <f aca="false">H101*(1+(((2-3*T101^2)/24*AF101^2)+(T101*AF101*H101/4))*0.5)</f>
        <v>0.456732469371778</v>
      </c>
      <c r="AS101" s="37" t="n">
        <f aca="false">I101*(1+(((2-3*U101^2)/24*AG101^2)+(U101*AG101*I101/4))*0.5)</f>
        <v>0.445573037172315</v>
      </c>
      <c r="AT101" s="37" t="n">
        <f aca="false">J101*(1+(((2-3*V101^2)/24*AH101^2)+(V101*AH101*J101/4))*0.5)</f>
        <v>0.430028376621958</v>
      </c>
      <c r="AU101" s="37" t="n">
        <f aca="false">K101*(1+(((2-3*W101^2)/24*AI101^2)+(W101*AI101*K101/4))*0.5)</f>
        <v>0.401573219044586</v>
      </c>
      <c r="AV101" s="37" t="n">
        <f aca="false">L101*(1+(((2-3*X101^2)/24*AJ101^2)+(X101*AJ101*L101/4))*0.5)</f>
        <v>0.386262064540913</v>
      </c>
    </row>
    <row r="102" customFormat="false" ht="15" hidden="false" customHeight="true" outlineLevel="0" collapsed="false">
      <c r="B102" s="35" t="s">
        <v>30</v>
      </c>
      <c r="C102" s="24" t="n">
        <f aca="false">C10+$C$29*C43</f>
        <v>0.5277525</v>
      </c>
      <c r="D102" s="24" t="n">
        <f aca="false">D10+$C$29*D43</f>
        <v>0.516215</v>
      </c>
      <c r="E102" s="24" t="n">
        <f aca="false">E10+$C$29*E43</f>
        <v>0.497249</v>
      </c>
      <c r="F102" s="24" t="n">
        <f aca="false">F10+$C$29*F43</f>
        <v>0.4793375</v>
      </c>
      <c r="G102" s="24" t="n">
        <f aca="false">G10+$C$29*G43</f>
        <v>0.4483135</v>
      </c>
      <c r="H102" s="24" t="n">
        <f aca="false">H10+$C$29*H43</f>
        <v>0.4327325</v>
      </c>
      <c r="I102" s="24" t="n">
        <f aca="false">I10+$C$29*I43</f>
        <v>0.412903</v>
      </c>
      <c r="J102" s="24" t="n">
        <f aca="false">J10+$C$29*J43</f>
        <v>0.404817</v>
      </c>
      <c r="K102" s="24" t="n">
        <f aca="false">K10+$C$29*K43</f>
        <v>0.388674</v>
      </c>
      <c r="L102" s="24" t="n">
        <f aca="false">L10+$C$29*L43</f>
        <v>0.3532705</v>
      </c>
      <c r="N102" s="35" t="s">
        <v>30</v>
      </c>
      <c r="O102" s="24" t="n">
        <f aca="false">O10+$D$29*O43</f>
        <v>-0.2981</v>
      </c>
      <c r="P102" s="24" t="n">
        <f aca="false">P10+$D$29*P43</f>
        <v>-0.2776</v>
      </c>
      <c r="Q102" s="24" t="n">
        <f aca="false">Q10+$D$29*Q43</f>
        <v>-0.2581</v>
      </c>
      <c r="R102" s="24" t="n">
        <f aca="false">R10+$D$29*R43</f>
        <v>-0.2336</v>
      </c>
      <c r="S102" s="24" t="n">
        <f aca="false">S10+$D$29*S43</f>
        <v>-0.2121</v>
      </c>
      <c r="T102" s="24" t="n">
        <f aca="false">T10+$D$29*T43</f>
        <v>-0.1992</v>
      </c>
      <c r="U102" s="24" t="n">
        <f aca="false">U10+$D$29*U43</f>
        <v>-0.1849</v>
      </c>
      <c r="V102" s="24" t="n">
        <f aca="false">V10+$D$29*V43</f>
        <v>-0.1572</v>
      </c>
      <c r="W102" s="24" t="n">
        <f aca="false">W10+$D$29*W43</f>
        <v>-0.1387</v>
      </c>
      <c r="X102" s="24" t="n">
        <f aca="false">X10+$D$29*X43</f>
        <v>-0.1153</v>
      </c>
      <c r="Z102" s="35" t="s">
        <v>30</v>
      </c>
      <c r="AA102" s="24" t="n">
        <f aca="false">AA10+$E$29*AA43</f>
        <v>0.7924</v>
      </c>
      <c r="AB102" s="24" t="n">
        <f aca="false">AB10+$E$29*AB43</f>
        <v>0.7649</v>
      </c>
      <c r="AC102" s="24" t="n">
        <f aca="false">AC10+$E$29*AC43</f>
        <v>0.7392</v>
      </c>
      <c r="AD102" s="24" t="n">
        <f aca="false">AD10+$E$29*AD43</f>
        <v>0.719</v>
      </c>
      <c r="AE102" s="24" t="n">
        <f aca="false">AE10+$E$29*AE43</f>
        <v>0.698</v>
      </c>
      <c r="AF102" s="24" t="n">
        <f aca="false">AF10+$E$29*AF43</f>
        <v>0.6633</v>
      </c>
      <c r="AG102" s="24" t="n">
        <f aca="false">AG10+$E$29*AG43</f>
        <v>0.658</v>
      </c>
      <c r="AH102" s="24" t="n">
        <f aca="false">AH10+$E$29*AH43</f>
        <v>0.6334</v>
      </c>
      <c r="AI102" s="24" t="n">
        <f aca="false">AI10+$E$29*AI43</f>
        <v>0.613</v>
      </c>
      <c r="AJ102" s="24" t="n">
        <f aca="false">AJ10+$E$29*AJ43</f>
        <v>0.5893</v>
      </c>
      <c r="AL102" s="35" t="s">
        <v>30</v>
      </c>
      <c r="AM102" s="37" t="n">
        <f aca="false">C102*(1+(((2-3*O102^2)/24*AA102^2)+(O102*AA102*C102/4))*1)</f>
        <v>0.535238387030492</v>
      </c>
      <c r="AN102" s="37" t="n">
        <f aca="false">D102*(1+(((2-3*P102^2)/24*AB102^2)+(P102*AB102*D102/4))*1)</f>
        <v>0.524328546257564</v>
      </c>
      <c r="AO102" s="37" t="n">
        <f aca="false">E102*(1+(((2-3*Q102^2)/24*AC102^2)+(Q102*AC102*E102/4))*1)</f>
        <v>0.505835251778364</v>
      </c>
      <c r="AP102" s="37" t="n">
        <f aca="false">F102*(1+(((2-3*R102^2)/24*AD102^2)+(R102*AD102*F102/4))*1)</f>
        <v>0.488649417255684</v>
      </c>
      <c r="AQ102" s="37" t="n">
        <f aca="false">G102*(1+(((2-3*S102^2)/24*AE102^2)+(S102*AE102*G102/4))*1)</f>
        <v>0.457848189278598</v>
      </c>
      <c r="AR102" s="37" t="n">
        <f aca="false">H102*(1+(((2-3*T102^2)/24*AF102^2)+(T102*AF102*H102/4))*1)</f>
        <v>0.441468274127753</v>
      </c>
      <c r="AS102" s="37" t="n">
        <f aca="false">I102*(1+(((2-3*U102^2)/24*AG102^2)+(U102*AG102*I102/4))*1)</f>
        <v>0.42185109641024</v>
      </c>
      <c r="AT102" s="37" t="n">
        <f aca="false">J102*(1+(((2-3*V102^2)/24*AH102^2)+(V102*AH102*J102/4))*1)</f>
        <v>0.413770225261134</v>
      </c>
      <c r="AU102" s="37" t="n">
        <f aca="false">K102*(1+(((2-3*W102^2)/24*AI102^2)+(W102*AI102*K102/4))*1)</f>
        <v>0.397282701674923</v>
      </c>
      <c r="AV102" s="37" t="n">
        <f aca="false">L102*(1+(((2-3*X102^2)/24*AJ102^2)+(X102*AJ102*L102/4))*1)</f>
        <v>0.361170193111996</v>
      </c>
    </row>
    <row r="103" customFormat="false" ht="15" hidden="false" customHeight="true" outlineLevel="0" collapsed="false">
      <c r="B103" s="35" t="s">
        <v>76</v>
      </c>
      <c r="C103" s="24" t="n">
        <f aca="false">C11+$C$29*C44</f>
        <v>0.506702</v>
      </c>
      <c r="D103" s="24" t="n">
        <f aca="false">D11+$C$29*D44</f>
        <v>0.4881135</v>
      </c>
      <c r="E103" s="24" t="n">
        <f aca="false">E11+$C$29*E44</f>
        <v>0.4634405</v>
      </c>
      <c r="F103" s="24" t="n">
        <f aca="false">F11+$C$29*F44</f>
        <v>0.456172</v>
      </c>
      <c r="G103" s="24" t="n">
        <f aca="false">G11+$C$29*G44</f>
        <v>0.425489</v>
      </c>
      <c r="H103" s="24" t="n">
        <f aca="false">H11+$C$29*H44</f>
        <v>0.4076795</v>
      </c>
      <c r="I103" s="24" t="n">
        <f aca="false">I11+$C$29*I44</f>
        <v>0.3913785</v>
      </c>
      <c r="J103" s="24" t="n">
        <f aca="false">J11+$C$29*J44</f>
        <v>0.3723025</v>
      </c>
      <c r="K103" s="24" t="n">
        <f aca="false">K11+$C$29*K44</f>
        <v>0.3571115</v>
      </c>
      <c r="L103" s="24" t="n">
        <f aca="false">L11+$C$29*L44</f>
        <v>0.332928</v>
      </c>
      <c r="N103" s="35" t="s">
        <v>76</v>
      </c>
      <c r="O103" s="24" t="n">
        <f aca="false">O11+$D$29*O44</f>
        <v>-0.2822</v>
      </c>
      <c r="P103" s="24" t="n">
        <f aca="false">P11+$D$29*P44</f>
        <v>-0.2598</v>
      </c>
      <c r="Q103" s="24" t="n">
        <f aca="false">Q11+$D$29*Q44</f>
        <v>-0.2413</v>
      </c>
      <c r="R103" s="24" t="n">
        <f aca="false">R11+$D$29*R44</f>
        <v>-0.2166</v>
      </c>
      <c r="S103" s="24" t="n">
        <f aca="false">S11+$D$29*S44</f>
        <v>-0.2039</v>
      </c>
      <c r="T103" s="24" t="n">
        <f aca="false">T11+$D$29*T44</f>
        <v>-0.1675</v>
      </c>
      <c r="U103" s="24" t="n">
        <f aca="false">U11+$D$29*U44</f>
        <v>-0.1533</v>
      </c>
      <c r="V103" s="24" t="n">
        <f aca="false">V11+$D$29*V44</f>
        <v>-0.1431</v>
      </c>
      <c r="W103" s="24" t="n">
        <f aca="false">W11+$D$29*W44</f>
        <v>-0.1216</v>
      </c>
      <c r="X103" s="24" t="n">
        <f aca="false">X11+$D$29*X44</f>
        <v>-0.1003</v>
      </c>
      <c r="Z103" s="35" t="s">
        <v>76</v>
      </c>
      <c r="AA103" s="24" t="n">
        <f aca="false">AA11+$E$29*AA44</f>
        <v>0.7584</v>
      </c>
      <c r="AB103" s="24" t="n">
        <f aca="false">AB11+$E$29*AB44</f>
        <v>0.7313</v>
      </c>
      <c r="AC103" s="24" t="n">
        <f aca="false">AC11+$E$29*AC44</f>
        <v>0.7236</v>
      </c>
      <c r="AD103" s="24" t="n">
        <f aca="false">AD11+$E$29*AD44</f>
        <v>0.7043</v>
      </c>
      <c r="AE103" s="24" t="n">
        <f aca="false">AE11+$E$29*AE44</f>
        <v>0.6715</v>
      </c>
      <c r="AF103" s="24" t="n">
        <f aca="false">AF11+$E$29*AF44</f>
        <v>0.6497</v>
      </c>
      <c r="AG103" s="24" t="n">
        <f aca="false">AG11+$E$29*AG44</f>
        <v>0.6195</v>
      </c>
      <c r="AH103" s="24" t="n">
        <f aca="false">AH11+$E$29*AH44</f>
        <v>0.5976</v>
      </c>
      <c r="AI103" s="24" t="n">
        <f aca="false">AI11+$E$29*AI44</f>
        <v>0.5802</v>
      </c>
      <c r="AJ103" s="24" t="n">
        <f aca="false">AJ11+$E$29*AJ44</f>
        <v>0.5564</v>
      </c>
      <c r="AL103" s="35" t="s">
        <v>76</v>
      </c>
      <c r="AM103" s="37" t="n">
        <f aca="false">C103*(1+(((2-3*O103^2)/24*AA103^2)+(O103*AA103*C103/4))*2)</f>
        <v>0.521998454711438</v>
      </c>
      <c r="AN103" s="37" t="n">
        <f aca="false">D103*(1+(((2-3*P103^2)/24*AB103^2)+(P103*AB103*D103/4))*2)</f>
        <v>0.504582595806105</v>
      </c>
      <c r="AO103" s="37" t="n">
        <f aca="false">E103*(1+(((2-3*Q103^2)/24*AC103^2)+(Q103*AC103*E103/4))*2)</f>
        <v>0.481600425877572</v>
      </c>
      <c r="AP103" s="37" t="n">
        <f aca="false">F103*(1+(((2-3*R103^2)/24*AD103^2)+(R103*AD103*F103/4))*2)</f>
        <v>0.475358715991569</v>
      </c>
      <c r="AQ103" s="37" t="n">
        <f aca="false">G103*(1+(((2-3*S103^2)/24*AE103^2)+(S103*AE103*G103/4))*2)</f>
        <v>0.443077275622866</v>
      </c>
      <c r="AR103" s="37" t="n">
        <f aca="false">H103*(1+(((2-3*T103^2)/24*AF103^2)+(T103*AF103*H103/4))*2)</f>
        <v>0.426109942217151</v>
      </c>
      <c r="AS103" s="37" t="n">
        <f aca="false">I103*(1+(((2-3*U103^2)/24*AG103^2)+(U103*AG103*I103/4))*2)</f>
        <v>0.408256345480133</v>
      </c>
      <c r="AT103" s="37" t="n">
        <f aca="false">J103*(1+(((2-3*V103^2)/24*AH103^2)+(V103*AH103*J103/4))*2)</f>
        <v>0.387854943618721</v>
      </c>
      <c r="AU103" s="37" t="n">
        <f aca="false">K103*(1+(((2-3*W103^2)/24*AI103^2)+(W103*AI103*K103/4))*2)</f>
        <v>0.372204249784431</v>
      </c>
      <c r="AV103" s="37" t="n">
        <f aca="false">L103*(1+(((2-3*X103^2)/24*AJ103^2)+(X103*AJ103*L103/4))*2)</f>
        <v>0.346753960648394</v>
      </c>
    </row>
    <row r="104" customFormat="false" ht="15" hidden="false" customHeight="true" outlineLevel="0" collapsed="false">
      <c r="B104" s="35" t="s">
        <v>77</v>
      </c>
      <c r="C104" s="24" t="n">
        <f aca="false">C12+$C$29*C45</f>
        <v>0.497349</v>
      </c>
      <c r="D104" s="24" t="n">
        <f aca="false">D12+$C$29*D45</f>
        <v>0.465299</v>
      </c>
      <c r="E104" s="24" t="n">
        <f aca="false">E12+$C$29*E45</f>
        <v>0.443439</v>
      </c>
      <c r="F104" s="24" t="n">
        <f aca="false">F12+$C$29*F45</f>
        <v>0.4442115</v>
      </c>
      <c r="G104" s="24" t="n">
        <f aca="false">G12+$C$29*G45</f>
        <v>0.4164465</v>
      </c>
      <c r="H104" s="24" t="n">
        <f aca="false">H12+$C$29*H45</f>
        <v>0.390527</v>
      </c>
      <c r="I104" s="24" t="n">
        <f aca="false">I12+$C$29*I45</f>
        <v>0.3804355</v>
      </c>
      <c r="J104" s="24" t="n">
        <f aca="false">J12+$C$29*J45</f>
        <v>0.3513445</v>
      </c>
      <c r="K104" s="24" t="n">
        <f aca="false">K12+$C$29*K45</f>
        <v>0.342223</v>
      </c>
      <c r="L104" s="24" t="n">
        <f aca="false">L12+$C$29*L45</f>
        <v>0.3337645</v>
      </c>
      <c r="N104" s="35" t="s">
        <v>77</v>
      </c>
      <c r="O104" s="24" t="n">
        <f aca="false">O12+$D$29*O45</f>
        <v>-0.2455</v>
      </c>
      <c r="P104" s="24" t="n">
        <f aca="false">P12+$D$29*P45</f>
        <v>-0.2294</v>
      </c>
      <c r="Q104" s="24" t="n">
        <f aca="false">Q12+$D$29*Q45</f>
        <v>-0.2187</v>
      </c>
      <c r="R104" s="24" t="n">
        <f aca="false">R12+$D$29*R45</f>
        <v>-0.1971</v>
      </c>
      <c r="S104" s="24" t="n">
        <f aca="false">S12+$D$29*S45</f>
        <v>-0.1817</v>
      </c>
      <c r="T104" s="24" t="n">
        <f aca="false">T12+$D$29*T45</f>
        <v>-0.1501</v>
      </c>
      <c r="U104" s="24" t="n">
        <f aca="false">U12+$D$29*U45</f>
        <v>-0.1355</v>
      </c>
      <c r="V104" s="24" t="n">
        <f aca="false">V12+$D$29*V45</f>
        <v>-0.1111</v>
      </c>
      <c r="W104" s="24" t="n">
        <f aca="false">W12+$D$29*W45</f>
        <v>-0.1006</v>
      </c>
      <c r="X104" s="24" t="n">
        <f aca="false">X12+$D$29*X45</f>
        <v>-0.0833</v>
      </c>
      <c r="Z104" s="35" t="s">
        <v>77</v>
      </c>
      <c r="AA104" s="24" t="n">
        <f aca="false">AA12+$E$29*AA45</f>
        <v>0.7451</v>
      </c>
      <c r="AB104" s="24" t="n">
        <f aca="false">AB12+$E$29*AB45</f>
        <v>0.7264</v>
      </c>
      <c r="AC104" s="24" t="n">
        <f aca="false">AC12+$E$29*AC45</f>
        <v>0.7015</v>
      </c>
      <c r="AD104" s="24" t="n">
        <f aca="false">AD12+$E$29*AD45</f>
        <v>0.6783</v>
      </c>
      <c r="AE104" s="24" t="n">
        <f aca="false">AE12+$E$29*AE45</f>
        <v>0.6564</v>
      </c>
      <c r="AF104" s="24" t="n">
        <f aca="false">AF12+$E$29*AF45</f>
        <v>0.6326</v>
      </c>
      <c r="AG104" s="24" t="n">
        <f aca="false">AG12+$E$29*AG45</f>
        <v>0.6001</v>
      </c>
      <c r="AH104" s="24" t="n">
        <f aca="false">AH12+$E$29*AH45</f>
        <v>0.5837</v>
      </c>
      <c r="AI104" s="24" t="n">
        <f aca="false">AI12+$E$29*AI45</f>
        <v>0.5582</v>
      </c>
      <c r="AJ104" s="24" t="n">
        <f aca="false">AJ12+$E$29*AJ45</f>
        <v>0.5295</v>
      </c>
      <c r="AL104" s="35" t="s">
        <v>77</v>
      </c>
      <c r="AM104" s="37" t="n">
        <f aca="false">C104*(1+(((2-3*O104^2)/24*AA104^2)+(O104*AA104*C104/4))*3)</f>
        <v>0.5262020804865</v>
      </c>
      <c r="AN104" s="37" t="n">
        <f aca="false">D104*(1+(((2-3*P104^2)/24*AB104^2)+(P104*AB104*D104/4))*3)</f>
        <v>0.494775532219388</v>
      </c>
      <c r="AO104" s="37" t="n">
        <f aca="false">E104*(1+(((2-3*Q104^2)/24*AC104^2)+(Q104*AC104*E104/4))*3)</f>
        <v>0.471453476429325</v>
      </c>
      <c r="AP104" s="37" t="n">
        <f aca="false">F104*(1+(((2-3*R104^2)/24*AD104^2)+(R104*AD104*F104/4))*3)</f>
        <v>0.472542907433932</v>
      </c>
      <c r="AQ104" s="37" t="n">
        <f aca="false">G104*(1+(((2-3*S104^2)/24*AE104^2)+(S104*AE104*G104/4))*3)</f>
        <v>0.443569415428255</v>
      </c>
      <c r="AR104" s="37" t="n">
        <f aca="false">H104*(1+(((2-3*T104^2)/24*AF104^2)+(T104*AF104*H104/4))*3)</f>
        <v>0.417416067057603</v>
      </c>
      <c r="AS104" s="37" t="n">
        <f aca="false">I104*(1+(((2-3*U104^2)/24*AG104^2)+(U104*AG104*I104/4))*3)</f>
        <v>0.404916380499262</v>
      </c>
      <c r="AT104" s="37" t="n">
        <f aca="false">J104*(1+(((2-3*V104^2)/24*AH104^2)+(V104*AH104*J104/4))*3)</f>
        <v>0.374712817514549</v>
      </c>
      <c r="AU104" s="37" t="n">
        <f aca="false">K104*(1+(((2-3*W104^2)/24*AI104^2)+(W104*AI104*K104/4))*3)</f>
        <v>0.363543891750487</v>
      </c>
      <c r="AV104" s="37" t="n">
        <f aca="false">L104*(1+(((2-3*X104^2)/24*AJ104^2)+(X104*AJ104*L104/4))*3)</f>
        <v>0.353230284770376</v>
      </c>
    </row>
    <row r="105" customFormat="false" ht="15" hidden="false" customHeight="true" outlineLevel="0" collapsed="false">
      <c r="B105" s="35" t="s">
        <v>78</v>
      </c>
      <c r="C105" s="24" t="n">
        <f aca="false">C13+$C$29*C46</f>
        <v>0.4619815</v>
      </c>
      <c r="D105" s="24" t="n">
        <f aca="false">D13+$C$29*D46</f>
        <v>0.4484775</v>
      </c>
      <c r="E105" s="24" t="n">
        <f aca="false">E13+$C$29*E46</f>
        <v>0.430268</v>
      </c>
      <c r="F105" s="24" t="n">
        <f aca="false">F13+$C$29*F46</f>
        <v>0.41989</v>
      </c>
      <c r="G105" s="24" t="n">
        <f aca="false">G13+$C$29*G46</f>
        <v>0.406604</v>
      </c>
      <c r="H105" s="24" t="n">
        <f aca="false">H13+$C$29*H46</f>
        <v>0.377572</v>
      </c>
      <c r="I105" s="24" t="n">
        <f aca="false">I13+$C$29*I46</f>
        <v>0.3688475</v>
      </c>
      <c r="J105" s="24" t="n">
        <f aca="false">J13+$C$29*J46</f>
        <v>0.3520175</v>
      </c>
      <c r="K105" s="24" t="n">
        <f aca="false">K13+$C$29*K46</f>
        <v>0.3324625</v>
      </c>
      <c r="L105" s="24" t="n">
        <f aca="false">L13+$C$29*L46</f>
        <v>0.302548</v>
      </c>
      <c r="N105" s="35" t="s">
        <v>78</v>
      </c>
      <c r="O105" s="24" t="n">
        <f aca="false">O13+$D$29*O46</f>
        <v>-0.2389</v>
      </c>
      <c r="P105" s="24" t="n">
        <f aca="false">P13+$D$29*P46</f>
        <v>-0.2194</v>
      </c>
      <c r="Q105" s="24" t="n">
        <f aca="false">Q13+$D$29*Q46</f>
        <v>-0.2005</v>
      </c>
      <c r="R105" s="24" t="n">
        <f aca="false">R13+$D$29*R46</f>
        <v>-0.1809</v>
      </c>
      <c r="S105" s="24" t="n">
        <f aca="false">S13+$D$29*S46</f>
        <v>-0.1531</v>
      </c>
      <c r="T105" s="24" t="n">
        <f aca="false">T13+$D$29*T46</f>
        <v>-0.1281</v>
      </c>
      <c r="U105" s="24" t="n">
        <f aca="false">U13+$D$29*U46</f>
        <v>-0.1099</v>
      </c>
      <c r="V105" s="24" t="n">
        <f aca="false">V13+$D$29*V46</f>
        <v>-0.0976</v>
      </c>
      <c r="W105" s="24" t="n">
        <f aca="false">W13+$D$29*W46</f>
        <v>-0.0747</v>
      </c>
      <c r="X105" s="24" t="n">
        <f aca="false">X13+$D$29*X46</f>
        <v>-0.0523</v>
      </c>
      <c r="Z105" s="35" t="s">
        <v>78</v>
      </c>
      <c r="AA105" s="24" t="n">
        <f aca="false">AA13+$E$29*AA46</f>
        <v>0.7084</v>
      </c>
      <c r="AB105" s="24" t="n">
        <f aca="false">AB13+$E$29*AB46</f>
        <v>0.6977</v>
      </c>
      <c r="AC105" s="24" t="n">
        <f aca="false">AC13+$E$29*AC46</f>
        <v>0.6804</v>
      </c>
      <c r="AD105" s="24" t="n">
        <f aca="false">AD13+$E$29*AD46</f>
        <v>0.6556</v>
      </c>
      <c r="AE105" s="24" t="n">
        <f aca="false">AE13+$E$29*AE46</f>
        <v>0.6328</v>
      </c>
      <c r="AF105" s="24" t="n">
        <f aca="false">AF13+$E$29*AF46</f>
        <v>0.6051</v>
      </c>
      <c r="AG105" s="24" t="n">
        <f aca="false">AG13+$E$29*AG46</f>
        <v>0.5769</v>
      </c>
      <c r="AH105" s="24" t="n">
        <f aca="false">AH13+$E$29*AH46</f>
        <v>0.5669</v>
      </c>
      <c r="AI105" s="24" t="n">
        <f aca="false">AI13+$E$29*AI46</f>
        <v>0.5355</v>
      </c>
      <c r="AJ105" s="24" t="n">
        <f aca="false">AJ13+$E$29*AJ46</f>
        <v>0.5227</v>
      </c>
      <c r="AL105" s="35" t="s">
        <v>78</v>
      </c>
      <c r="AM105" s="37" t="n">
        <f aca="false">C105*(1+(((2-3*O105^2)/24*AA105^2)+(O105*AA105*C105/4))*5)</f>
        <v>0.505160635907466</v>
      </c>
      <c r="AN105" s="37" t="n">
        <f aca="false">D105*(1+(((2-3*P105^2)/24*AB105^2)+(P105*AB105*D105/4))*5)</f>
        <v>0.494387504622976</v>
      </c>
      <c r="AO105" s="37" t="n">
        <f aca="false">E105*(1+(((2-3*Q105^2)/24*AC105^2)+(Q105*AC105*E105/4))*5)</f>
        <v>0.476689742472227</v>
      </c>
      <c r="AP105" s="37" t="n">
        <f aca="false">F105*(1+(((2-3*R105^2)/24*AD105^2)+(R105*AD105*F105/4))*5)</f>
        <v>0.46525889131367</v>
      </c>
      <c r="AQ105" s="37" t="n">
        <f aca="false">G105*(1+(((2-3*S105^2)/24*AE105^2)+(S105*AE105*G105/4))*5)</f>
        <v>0.452038492459185</v>
      </c>
      <c r="AR105" s="37" t="n">
        <f aca="false">H105*(1+(((2-3*T105^2)/24*AF105^2)+(T105*AF105*H105/4))*5)</f>
        <v>0.419943912312237</v>
      </c>
      <c r="AS105" s="37" t="n">
        <f aca="false">I105*(1+(((2-3*U105^2)/24*AG105^2)+(U105*AG105*I105/4))*5)</f>
        <v>0.408287714120932</v>
      </c>
      <c r="AT105" s="37" t="n">
        <f aca="false">J105*(1+(((2-3*V105^2)/24*AH105^2)+(V105*AH105*J105/4))*5)</f>
        <v>0.389911127260494</v>
      </c>
      <c r="AU105" s="37" t="n">
        <f aca="false">K105*(1+(((2-3*W105^2)/24*AI105^2)+(W105*AI105*K105/4))*5)</f>
        <v>0.366326947787375</v>
      </c>
      <c r="AV105" s="37" t="n">
        <f aca="false">L105*(1+(((2-3*X105^2)/24*AJ105^2)+(X105*AJ105*L105/4))*5)</f>
        <v>0.333720762247117</v>
      </c>
    </row>
    <row r="106" customFormat="false" ht="15" hidden="false" customHeight="true" outlineLevel="0" collapsed="false">
      <c r="B106" s="35" t="s">
        <v>79</v>
      </c>
      <c r="C106" s="24" t="n">
        <f aca="false">C14+$C$29*C47</f>
        <v>0.462521</v>
      </c>
      <c r="D106" s="24" t="n">
        <f aca="false">D14+$C$29*D47</f>
        <v>0.4325785</v>
      </c>
      <c r="E106" s="24" t="n">
        <f aca="false">E14+$C$29*E47</f>
        <v>0.414769</v>
      </c>
      <c r="F106" s="24" t="n">
        <f aca="false">F14+$C$29*F47</f>
        <v>0.4066295</v>
      </c>
      <c r="G106" s="24" t="n">
        <f aca="false">G14+$C$29*G47</f>
        <v>0.383787</v>
      </c>
      <c r="H106" s="24" t="n">
        <f aca="false">H14+$C$29*H47</f>
        <v>0.354511</v>
      </c>
      <c r="I106" s="24" t="n">
        <f aca="false">I14+$C$29*I47</f>
        <v>0.3343255</v>
      </c>
      <c r="J106" s="24" t="n">
        <f aca="false">J14+$C$29*J47</f>
        <v>0.3162395</v>
      </c>
      <c r="K106" s="24" t="n">
        <f aca="false">K14+$C$29*K47</f>
        <v>0.3137375</v>
      </c>
      <c r="L106" s="24" t="n">
        <f aca="false">L14+$C$29*L47</f>
        <v>0.2931695</v>
      </c>
      <c r="N106" s="35" t="s">
        <v>79</v>
      </c>
      <c r="O106" s="24" t="n">
        <f aca="false">O14+$D$29*O47</f>
        <v>-0.221</v>
      </c>
      <c r="P106" s="24" t="n">
        <f aca="false">P14+$D$29*P47</f>
        <v>-0.1879</v>
      </c>
      <c r="Q106" s="24" t="n">
        <f aca="false">Q14+$D$29*Q47</f>
        <v>-0.1654</v>
      </c>
      <c r="R106" s="24" t="n">
        <f aca="false">R14+$D$29*R47</f>
        <v>-0.1524</v>
      </c>
      <c r="S106" s="24" t="n">
        <f aca="false">S14+$D$29*S47</f>
        <v>-0.1391</v>
      </c>
      <c r="T106" s="24" t="n">
        <f aca="false">T14+$D$29*T47</f>
        <v>-0.1157</v>
      </c>
      <c r="U106" s="24" t="n">
        <f aca="false">U14+$D$29*U47</f>
        <v>-0.1046</v>
      </c>
      <c r="V106" s="24" t="n">
        <f aca="false">V14+$D$29*V47</f>
        <v>-0.0875</v>
      </c>
      <c r="W106" s="24" t="n">
        <f aca="false">W14+$D$29*W47</f>
        <v>-0.0489</v>
      </c>
      <c r="X106" s="24" t="n">
        <f aca="false">X14+$D$29*X47</f>
        <v>-0.0359</v>
      </c>
      <c r="Z106" s="35" t="s">
        <v>79</v>
      </c>
      <c r="AA106" s="24" t="n">
        <f aca="false">AA14+$E$29*AA47</f>
        <v>0.695</v>
      </c>
      <c r="AB106" s="24" t="n">
        <f aca="false">AB14+$E$29*AB47</f>
        <v>0.6809</v>
      </c>
      <c r="AC106" s="24" t="n">
        <f aca="false">AC14+$E$29*AC47</f>
        <v>0.6487</v>
      </c>
      <c r="AD106" s="24" t="n">
        <f aca="false">AD14+$E$29*AD47</f>
        <v>0.6352</v>
      </c>
      <c r="AE106" s="24" t="n">
        <f aca="false">AE14+$E$29*AE47</f>
        <v>0.6121</v>
      </c>
      <c r="AF106" s="24" t="n">
        <f aca="false">AF14+$E$29*AF47</f>
        <v>0.5776</v>
      </c>
      <c r="AG106" s="24" t="n">
        <f aca="false">AG14+$E$29*AG47</f>
        <v>0.5561</v>
      </c>
      <c r="AH106" s="24" t="n">
        <f aca="false">AH14+$E$29*AH47</f>
        <v>0.5347</v>
      </c>
      <c r="AI106" s="24" t="n">
        <f aca="false">AI14+$E$29*AI47</f>
        <v>0.5115</v>
      </c>
      <c r="AJ106" s="24" t="n">
        <f aca="false">AJ14+$E$29*AJ47</f>
        <v>0.4962</v>
      </c>
      <c r="AL106" s="35" t="s">
        <v>79</v>
      </c>
      <c r="AM106" s="37" t="n">
        <f aca="false">C106*(1+(((2-3*O106^2)/24*AA106^2)+(O106*AA106*C106/4))*10)</f>
        <v>0.552911141766432</v>
      </c>
      <c r="AN106" s="37" t="n">
        <f aca="false">D106*(1+(((2-3*P106^2)/24*AB106^2)+(P106*AB106*D106/4))*10)</f>
        <v>0.531003698276232</v>
      </c>
      <c r="AO106" s="37" t="n">
        <f aca="false">E106*(1+(((2-3*Q106^2)/24*AC106^2)+(Q106*AC106*E106/4))*10)</f>
        <v>0.508104287030707</v>
      </c>
      <c r="AP106" s="37" t="n">
        <f aca="false">F106*(1+(((2-3*R106^2)/24*AD106^2)+(R106*AD106*F106/4))*10)</f>
        <v>0.498572396985863</v>
      </c>
      <c r="AQ106" s="37" t="n">
        <f aca="false">G106*(1+(((2-3*S106^2)/24*AE106^2)+(S106*AE106*G106/4))*10)</f>
        <v>0.468783644843539</v>
      </c>
      <c r="AR106" s="37" t="n">
        <f aca="false">H106*(1+(((2-3*T106^2)/24*AF106^2)+(T106*AF106*H106/4))*10)</f>
        <v>0.430095285807337</v>
      </c>
      <c r="AS106" s="37" t="n">
        <f aca="false">I106*(1+(((2-3*U106^2)/24*AG106^2)+(U106*AG106*I106/4))*10)</f>
        <v>0.402815067534708</v>
      </c>
      <c r="AT106" s="37" t="n">
        <f aca="false">J106*(1+(((2-3*V106^2)/24*AH106^2)+(V106*AH106*J106/4))*10)</f>
        <v>0.379021916353048</v>
      </c>
      <c r="AU106" s="37" t="n">
        <f aca="false">K106*(1+(((2-3*W106^2)/24*AI106^2)+(W106*AI106*K106/4))*10)</f>
        <v>0.375740366801965</v>
      </c>
      <c r="AV106" s="37" t="n">
        <f aca="false">L106*(1+(((2-3*X106^2)/24*AJ106^2)+(X106*AJ106*L106/4))*10)</f>
        <v>0.34937773009966</v>
      </c>
    </row>
    <row r="107" customFormat="false" ht="15" hidden="false" customHeight="true" outlineLevel="0" collapsed="false">
      <c r="B107" s="35" t="s">
        <v>80</v>
      </c>
      <c r="C107" s="24" t="n">
        <f aca="false">C15+$C$29*C48</f>
        <v>0.4296325</v>
      </c>
      <c r="D107" s="24" t="n">
        <f aca="false">D15+$C$29*D48</f>
        <v>0.4142055</v>
      </c>
      <c r="E107" s="24" t="n">
        <f aca="false">E15+$C$29*E48</f>
        <v>0.390637</v>
      </c>
      <c r="F107" s="24" t="n">
        <f aca="false">F15+$C$29*F48</f>
        <v>0.387938</v>
      </c>
      <c r="G107" s="24" t="n">
        <f aca="false">G15+$C$29*G48</f>
        <v>0.357391</v>
      </c>
      <c r="H107" s="24" t="n">
        <f aca="false">H15+$C$29*H48</f>
        <v>0.3418685</v>
      </c>
      <c r="I107" s="24" t="n">
        <f aca="false">I15+$C$29*I48</f>
        <v>0.3257415</v>
      </c>
      <c r="J107" s="24" t="n">
        <f aca="false">J15+$C$29*J48</f>
        <v>0.313348</v>
      </c>
      <c r="K107" s="24" t="n">
        <f aca="false">K15+$C$29*K48</f>
        <v>0.2848775</v>
      </c>
      <c r="L107" s="24" t="n">
        <f aca="false">L15+$C$29*L48</f>
        <v>0.278075</v>
      </c>
      <c r="N107" s="35" t="s">
        <v>80</v>
      </c>
      <c r="O107" s="24" t="n">
        <f aca="false">O15+$D$29*O48</f>
        <v>-0.1944</v>
      </c>
      <c r="P107" s="24" t="n">
        <f aca="false">P15+$D$29*P48</f>
        <v>-0.1744</v>
      </c>
      <c r="Q107" s="24" t="n">
        <f aca="false">Q15+$D$29*Q48</f>
        <v>-0.1551</v>
      </c>
      <c r="R107" s="24" t="n">
        <f aca="false">R15+$D$29*R48</f>
        <v>-0.1457</v>
      </c>
      <c r="S107" s="24" t="n">
        <f aca="false">S15+$D$29*S48</f>
        <v>-0.1179</v>
      </c>
      <c r="T107" s="24" t="n">
        <f aca="false">T15+$D$29*T48</f>
        <v>-0.1036</v>
      </c>
      <c r="U107" s="24" t="n">
        <f aca="false">U15+$D$29*U48</f>
        <v>-0.0877</v>
      </c>
      <c r="V107" s="24" t="n">
        <f aca="false">V15+$D$29*V48</f>
        <v>-0.0523</v>
      </c>
      <c r="W107" s="24" t="n">
        <f aca="false">W15+$D$29*W48</f>
        <v>-0.0454</v>
      </c>
      <c r="X107" s="24" t="n">
        <f aca="false">X15+$D$29*X48</f>
        <v>-0.02</v>
      </c>
      <c r="Z107" s="35" t="s">
        <v>80</v>
      </c>
      <c r="AA107" s="24" t="n">
        <f aca="false">AA15+$E$29*AA48</f>
        <v>0.6767</v>
      </c>
      <c r="AB107" s="24" t="n">
        <f aca="false">AB15+$E$29*AB48</f>
        <v>0.6511</v>
      </c>
      <c r="AC107" s="24" t="n">
        <f aca="false">AC15+$E$29*AC48</f>
        <v>0.6243</v>
      </c>
      <c r="AD107" s="24" t="n">
        <f aca="false">AD15+$E$29*AD48</f>
        <v>0.6059</v>
      </c>
      <c r="AE107" s="24" t="n">
        <f aca="false">AE15+$E$29*AE48</f>
        <v>0.5844</v>
      </c>
      <c r="AF107" s="24" t="n">
        <f aca="false">AF15+$E$29*AF48</f>
        <v>0.5668</v>
      </c>
      <c r="AG107" s="24" t="n">
        <f aca="false">AG15+$E$29*AG48</f>
        <v>0.531</v>
      </c>
      <c r="AH107" s="24" t="n">
        <f aca="false">AH15+$E$29*AH48</f>
        <v>0.5179</v>
      </c>
      <c r="AI107" s="24" t="n">
        <f aca="false">AI15+$E$29*AI48</f>
        <v>0.4894</v>
      </c>
      <c r="AJ107" s="24" t="n">
        <f aca="false">AJ15+$E$29*AJ48</f>
        <v>0.4678</v>
      </c>
      <c r="AL107" s="35" t="s">
        <v>80</v>
      </c>
      <c r="AM107" s="37" t="n">
        <f aca="false">C107*(1+(((2-3*O107^2)/24*AA107^2)+(O107*AA107*C107/4))*20)</f>
        <v>0.617531924456216</v>
      </c>
      <c r="AN107" s="37" t="n">
        <f aca="false">D107*(1+(((2-3*P107^2)/24*AB107^2)+(P107*AB107*D107/4))*20)</f>
        <v>0.596103009637487</v>
      </c>
      <c r="AO107" s="37" t="n">
        <f aca="false">E107*(1+(((2-3*Q107^2)/24*AC107^2)+(Q107*AC107*E107/4))*20)</f>
        <v>0.561353077106156</v>
      </c>
      <c r="AP107" s="37" t="n">
        <f aca="false">F107*(1+(((2-3*R107^2)/24*AD107^2)+(R107*AD107*F107/4))*20)</f>
        <v>0.551314080706769</v>
      </c>
      <c r="AQ107" s="37" t="n">
        <f aca="false">G107*(1+(((2-3*S107^2)/24*AE107^2)+(S107*AE107*G107/4))*20)</f>
        <v>0.512575445716051</v>
      </c>
      <c r="AR107" s="37" t="n">
        <f aca="false">H107*(1+(((2-3*T107^2)/24*AF107^2)+(T107*AF107*H107/4))*20)</f>
        <v>0.487656071528141</v>
      </c>
      <c r="AS107" s="37" t="n">
        <f aca="false">I107*(1+(((2-3*U107^2)/24*AG107^2)+(U107*AG107*I107/4))*20)</f>
        <v>0.452346341119572</v>
      </c>
      <c r="AT107" s="37" t="n">
        <f aca="false">J107*(1+(((2-3*V107^2)/24*AH107^2)+(V107*AH107*J107/4))*20)</f>
        <v>0.439552942661439</v>
      </c>
      <c r="AU107" s="37" t="n">
        <f aca="false">K107*(1+(((2-3*W107^2)/24*AI107^2)+(W107*AI107*K107/4))*20)</f>
        <v>0.389229541076408</v>
      </c>
      <c r="AV107" s="37" t="n">
        <f aca="false">L107*(1+(((2-3*X107^2)/24*AJ107^2)+(X107*AJ107*L107/4))*20)</f>
        <v>0.375818607574913</v>
      </c>
    </row>
    <row r="108" customFormat="false" ht="15" hidden="false" customHeight="true" outlineLevel="0" collapsed="false">
      <c r="B108" s="35" t="s">
        <v>81</v>
      </c>
      <c r="C108" s="24" t="n">
        <f aca="false">C16+$C$29*C49</f>
        <v>0.421021</v>
      </c>
      <c r="D108" s="24" t="n">
        <f aca="false">D16+$C$29*D49</f>
        <v>0.398424</v>
      </c>
      <c r="E108" s="24" t="n">
        <f aca="false">E16+$C$29*E49</f>
        <v>0.380077</v>
      </c>
      <c r="F108" s="24" t="n">
        <f aca="false">F16+$C$29*F49</f>
        <v>0.366106</v>
      </c>
      <c r="G108" s="24" t="n">
        <f aca="false">G16+$C$29*G49</f>
        <v>0.3501075</v>
      </c>
      <c r="H108" s="24" t="n">
        <f aca="false">H16+$C$29*H49</f>
        <v>0.3228595</v>
      </c>
      <c r="I108" s="24" t="n">
        <f aca="false">I16+$C$29*I49</f>
        <v>0.307548</v>
      </c>
      <c r="J108" s="24" t="n">
        <f aca="false">J16+$C$29*J49</f>
        <v>0.286475</v>
      </c>
      <c r="K108" s="24" t="n">
        <f aca="false">K16+$C$29*K49</f>
        <v>0.269975</v>
      </c>
      <c r="L108" s="24" t="n">
        <f aca="false">L16+$C$29*L49</f>
        <v>0.256975</v>
      </c>
      <c r="N108" s="35" t="s">
        <v>81</v>
      </c>
      <c r="O108" s="24" t="n">
        <f aca="false">O16+$D$29*O49</f>
        <v>-0.176</v>
      </c>
      <c r="P108" s="24" t="n">
        <f aca="false">P16+$D$29*P49</f>
        <v>-0.1549</v>
      </c>
      <c r="Q108" s="24" t="n">
        <f aca="false">Q16+$D$29*Q49</f>
        <v>-0.1366</v>
      </c>
      <c r="R108" s="24" t="n">
        <f aca="false">R16+$D$29*R49</f>
        <v>-0.1078</v>
      </c>
      <c r="S108" s="24" t="n">
        <f aca="false">S16+$D$29*S49</f>
        <v>-0.0932</v>
      </c>
      <c r="T108" s="24" t="n">
        <f aca="false">T16+$D$29*T49</f>
        <v>-0.0702</v>
      </c>
      <c r="U108" s="24" t="n">
        <f aca="false">U16+$D$29*U49</f>
        <v>-0.0495</v>
      </c>
      <c r="V108" s="24" t="n">
        <f aca="false">V16+$D$29*V49</f>
        <v>-0.0437</v>
      </c>
      <c r="W108" s="24" t="n">
        <f aca="false">W16+$D$29*W49</f>
        <v>-0.0183</v>
      </c>
      <c r="X108" s="24" t="n">
        <f aca="false">X16+$D$29*X49</f>
        <v>0.0089</v>
      </c>
      <c r="Z108" s="35" t="s">
        <v>81</v>
      </c>
      <c r="AA108" s="24" t="n">
        <f aca="false">AA16+$E$29*AA49</f>
        <v>0.6568</v>
      </c>
      <c r="AB108" s="24" t="n">
        <f aca="false">AB16+$E$29*AB49</f>
        <v>0.6205</v>
      </c>
      <c r="AC108" s="24" t="n">
        <f aca="false">AC16+$E$29*AC49</f>
        <v>0.598</v>
      </c>
      <c r="AD108" s="24" t="n">
        <f aca="false">AD16+$E$29*AD49</f>
        <v>0.5822</v>
      </c>
      <c r="AE108" s="24" t="n">
        <f aca="false">AE16+$E$29*AE49</f>
        <v>0.5526</v>
      </c>
      <c r="AF108" s="24" t="n">
        <f aca="false">AF16+$E$29*AF49</f>
        <v>0.5337</v>
      </c>
      <c r="AG108" s="24" t="n">
        <f aca="false">AG16+$E$29*AG49</f>
        <v>0.5081</v>
      </c>
      <c r="AH108" s="24" t="n">
        <f aca="false">AH16+$E$29*AH49</f>
        <v>0.4978</v>
      </c>
      <c r="AI108" s="24" t="n">
        <f aca="false">AI16+$E$29*AI49</f>
        <v>0.4779</v>
      </c>
      <c r="AJ108" s="24" t="n">
        <f aca="false">AJ16+$E$29*AJ49</f>
        <v>0.4579</v>
      </c>
      <c r="AL108" s="35" t="s">
        <v>81</v>
      </c>
      <c r="AM108" s="37" t="n">
        <f aca="false">C108*(1+(((2-3*O108^2)/24*AA108^2)+(O108*AA108*C108/4))*30)</f>
        <v>0.700301353009527</v>
      </c>
      <c r="AN108" s="37" t="n">
        <f aca="false">D108*(1+(((2-3*P108^2)/24*AB108^2)+(P108*AB108*D108/4))*30)</f>
        <v>0.653693135489983</v>
      </c>
      <c r="AO108" s="37" t="n">
        <f aca="false">E108*(1+(((2-3*Q108^2)/24*AC108^2)+(Q108*AC108*E108/4))*30)</f>
        <v>0.621856406705042</v>
      </c>
      <c r="AP108" s="37" t="n">
        <f aca="false">F108*(1+(((2-3*R108^2)/24*AD108^2)+(R108*AD108*F108/4))*30)</f>
        <v>0.607842756290954</v>
      </c>
      <c r="AQ108" s="37" t="n">
        <f aca="false">G108*(1+(((2-3*S108^2)/24*AE108^2)+(S108*AE108*G108/4))*30)</f>
        <v>0.566556193679419</v>
      </c>
      <c r="AR108" s="37" t="n">
        <f aca="false">H108*(1+(((2-3*T108^2)/24*AF108^2)+(T108*AF108*H108/4))*30)</f>
        <v>0.521774575588217</v>
      </c>
      <c r="AS108" s="37" t="n">
        <f aca="false">I108*(1+(((2-3*U108^2)/24*AG108^2)+(U108*AG108*I108/4))*30)</f>
        <v>0.487472330862647</v>
      </c>
      <c r="AT108" s="37" t="n">
        <f aca="false">J108*(1+(((2-3*V108^2)/24*AH108^2)+(V108*AH108*J108/4))*30)</f>
        <v>0.450051640041076</v>
      </c>
      <c r="AU108" s="37" t="n">
        <f aca="false">K108*(1+(((2-3*W108^2)/24*AI108^2)+(W108*AI108*K108/4))*30)</f>
        <v>0.419264713638253</v>
      </c>
      <c r="AV108" s="37" t="n">
        <f aca="false">L108*(1+(((2-3*X108^2)/24*AJ108^2)+(X108*AJ108*L108/4))*30)</f>
        <v>0.393678797737815</v>
      </c>
    </row>
    <row r="110" customFormat="false" ht="15" hidden="false" customHeight="true" outlineLevel="0" collapsed="false">
      <c r="A110" s="28" t="s">
        <v>157</v>
      </c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</row>
    <row r="111" customFormat="false" ht="15" hidden="false" customHeight="true" outlineLevel="0" collapsed="false">
      <c r="B111" s="28" t="s">
        <v>136</v>
      </c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N111" s="28" t="s">
        <v>137</v>
      </c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Z111" s="28" t="s">
        <v>138</v>
      </c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L111" s="34" t="s">
        <v>139</v>
      </c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</row>
    <row r="112" customFormat="false" ht="15" hidden="false" customHeight="true" outlineLevel="0" collapsed="false">
      <c r="B112" s="18" t="s">
        <v>140</v>
      </c>
      <c r="C112" s="12" t="s">
        <v>141</v>
      </c>
      <c r="D112" s="12" t="s">
        <v>74</v>
      </c>
      <c r="E112" s="12" t="s">
        <v>75</v>
      </c>
      <c r="F112" s="12" t="s">
        <v>30</v>
      </c>
      <c r="G112" s="12" t="s">
        <v>76</v>
      </c>
      <c r="H112" s="12" t="s">
        <v>77</v>
      </c>
      <c r="I112" s="12" t="s">
        <v>78</v>
      </c>
      <c r="J112" s="12" t="s">
        <v>79</v>
      </c>
      <c r="K112" s="12" t="s">
        <v>80</v>
      </c>
      <c r="L112" s="12" t="s">
        <v>81</v>
      </c>
      <c r="N112" s="18" t="s">
        <v>140</v>
      </c>
      <c r="O112" s="12" t="s">
        <v>141</v>
      </c>
      <c r="P112" s="12" t="s">
        <v>74</v>
      </c>
      <c r="Q112" s="12" t="s">
        <v>75</v>
      </c>
      <c r="R112" s="12" t="s">
        <v>30</v>
      </c>
      <c r="S112" s="12" t="s">
        <v>76</v>
      </c>
      <c r="T112" s="12" t="s">
        <v>77</v>
      </c>
      <c r="U112" s="12" t="s">
        <v>78</v>
      </c>
      <c r="V112" s="12" t="s">
        <v>79</v>
      </c>
      <c r="W112" s="12" t="s">
        <v>80</v>
      </c>
      <c r="X112" s="12" t="s">
        <v>81</v>
      </c>
      <c r="Z112" s="18" t="s">
        <v>140</v>
      </c>
      <c r="AA112" s="12" t="s">
        <v>141</v>
      </c>
      <c r="AB112" s="12" t="s">
        <v>74</v>
      </c>
      <c r="AC112" s="12" t="s">
        <v>75</v>
      </c>
      <c r="AD112" s="12" t="s">
        <v>30</v>
      </c>
      <c r="AE112" s="12" t="s">
        <v>76</v>
      </c>
      <c r="AF112" s="12" t="s">
        <v>77</v>
      </c>
      <c r="AG112" s="12" t="s">
        <v>78</v>
      </c>
      <c r="AH112" s="12" t="s">
        <v>79</v>
      </c>
      <c r="AI112" s="12" t="s">
        <v>80</v>
      </c>
      <c r="AJ112" s="12" t="s">
        <v>81</v>
      </c>
      <c r="AL112" s="18" t="s">
        <v>140</v>
      </c>
      <c r="AM112" s="12" t="s">
        <v>141</v>
      </c>
      <c r="AN112" s="12" t="s">
        <v>74</v>
      </c>
      <c r="AO112" s="12" t="s">
        <v>75</v>
      </c>
      <c r="AP112" s="12" t="s">
        <v>30</v>
      </c>
      <c r="AQ112" s="12" t="s">
        <v>76</v>
      </c>
      <c r="AR112" s="12" t="s">
        <v>77</v>
      </c>
      <c r="AS112" s="12" t="s">
        <v>78</v>
      </c>
      <c r="AT112" s="12" t="s">
        <v>79</v>
      </c>
      <c r="AU112" s="12" t="s">
        <v>80</v>
      </c>
      <c r="AV112" s="12" t="s">
        <v>81</v>
      </c>
    </row>
    <row r="113" customFormat="false" ht="15" hidden="false" customHeight="true" outlineLevel="0" collapsed="false">
      <c r="B113" s="35" t="s">
        <v>141</v>
      </c>
      <c r="C113" s="24" t="n">
        <f aca="false">C7+$C$30*C40</f>
        <v>0.5719559</v>
      </c>
      <c r="D113" s="24" t="n">
        <f aca="false">D7+$C$30*D40</f>
        <v>0.5505362</v>
      </c>
      <c r="E113" s="24" t="n">
        <f aca="false">E7+$C$30*E40</f>
        <v>0.542278</v>
      </c>
      <c r="F113" s="24" t="n">
        <f aca="false">F7+$C$30*F40</f>
        <v>0.512706</v>
      </c>
      <c r="G113" s="24" t="n">
        <f aca="false">G7+$C$30*G40</f>
        <v>0.5037683</v>
      </c>
      <c r="H113" s="24" t="n">
        <f aca="false">H7+$C$30*H40</f>
        <v>0.4820783</v>
      </c>
      <c r="I113" s="24" t="n">
        <f aca="false">I7+$C$30*I40</f>
        <v>0.458531</v>
      </c>
      <c r="J113" s="24" t="n">
        <f aca="false">J7+$C$30*J40</f>
        <v>0.4494</v>
      </c>
      <c r="K113" s="24" t="n">
        <f aca="false">K7+$C$30*K40</f>
        <v>0.42171</v>
      </c>
      <c r="L113" s="24" t="n">
        <f aca="false">L7+$C$30*L40</f>
        <v>0.4114518</v>
      </c>
      <c r="N113" s="35" t="s">
        <v>141</v>
      </c>
      <c r="O113" s="24" t="n">
        <f aca="false">O7+$D$30*O40</f>
        <v>-0.3586</v>
      </c>
      <c r="P113" s="24" t="n">
        <f aca="false">P7+$D$30*P40</f>
        <v>-0.3387</v>
      </c>
      <c r="Q113" s="24" t="n">
        <f aca="false">Q7+$D$30*Q40</f>
        <v>-0.3126</v>
      </c>
      <c r="R113" s="24" t="n">
        <f aca="false">R7+$D$30*R40</f>
        <v>-0.2851</v>
      </c>
      <c r="S113" s="24" t="n">
        <f aca="false">S7+$D$30*S40</f>
        <v>-0.2797</v>
      </c>
      <c r="T113" s="24" t="n">
        <f aca="false">T7+$D$30*T40</f>
        <v>-0.2583</v>
      </c>
      <c r="U113" s="24" t="n">
        <f aca="false">U7+$D$30*U40</f>
        <v>-0.2308</v>
      </c>
      <c r="V113" s="24" t="n">
        <f aca="false">V7+$D$30*V40</f>
        <v>-0.2049</v>
      </c>
      <c r="W113" s="24" t="n">
        <f aca="false">W7+$D$30*W40</f>
        <v>-0.1929</v>
      </c>
      <c r="X113" s="24" t="n">
        <f aca="false">X7+$D$30*X40</f>
        <v>-0.1771</v>
      </c>
      <c r="Z113" s="35" t="s">
        <v>141</v>
      </c>
      <c r="AA113" s="24" t="n">
        <f aca="false">AA7+$E$30*AA40</f>
        <v>0.8595</v>
      </c>
      <c r="AB113" s="24" t="n">
        <f aca="false">AB7+$E$30*AB40</f>
        <v>0.8187</v>
      </c>
      <c r="AC113" s="24" t="n">
        <f aca="false">AC7+$E$30*AC40</f>
        <v>0.8127</v>
      </c>
      <c r="AD113" s="24" t="n">
        <f aca="false">AD7+$E$30*AD40</f>
        <v>0.7791</v>
      </c>
      <c r="AE113" s="24" t="n">
        <f aca="false">AE7+$E$30*AE40</f>
        <v>0.754</v>
      </c>
      <c r="AF113" s="24" t="n">
        <f aca="false">AF7+$E$30*AF40</f>
        <v>0.7312</v>
      </c>
      <c r="AG113" s="24" t="n">
        <f aca="false">AG7+$E$30*AG40</f>
        <v>0.7128</v>
      </c>
      <c r="AH113" s="24" t="n">
        <f aca="false">AH7+$E$30*AH40</f>
        <v>0.7008</v>
      </c>
      <c r="AI113" s="24" t="n">
        <f aca="false">AI7+$E$30*AI40</f>
        <v>0.6658</v>
      </c>
      <c r="AJ113" s="24" t="n">
        <f aca="false">AJ7+$E$30*AJ40</f>
        <v>0.6516</v>
      </c>
      <c r="AL113" s="35" t="s">
        <v>141</v>
      </c>
      <c r="AM113" s="37" t="n">
        <f aca="false">C113*(1+(((2-3*O113^2)/24*AA113^2)+(O113*AA113*C113/4))*0.0833333333333333)</f>
        <v>0.572223547036002</v>
      </c>
      <c r="AN113" s="37" t="n">
        <f aca="false">D113*(1+(((2-3*P113^2)/24*AB113^2)+(P113*AB113*D113/4))*0.0833333333333333)</f>
        <v>0.550906861346698</v>
      </c>
      <c r="AO113" s="37" t="n">
        <f aca="false">E113*(1+(((2-3*Q113^2)/24*AC113^2)+(Q113*AC113*E113/4))*0.0833333333333333)</f>
        <v>0.542844273653768</v>
      </c>
      <c r="AP113" s="37" t="n">
        <f aca="false">F113*(1+(((2-3*R113^2)/24*AD113^2)+(R113*AD113*F113/4))*0.0833333333333333)</f>
        <v>0.51338726162208</v>
      </c>
      <c r="AQ113" s="37" t="n">
        <f aca="false">G113*(1+(((2-3*S113^2)/24*AE113^2)+(S113*AE113*G113/4))*0.0833333333333333)</f>
        <v>0.504408774484493</v>
      </c>
      <c r="AR113" s="37" t="n">
        <f aca="false">H113*(1+(((2-3*T113^2)/24*AF113^2)+(T113*AF113*H113/4))*0.0833333333333333)</f>
        <v>0.482774626391869</v>
      </c>
      <c r="AS113" s="37" t="n">
        <f aca="false">I113*(1+(((2-3*U113^2)/24*AG113^2)+(U113*AG113*I113/4))*0.0833333333333333)</f>
        <v>0.459298981472768</v>
      </c>
      <c r="AT113" s="37" t="n">
        <f aca="false">J113*(1+(((2-3*V113^2)/24*AH113^2)+(V113*AH113*J113/4))*0.0833333333333333)</f>
        <v>0.450232009473759</v>
      </c>
      <c r="AU113" s="37" t="n">
        <f aca="false">K113*(1+(((2-3*W113^2)/24*AI113^2)+(W113*AI113*K113/4))*0.0833333333333333)</f>
        <v>0.422459890996558</v>
      </c>
      <c r="AV113" s="37" t="n">
        <f aca="false">L113*(1+(((2-3*X113^2)/24*AJ113^2)+(X113*AJ113*L113/4))*0.0833333333333333)</f>
        <v>0.412200884572384</v>
      </c>
    </row>
    <row r="114" customFormat="false" ht="15" hidden="false" customHeight="true" outlineLevel="0" collapsed="false">
      <c r="B114" s="35" t="s">
        <v>74</v>
      </c>
      <c r="C114" s="24" t="n">
        <f aca="false">C8+$C$30*C41</f>
        <v>0.5599341</v>
      </c>
      <c r="D114" s="24" t="n">
        <f aca="false">D8+$C$30*D41</f>
        <v>0.5364236</v>
      </c>
      <c r="E114" s="24" t="n">
        <f aca="false">E8+$C$30*E41</f>
        <v>0.5219403</v>
      </c>
      <c r="F114" s="24" t="n">
        <f aca="false">F8+$C$30*F41</f>
        <v>0.4939026</v>
      </c>
      <c r="G114" s="24" t="n">
        <f aca="false">G8+$C$30*G41</f>
        <v>0.4764394</v>
      </c>
      <c r="H114" s="24" t="n">
        <f aca="false">H8+$C$30*H41</f>
        <v>0.4608586</v>
      </c>
      <c r="I114" s="24" t="n">
        <f aca="false">I8+$C$30*I41</f>
        <v>0.4526569</v>
      </c>
      <c r="J114" s="24" t="n">
        <f aca="false">J8+$C$30*J41</f>
        <v>0.4290807</v>
      </c>
      <c r="K114" s="24" t="n">
        <f aca="false">K8+$C$30*K41</f>
        <v>0.4092903</v>
      </c>
      <c r="L114" s="24" t="n">
        <f aca="false">L8+$C$30*L41</f>
        <v>0.3964639</v>
      </c>
      <c r="N114" s="35" t="s">
        <v>74</v>
      </c>
      <c r="O114" s="24" t="n">
        <f aca="false">O8+$D$30*O41</f>
        <v>-0.3315</v>
      </c>
      <c r="P114" s="24" t="n">
        <f aca="false">P8+$D$30*P41</f>
        <v>-0.3151</v>
      </c>
      <c r="Q114" s="24" t="n">
        <f aca="false">Q8+$D$30*Q41</f>
        <v>-0.2858</v>
      </c>
      <c r="R114" s="24" t="n">
        <f aca="false">R8+$D$30*R41</f>
        <v>-0.2682</v>
      </c>
      <c r="S114" s="24" t="n">
        <f aca="false">S8+$D$30*S41</f>
        <v>-0.2579</v>
      </c>
      <c r="T114" s="24" t="n">
        <f aca="false">T8+$D$30*T41</f>
        <v>-0.2318</v>
      </c>
      <c r="U114" s="24" t="n">
        <f aca="false">U8+$D$30*U41</f>
        <v>-0.2134</v>
      </c>
      <c r="V114" s="24" t="n">
        <f aca="false">V8+$D$30*V41</f>
        <v>-0.1869</v>
      </c>
      <c r="W114" s="24" t="n">
        <f aca="false">W8+$D$30*W41</f>
        <v>-0.1704</v>
      </c>
      <c r="X114" s="24" t="n">
        <f aca="false">X8+$D$30*X41</f>
        <v>-0.1598</v>
      </c>
      <c r="Z114" s="35" t="s">
        <v>74</v>
      </c>
      <c r="AA114" s="24" t="n">
        <f aca="false">AA8+$E$30*AA41</f>
        <v>0.8374</v>
      </c>
      <c r="AB114" s="24" t="n">
        <f aca="false">AB8+$E$30*AB41</f>
        <v>0.7979</v>
      </c>
      <c r="AC114" s="24" t="n">
        <f aca="false">AC8+$E$30*AC41</f>
        <v>0.7817</v>
      </c>
      <c r="AD114" s="24" t="n">
        <f aca="false">AD8+$E$30*AD41</f>
        <v>0.7663</v>
      </c>
      <c r="AE114" s="24" t="n">
        <f aca="false">AE8+$E$30*AE41</f>
        <v>0.7319</v>
      </c>
      <c r="AF114" s="24" t="n">
        <f aca="false">AF8+$E$30*AF41</f>
        <v>0.7164</v>
      </c>
      <c r="AG114" s="24" t="n">
        <f aca="false">AG8+$E$30*AG41</f>
        <v>0.6852</v>
      </c>
      <c r="AH114" s="24" t="n">
        <f aca="false">AH8+$E$30*AH41</f>
        <v>0.6756</v>
      </c>
      <c r="AI114" s="24" t="n">
        <f aca="false">AI8+$E$30*AI41</f>
        <v>0.6553</v>
      </c>
      <c r="AJ114" s="24" t="n">
        <f aca="false">AJ8+$E$30*AJ41</f>
        <v>0.6292</v>
      </c>
      <c r="AL114" s="35" t="s">
        <v>74</v>
      </c>
      <c r="AM114" s="37" t="n">
        <f aca="false">C114*(1+(((2-3*O114^2)/24*AA114^2)+(O114*AA114*C114/4))*0.25)</f>
        <v>0.5613262102062</v>
      </c>
      <c r="AN114" s="37" t="n">
        <f aca="false">D114*(1+(((2-3*P114^2)/24*AB114^2)+(P114*AB114*D114/4))*0.25)</f>
        <v>0.537957185481125</v>
      </c>
      <c r="AO114" s="37" t="n">
        <f aca="false">E114*(1+(((2-3*Q114^2)/24*AC114^2)+(Q114*AC114*E114/4))*0.25)</f>
        <v>0.523966810566608</v>
      </c>
      <c r="AP114" s="37" t="n">
        <f aca="false">F114*(1+(((2-3*R114^2)/24*AD114^2)+(R114*AD114*F114/4))*0.25)</f>
        <v>0.496159466468732</v>
      </c>
      <c r="AQ114" s="37" t="n">
        <f aca="false">G114*(1+(((2-3*S114^2)/24*AE114^2)+(S114*AE114*G114/4))*0.25)</f>
        <v>0.478548041050214</v>
      </c>
      <c r="AR114" s="37" t="n">
        <f aca="false">H114*(1+(((2-3*T114^2)/24*AF114^2)+(T114*AF114*H114/4))*0.25)</f>
        <v>0.463184703886938</v>
      </c>
      <c r="AS114" s="37" t="n">
        <f aca="false">I114*(1+(((2-3*U114^2)/24*AG114^2)+(U114*AG114*I114/4))*0.25)</f>
        <v>0.454909463258161</v>
      </c>
      <c r="AT114" s="37" t="n">
        <f aca="false">J114*(1+(((2-3*V114^2)/24*AH114^2)+(V114*AH114*J114/4))*0.25)</f>
        <v>0.431494097744422</v>
      </c>
      <c r="AU114" s="37" t="n">
        <f aca="false">K114*(1+(((2-3*W114^2)/24*AI114^2)+(W114*AI114*K114/4))*0.25)</f>
        <v>0.411623316238241</v>
      </c>
      <c r="AV114" s="37" t="n">
        <f aca="false">L114*(1+(((2-3*X114^2)/24*AJ114^2)+(X114*AJ114*L114/4))*0.25)</f>
        <v>0.39862082531044</v>
      </c>
    </row>
    <row r="115" customFormat="false" ht="15" hidden="false" customHeight="true" outlineLevel="0" collapsed="false">
      <c r="B115" s="35" t="s">
        <v>75</v>
      </c>
      <c r="C115" s="24" t="n">
        <f aca="false">C9+$C$30*C42</f>
        <v>0.546301</v>
      </c>
      <c r="D115" s="24" t="n">
        <f aca="false">D9+$C$30*D42</f>
        <v>0.5171767</v>
      </c>
      <c r="E115" s="24" t="n">
        <f aca="false">E9+$C$30*E42</f>
        <v>0.5073135</v>
      </c>
      <c r="F115" s="24" t="n">
        <f aca="false">F9+$C$30*F42</f>
        <v>0.4868532</v>
      </c>
      <c r="G115" s="24" t="n">
        <f aca="false">G9+$C$30*G42</f>
        <v>0.4689151</v>
      </c>
      <c r="H115" s="24" t="n">
        <f aca="false">H9+$C$30*H42</f>
        <v>0.4478276</v>
      </c>
      <c r="I115" s="24" t="n">
        <f aca="false">I9+$C$30*I42</f>
        <v>0.4370786</v>
      </c>
      <c r="J115" s="24" t="n">
        <f aca="false">J9+$C$30*J42</f>
        <v>0.4215882</v>
      </c>
      <c r="K115" s="24" t="n">
        <f aca="false">K9+$C$30*K42</f>
        <v>0.3942003</v>
      </c>
      <c r="L115" s="24" t="n">
        <f aca="false">L9+$C$30*L42</f>
        <v>0.3793764</v>
      </c>
      <c r="N115" s="35" t="s">
        <v>75</v>
      </c>
      <c r="O115" s="24" t="n">
        <f aca="false">O9+$D$30*O42</f>
        <v>-0.3199</v>
      </c>
      <c r="P115" s="24" t="n">
        <f aca="false">P9+$D$30*P42</f>
        <v>-0.2876</v>
      </c>
      <c r="Q115" s="24" t="n">
        <f aca="false">Q9+$D$30*Q42</f>
        <v>-0.2693</v>
      </c>
      <c r="R115" s="24" t="n">
        <f aca="false">R9+$D$30*R42</f>
        <v>-0.2429</v>
      </c>
      <c r="S115" s="24" t="n">
        <f aca="false">S9+$D$30*S42</f>
        <v>-0.2269</v>
      </c>
      <c r="T115" s="24" t="n">
        <f aca="false">T9+$D$30*T42</f>
        <v>-0.2182</v>
      </c>
      <c r="U115" s="24" t="n">
        <f aca="false">U9+$D$30*U42</f>
        <v>-0.1967</v>
      </c>
      <c r="V115" s="24" t="n">
        <f aca="false">V9+$D$30*V42</f>
        <v>-0.1716</v>
      </c>
      <c r="W115" s="24" t="n">
        <f aca="false">W9+$D$30*W42</f>
        <v>-0.1651</v>
      </c>
      <c r="X115" s="24" t="n">
        <f aca="false">X9+$D$30*X42</f>
        <v>-0.1369</v>
      </c>
      <c r="Z115" s="35" t="s">
        <v>75</v>
      </c>
      <c r="AA115" s="24" t="n">
        <f aca="false">AA9+$E$30*AA42</f>
        <v>0.7989</v>
      </c>
      <c r="AB115" s="24" t="n">
        <f aca="false">AB9+$E$30*AB42</f>
        <v>0.7757</v>
      </c>
      <c r="AC115" s="24" t="n">
        <f aca="false">AC9+$E$30*AC42</f>
        <v>0.7523</v>
      </c>
      <c r="AD115" s="24" t="n">
        <f aca="false">AD9+$E$30*AD42</f>
        <v>0.7443</v>
      </c>
      <c r="AE115" s="24" t="n">
        <f aca="false">AE9+$E$30*AE42</f>
        <v>0.7093</v>
      </c>
      <c r="AF115" s="24" t="n">
        <f aca="false">AF9+$E$30*AF42</f>
        <v>0.6894</v>
      </c>
      <c r="AG115" s="24" t="n">
        <f aca="false">AG9+$E$30*AG42</f>
        <v>0.67</v>
      </c>
      <c r="AH115" s="24" t="n">
        <f aca="false">AH9+$E$30*AH42</f>
        <v>0.6574</v>
      </c>
      <c r="AI115" s="24" t="n">
        <f aca="false">AI9+$E$30*AI42</f>
        <v>0.6194</v>
      </c>
      <c r="AJ115" s="24" t="n">
        <f aca="false">AJ9+$E$30*AJ42</f>
        <v>0.6045</v>
      </c>
      <c r="AL115" s="35" t="s">
        <v>75</v>
      </c>
      <c r="AM115" s="37" t="n">
        <f aca="false">C115*(1+(((2-3*O115^2)/24*AA115^2)+(O115*AA115*C115/4))*0.5)</f>
        <v>0.549064765884656</v>
      </c>
      <c r="AN115" s="37" t="n">
        <f aca="false">D115*(1+(((2-3*P115^2)/24*AB115^2)+(P115*AB115*D115/4))*0.5)</f>
        <v>0.521075414710472</v>
      </c>
      <c r="AO115" s="37" t="n">
        <f aca="false">E115*(1+(((2-3*Q115^2)/24*AC115^2)+(Q115*AC115*E115/4))*0.5)</f>
        <v>0.511457658425129</v>
      </c>
      <c r="AP115" s="37" t="n">
        <f aca="false">F115*(1+(((2-3*R115^2)/24*AD115^2)+(R115*AD115*F115/4))*0.5)</f>
        <v>0.491739977683549</v>
      </c>
      <c r="AQ115" s="37" t="n">
        <f aca="false">G115*(1+(((2-3*S115^2)/24*AE115^2)+(S115*AE115*G115/4))*0.5)</f>
        <v>0.47356228416908</v>
      </c>
      <c r="AR115" s="37" t="n">
        <f aca="false">H115*(1+(((2-3*T115^2)/24*AF115^2)+(T115*AF115*H115/4))*0.5)</f>
        <v>0.452291577345583</v>
      </c>
      <c r="AS115" s="37" t="n">
        <f aca="false">I115*(1+(((2-3*U115^2)/24*AG115^2)+(U115*AG115*I115/4))*0.5)</f>
        <v>0.44163224938525</v>
      </c>
      <c r="AT115" s="37" t="n">
        <f aca="false">J115*(1+(((2-3*V115^2)/24*AH115^2)+(V115*AH115*J115/4))*0.5)</f>
        <v>0.426338230346812</v>
      </c>
      <c r="AU115" s="37" t="n">
        <f aca="false">K115*(1+(((2-3*W115^2)/24*AI115^2)+(W115*AI115*K115/4))*0.5)</f>
        <v>0.398257829175794</v>
      </c>
      <c r="AV115" s="37" t="n">
        <f aca="false">L115*(1+(((2-3*X115^2)/24*AJ115^2)+(X115*AJ115*L115/4))*0.5)</f>
        <v>0.38350149122976</v>
      </c>
    </row>
    <row r="116" customFormat="false" ht="15" hidden="false" customHeight="true" outlineLevel="0" collapsed="false">
      <c r="B116" s="35" t="s">
        <v>30</v>
      </c>
      <c r="C116" s="24" t="n">
        <f aca="false">C10+$C$30*C43</f>
        <v>0.5217495</v>
      </c>
      <c r="D116" s="24" t="n">
        <f aca="false">D10+$C$30*D43</f>
        <v>0.510557</v>
      </c>
      <c r="E116" s="24" t="n">
        <f aca="false">E10+$C$30*E43</f>
        <v>0.4918302</v>
      </c>
      <c r="F116" s="24" t="n">
        <f aca="false">F10+$C$30*F43</f>
        <v>0.4743925</v>
      </c>
      <c r="G116" s="24" t="n">
        <f aca="false">G10+$C$30*G43</f>
        <v>0.4439573</v>
      </c>
      <c r="H116" s="24" t="n">
        <f aca="false">H10+$C$30*H43</f>
        <v>0.4287535</v>
      </c>
      <c r="I116" s="24" t="n">
        <f aca="false">I10+$C$30*I43</f>
        <v>0.4093794</v>
      </c>
      <c r="J116" s="24" t="n">
        <f aca="false">J10+$C$30*J43</f>
        <v>0.4017166</v>
      </c>
      <c r="K116" s="24" t="n">
        <f aca="false">K10+$C$30*K43</f>
        <v>0.3857852</v>
      </c>
      <c r="L116" s="24" t="n">
        <f aca="false">L10+$C$30*L43</f>
        <v>0.3509659</v>
      </c>
      <c r="N116" s="35" t="s">
        <v>30</v>
      </c>
      <c r="O116" s="24" t="n">
        <f aca="false">O10+$D$30*O43</f>
        <v>-0.2981</v>
      </c>
      <c r="P116" s="24" t="n">
        <f aca="false">P10+$D$30*P43</f>
        <v>-0.2776</v>
      </c>
      <c r="Q116" s="24" t="n">
        <f aca="false">Q10+$D$30*Q43</f>
        <v>-0.2581</v>
      </c>
      <c r="R116" s="24" t="n">
        <f aca="false">R10+$D$30*R43</f>
        <v>-0.2336</v>
      </c>
      <c r="S116" s="24" t="n">
        <f aca="false">S10+$D$30*S43</f>
        <v>-0.2121</v>
      </c>
      <c r="T116" s="24" t="n">
        <f aca="false">T10+$D$30*T43</f>
        <v>-0.1992</v>
      </c>
      <c r="U116" s="24" t="n">
        <f aca="false">U10+$D$30*U43</f>
        <v>-0.1849</v>
      </c>
      <c r="V116" s="24" t="n">
        <f aca="false">V10+$D$30*V43</f>
        <v>-0.1572</v>
      </c>
      <c r="W116" s="24" t="n">
        <f aca="false">W10+$D$30*W43</f>
        <v>-0.1387</v>
      </c>
      <c r="X116" s="24" t="n">
        <f aca="false">X10+$D$30*X43</f>
        <v>-0.1153</v>
      </c>
      <c r="Z116" s="35" t="s">
        <v>30</v>
      </c>
      <c r="AA116" s="24" t="n">
        <f aca="false">AA10+$E$30*AA43</f>
        <v>0.7924</v>
      </c>
      <c r="AB116" s="24" t="n">
        <f aca="false">AB10+$E$30*AB43</f>
        <v>0.7649</v>
      </c>
      <c r="AC116" s="24" t="n">
        <f aca="false">AC10+$E$30*AC43</f>
        <v>0.7392</v>
      </c>
      <c r="AD116" s="24" t="n">
        <f aca="false">AD10+$E$30*AD43</f>
        <v>0.719</v>
      </c>
      <c r="AE116" s="24" t="n">
        <f aca="false">AE10+$E$30*AE43</f>
        <v>0.698</v>
      </c>
      <c r="AF116" s="24" t="n">
        <f aca="false">AF10+$E$30*AF43</f>
        <v>0.6633</v>
      </c>
      <c r="AG116" s="24" t="n">
        <f aca="false">AG10+$E$30*AG43</f>
        <v>0.658</v>
      </c>
      <c r="AH116" s="24" t="n">
        <f aca="false">AH10+$E$30*AH43</f>
        <v>0.6334</v>
      </c>
      <c r="AI116" s="24" t="n">
        <f aca="false">AI10+$E$30*AI43</f>
        <v>0.613</v>
      </c>
      <c r="AJ116" s="24" t="n">
        <f aca="false">AJ10+$E$30*AJ43</f>
        <v>0.5893</v>
      </c>
      <c r="AL116" s="35" t="s">
        <v>30</v>
      </c>
      <c r="AM116" s="37" t="n">
        <f aca="false">C116*(1+(((2-3*O116^2)/24*AA116^2)+(O116*AA116*C116/4))*1)</f>
        <v>0.529335197267732</v>
      </c>
      <c r="AN116" s="37" t="n">
        <f aca="false">D116*(1+(((2-3*P116^2)/24*AB116^2)+(P116*AB116*D116/4))*1)</f>
        <v>0.518734962929721</v>
      </c>
      <c r="AO116" s="37" t="n">
        <f aca="false">E116*(1+(((2-3*Q116^2)/24*AC116^2)+(Q116*AC116*E116/4))*1)</f>
        <v>0.500450000959825</v>
      </c>
      <c r="AP116" s="37" t="n">
        <f aca="false">F116*(1+(((2-3*R116^2)/24*AD116^2)+(R116*AD116*F116/4))*1)</f>
        <v>0.483706854700039</v>
      </c>
      <c r="AQ116" s="37" t="n">
        <f aca="false">G116*(1+(((2-3*S116^2)/24*AE116^2)+(S116*AE116*G116/4))*1)</f>
        <v>0.453470920942592</v>
      </c>
      <c r="AR116" s="37" t="n">
        <f aca="false">H116*(1+(((2-3*T116^2)/24*AF116^2)+(T116*AF116*H116/4))*1)</f>
        <v>0.437465301694968</v>
      </c>
      <c r="AS116" s="37" t="n">
        <f aca="false">I116*(1+(((2-3*U116^2)/24*AG116^2)+(U116*AG116*I116/4))*1)</f>
        <v>0.418295010655637</v>
      </c>
      <c r="AT116" s="37" t="n">
        <f aca="false">J116*(1+(((2-3*V116^2)/24*AH116^2)+(V116*AH116*J116/4))*1)</f>
        <v>0.41063225788842</v>
      </c>
      <c r="AU116" s="37" t="n">
        <f aca="false">K116*(1+(((2-3*W116^2)/24*AI116^2)+(W116*AI116*K116/4))*1)</f>
        <v>0.394353606563796</v>
      </c>
      <c r="AV116" s="37" t="n">
        <f aca="false">L116*(1+(((2-3*X116^2)/24*AJ116^2)+(X116*AJ116*L116/4))*1)</f>
        <v>0.35882779792348</v>
      </c>
    </row>
    <row r="117" customFormat="false" ht="15" hidden="false" customHeight="true" outlineLevel="0" collapsed="false">
      <c r="B117" s="35" t="s">
        <v>76</v>
      </c>
      <c r="C117" s="24" t="n">
        <f aca="false">C11+$C$30*C44</f>
        <v>0.5009796</v>
      </c>
      <c r="D117" s="24" t="n">
        <f aca="false">D11+$C$30*D44</f>
        <v>0.4828373</v>
      </c>
      <c r="E117" s="24" t="n">
        <f aca="false">E11+$C$30*E44</f>
        <v>0.4586519</v>
      </c>
      <c r="F117" s="24" t="n">
        <f aca="false">F11+$C$30*F44</f>
        <v>0.4516456</v>
      </c>
      <c r="G117" s="24" t="n">
        <f aca="false">G11+$C$30*G44</f>
        <v>0.4215422</v>
      </c>
      <c r="H117" s="24" t="n">
        <f aca="false">H11+$C$30*H44</f>
        <v>0.4040041</v>
      </c>
      <c r="I117" s="24" t="n">
        <f aca="false">I11+$C$30*I44</f>
        <v>0.3882643</v>
      </c>
      <c r="J117" s="24" t="n">
        <f aca="false">J11+$C$30*J44</f>
        <v>0.3695195</v>
      </c>
      <c r="K117" s="24" t="n">
        <f aca="false">K11+$C$30*K44</f>
        <v>0.3547977</v>
      </c>
      <c r="L117" s="24" t="n">
        <f aca="false">L11+$C$30*L44</f>
        <v>0.3310144</v>
      </c>
      <c r="N117" s="35" t="s">
        <v>76</v>
      </c>
      <c r="O117" s="24" t="n">
        <f aca="false">O11+$D$30*O44</f>
        <v>-0.2822</v>
      </c>
      <c r="P117" s="24" t="n">
        <f aca="false">P11+$D$30*P44</f>
        <v>-0.2598</v>
      </c>
      <c r="Q117" s="24" t="n">
        <f aca="false">Q11+$D$30*Q44</f>
        <v>-0.2413</v>
      </c>
      <c r="R117" s="24" t="n">
        <f aca="false">R11+$D$30*R44</f>
        <v>-0.2166</v>
      </c>
      <c r="S117" s="24" t="n">
        <f aca="false">S11+$D$30*S44</f>
        <v>-0.2039</v>
      </c>
      <c r="T117" s="24" t="n">
        <f aca="false">T11+$D$30*T44</f>
        <v>-0.1675</v>
      </c>
      <c r="U117" s="24" t="n">
        <f aca="false">U11+$D$30*U44</f>
        <v>-0.1533</v>
      </c>
      <c r="V117" s="24" t="n">
        <f aca="false">V11+$D$30*V44</f>
        <v>-0.1431</v>
      </c>
      <c r="W117" s="24" t="n">
        <f aca="false">W11+$D$30*W44</f>
        <v>-0.1216</v>
      </c>
      <c r="X117" s="24" t="n">
        <f aca="false">X11+$D$30*X44</f>
        <v>-0.1003</v>
      </c>
      <c r="Z117" s="35" t="s">
        <v>76</v>
      </c>
      <c r="AA117" s="24" t="n">
        <f aca="false">AA11+$E$30*AA44</f>
        <v>0.7584</v>
      </c>
      <c r="AB117" s="24" t="n">
        <f aca="false">AB11+$E$30*AB44</f>
        <v>0.7313</v>
      </c>
      <c r="AC117" s="24" t="n">
        <f aca="false">AC11+$E$30*AC44</f>
        <v>0.7236</v>
      </c>
      <c r="AD117" s="24" t="n">
        <f aca="false">AD11+$E$30*AD44</f>
        <v>0.7043</v>
      </c>
      <c r="AE117" s="24" t="n">
        <f aca="false">AE11+$E$30*AE44</f>
        <v>0.6715</v>
      </c>
      <c r="AF117" s="24" t="n">
        <f aca="false">AF11+$E$30*AF44</f>
        <v>0.6497</v>
      </c>
      <c r="AG117" s="24" t="n">
        <f aca="false">AG11+$E$30*AG44</f>
        <v>0.6195</v>
      </c>
      <c r="AH117" s="24" t="n">
        <f aca="false">AH11+$E$30*AH44</f>
        <v>0.5976</v>
      </c>
      <c r="AI117" s="24" t="n">
        <f aca="false">AI11+$E$30*AI44</f>
        <v>0.5802</v>
      </c>
      <c r="AJ117" s="24" t="n">
        <f aca="false">AJ11+$E$30*AJ44</f>
        <v>0.5564</v>
      </c>
      <c r="AL117" s="35" t="s">
        <v>76</v>
      </c>
      <c r="AM117" s="37" t="n">
        <f aca="false">C117*(1+(((2-3*O117^2)/24*AA117^2)+(O117*AA117*C117/4))*2)</f>
        <v>0.516410082940649</v>
      </c>
      <c r="AN117" s="37" t="n">
        <f aca="false">D117*(1+(((2-3*P117^2)/24*AB117^2)+(P117*AB117*D117/4))*2)</f>
        <v>0.499370381600569</v>
      </c>
      <c r="AO117" s="37" t="n">
        <f aca="false">E117*(1+(((2-3*Q117^2)/24*AC117^2)+(Q117*AC117*E117/4))*2)</f>
        <v>0.476815926656408</v>
      </c>
      <c r="AP117" s="37" t="n">
        <f aca="false">F117*(1+(((2-3*R117^2)/24*AD117^2)+(R117*AD117*F117/4))*2)</f>
        <v>0.47079786697817</v>
      </c>
      <c r="AQ117" s="37" t="n">
        <f aca="false">G117*(1+(((2-3*S117^2)/24*AE117^2)+(S117*AE117*G117/4))*2)</f>
        <v>0.439081227137171</v>
      </c>
      <c r="AR117" s="37" t="n">
        <f aca="false">H117*(1+(((2-3*T117^2)/24*AF117^2)+(T117*AF117*H117/4))*2)</f>
        <v>0.422349179792632</v>
      </c>
      <c r="AS117" s="37" t="n">
        <f aca="false">I117*(1+(((2-3*U117^2)/24*AG117^2)+(U117*AG117*I117/4))*2)</f>
        <v>0.40506526368113</v>
      </c>
      <c r="AT117" s="37" t="n">
        <f aca="false">J117*(1+(((2-3*V117^2)/24*AH117^2)+(V117*AH117*J117/4))*2)</f>
        <v>0.38499965893211</v>
      </c>
      <c r="AU117" s="37" t="n">
        <f aca="false">K117*(1+(((2-3*W117^2)/24*AI117^2)+(W117*AI117*K117/4))*2)</f>
        <v>0.369821619996508</v>
      </c>
      <c r="AV117" s="37" t="n">
        <f aca="false">L117*(1+(((2-3*X117^2)/24*AJ117^2)+(X117*AJ117*L117/4))*2)</f>
        <v>0.344778566804666</v>
      </c>
    </row>
    <row r="118" customFormat="false" ht="15" hidden="false" customHeight="true" outlineLevel="0" collapsed="false">
      <c r="B118" s="35" t="s">
        <v>77</v>
      </c>
      <c r="C118" s="24" t="n">
        <f aca="false">C12+$C$30*C45</f>
        <v>0.4919302</v>
      </c>
      <c r="D118" s="24" t="n">
        <f aca="false">D12+$C$30*D45</f>
        <v>0.4603402</v>
      </c>
      <c r="E118" s="24" t="n">
        <f aca="false">E12+$C$30*E45</f>
        <v>0.4390322</v>
      </c>
      <c r="F118" s="24" t="n">
        <f aca="false">F12+$C$30*F45</f>
        <v>0.4400577</v>
      </c>
      <c r="G118" s="24" t="n">
        <f aca="false">G12+$C$30*G45</f>
        <v>0.4128907</v>
      </c>
      <c r="H118" s="24" t="n">
        <f aca="false">H12+$C$30*H45</f>
        <v>0.3873346</v>
      </c>
      <c r="I118" s="24" t="n">
        <f aca="false">I12+$C$30*I45</f>
        <v>0.3775329</v>
      </c>
      <c r="J118" s="24" t="n">
        <f aca="false">J12+$C$30*J45</f>
        <v>0.3489111</v>
      </c>
      <c r="K118" s="24" t="n">
        <f aca="false">K12+$C$30*K45</f>
        <v>0.3403554</v>
      </c>
      <c r="L118" s="24" t="n">
        <f aca="false">L12+$C$30*L45</f>
        <v>0.3320671</v>
      </c>
      <c r="N118" s="35" t="s">
        <v>77</v>
      </c>
      <c r="O118" s="24" t="n">
        <f aca="false">O12+$D$30*O45</f>
        <v>-0.2455</v>
      </c>
      <c r="P118" s="24" t="n">
        <f aca="false">P12+$D$30*P45</f>
        <v>-0.2294</v>
      </c>
      <c r="Q118" s="24" t="n">
        <f aca="false">Q12+$D$30*Q45</f>
        <v>-0.2187</v>
      </c>
      <c r="R118" s="24" t="n">
        <f aca="false">R12+$D$30*R45</f>
        <v>-0.1971</v>
      </c>
      <c r="S118" s="24" t="n">
        <f aca="false">S12+$D$30*S45</f>
        <v>-0.1817</v>
      </c>
      <c r="T118" s="24" t="n">
        <f aca="false">T12+$D$30*T45</f>
        <v>-0.1501</v>
      </c>
      <c r="U118" s="24" t="n">
        <f aca="false">U12+$D$30*U45</f>
        <v>-0.1355</v>
      </c>
      <c r="V118" s="24" t="n">
        <f aca="false">V12+$D$30*V45</f>
        <v>-0.1111</v>
      </c>
      <c r="W118" s="24" t="n">
        <f aca="false">W12+$D$30*W45</f>
        <v>-0.1006</v>
      </c>
      <c r="X118" s="24" t="n">
        <f aca="false">X12+$D$30*X45</f>
        <v>-0.0833</v>
      </c>
      <c r="Z118" s="35" t="s">
        <v>77</v>
      </c>
      <c r="AA118" s="24" t="n">
        <f aca="false">AA12+$E$30*AA45</f>
        <v>0.7451</v>
      </c>
      <c r="AB118" s="24" t="n">
        <f aca="false">AB12+$E$30*AB45</f>
        <v>0.7264</v>
      </c>
      <c r="AC118" s="24" t="n">
        <f aca="false">AC12+$E$30*AC45</f>
        <v>0.7015</v>
      </c>
      <c r="AD118" s="24" t="n">
        <f aca="false">AD12+$E$30*AD45</f>
        <v>0.6783</v>
      </c>
      <c r="AE118" s="24" t="n">
        <f aca="false">AE12+$E$30*AE45</f>
        <v>0.6564</v>
      </c>
      <c r="AF118" s="24" t="n">
        <f aca="false">AF12+$E$30*AF45</f>
        <v>0.6326</v>
      </c>
      <c r="AG118" s="24" t="n">
        <f aca="false">AG12+$E$30*AG45</f>
        <v>0.6001</v>
      </c>
      <c r="AH118" s="24" t="n">
        <f aca="false">AH12+$E$30*AH45</f>
        <v>0.5837</v>
      </c>
      <c r="AI118" s="24" t="n">
        <f aca="false">AI12+$E$30*AI45</f>
        <v>0.5582</v>
      </c>
      <c r="AJ118" s="24" t="n">
        <f aca="false">AJ12+$E$30*AJ45</f>
        <v>0.5295</v>
      </c>
      <c r="AL118" s="35" t="s">
        <v>77</v>
      </c>
      <c r="AM118" s="37" t="n">
        <f aca="false">C118*(1+(((2-3*O118^2)/24*AA118^2)+(O118*AA118*C118/4))*3)</f>
        <v>0.520834623132091</v>
      </c>
      <c r="AN118" s="37" t="n">
        <f aca="false">D118*(1+(((2-3*P118^2)/24*AB118^2)+(P118*AB118*D118/4))*3)</f>
        <v>0.489787883582471</v>
      </c>
      <c r="AO118" s="37" t="n">
        <f aca="false">E118*(1+(((2-3*Q118^2)/24*AC118^2)+(Q118*AC118*E118/4))*3)</f>
        <v>0.466990891220924</v>
      </c>
      <c r="AP118" s="37" t="n">
        <f aca="false">F118*(1+(((2-3*R118^2)/24*AD118^2)+(R118*AD118*F118/4))*3)</f>
        <v>0.468307465979986</v>
      </c>
      <c r="AQ118" s="37" t="n">
        <f aca="false">G118*(1+(((2-3*S118^2)/24*AE118^2)+(S118*AE118*G118/4))*3)</f>
        <v>0.439913356224572</v>
      </c>
      <c r="AR118" s="37" t="n">
        <f aca="false">H118*(1+(((2-3*T118^2)/24*AF118^2)+(T118*AF118*H118/4))*3)</f>
        <v>0.414091919029379</v>
      </c>
      <c r="AS118" s="37" t="n">
        <f aca="false">I118*(1+(((2-3*U118^2)/24*AG118^2)+(U118*AG118*I118/4))*3)</f>
        <v>0.401893828474764</v>
      </c>
      <c r="AT118" s="37" t="n">
        <f aca="false">J118*(1+(((2-3*V118^2)/24*AH118^2)+(V118*AH118*J118/4))*3)</f>
        <v>0.372158863950004</v>
      </c>
      <c r="AU118" s="37" t="n">
        <f aca="false">K118*(1+(((2-3*W118^2)/24*AI118^2)+(W118*AI118*K118/4))*3)</f>
        <v>0.361586709155059</v>
      </c>
      <c r="AV118" s="37" t="n">
        <f aca="false">L118*(1+(((2-3*X118^2)/24*AJ118^2)+(X118*AJ118*L118/4))*3)</f>
        <v>0.35145253500588</v>
      </c>
    </row>
    <row r="119" customFormat="false" ht="15" hidden="false" customHeight="true" outlineLevel="0" collapsed="false">
      <c r="B119" s="35" t="s">
        <v>78</v>
      </c>
      <c r="C119" s="24" t="n">
        <f aca="false">C13+$C$30*C46</f>
        <v>0.4571837</v>
      </c>
      <c r="D119" s="24" t="n">
        <f aca="false">D13+$C$30*D46</f>
        <v>0.4440845</v>
      </c>
      <c r="E119" s="24" t="n">
        <f aca="false">E13+$C$30*E46</f>
        <v>0.4261464</v>
      </c>
      <c r="F119" s="24" t="n">
        <f aca="false">F13+$C$30*F46</f>
        <v>0.416302</v>
      </c>
      <c r="G119" s="24" t="n">
        <f aca="false">G13+$C$30*G46</f>
        <v>0.4034392</v>
      </c>
      <c r="H119" s="24" t="n">
        <f aca="false">H13+$C$30*H46</f>
        <v>0.3748856</v>
      </c>
      <c r="I119" s="24" t="n">
        <f aca="false">I13+$C$30*I46</f>
        <v>0.3665705</v>
      </c>
      <c r="J119" s="24" t="n">
        <f aca="false">J13+$C$30*J46</f>
        <v>0.3500165</v>
      </c>
      <c r="K119" s="24" t="n">
        <f aca="false">K13+$C$30*K46</f>
        <v>0.3309675</v>
      </c>
      <c r="L119" s="24" t="n">
        <f aca="false">L13+$C$30*L46</f>
        <v>0.3013704</v>
      </c>
      <c r="N119" s="35" t="s">
        <v>78</v>
      </c>
      <c r="O119" s="24" t="n">
        <f aca="false">O13+$D$30*O46</f>
        <v>-0.2389</v>
      </c>
      <c r="P119" s="24" t="n">
        <f aca="false">P13+$D$30*P46</f>
        <v>-0.2194</v>
      </c>
      <c r="Q119" s="24" t="n">
        <f aca="false">Q13+$D$30*Q46</f>
        <v>-0.2005</v>
      </c>
      <c r="R119" s="24" t="n">
        <f aca="false">R13+$D$30*R46</f>
        <v>-0.1809</v>
      </c>
      <c r="S119" s="24" t="n">
        <f aca="false">S13+$D$30*S46</f>
        <v>-0.1531</v>
      </c>
      <c r="T119" s="24" t="n">
        <f aca="false">T13+$D$30*T46</f>
        <v>-0.1281</v>
      </c>
      <c r="U119" s="24" t="n">
        <f aca="false">U13+$D$30*U46</f>
        <v>-0.1099</v>
      </c>
      <c r="V119" s="24" t="n">
        <f aca="false">V13+$D$30*V46</f>
        <v>-0.0976</v>
      </c>
      <c r="W119" s="24" t="n">
        <f aca="false">W13+$D$30*W46</f>
        <v>-0.0747</v>
      </c>
      <c r="X119" s="24" t="n">
        <f aca="false">X13+$D$30*X46</f>
        <v>-0.0523</v>
      </c>
      <c r="Z119" s="35" t="s">
        <v>78</v>
      </c>
      <c r="AA119" s="24" t="n">
        <f aca="false">AA13+$E$30*AA46</f>
        <v>0.7084</v>
      </c>
      <c r="AB119" s="24" t="n">
        <f aca="false">AB13+$E$30*AB46</f>
        <v>0.6977</v>
      </c>
      <c r="AC119" s="24" t="n">
        <f aca="false">AC13+$E$30*AC46</f>
        <v>0.6804</v>
      </c>
      <c r="AD119" s="24" t="n">
        <f aca="false">AD13+$E$30*AD46</f>
        <v>0.6556</v>
      </c>
      <c r="AE119" s="24" t="n">
        <f aca="false">AE13+$E$30*AE46</f>
        <v>0.6328</v>
      </c>
      <c r="AF119" s="24" t="n">
        <f aca="false">AF13+$E$30*AF46</f>
        <v>0.6051</v>
      </c>
      <c r="AG119" s="24" t="n">
        <f aca="false">AG13+$E$30*AG46</f>
        <v>0.5769</v>
      </c>
      <c r="AH119" s="24" t="n">
        <f aca="false">AH13+$E$30*AH46</f>
        <v>0.5669</v>
      </c>
      <c r="AI119" s="24" t="n">
        <f aca="false">AI13+$E$30*AI46</f>
        <v>0.5355</v>
      </c>
      <c r="AJ119" s="24" t="n">
        <f aca="false">AJ13+$E$30*AJ46</f>
        <v>0.5227</v>
      </c>
      <c r="AL119" s="35" t="s">
        <v>78</v>
      </c>
      <c r="AM119" s="37" t="n">
        <f aca="false">C119*(1+(((2-3*O119^2)/24*AA119^2)+(O119*AA119*C119/4))*5)</f>
        <v>0.500378430121762</v>
      </c>
      <c r="AN119" s="37" t="n">
        <f aca="false">D119*(1+(((2-3*P119^2)/24*AB119^2)+(P119*AB119*D119/4))*5)</f>
        <v>0.489918085861844</v>
      </c>
      <c r="AO119" s="37" t="n">
        <f aca="false">E119*(1+(((2-3*Q119^2)/24*AC119^2)+(Q119*AC119*E119/4))*5)</f>
        <v>0.472422973224662</v>
      </c>
      <c r="AP119" s="37" t="n">
        <f aca="false">F119*(1+(((2-3*R119^2)/24*AD119^2)+(R119*AD119*F119/4))*5)</f>
        <v>0.461504645937416</v>
      </c>
      <c r="AQ119" s="37" t="n">
        <f aca="false">G119*(1+(((2-3*S119^2)/24*AE119^2)+(S119*AE119*G119/4))*5)</f>
        <v>0.448674677028486</v>
      </c>
      <c r="AR119" s="37" t="n">
        <f aca="false">H119*(1+(((2-3*T119^2)/24*AF119^2)+(T119*AF119*H119/4))*5)</f>
        <v>0.417053617795475</v>
      </c>
      <c r="AS119" s="37" t="n">
        <f aca="false">I119*(1+(((2-3*U119^2)/24*AG119^2)+(U119*AG119*I119/4))*5)</f>
        <v>0.405833388356025</v>
      </c>
      <c r="AT119" s="37" t="n">
        <f aca="false">J119*(1+(((2-3*V119^2)/24*AH119^2)+(V119*AH119*J119/4))*5)</f>
        <v>0.387743165366799</v>
      </c>
      <c r="AU119" s="37" t="n">
        <f aca="false">K119*(1+(((2-3*W119^2)/24*AI119^2)+(W119*AI119*K119/4))*5)</f>
        <v>0.364704408872706</v>
      </c>
      <c r="AV119" s="37" t="n">
        <f aca="false">L119*(1+(((2-3*X119^2)/24*AJ119^2)+(X119*AJ119*L119/4))*5)</f>
        <v>0.332433956543005</v>
      </c>
    </row>
    <row r="120" customFormat="false" ht="15" hidden="false" customHeight="true" outlineLevel="0" collapsed="false">
      <c r="B120" s="35" t="s">
        <v>79</v>
      </c>
      <c r="C120" s="24" t="n">
        <f aca="false">C14+$C$30*C47</f>
        <v>0.4580958</v>
      </c>
      <c r="D120" s="24" t="n">
        <f aca="false">D14+$C$30*D47</f>
        <v>0.4285443</v>
      </c>
      <c r="E120" s="24" t="n">
        <f aca="false">E14+$C$30*E47</f>
        <v>0.4110062</v>
      </c>
      <c r="F120" s="24" t="n">
        <f aca="false">F14+$C$30*F47</f>
        <v>0.4034141</v>
      </c>
      <c r="G120" s="24" t="n">
        <f aca="false">G14+$C$30*G47</f>
        <v>0.3809626</v>
      </c>
      <c r="H120" s="24" t="n">
        <f aca="false">H14+$C$30*H47</f>
        <v>0.3520178</v>
      </c>
      <c r="I120" s="24" t="n">
        <f aca="false">I14+$C$30*I47</f>
        <v>0.3324349</v>
      </c>
      <c r="J120" s="24" t="n">
        <f aca="false">J14+$C$30*J47</f>
        <v>0.3147721</v>
      </c>
      <c r="K120" s="24" t="n">
        <f aca="false">K14+$C$30*K47</f>
        <v>0.3124725</v>
      </c>
      <c r="L120" s="24" t="n">
        <f aca="false">L14+$C$30*L47</f>
        <v>0.2923461</v>
      </c>
      <c r="N120" s="35" t="s">
        <v>79</v>
      </c>
      <c r="O120" s="24" t="n">
        <f aca="false">O14+$D$30*O47</f>
        <v>-0.221</v>
      </c>
      <c r="P120" s="24" t="n">
        <f aca="false">P14+$D$30*P47</f>
        <v>-0.1879</v>
      </c>
      <c r="Q120" s="24" t="n">
        <f aca="false">Q14+$D$30*Q47</f>
        <v>-0.1654</v>
      </c>
      <c r="R120" s="24" t="n">
        <f aca="false">R14+$D$30*R47</f>
        <v>-0.1524</v>
      </c>
      <c r="S120" s="24" t="n">
        <f aca="false">S14+$D$30*S47</f>
        <v>-0.1391</v>
      </c>
      <c r="T120" s="24" t="n">
        <f aca="false">T14+$D$30*T47</f>
        <v>-0.1157</v>
      </c>
      <c r="U120" s="24" t="n">
        <f aca="false">U14+$D$30*U47</f>
        <v>-0.1046</v>
      </c>
      <c r="V120" s="24" t="n">
        <f aca="false">V14+$D$30*V47</f>
        <v>-0.0875</v>
      </c>
      <c r="W120" s="24" t="n">
        <f aca="false">W14+$D$30*W47</f>
        <v>-0.0489</v>
      </c>
      <c r="X120" s="24" t="n">
        <f aca="false">X14+$D$30*X47</f>
        <v>-0.0359</v>
      </c>
      <c r="Z120" s="35" t="s">
        <v>79</v>
      </c>
      <c r="AA120" s="24" t="n">
        <f aca="false">AA14+$E$30*AA47</f>
        <v>0.695</v>
      </c>
      <c r="AB120" s="24" t="n">
        <f aca="false">AB14+$E$30*AB47</f>
        <v>0.6809</v>
      </c>
      <c r="AC120" s="24" t="n">
        <f aca="false">AC14+$E$30*AC47</f>
        <v>0.6487</v>
      </c>
      <c r="AD120" s="24" t="n">
        <f aca="false">AD14+$E$30*AD47</f>
        <v>0.6352</v>
      </c>
      <c r="AE120" s="24" t="n">
        <f aca="false">AE14+$E$30*AE47</f>
        <v>0.6121</v>
      </c>
      <c r="AF120" s="24" t="n">
        <f aca="false">AF14+$E$30*AF47</f>
        <v>0.5776</v>
      </c>
      <c r="AG120" s="24" t="n">
        <f aca="false">AG14+$E$30*AG47</f>
        <v>0.5561</v>
      </c>
      <c r="AH120" s="24" t="n">
        <f aca="false">AH14+$E$30*AH47</f>
        <v>0.5347</v>
      </c>
      <c r="AI120" s="24" t="n">
        <f aca="false">AI14+$E$30*AI47</f>
        <v>0.5115</v>
      </c>
      <c r="AJ120" s="24" t="n">
        <f aca="false">AJ14+$E$30*AJ47</f>
        <v>0.4962</v>
      </c>
      <c r="AL120" s="35" t="s">
        <v>79</v>
      </c>
      <c r="AM120" s="37" t="n">
        <f aca="false">C120*(1+(((2-3*O120^2)/24*AA120^2)+(O120*AA120*C120/4))*10)</f>
        <v>0.548399534382772</v>
      </c>
      <c r="AN120" s="37" t="n">
        <f aca="false">D120*(1+(((2-3*P120^2)/24*AB120^2)+(P120*AB120*D120/4))*10)</f>
        <v>0.526604563206481</v>
      </c>
      <c r="AO120" s="37" t="n">
        <f aca="false">E120*(1+(((2-3*Q120^2)/24*AC120^2)+(Q120*AC120*E120/4))*10)</f>
        <v>0.5039095841603</v>
      </c>
      <c r="AP120" s="37" t="n">
        <f aca="false">F120*(1+(((2-3*R120^2)/24*AD120^2)+(R120*AD120*F120/4))*10)</f>
        <v>0.494943885527399</v>
      </c>
      <c r="AQ120" s="37" t="n">
        <f aca="false">G120*(1+(((2-3*S120^2)/24*AE120^2)+(S120*AE120*G120/4))*10)</f>
        <v>0.465562762848409</v>
      </c>
      <c r="AR120" s="37" t="n">
        <f aca="false">H120*(1+(((2-3*T120^2)/24*AF120^2)+(T120*AF120*H120/4))*10)</f>
        <v>0.427217147517551</v>
      </c>
      <c r="AS120" s="37" t="n">
        <f aca="false">I120*(1+(((2-3*U120^2)/24*AG120^2)+(U120*AG120*I120/4))*10)</f>
        <v>0.400628557993855</v>
      </c>
      <c r="AT120" s="37" t="n">
        <f aca="false">J120*(1+(((2-3*V120^2)/24*AH120^2)+(V120*AH120*J120/4))*10)</f>
        <v>0.377317222290994</v>
      </c>
      <c r="AU120" s="37" t="n">
        <f aca="false">K120*(1+(((2-3*W120^2)/24*AI120^2)+(W120*AI120*K120/4))*10)</f>
        <v>0.374250086248934</v>
      </c>
      <c r="AV120" s="37" t="n">
        <f aca="false">L120*(1+(((2-3*X120^2)/24*AJ120^2)+(X120*AJ120*L120/4))*10)</f>
        <v>0.348407182983937</v>
      </c>
    </row>
    <row r="121" customFormat="false" ht="15" hidden="false" customHeight="true" outlineLevel="0" collapsed="false">
      <c r="B121" s="35" t="s">
        <v>80</v>
      </c>
      <c r="C121" s="24" t="n">
        <f aca="false">C15+$C$30*C48</f>
        <v>0.4256535</v>
      </c>
      <c r="D121" s="24" t="n">
        <f aca="false">D15+$C$30*D48</f>
        <v>0.4106589</v>
      </c>
      <c r="E121" s="24" t="n">
        <f aca="false">E15+$C$30*E48</f>
        <v>0.3873526</v>
      </c>
      <c r="F121" s="24" t="n">
        <f aca="false">F15+$C$30*F48</f>
        <v>0.3850124</v>
      </c>
      <c r="G121" s="24" t="n">
        <f aca="false">G15+$C$30*G48</f>
        <v>0.3550818</v>
      </c>
      <c r="H121" s="24" t="n">
        <f aca="false">H15+$C$30*H48</f>
        <v>0.3397663</v>
      </c>
      <c r="I121" s="24" t="n">
        <f aca="false">I15+$C$30*I48</f>
        <v>0.3240717</v>
      </c>
      <c r="J121" s="24" t="n">
        <f aca="false">J15+$C$30*J48</f>
        <v>0.3121704</v>
      </c>
      <c r="K121" s="24" t="n">
        <f aca="false">K15+$C$30*K48</f>
        <v>0.2841645</v>
      </c>
      <c r="L121" s="24" t="n">
        <f aca="false">L15+$C$30*L48</f>
        <v>0.277385</v>
      </c>
      <c r="N121" s="35" t="s">
        <v>80</v>
      </c>
      <c r="O121" s="24" t="n">
        <f aca="false">O15+$D$30*O48</f>
        <v>-0.1944</v>
      </c>
      <c r="P121" s="24" t="n">
        <f aca="false">P15+$D$30*P48</f>
        <v>-0.1744</v>
      </c>
      <c r="Q121" s="24" t="n">
        <f aca="false">Q15+$D$30*Q48</f>
        <v>-0.1551</v>
      </c>
      <c r="R121" s="24" t="n">
        <f aca="false">R15+$D$30*R48</f>
        <v>-0.1457</v>
      </c>
      <c r="S121" s="24" t="n">
        <f aca="false">S15+$D$30*S48</f>
        <v>-0.1179</v>
      </c>
      <c r="T121" s="24" t="n">
        <f aca="false">T15+$D$30*T48</f>
        <v>-0.1036</v>
      </c>
      <c r="U121" s="24" t="n">
        <f aca="false">U15+$D$30*U48</f>
        <v>-0.0877</v>
      </c>
      <c r="V121" s="24" t="n">
        <f aca="false">V15+$D$30*V48</f>
        <v>-0.0523</v>
      </c>
      <c r="W121" s="24" t="n">
        <f aca="false">W15+$D$30*W48</f>
        <v>-0.0454</v>
      </c>
      <c r="X121" s="24" t="n">
        <f aca="false">X15+$D$30*X48</f>
        <v>-0.02</v>
      </c>
      <c r="Z121" s="35" t="s">
        <v>80</v>
      </c>
      <c r="AA121" s="24" t="n">
        <f aca="false">AA15+$E$30*AA48</f>
        <v>0.6767</v>
      </c>
      <c r="AB121" s="24" t="n">
        <f aca="false">AB15+$E$30*AB48</f>
        <v>0.6511</v>
      </c>
      <c r="AC121" s="24" t="n">
        <f aca="false">AC15+$E$30*AC48</f>
        <v>0.6243</v>
      </c>
      <c r="AD121" s="24" t="n">
        <f aca="false">AD15+$E$30*AD48</f>
        <v>0.6059</v>
      </c>
      <c r="AE121" s="24" t="n">
        <f aca="false">AE15+$E$30*AE48</f>
        <v>0.5844</v>
      </c>
      <c r="AF121" s="24" t="n">
        <f aca="false">AF15+$E$30*AF48</f>
        <v>0.5668</v>
      </c>
      <c r="AG121" s="24" t="n">
        <f aca="false">AG15+$E$30*AG48</f>
        <v>0.531</v>
      </c>
      <c r="AH121" s="24" t="n">
        <f aca="false">AH15+$E$30*AH48</f>
        <v>0.5179</v>
      </c>
      <c r="AI121" s="24" t="n">
        <f aca="false">AI15+$E$30*AI48</f>
        <v>0.4894</v>
      </c>
      <c r="AJ121" s="24" t="n">
        <f aca="false">AJ15+$E$30*AJ48</f>
        <v>0.4678</v>
      </c>
      <c r="AL121" s="35" t="s">
        <v>80</v>
      </c>
      <c r="AM121" s="37" t="n">
        <f aca="false">C121*(1+(((2-3*O121^2)/24*AA121^2)+(O121*AA121*C121/4))*20)</f>
        <v>0.612926731020262</v>
      </c>
      <c r="AN121" s="37" t="n">
        <f aca="false">D121*(1+(((2-3*P121^2)/24*AB121^2)+(P121*AB121*D121/4))*20)</f>
        <v>0.591825836233045</v>
      </c>
      <c r="AO121" s="37" t="n">
        <f aca="false">E121*(1+(((2-3*Q121^2)/24*AC121^2)+(Q121*AC121*E121/4))*20)</f>
        <v>0.557249268430296</v>
      </c>
      <c r="AP121" s="37" t="n">
        <f aca="false">F121*(1+(((2-3*R121^2)/24*AD121^2)+(R121*AD121*F121/4))*20)</f>
        <v>0.547653581960131</v>
      </c>
      <c r="AQ121" s="37" t="n">
        <f aca="false">G121*(1+(((2-3*S121^2)/24*AE121^2)+(S121*AE121*G121/4))*20)</f>
        <v>0.509546034578752</v>
      </c>
      <c r="AR121" s="37" t="n">
        <f aca="false">H121*(1+(((2-3*T121^2)/24*AF121^2)+(T121*AF121*H121/4))*20)</f>
        <v>0.484867109661542</v>
      </c>
      <c r="AS121" s="37" t="n">
        <f aca="false">I121*(1+(((2-3*U121^2)/24*AG121^2)+(U121*AG121*I121/4))*20)</f>
        <v>0.450153545381564</v>
      </c>
      <c r="AT121" s="37" t="n">
        <f aca="false">J121*(1+(((2-3*V121^2)/24*AH121^2)+(V121*AH121*J121/4))*20)</f>
        <v>0.437950835082012</v>
      </c>
      <c r="AU121" s="37" t="n">
        <f aca="false">K121*(1+(((2-3*W121^2)/24*AI121^2)+(W121*AI121*K121/4))*20)</f>
        <v>0.388277874276119</v>
      </c>
      <c r="AV121" s="37" t="n">
        <f aca="false">L121*(1+(((2-3*X121^2)/24*AJ121^2)+(X121*AJ121*L121/4))*20)</f>
        <v>0.374895025455305</v>
      </c>
    </row>
    <row r="122" customFormat="false" ht="15" hidden="false" customHeight="true" outlineLevel="0" collapsed="false">
      <c r="B122" s="35" t="s">
        <v>81</v>
      </c>
      <c r="C122" s="24" t="n">
        <f aca="false">C16+$C$30*C49</f>
        <v>0.4175158</v>
      </c>
      <c r="D122" s="24" t="n">
        <f aca="false">D16+$C$30*D49</f>
        <v>0.3950752</v>
      </c>
      <c r="E122" s="24" t="n">
        <f aca="false">E16+$C$30*E49</f>
        <v>0.3773446</v>
      </c>
      <c r="F122" s="24" t="n">
        <f aca="false">F16+$C$30*F49</f>
        <v>0.3636588</v>
      </c>
      <c r="G122" s="24" t="n">
        <f aca="false">G16+$C$30*G49</f>
        <v>0.3481985</v>
      </c>
      <c r="H122" s="24" t="n">
        <f aca="false">H16+$C$30*H49</f>
        <v>0.3212081</v>
      </c>
      <c r="I122" s="24" t="n">
        <f aca="false">I16+$C$30*I49</f>
        <v>0.3063704</v>
      </c>
      <c r="J122" s="24" t="n">
        <f aca="false">J16+$C$30*J49</f>
        <v>0.285785</v>
      </c>
      <c r="K122" s="24" t="n">
        <f aca="false">K16+$C$30*K49</f>
        <v>0.269285</v>
      </c>
      <c r="L122" s="24" t="n">
        <f aca="false">L16+$C$30*L49</f>
        <v>0.256285</v>
      </c>
      <c r="N122" s="35" t="s">
        <v>81</v>
      </c>
      <c r="O122" s="24" t="n">
        <f aca="false">O16+$D$30*O49</f>
        <v>-0.176</v>
      </c>
      <c r="P122" s="24" t="n">
        <f aca="false">P16+$D$30*P49</f>
        <v>-0.1549</v>
      </c>
      <c r="Q122" s="24" t="n">
        <f aca="false">Q16+$D$30*Q49</f>
        <v>-0.1366</v>
      </c>
      <c r="R122" s="24" t="n">
        <f aca="false">R16+$D$30*R49</f>
        <v>-0.1078</v>
      </c>
      <c r="S122" s="24" t="n">
        <f aca="false">S16+$D$30*S49</f>
        <v>-0.0932</v>
      </c>
      <c r="T122" s="24" t="n">
        <f aca="false">T16+$D$30*T49</f>
        <v>-0.0702</v>
      </c>
      <c r="U122" s="24" t="n">
        <f aca="false">U16+$D$30*U49</f>
        <v>-0.0495</v>
      </c>
      <c r="V122" s="24" t="n">
        <f aca="false">V16+$D$30*V49</f>
        <v>-0.0437</v>
      </c>
      <c r="W122" s="24" t="n">
        <f aca="false">W16+$D$30*W49</f>
        <v>-0.0183</v>
      </c>
      <c r="X122" s="24" t="n">
        <f aca="false">X16+$D$30*X49</f>
        <v>0.0089</v>
      </c>
      <c r="Z122" s="35" t="s">
        <v>81</v>
      </c>
      <c r="AA122" s="24" t="n">
        <f aca="false">AA16+$E$30*AA49</f>
        <v>0.6568</v>
      </c>
      <c r="AB122" s="24" t="n">
        <f aca="false">AB16+$E$30*AB49</f>
        <v>0.6205</v>
      </c>
      <c r="AC122" s="24" t="n">
        <f aca="false">AC16+$E$30*AC49</f>
        <v>0.598</v>
      </c>
      <c r="AD122" s="24" t="n">
        <f aca="false">AD16+$E$30*AD49</f>
        <v>0.5822</v>
      </c>
      <c r="AE122" s="24" t="n">
        <f aca="false">AE16+$E$30*AE49</f>
        <v>0.5526</v>
      </c>
      <c r="AF122" s="24" t="n">
        <f aca="false">AF16+$E$30*AF49</f>
        <v>0.5337</v>
      </c>
      <c r="AG122" s="24" t="n">
        <f aca="false">AG16+$E$30*AG49</f>
        <v>0.5081</v>
      </c>
      <c r="AH122" s="24" t="n">
        <f aca="false">AH16+$E$30*AH49</f>
        <v>0.4978</v>
      </c>
      <c r="AI122" s="24" t="n">
        <f aca="false">AI16+$E$30*AI49</f>
        <v>0.4779</v>
      </c>
      <c r="AJ122" s="24" t="n">
        <f aca="false">AJ16+$E$30*AJ49</f>
        <v>0.4579</v>
      </c>
      <c r="AL122" s="35" t="s">
        <v>81</v>
      </c>
      <c r="AM122" s="37" t="n">
        <f aca="false">C122*(1+(((2-3*O122^2)/24*AA122^2)+(O122*AA122*C122/4))*30)</f>
        <v>0.695739810186403</v>
      </c>
      <c r="AN122" s="37" t="n">
        <f aca="false">D122*(1+(((2-3*P122^2)/24*AB122^2)+(P122*AB122*D122/4))*30)</f>
        <v>0.649152494368874</v>
      </c>
      <c r="AO122" s="37" t="n">
        <f aca="false">E122*(1+(((2-3*Q122^2)/24*AC122^2)+(Q122*AC122*E122/4))*30)</f>
        <v>0.618017515451789</v>
      </c>
      <c r="AP122" s="37" t="n">
        <f aca="false">F122*(1+(((2-3*R122^2)/24*AD122^2)+(R122*AD122*F122/4))*30)</f>
        <v>0.604198595659338</v>
      </c>
      <c r="AQ122" s="37" t="n">
        <f aca="false">G122*(1+(((2-3*S122^2)/24*AE122^2)+(S122*AE122*G122/4))*30)</f>
        <v>0.563723739320033</v>
      </c>
      <c r="AR122" s="37" t="n">
        <f aca="false">H122*(1+(((2-3*T122^2)/24*AF122^2)+(T122*AF122*H122/4))*30)</f>
        <v>0.519254792018559</v>
      </c>
      <c r="AS122" s="37" t="n">
        <f aca="false">I122*(1+(((2-3*U122^2)/24*AG122^2)+(U122*AG122*I122/4))*30)</f>
        <v>0.485673856390027</v>
      </c>
      <c r="AT122" s="37" t="n">
        <f aca="false">J122*(1+(((2-3*V122^2)/24*AH122^2)+(V122*AH122*J122/4))*30)</f>
        <v>0.448999824046605</v>
      </c>
      <c r="AU122" s="37" t="n">
        <f aca="false">K122*(1+(((2-3*W122^2)/24*AI122^2)+(W122*AI122*K122/4))*30)</f>
        <v>0.418205347540132</v>
      </c>
      <c r="AV122" s="37" t="n">
        <f aca="false">L122*(1+(((2-3*X122^2)/24*AJ122^2)+(X122*AJ122*L122/4))*30)</f>
        <v>0.392616331289723</v>
      </c>
    </row>
    <row r="124" customFormat="false" ht="15" hidden="false" customHeight="true" outlineLevel="0" collapsed="false">
      <c r="A124" s="28" t="s">
        <v>158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</row>
    <row r="125" customFormat="false" ht="15" hidden="false" customHeight="true" outlineLevel="0" collapsed="false">
      <c r="B125" s="28" t="s">
        <v>136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N125" s="28" t="s">
        <v>137</v>
      </c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Z125" s="28" t="s">
        <v>138</v>
      </c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L125" s="34" t="s">
        <v>139</v>
      </c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</row>
    <row r="126" customFormat="false" ht="15" hidden="false" customHeight="true" outlineLevel="0" collapsed="false">
      <c r="B126" s="18" t="s">
        <v>140</v>
      </c>
      <c r="C126" s="12" t="s">
        <v>141</v>
      </c>
      <c r="D126" s="12" t="s">
        <v>74</v>
      </c>
      <c r="E126" s="12" t="s">
        <v>75</v>
      </c>
      <c r="F126" s="12" t="s">
        <v>30</v>
      </c>
      <c r="G126" s="12" t="s">
        <v>76</v>
      </c>
      <c r="H126" s="12" t="s">
        <v>77</v>
      </c>
      <c r="I126" s="12" t="s">
        <v>78</v>
      </c>
      <c r="J126" s="12" t="s">
        <v>79</v>
      </c>
      <c r="K126" s="12" t="s">
        <v>80</v>
      </c>
      <c r="L126" s="12" t="s">
        <v>81</v>
      </c>
      <c r="N126" s="18" t="s">
        <v>140</v>
      </c>
      <c r="O126" s="12" t="s">
        <v>141</v>
      </c>
      <c r="P126" s="12" t="s">
        <v>74</v>
      </c>
      <c r="Q126" s="12" t="s">
        <v>75</v>
      </c>
      <c r="R126" s="12" t="s">
        <v>30</v>
      </c>
      <c r="S126" s="12" t="s">
        <v>76</v>
      </c>
      <c r="T126" s="12" t="s">
        <v>77</v>
      </c>
      <c r="U126" s="12" t="s">
        <v>78</v>
      </c>
      <c r="V126" s="12" t="s">
        <v>79</v>
      </c>
      <c r="W126" s="12" t="s">
        <v>80</v>
      </c>
      <c r="X126" s="12" t="s">
        <v>81</v>
      </c>
      <c r="Z126" s="18" t="s">
        <v>140</v>
      </c>
      <c r="AA126" s="12" t="s">
        <v>141</v>
      </c>
      <c r="AB126" s="12" t="s">
        <v>74</v>
      </c>
      <c r="AC126" s="12" t="s">
        <v>75</v>
      </c>
      <c r="AD126" s="12" t="s">
        <v>30</v>
      </c>
      <c r="AE126" s="12" t="s">
        <v>76</v>
      </c>
      <c r="AF126" s="12" t="s">
        <v>77</v>
      </c>
      <c r="AG126" s="12" t="s">
        <v>78</v>
      </c>
      <c r="AH126" s="12" t="s">
        <v>79</v>
      </c>
      <c r="AI126" s="12" t="s">
        <v>80</v>
      </c>
      <c r="AJ126" s="12" t="s">
        <v>81</v>
      </c>
      <c r="AL126" s="18" t="s">
        <v>140</v>
      </c>
      <c r="AM126" s="12" t="s">
        <v>141</v>
      </c>
      <c r="AN126" s="12" t="s">
        <v>74</v>
      </c>
      <c r="AO126" s="12" t="s">
        <v>75</v>
      </c>
      <c r="AP126" s="12" t="s">
        <v>30</v>
      </c>
      <c r="AQ126" s="12" t="s">
        <v>76</v>
      </c>
      <c r="AR126" s="12" t="s">
        <v>77</v>
      </c>
      <c r="AS126" s="12" t="s">
        <v>78</v>
      </c>
      <c r="AT126" s="12" t="s">
        <v>79</v>
      </c>
      <c r="AU126" s="12" t="s">
        <v>80</v>
      </c>
      <c r="AV126" s="12" t="s">
        <v>81</v>
      </c>
    </row>
    <row r="127" customFormat="false" ht="15" hidden="false" customHeight="true" outlineLevel="0" collapsed="false">
      <c r="B127" s="35" t="s">
        <v>141</v>
      </c>
      <c r="C127" s="24" t="n">
        <f aca="false">C7+$C$31*C40</f>
        <v>0.5749978</v>
      </c>
      <c r="D127" s="24" t="n">
        <f aca="false">D7+$C$31*D40</f>
        <v>0.5534204</v>
      </c>
      <c r="E127" s="24" t="n">
        <f aca="false">E7+$C$31*E40</f>
        <v>0.544976</v>
      </c>
      <c r="F127" s="24" t="n">
        <f aca="false">F7+$C$31*F40</f>
        <v>0.515252</v>
      </c>
      <c r="G127" s="24" t="n">
        <f aca="false">G7+$C$31*G40</f>
        <v>0.5061186</v>
      </c>
      <c r="H127" s="24" t="n">
        <f aca="false">H7+$C$31*H40</f>
        <v>0.4842386</v>
      </c>
      <c r="I127" s="24" t="n">
        <f aca="false">I7+$C$31*I40</f>
        <v>0.460602</v>
      </c>
      <c r="J127" s="24" t="n">
        <f aca="false">J7+$C$31*J40</f>
        <v>0.4513</v>
      </c>
      <c r="K127" s="24" t="n">
        <f aca="false">K7+$C$31*K40</f>
        <v>0.42342</v>
      </c>
      <c r="L127" s="24" t="n">
        <f aca="false">L7+$C$31*L40</f>
        <v>0.4129756</v>
      </c>
      <c r="N127" s="35" t="s">
        <v>141</v>
      </c>
      <c r="O127" s="24" t="n">
        <f aca="false">O7+$D$31*O40</f>
        <v>-0.3586</v>
      </c>
      <c r="P127" s="24" t="n">
        <f aca="false">P7+$D$31*P40</f>
        <v>-0.3387</v>
      </c>
      <c r="Q127" s="24" t="n">
        <f aca="false">Q7+$D$31*Q40</f>
        <v>-0.3126</v>
      </c>
      <c r="R127" s="24" t="n">
        <f aca="false">R7+$D$31*R40</f>
        <v>-0.2851</v>
      </c>
      <c r="S127" s="24" t="n">
        <f aca="false">S7+$D$31*S40</f>
        <v>-0.2797</v>
      </c>
      <c r="T127" s="24" t="n">
        <f aca="false">T7+$D$31*T40</f>
        <v>-0.2583</v>
      </c>
      <c r="U127" s="24" t="n">
        <f aca="false">U7+$D$31*U40</f>
        <v>-0.2308</v>
      </c>
      <c r="V127" s="24" t="n">
        <f aca="false">V7+$D$31*V40</f>
        <v>-0.2049</v>
      </c>
      <c r="W127" s="24" t="n">
        <f aca="false">W7+$D$31*W40</f>
        <v>-0.1929</v>
      </c>
      <c r="X127" s="24" t="n">
        <f aca="false">X7+$D$31*X40</f>
        <v>-0.1771</v>
      </c>
      <c r="Z127" s="35" t="s">
        <v>141</v>
      </c>
      <c r="AA127" s="24" t="n">
        <f aca="false">AA7+$E$31*AA40</f>
        <v>0.8595</v>
      </c>
      <c r="AB127" s="24" t="n">
        <f aca="false">AB7+$E$31*AB40</f>
        <v>0.8187</v>
      </c>
      <c r="AC127" s="24" t="n">
        <f aca="false">AC7+$E$31*AC40</f>
        <v>0.8127</v>
      </c>
      <c r="AD127" s="24" t="n">
        <f aca="false">AD7+$E$31*AD40</f>
        <v>0.7791</v>
      </c>
      <c r="AE127" s="24" t="n">
        <f aca="false">AE7+$E$31*AE40</f>
        <v>0.754</v>
      </c>
      <c r="AF127" s="24" t="n">
        <f aca="false">AF7+$E$31*AF40</f>
        <v>0.7312</v>
      </c>
      <c r="AG127" s="24" t="n">
        <f aca="false">AG7+$E$31*AG40</f>
        <v>0.7128</v>
      </c>
      <c r="AH127" s="24" t="n">
        <f aca="false">AH7+$E$31*AH40</f>
        <v>0.7008</v>
      </c>
      <c r="AI127" s="24" t="n">
        <f aca="false">AI7+$E$31*AI40</f>
        <v>0.6658</v>
      </c>
      <c r="AJ127" s="24" t="n">
        <f aca="false">AJ7+$E$31*AJ40</f>
        <v>0.6516</v>
      </c>
      <c r="AL127" s="35" t="s">
        <v>141</v>
      </c>
      <c r="AM127" s="37" t="n">
        <f aca="false">C127*(1+(((2-3*O127^2)/24*AA127^2)+(O127*AA127*C127/4))*0.0833333333333333)</f>
        <v>0.575255639297563</v>
      </c>
      <c r="AN127" s="37" t="n">
        <f aca="false">D127*(1+(((2-3*P127^2)/24*AB127^2)+(P127*AB127*D127/4))*0.0833333333333333)</f>
        <v>0.55378378217483</v>
      </c>
      <c r="AO127" s="37" t="n">
        <f aca="false">E127*(1+(((2-3*Q127^2)/24*AC127^2)+(Q127*AC127*E127/4))*0.0833333333333333)</f>
        <v>0.545537308930373</v>
      </c>
      <c r="AP127" s="37" t="n">
        <f aca="false">F127*(1+(((2-3*R127^2)/24*AD127^2)+(R127*AD127*F127/4))*0.0833333333333333)</f>
        <v>0.515930574097855</v>
      </c>
      <c r="AQ127" s="37" t="n">
        <f aca="false">G127*(1+(((2-3*S127^2)/24*AE127^2)+(S127*AE127*G127/4))*0.0833333333333333)</f>
        <v>0.506756836232597</v>
      </c>
      <c r="AR127" s="37" t="n">
        <f aca="false">H127*(1+(((2-3*T127^2)/24*AF127^2)+(T127*AF127*H127/4))*0.0833333333333333)</f>
        <v>0.484933930619739</v>
      </c>
      <c r="AS127" s="37" t="n">
        <f aca="false">I127*(1+(((2-3*U127^2)/24*AG127^2)+(U127*AG127*I127/4))*0.0833333333333333)</f>
        <v>0.461370180735132</v>
      </c>
      <c r="AT127" s="37" t="n">
        <f aca="false">J127*(1+(((2-3*V127^2)/24*AH127^2)+(V127*AH127*J127/4))*0.0833333333333333)</f>
        <v>0.452132961937003</v>
      </c>
      <c r="AU127" s="37" t="n">
        <f aca="false">K127*(1+(((2-3*W127^2)/24*AI127^2)+(W127*AI127*K127/4))*0.0833333333333333)</f>
        <v>0.424170994419998</v>
      </c>
      <c r="AV127" s="37" t="n">
        <f aca="false">L127*(1+(((2-3*X127^2)/24*AJ127^2)+(X127*AJ127*L127/4))*0.0833333333333333)</f>
        <v>0.413725945883845</v>
      </c>
    </row>
    <row r="128" customFormat="false" ht="15" hidden="false" customHeight="true" outlineLevel="0" collapsed="false">
      <c r="B128" s="35" t="s">
        <v>74</v>
      </c>
      <c r="C128" s="24" t="n">
        <f aca="false">C8+$C$31*C41</f>
        <v>0.5627822</v>
      </c>
      <c r="D128" s="24" t="n">
        <f aca="false">D8+$C$31*D41</f>
        <v>0.5390912</v>
      </c>
      <c r="E128" s="24" t="n">
        <f aca="false">E8+$C$31*E41</f>
        <v>0.5244426</v>
      </c>
      <c r="F128" s="24" t="n">
        <f aca="false">F8+$C$31*F41</f>
        <v>0.4962092</v>
      </c>
      <c r="G128" s="24" t="n">
        <f aca="false">G8+$C$31*G41</f>
        <v>0.4786548</v>
      </c>
      <c r="H128" s="24" t="n">
        <f aca="false">H8+$C$31*H41</f>
        <v>0.4628612</v>
      </c>
      <c r="I128" s="24" t="n">
        <f aca="false">I8+$C$31*I41</f>
        <v>0.4545398</v>
      </c>
      <c r="J128" s="24" t="n">
        <f aca="false">J8+$C$31*J41</f>
        <v>0.4307394</v>
      </c>
      <c r="K128" s="24" t="n">
        <f aca="false">K8+$C$31*K41</f>
        <v>0.4108426</v>
      </c>
      <c r="L128" s="24" t="n">
        <f aca="false">L8+$C$31*L41</f>
        <v>0.3978338</v>
      </c>
      <c r="N128" s="35" t="s">
        <v>74</v>
      </c>
      <c r="O128" s="24" t="n">
        <f aca="false">O8+$D$31*O41</f>
        <v>-0.3315</v>
      </c>
      <c r="P128" s="24" t="n">
        <f aca="false">P8+$D$31*P41</f>
        <v>-0.3151</v>
      </c>
      <c r="Q128" s="24" t="n">
        <f aca="false">Q8+$D$31*Q41</f>
        <v>-0.2858</v>
      </c>
      <c r="R128" s="24" t="n">
        <f aca="false">R8+$D$31*R41</f>
        <v>-0.2682</v>
      </c>
      <c r="S128" s="24" t="n">
        <f aca="false">S8+$D$31*S41</f>
        <v>-0.2579</v>
      </c>
      <c r="T128" s="24" t="n">
        <f aca="false">T8+$D$31*T41</f>
        <v>-0.2318</v>
      </c>
      <c r="U128" s="24" t="n">
        <f aca="false">U8+$D$31*U41</f>
        <v>-0.2134</v>
      </c>
      <c r="V128" s="24" t="n">
        <f aca="false">V8+$D$31*V41</f>
        <v>-0.1869</v>
      </c>
      <c r="W128" s="24" t="n">
        <f aca="false">W8+$D$31*W41</f>
        <v>-0.1704</v>
      </c>
      <c r="X128" s="24" t="n">
        <f aca="false">X8+$D$31*X41</f>
        <v>-0.1598</v>
      </c>
      <c r="Z128" s="35" t="s">
        <v>74</v>
      </c>
      <c r="AA128" s="24" t="n">
        <f aca="false">AA8+$E$31*AA41</f>
        <v>0.8374</v>
      </c>
      <c r="AB128" s="24" t="n">
        <f aca="false">AB8+$E$31*AB41</f>
        <v>0.7979</v>
      </c>
      <c r="AC128" s="24" t="n">
        <f aca="false">AC8+$E$31*AC41</f>
        <v>0.7817</v>
      </c>
      <c r="AD128" s="24" t="n">
        <f aca="false">AD8+$E$31*AD41</f>
        <v>0.7663</v>
      </c>
      <c r="AE128" s="24" t="n">
        <f aca="false">AE8+$E$31*AE41</f>
        <v>0.7319</v>
      </c>
      <c r="AF128" s="24" t="n">
        <f aca="false">AF8+$E$31*AF41</f>
        <v>0.7164</v>
      </c>
      <c r="AG128" s="24" t="n">
        <f aca="false">AG8+$E$31*AG41</f>
        <v>0.6852</v>
      </c>
      <c r="AH128" s="24" t="n">
        <f aca="false">AH8+$E$31*AH41</f>
        <v>0.6756</v>
      </c>
      <c r="AI128" s="24" t="n">
        <f aca="false">AI8+$E$31*AI41</f>
        <v>0.6553</v>
      </c>
      <c r="AJ128" s="24" t="n">
        <f aca="false">AJ8+$E$31*AJ41</f>
        <v>0.6292</v>
      </c>
      <c r="AL128" s="35" t="s">
        <v>74</v>
      </c>
      <c r="AM128" s="37" t="n">
        <f aca="false">C128*(1+(((2-3*O128^2)/24*AA128^2)+(O128*AA128*C128/4))*0.25)</f>
        <v>0.564153581732452</v>
      </c>
      <c r="AN128" s="37" t="n">
        <f aca="false">D128*(1+(((2-3*P128^2)/24*AB128^2)+(P128*AB128*D128/4))*0.25)</f>
        <v>0.540609814431954</v>
      </c>
      <c r="AO128" s="37" t="n">
        <f aca="false">E128*(1+(((2-3*Q128^2)/24*AC128^2)+(Q128*AC128*E128/4))*0.25)</f>
        <v>0.526460502142163</v>
      </c>
      <c r="AP128" s="37" t="n">
        <f aca="false">F128*(1+(((2-3*R128^2)/24*AD128^2)+(R128*AD128*F128/4))*0.25)</f>
        <v>0.498461904434826</v>
      </c>
      <c r="AQ128" s="37" t="n">
        <f aca="false">G128*(1+(((2-3*S128^2)/24*AE128^2)+(S128*AE128*G128/4))*0.25)</f>
        <v>0.480760736029293</v>
      </c>
      <c r="AR128" s="37" t="n">
        <f aca="false">H128*(1+(((2-3*T128^2)/24*AF128^2)+(T128*AF128*H128/4))*0.25)</f>
        <v>0.465187791243648</v>
      </c>
      <c r="AS128" s="37" t="n">
        <f aca="false">I128*(1+(((2-3*U128^2)/24*AG128^2)+(U128*AG128*I128/4))*0.25)</f>
        <v>0.45679391164504</v>
      </c>
      <c r="AT128" s="37" t="n">
        <f aca="false">J128*(1+(((2-3*V128^2)/24*AH128^2)+(V128*AH128*J128/4))*0.25)</f>
        <v>0.433156488759808</v>
      </c>
      <c r="AU128" s="37" t="n">
        <f aca="false">K128*(1+(((2-3*W128^2)/24*AI128^2)+(W128*AI128*K128/4))*0.25)</f>
        <v>0.413180013752667</v>
      </c>
      <c r="AV128" s="37" t="n">
        <f aca="false">L128*(1+(((2-3*X128^2)/24*AJ128^2)+(X128*AJ128*L128/4))*0.25)</f>
        <v>0.399994753318556</v>
      </c>
    </row>
    <row r="129" customFormat="false" ht="15" hidden="false" customHeight="true" outlineLevel="0" collapsed="false">
      <c r="B129" s="35" t="s">
        <v>75</v>
      </c>
      <c r="C129" s="24" t="n">
        <f aca="false">C9+$C$31*C42</f>
        <v>0.548942</v>
      </c>
      <c r="D129" s="24" t="n">
        <f aca="false">D9+$C$31*D42</f>
        <v>0.5196714</v>
      </c>
      <c r="E129" s="24" t="n">
        <f aca="false">E9+$C$31*E42</f>
        <v>0.509717</v>
      </c>
      <c r="F129" s="24" t="n">
        <f aca="false">F9+$C$31*F42</f>
        <v>0.4890344</v>
      </c>
      <c r="G129" s="24" t="n">
        <f aca="false">G9+$C$31*G42</f>
        <v>0.4709842</v>
      </c>
      <c r="H129" s="24" t="n">
        <f aca="false">H9+$C$31*H42</f>
        <v>0.4496592</v>
      </c>
      <c r="I129" s="24" t="n">
        <f aca="false">I9+$C$31*I42</f>
        <v>0.4387012</v>
      </c>
      <c r="J129" s="24" t="n">
        <f aca="false">J9+$C$31*J42</f>
        <v>0.4231044</v>
      </c>
      <c r="K129" s="24" t="n">
        <f aca="false">K9+$C$31*K42</f>
        <v>0.3955626</v>
      </c>
      <c r="L129" s="24" t="n">
        <f aca="false">L9+$C$31*L42</f>
        <v>0.3805088</v>
      </c>
      <c r="N129" s="35" t="s">
        <v>75</v>
      </c>
      <c r="O129" s="24" t="n">
        <f aca="false">O9+$D$31*O42</f>
        <v>-0.3199</v>
      </c>
      <c r="P129" s="24" t="n">
        <f aca="false">P9+$D$31*P42</f>
        <v>-0.2876</v>
      </c>
      <c r="Q129" s="24" t="n">
        <f aca="false">Q9+$D$31*Q42</f>
        <v>-0.2693</v>
      </c>
      <c r="R129" s="24" t="n">
        <f aca="false">R9+$D$31*R42</f>
        <v>-0.2429</v>
      </c>
      <c r="S129" s="24" t="n">
        <f aca="false">S9+$D$31*S42</f>
        <v>-0.2269</v>
      </c>
      <c r="T129" s="24" t="n">
        <f aca="false">T9+$D$31*T42</f>
        <v>-0.2182</v>
      </c>
      <c r="U129" s="24" t="n">
        <f aca="false">U9+$D$31*U42</f>
        <v>-0.1967</v>
      </c>
      <c r="V129" s="24" t="n">
        <f aca="false">V9+$D$31*V42</f>
        <v>-0.1716</v>
      </c>
      <c r="W129" s="24" t="n">
        <f aca="false">W9+$D$31*W42</f>
        <v>-0.1651</v>
      </c>
      <c r="X129" s="24" t="n">
        <f aca="false">X9+$D$31*X42</f>
        <v>-0.1369</v>
      </c>
      <c r="Z129" s="35" t="s">
        <v>75</v>
      </c>
      <c r="AA129" s="24" t="n">
        <f aca="false">AA9+$E$31*AA42</f>
        <v>0.7989</v>
      </c>
      <c r="AB129" s="24" t="n">
        <f aca="false">AB9+$E$31*AB42</f>
        <v>0.7757</v>
      </c>
      <c r="AC129" s="24" t="n">
        <f aca="false">AC9+$E$31*AC42</f>
        <v>0.7523</v>
      </c>
      <c r="AD129" s="24" t="n">
        <f aca="false">AD9+$E$31*AD42</f>
        <v>0.7443</v>
      </c>
      <c r="AE129" s="24" t="n">
        <f aca="false">AE9+$E$31*AE42</f>
        <v>0.7093</v>
      </c>
      <c r="AF129" s="24" t="n">
        <f aca="false">AF9+$E$31*AF42</f>
        <v>0.6894</v>
      </c>
      <c r="AG129" s="24" t="n">
        <f aca="false">AG9+$E$31*AG42</f>
        <v>0.67</v>
      </c>
      <c r="AH129" s="24" t="n">
        <f aca="false">AH9+$E$31*AH42</f>
        <v>0.6574</v>
      </c>
      <c r="AI129" s="24" t="n">
        <f aca="false">AI9+$E$31*AI42</f>
        <v>0.6194</v>
      </c>
      <c r="AJ129" s="24" t="n">
        <f aca="false">AJ9+$E$31*AJ42</f>
        <v>0.6045</v>
      </c>
      <c r="AL129" s="35" t="s">
        <v>75</v>
      </c>
      <c r="AM129" s="37" t="n">
        <f aca="false">C129*(1+(((2-3*O129^2)/24*AA129^2)+(O129*AA129*C129/4))*0.5)</f>
        <v>0.551672812925035</v>
      </c>
      <c r="AN129" s="37" t="n">
        <f aca="false">D129*(1+(((2-3*P129^2)/24*AB129^2)+(P129*AB129*D129/4))*0.5)</f>
        <v>0.523552768276644</v>
      </c>
      <c r="AO129" s="37" t="n">
        <f aca="false">E129*(1+(((2-3*Q129^2)/24*AC129^2)+(Q129*AC129*E129/4))*0.5)</f>
        <v>0.513849767291092</v>
      </c>
      <c r="AP129" s="37" t="n">
        <f aca="false">F129*(1+(((2-3*R129^2)/24*AD129^2)+(R129*AD129*F129/4))*0.5)</f>
        <v>0.493918965689124</v>
      </c>
      <c r="AQ129" s="37" t="n">
        <f aca="false">G129*(1+(((2-3*S129^2)/24*AE129^2)+(S129*AE129*G129/4))*0.5)</f>
        <v>0.475632285195156</v>
      </c>
      <c r="AR129" s="37" t="n">
        <f aca="false">H129*(1+(((2-3*T129^2)/24*AF129^2)+(T129*AF129*H129/4))*0.5)</f>
        <v>0.454125948475824</v>
      </c>
      <c r="AS129" s="37" t="n">
        <f aca="false">I129*(1+(((2-3*U129^2)/24*AG129^2)+(U129*AG129*I129/4))*0.5)</f>
        <v>0.443260027714181</v>
      </c>
      <c r="AT129" s="37" t="n">
        <f aca="false">J129*(1+(((2-3*V129^2)/24*AH129^2)+(V129*AH129*J129/4))*0.5)</f>
        <v>0.427862467265552</v>
      </c>
      <c r="AU129" s="37" t="n">
        <f aca="false">K129*(1+(((2-3*W129^2)/24*AI129^2)+(W129*AI129*K129/4))*0.5)</f>
        <v>0.399627263050948</v>
      </c>
      <c r="AV129" s="37" t="n">
        <f aca="false">L129*(1+(((2-3*X129^2)/24*AJ129^2)+(X129*AJ129*L129/4))*0.5)</f>
        <v>0.384641746882553</v>
      </c>
    </row>
    <row r="130" customFormat="false" ht="15" hidden="false" customHeight="true" outlineLevel="0" collapsed="false">
      <c r="B130" s="35" t="s">
        <v>30</v>
      </c>
      <c r="C130" s="24" t="n">
        <f aca="false">C10+$C$31*C43</f>
        <v>0.524229</v>
      </c>
      <c r="D130" s="24" t="n">
        <f aca="false">D10+$C$31*D43</f>
        <v>0.512894</v>
      </c>
      <c r="E130" s="24" t="n">
        <f aca="false">E10+$C$31*E43</f>
        <v>0.4940684</v>
      </c>
      <c r="F130" s="24" t="n">
        <f aca="false">F10+$C$31*F43</f>
        <v>0.476435</v>
      </c>
      <c r="G130" s="24" t="n">
        <f aca="false">G10+$C$31*G43</f>
        <v>0.4457566</v>
      </c>
      <c r="H130" s="24" t="n">
        <f aca="false">H10+$C$31*H43</f>
        <v>0.430397</v>
      </c>
      <c r="I130" s="24" t="n">
        <f aca="false">I10+$C$31*I43</f>
        <v>0.4108348</v>
      </c>
      <c r="J130" s="24" t="n">
        <f aca="false">J10+$C$31*J43</f>
        <v>0.4029972</v>
      </c>
      <c r="K130" s="24" t="n">
        <f aca="false">K10+$C$31*K43</f>
        <v>0.3869784</v>
      </c>
      <c r="L130" s="24" t="n">
        <f aca="false">L10+$C$31*L43</f>
        <v>0.3519178</v>
      </c>
      <c r="N130" s="35" t="s">
        <v>30</v>
      </c>
      <c r="O130" s="24" t="n">
        <f aca="false">O10+$D$31*O43</f>
        <v>-0.2981</v>
      </c>
      <c r="P130" s="24" t="n">
        <f aca="false">P10+$D$31*P43</f>
        <v>-0.2776</v>
      </c>
      <c r="Q130" s="24" t="n">
        <f aca="false">Q10+$D$31*Q43</f>
        <v>-0.2581</v>
      </c>
      <c r="R130" s="24" t="n">
        <f aca="false">R10+$D$31*R43</f>
        <v>-0.2336</v>
      </c>
      <c r="S130" s="24" t="n">
        <f aca="false">S10+$D$31*S43</f>
        <v>-0.2121</v>
      </c>
      <c r="T130" s="24" t="n">
        <f aca="false">T10+$D$31*T43</f>
        <v>-0.1992</v>
      </c>
      <c r="U130" s="24" t="n">
        <f aca="false">U10+$D$31*U43</f>
        <v>-0.1849</v>
      </c>
      <c r="V130" s="24" t="n">
        <f aca="false">V10+$D$31*V43</f>
        <v>-0.1572</v>
      </c>
      <c r="W130" s="24" t="n">
        <f aca="false">W10+$D$31*W43</f>
        <v>-0.1387</v>
      </c>
      <c r="X130" s="24" t="n">
        <f aca="false">X10+$D$31*X43</f>
        <v>-0.1153</v>
      </c>
      <c r="Z130" s="35" t="s">
        <v>30</v>
      </c>
      <c r="AA130" s="24" t="n">
        <f aca="false">AA10+$E$31*AA43</f>
        <v>0.7924</v>
      </c>
      <c r="AB130" s="24" t="n">
        <f aca="false">AB10+$E$31*AB43</f>
        <v>0.7649</v>
      </c>
      <c r="AC130" s="24" t="n">
        <f aca="false">AC10+$E$31*AC43</f>
        <v>0.7392</v>
      </c>
      <c r="AD130" s="24" t="n">
        <f aca="false">AD10+$E$31*AD43</f>
        <v>0.719</v>
      </c>
      <c r="AE130" s="24" t="n">
        <f aca="false">AE10+$E$31*AE43</f>
        <v>0.698</v>
      </c>
      <c r="AF130" s="24" t="n">
        <f aca="false">AF10+$E$31*AF43</f>
        <v>0.6633</v>
      </c>
      <c r="AG130" s="24" t="n">
        <f aca="false">AG10+$E$31*AG43</f>
        <v>0.658</v>
      </c>
      <c r="AH130" s="24" t="n">
        <f aca="false">AH10+$E$31*AH43</f>
        <v>0.6334</v>
      </c>
      <c r="AI130" s="24" t="n">
        <f aca="false">AI10+$E$31*AI43</f>
        <v>0.613</v>
      </c>
      <c r="AJ130" s="24" t="n">
        <f aca="false">AJ10+$E$31*AJ43</f>
        <v>0.5893</v>
      </c>
      <c r="AL130" s="35" t="s">
        <v>30</v>
      </c>
      <c r="AM130" s="37" t="n">
        <f aca="false">C130*(1+(((2-3*O130^2)/24*AA130^2)+(O130*AA130*C130/4))*1)</f>
        <v>0.531773987223118</v>
      </c>
      <c r="AN130" s="37" t="n">
        <f aca="false">D130*(1+(((2-3*P130^2)/24*AB130^2)+(P130*AB130*D130/4))*1)</f>
        <v>0.521045768038181</v>
      </c>
      <c r="AO130" s="37" t="n">
        <f aca="false">E130*(1+(((2-3*Q130^2)/24*AC130^2)+(Q130*AC130*E130/4))*1)</f>
        <v>0.502674683234674</v>
      </c>
      <c r="AP130" s="37" t="n">
        <f aca="false">F130*(1+(((2-3*R130^2)/24*AD130^2)+(R130*AD130*F130/4))*1)</f>
        <v>0.485748596858852</v>
      </c>
      <c r="AQ130" s="37" t="n">
        <f aca="false">G130*(1+(((2-3*S130^2)/24*AE130^2)+(S130*AE130*G130/4))*1)</f>
        <v>0.455279093357371</v>
      </c>
      <c r="AR130" s="37" t="n">
        <f aca="false">H130*(1+(((2-3*T130^2)/24*AF130^2)+(T130*AF130*H130/4))*1)</f>
        <v>0.439118830143132</v>
      </c>
      <c r="AS130" s="37" t="n">
        <f aca="false">I130*(1+(((2-3*U130^2)/24*AG130^2)+(U130*AG130*I130/4))*1)</f>
        <v>0.419763920238795</v>
      </c>
      <c r="AT130" s="37" t="n">
        <f aca="false">J130*(1+(((2-3*V130^2)/24*AH130^2)+(V130*AH130*J130/4))*1)</f>
        <v>0.411928432857369</v>
      </c>
      <c r="AU130" s="37" t="n">
        <f aca="false">K130*(1+(((2-3*W130^2)/24*AI130^2)+(W130*AI130*K130/4))*1)</f>
        <v>0.395563493201123</v>
      </c>
      <c r="AV130" s="37" t="n">
        <f aca="false">L130*(1+(((2-3*X130^2)/24*AJ130^2)+(X130*AJ130*L130/4))*1)</f>
        <v>0.359795330852114</v>
      </c>
    </row>
    <row r="131" customFormat="false" ht="15" hidden="false" customHeight="true" outlineLevel="0" collapsed="false">
      <c r="B131" s="35" t="s">
        <v>76</v>
      </c>
      <c r="C131" s="24" t="n">
        <f aca="false">C11+$C$31*C44</f>
        <v>0.5033432</v>
      </c>
      <c r="D131" s="24" t="n">
        <f aca="false">D11+$C$31*D44</f>
        <v>0.4850166</v>
      </c>
      <c r="E131" s="24" t="n">
        <f aca="false">E11+$C$31*E44</f>
        <v>0.4606298</v>
      </c>
      <c r="F131" s="24" t="n">
        <f aca="false">F11+$C$31*F44</f>
        <v>0.4535152</v>
      </c>
      <c r="G131" s="24" t="n">
        <f aca="false">G11+$C$31*G44</f>
        <v>0.4231724</v>
      </c>
      <c r="H131" s="24" t="n">
        <f aca="false">H11+$C$31*H44</f>
        <v>0.4055222</v>
      </c>
      <c r="I131" s="24" t="n">
        <f aca="false">I11+$C$31*I44</f>
        <v>0.3895506</v>
      </c>
      <c r="J131" s="24" t="n">
        <f aca="false">J11+$C$31*J44</f>
        <v>0.370669</v>
      </c>
      <c r="K131" s="24" t="n">
        <f aca="false">K11+$C$31*K44</f>
        <v>0.3557534</v>
      </c>
      <c r="L131" s="24" t="n">
        <f aca="false">L11+$C$31*L44</f>
        <v>0.3318048</v>
      </c>
      <c r="N131" s="35" t="s">
        <v>76</v>
      </c>
      <c r="O131" s="24" t="n">
        <f aca="false">O11+$D$31*O44</f>
        <v>-0.2822</v>
      </c>
      <c r="P131" s="24" t="n">
        <f aca="false">P11+$D$31*P44</f>
        <v>-0.2598</v>
      </c>
      <c r="Q131" s="24" t="n">
        <f aca="false">Q11+$D$31*Q44</f>
        <v>-0.2413</v>
      </c>
      <c r="R131" s="24" t="n">
        <f aca="false">R11+$D$31*R44</f>
        <v>-0.2166</v>
      </c>
      <c r="S131" s="24" t="n">
        <f aca="false">S11+$D$31*S44</f>
        <v>-0.2039</v>
      </c>
      <c r="T131" s="24" t="n">
        <f aca="false">T11+$D$31*T44</f>
        <v>-0.1675</v>
      </c>
      <c r="U131" s="24" t="n">
        <f aca="false">U11+$D$31*U44</f>
        <v>-0.1533</v>
      </c>
      <c r="V131" s="24" t="n">
        <f aca="false">V11+$D$31*V44</f>
        <v>-0.1431</v>
      </c>
      <c r="W131" s="24" t="n">
        <f aca="false">W11+$D$31*W44</f>
        <v>-0.1216</v>
      </c>
      <c r="X131" s="24" t="n">
        <f aca="false">X11+$D$31*X44</f>
        <v>-0.1003</v>
      </c>
      <c r="Z131" s="35" t="s">
        <v>76</v>
      </c>
      <c r="AA131" s="24" t="n">
        <f aca="false">AA11+$E$31*AA44</f>
        <v>0.7584</v>
      </c>
      <c r="AB131" s="24" t="n">
        <f aca="false">AB11+$E$31*AB44</f>
        <v>0.7313</v>
      </c>
      <c r="AC131" s="24" t="n">
        <f aca="false">AC11+$E$31*AC44</f>
        <v>0.7236</v>
      </c>
      <c r="AD131" s="24" t="n">
        <f aca="false">AD11+$E$31*AD44</f>
        <v>0.7043</v>
      </c>
      <c r="AE131" s="24" t="n">
        <f aca="false">AE11+$E$31*AE44</f>
        <v>0.6715</v>
      </c>
      <c r="AF131" s="24" t="n">
        <f aca="false">AF11+$E$31*AF44</f>
        <v>0.6497</v>
      </c>
      <c r="AG131" s="24" t="n">
        <f aca="false">AG11+$E$31*AG44</f>
        <v>0.6195</v>
      </c>
      <c r="AH131" s="24" t="n">
        <f aca="false">AH11+$E$31*AH44</f>
        <v>0.5976</v>
      </c>
      <c r="AI131" s="24" t="n">
        <f aca="false">AI11+$E$31*AI44</f>
        <v>0.5802</v>
      </c>
      <c r="AJ131" s="24" t="n">
        <f aca="false">AJ11+$E$31*AJ44</f>
        <v>0.5564</v>
      </c>
      <c r="AL131" s="35" t="s">
        <v>76</v>
      </c>
      <c r="AM131" s="37" t="n">
        <f aca="false">C131*(1+(((2-3*O131^2)/24*AA131^2)+(O131*AA131*C131/4))*2)</f>
        <v>0.51871917299395</v>
      </c>
      <c r="AN131" s="37" t="n">
        <f aca="false">D131*(1+(((2-3*P131^2)/24*AB131^2)+(P131*AB131*D131/4))*2)</f>
        <v>0.501523893819636</v>
      </c>
      <c r="AO131" s="37" t="n">
        <f aca="false">E131*(1+(((2-3*Q131^2)/24*AC131^2)+(Q131*AC131*E131/4))*2)</f>
        <v>0.478792618194915</v>
      </c>
      <c r="AP131" s="37" t="n">
        <f aca="false">F131*(1+(((2-3*R131^2)/24*AD131^2)+(R131*AD131*F131/4))*2)</f>
        <v>0.472682074791531</v>
      </c>
      <c r="AQ131" s="37" t="n">
        <f aca="false">G131*(1+(((2-3*S131^2)/24*AE131^2)+(S131*AE131*G131/4))*2)</f>
        <v>0.44073202744148</v>
      </c>
      <c r="AR131" s="37" t="n">
        <f aca="false">H131*(1+(((2-3*T131^2)/24*AF131^2)+(T131*AF131*H131/4))*2)</f>
        <v>0.42390271638574</v>
      </c>
      <c r="AS131" s="37" t="n">
        <f aca="false">I131*(1+(((2-3*U131^2)/24*AG131^2)+(U131*AG131*I131/4))*2)</f>
        <v>0.406383430854092</v>
      </c>
      <c r="AT131" s="37" t="n">
        <f aca="false">J131*(1+(((2-3*V131^2)/24*AH131^2)+(V131*AH131*J131/4))*2)</f>
        <v>0.386179095938068</v>
      </c>
      <c r="AU131" s="37" t="n">
        <f aca="false">K131*(1+(((2-3*W131^2)/24*AI131^2)+(W131*AI131*K131/4))*2)</f>
        <v>0.370805795477723</v>
      </c>
      <c r="AV131" s="37" t="n">
        <f aca="false">L131*(1+(((2-3*X131^2)/24*AJ131^2)+(X131*AJ131*L131/4))*2)</f>
        <v>0.345594515120872</v>
      </c>
    </row>
    <row r="132" customFormat="false" ht="15" hidden="false" customHeight="true" outlineLevel="0" collapsed="false">
      <c r="B132" s="35" t="s">
        <v>77</v>
      </c>
      <c r="C132" s="24" t="n">
        <f aca="false">C12+$C$31*C45</f>
        <v>0.4941684</v>
      </c>
      <c r="D132" s="24" t="n">
        <f aca="false">D12+$C$31*D45</f>
        <v>0.4623884</v>
      </c>
      <c r="E132" s="24" t="n">
        <f aca="false">E12+$C$31*E45</f>
        <v>0.4408524</v>
      </c>
      <c r="F132" s="24" t="n">
        <f aca="false">F12+$C$31*F45</f>
        <v>0.4417734</v>
      </c>
      <c r="G132" s="24" t="n">
        <f aca="false">G12+$C$31*G45</f>
        <v>0.4143594</v>
      </c>
      <c r="H132" s="24" t="n">
        <f aca="false">H12+$C$31*H45</f>
        <v>0.3886532</v>
      </c>
      <c r="I132" s="24" t="n">
        <f aca="false">I12+$C$31*I45</f>
        <v>0.3787318</v>
      </c>
      <c r="J132" s="24" t="n">
        <f aca="false">J12+$C$31*J45</f>
        <v>0.3499162</v>
      </c>
      <c r="K132" s="24" t="n">
        <f aca="false">K12+$C$31*K45</f>
        <v>0.3411268</v>
      </c>
      <c r="L132" s="24" t="n">
        <f aca="false">L12+$C$31*L45</f>
        <v>0.3327682</v>
      </c>
      <c r="N132" s="35" t="s">
        <v>77</v>
      </c>
      <c r="O132" s="24" t="n">
        <f aca="false">O12+$D$31*O45</f>
        <v>-0.2455</v>
      </c>
      <c r="P132" s="24" t="n">
        <f aca="false">P12+$D$31*P45</f>
        <v>-0.2294</v>
      </c>
      <c r="Q132" s="24" t="n">
        <f aca="false">Q12+$D$31*Q45</f>
        <v>-0.2187</v>
      </c>
      <c r="R132" s="24" t="n">
        <f aca="false">R12+$D$31*R45</f>
        <v>-0.1971</v>
      </c>
      <c r="S132" s="24" t="n">
        <f aca="false">S12+$D$31*S45</f>
        <v>-0.1817</v>
      </c>
      <c r="T132" s="24" t="n">
        <f aca="false">T12+$D$31*T45</f>
        <v>-0.1501</v>
      </c>
      <c r="U132" s="24" t="n">
        <f aca="false">U12+$D$31*U45</f>
        <v>-0.1355</v>
      </c>
      <c r="V132" s="24" t="n">
        <f aca="false">V12+$D$31*V45</f>
        <v>-0.1111</v>
      </c>
      <c r="W132" s="24" t="n">
        <f aca="false">W12+$D$31*W45</f>
        <v>-0.1006</v>
      </c>
      <c r="X132" s="24" t="n">
        <f aca="false">X12+$D$31*X45</f>
        <v>-0.0833</v>
      </c>
      <c r="Z132" s="35" t="s">
        <v>77</v>
      </c>
      <c r="AA132" s="24" t="n">
        <f aca="false">AA12+$E$31*AA45</f>
        <v>0.7451</v>
      </c>
      <c r="AB132" s="24" t="n">
        <f aca="false">AB12+$E$31*AB45</f>
        <v>0.7264</v>
      </c>
      <c r="AC132" s="24" t="n">
        <f aca="false">AC12+$E$31*AC45</f>
        <v>0.7015</v>
      </c>
      <c r="AD132" s="24" t="n">
        <f aca="false">AD12+$E$31*AD45</f>
        <v>0.6783</v>
      </c>
      <c r="AE132" s="24" t="n">
        <f aca="false">AE12+$E$31*AE45</f>
        <v>0.6564</v>
      </c>
      <c r="AF132" s="24" t="n">
        <f aca="false">AF12+$E$31*AF45</f>
        <v>0.6326</v>
      </c>
      <c r="AG132" s="24" t="n">
        <f aca="false">AG12+$E$31*AG45</f>
        <v>0.6001</v>
      </c>
      <c r="AH132" s="24" t="n">
        <f aca="false">AH12+$E$31*AH45</f>
        <v>0.5837</v>
      </c>
      <c r="AI132" s="24" t="n">
        <f aca="false">AI12+$E$31*AI45</f>
        <v>0.5582</v>
      </c>
      <c r="AJ132" s="24" t="n">
        <f aca="false">AJ12+$E$31*AJ45</f>
        <v>0.5295</v>
      </c>
      <c r="AL132" s="35" t="s">
        <v>77</v>
      </c>
      <c r="AM132" s="37" t="n">
        <f aca="false">C132*(1+(((2-3*O132^2)/24*AA132^2)+(O132*AA132*C132/4))*3)</f>
        <v>0.523052593028886</v>
      </c>
      <c r="AN132" s="37" t="n">
        <f aca="false">D132*(1+(((2-3*P132^2)/24*AB132^2)+(P132*AB132*D132/4))*3)</f>
        <v>0.491848744373772</v>
      </c>
      <c r="AO132" s="37" t="n">
        <f aca="false">E132*(1+(((2-3*Q132^2)/24*AC132^2)+(Q132*AC132*E132/4))*3)</f>
        <v>0.468834674671452</v>
      </c>
      <c r="AP132" s="37" t="n">
        <f aca="false">F132*(1+(((2-3*R132^2)/24*AD132^2)+(R132*AD132*F132/4))*3)</f>
        <v>0.470057306883069</v>
      </c>
      <c r="AQ132" s="37" t="n">
        <f aca="false">G132*(1+(((2-3*S132^2)/24*AE132^2)+(S132*AE132*G132/4))*3)</f>
        <v>0.44142374183079</v>
      </c>
      <c r="AR132" s="37" t="n">
        <f aca="false">H132*(1+(((2-3*T132^2)/24*AF132^2)+(T132*AF132*H132/4))*3)</f>
        <v>0.415465112650575</v>
      </c>
      <c r="AS132" s="37" t="n">
        <f aca="false">I132*(1+(((2-3*U132^2)/24*AG132^2)+(U132*AG132*I132/4))*3)</f>
        <v>0.403142398442402</v>
      </c>
      <c r="AT132" s="37" t="n">
        <f aca="false">J132*(1+(((2-3*V132^2)/24*AH132^2)+(V132*AH132*J132/4))*3)</f>
        <v>0.373213827635852</v>
      </c>
      <c r="AU132" s="37" t="n">
        <f aca="false">K132*(1+(((2-3*W132^2)/24*AI132^2)+(W132*AI132*K132/4))*3)</f>
        <v>0.362395146275682</v>
      </c>
      <c r="AV132" s="37" t="n">
        <f aca="false">L132*(1+(((2-3*X132^2)/24*AJ132^2)+(X132*AJ132*L132/4))*3)</f>
        <v>0.352186846059019</v>
      </c>
    </row>
    <row r="133" customFormat="false" ht="15" hidden="false" customHeight="true" outlineLevel="0" collapsed="false">
      <c r="B133" s="35" t="s">
        <v>78</v>
      </c>
      <c r="C133" s="24" t="n">
        <f aca="false">C13+$C$31*C46</f>
        <v>0.4591654</v>
      </c>
      <c r="D133" s="24" t="n">
        <f aca="false">D13+$C$31*D46</f>
        <v>0.445899</v>
      </c>
      <c r="E133" s="24" t="n">
        <f aca="false">E13+$C$31*E46</f>
        <v>0.4278488</v>
      </c>
      <c r="F133" s="24" t="n">
        <f aca="false">F13+$C$31*F46</f>
        <v>0.417784</v>
      </c>
      <c r="G133" s="24" t="n">
        <f aca="false">G13+$C$31*G46</f>
        <v>0.4047464</v>
      </c>
      <c r="H133" s="24" t="n">
        <f aca="false">H13+$C$31*H46</f>
        <v>0.3759952</v>
      </c>
      <c r="I133" s="24" t="n">
        <f aca="false">I13+$C$31*I46</f>
        <v>0.367511</v>
      </c>
      <c r="J133" s="24" t="n">
        <f aca="false">J13+$C$31*J46</f>
        <v>0.350843</v>
      </c>
      <c r="K133" s="24" t="n">
        <f aca="false">K13+$C$31*K46</f>
        <v>0.331585</v>
      </c>
      <c r="L133" s="24" t="n">
        <f aca="false">L13+$C$31*L46</f>
        <v>0.3018568</v>
      </c>
      <c r="N133" s="35" t="s">
        <v>78</v>
      </c>
      <c r="O133" s="24" t="n">
        <f aca="false">O13+$D$31*O46</f>
        <v>-0.2389</v>
      </c>
      <c r="P133" s="24" t="n">
        <f aca="false">P13+$D$31*P46</f>
        <v>-0.2194</v>
      </c>
      <c r="Q133" s="24" t="n">
        <f aca="false">Q13+$D$31*Q46</f>
        <v>-0.2005</v>
      </c>
      <c r="R133" s="24" t="n">
        <f aca="false">R13+$D$31*R46</f>
        <v>-0.1809</v>
      </c>
      <c r="S133" s="24" t="n">
        <f aca="false">S13+$D$31*S46</f>
        <v>-0.1531</v>
      </c>
      <c r="T133" s="24" t="n">
        <f aca="false">T13+$D$31*T46</f>
        <v>-0.1281</v>
      </c>
      <c r="U133" s="24" t="n">
        <f aca="false">U13+$D$31*U46</f>
        <v>-0.1099</v>
      </c>
      <c r="V133" s="24" t="n">
        <f aca="false">V13+$D$31*V46</f>
        <v>-0.0976</v>
      </c>
      <c r="W133" s="24" t="n">
        <f aca="false">W13+$D$31*W46</f>
        <v>-0.0747</v>
      </c>
      <c r="X133" s="24" t="n">
        <f aca="false">X13+$D$31*X46</f>
        <v>-0.0523</v>
      </c>
      <c r="Z133" s="35" t="s">
        <v>78</v>
      </c>
      <c r="AA133" s="24" t="n">
        <f aca="false">AA13+$E$31*AA46</f>
        <v>0.7084</v>
      </c>
      <c r="AB133" s="24" t="n">
        <f aca="false">AB13+$E$31*AB46</f>
        <v>0.6977</v>
      </c>
      <c r="AC133" s="24" t="n">
        <f aca="false">AC13+$E$31*AC46</f>
        <v>0.6804</v>
      </c>
      <c r="AD133" s="24" t="n">
        <f aca="false">AD13+$E$31*AD46</f>
        <v>0.6556</v>
      </c>
      <c r="AE133" s="24" t="n">
        <f aca="false">AE13+$E$31*AE46</f>
        <v>0.6328</v>
      </c>
      <c r="AF133" s="24" t="n">
        <f aca="false">AF13+$E$31*AF46</f>
        <v>0.6051</v>
      </c>
      <c r="AG133" s="24" t="n">
        <f aca="false">AG13+$E$31*AG46</f>
        <v>0.5769</v>
      </c>
      <c r="AH133" s="24" t="n">
        <f aca="false">AH13+$E$31*AH46</f>
        <v>0.5669</v>
      </c>
      <c r="AI133" s="24" t="n">
        <f aca="false">AI13+$E$31*AI46</f>
        <v>0.5355</v>
      </c>
      <c r="AJ133" s="24" t="n">
        <f aca="false">AJ13+$E$31*AJ46</f>
        <v>0.5227</v>
      </c>
      <c r="AL133" s="35" t="s">
        <v>78</v>
      </c>
      <c r="AM133" s="37" t="n">
        <f aca="false">C133*(1+(((2-3*O133^2)/24*AA133^2)+(O133*AA133*C133/4))*5)</f>
        <v>0.502354869600406</v>
      </c>
      <c r="AN133" s="37" t="n">
        <f aca="false">D133*(1+(((2-3*P133^2)/24*AB133^2)+(P133*AB133*D133/4))*5)</f>
        <v>0.491765045372724</v>
      </c>
      <c r="AO133" s="37" t="n">
        <f aca="false">E133*(1+(((2-3*Q133^2)/24*AC133^2)+(Q133*AC133*E133/4))*5)</f>
        <v>0.47418603673466</v>
      </c>
      <c r="AP133" s="37" t="n">
        <f aca="false">F133*(1+(((2-3*R133^2)/24*AD133^2)+(R133*AD133*F133/4))*5)</f>
        <v>0.463055775200112</v>
      </c>
      <c r="AQ133" s="37" t="n">
        <f aca="false">G133*(1+(((2-3*S133^2)/24*AE133^2)+(S133*AE133*G133/4))*5)</f>
        <v>0.450064373120955</v>
      </c>
      <c r="AR133" s="37" t="n">
        <f aca="false">H133*(1+(((2-3*T133^2)/24*AF133^2)+(T133*AF133*H133/4))*5)</f>
        <v>0.41824760461916</v>
      </c>
      <c r="AS133" s="37" t="n">
        <f aca="false">I133*(1+(((2-3*U133^2)/24*AG133^2)+(U133*AG133*I133/4))*5)</f>
        <v>0.406847231224332</v>
      </c>
      <c r="AT133" s="37" t="n">
        <f aca="false">J133*(1+(((2-3*V133^2)/24*AH133^2)+(V133*AH133*J133/4))*5)</f>
        <v>0.388638695025144</v>
      </c>
      <c r="AU133" s="37" t="n">
        <f aca="false">K133*(1+(((2-3*W133^2)/24*AI133^2)+(W133*AI133*K133/4))*5)</f>
        <v>0.3653746150837</v>
      </c>
      <c r="AV133" s="37" t="n">
        <f aca="false">L133*(1+(((2-3*X133^2)/24*AJ133^2)+(X133*AJ133*L133/4))*5)</f>
        <v>0.332965474735329</v>
      </c>
    </row>
    <row r="134" customFormat="false" ht="15" hidden="false" customHeight="true" outlineLevel="0" collapsed="false">
      <c r="B134" s="35" t="s">
        <v>79</v>
      </c>
      <c r="C134" s="24" t="n">
        <f aca="false">C14+$C$31*C47</f>
        <v>0.4599236</v>
      </c>
      <c r="D134" s="24" t="n">
        <f aca="false">D14+$C$31*D47</f>
        <v>0.4302106</v>
      </c>
      <c r="E134" s="24" t="n">
        <f aca="false">E14+$C$31*E47</f>
        <v>0.4125604</v>
      </c>
      <c r="F134" s="24" t="n">
        <f aca="false">F14+$C$31*F47</f>
        <v>0.4047422</v>
      </c>
      <c r="G134" s="24" t="n">
        <f aca="false">G14+$C$31*G47</f>
        <v>0.3821292</v>
      </c>
      <c r="H134" s="24" t="n">
        <f aca="false">H14+$C$31*H47</f>
        <v>0.3530476</v>
      </c>
      <c r="I134" s="24" t="n">
        <f aca="false">I14+$C$31*I47</f>
        <v>0.3332158</v>
      </c>
      <c r="J134" s="24" t="n">
        <f aca="false">J14+$C$31*J47</f>
        <v>0.3153782</v>
      </c>
      <c r="K134" s="24" t="n">
        <f aca="false">K14+$C$31*K47</f>
        <v>0.312995</v>
      </c>
      <c r="L134" s="24" t="n">
        <f aca="false">L14+$C$31*L47</f>
        <v>0.2926862</v>
      </c>
      <c r="N134" s="35" t="s">
        <v>79</v>
      </c>
      <c r="O134" s="24" t="n">
        <f aca="false">O14+$D$31*O47</f>
        <v>-0.221</v>
      </c>
      <c r="P134" s="24" t="n">
        <f aca="false">P14+$D$31*P47</f>
        <v>-0.1879</v>
      </c>
      <c r="Q134" s="24" t="n">
        <f aca="false">Q14+$D$31*Q47</f>
        <v>-0.1654</v>
      </c>
      <c r="R134" s="24" t="n">
        <f aca="false">R14+$D$31*R47</f>
        <v>-0.1524</v>
      </c>
      <c r="S134" s="24" t="n">
        <f aca="false">S14+$D$31*S47</f>
        <v>-0.1391</v>
      </c>
      <c r="T134" s="24" t="n">
        <f aca="false">T14+$D$31*T47</f>
        <v>-0.1157</v>
      </c>
      <c r="U134" s="24" t="n">
        <f aca="false">U14+$D$31*U47</f>
        <v>-0.1046</v>
      </c>
      <c r="V134" s="24" t="n">
        <f aca="false">V14+$D$31*V47</f>
        <v>-0.0875</v>
      </c>
      <c r="W134" s="24" t="n">
        <f aca="false">W14+$D$31*W47</f>
        <v>-0.0489</v>
      </c>
      <c r="X134" s="24" t="n">
        <f aca="false">X14+$D$31*X47</f>
        <v>-0.0359</v>
      </c>
      <c r="Z134" s="35" t="s">
        <v>79</v>
      </c>
      <c r="AA134" s="24" t="n">
        <f aca="false">AA14+$E$31*AA47</f>
        <v>0.695</v>
      </c>
      <c r="AB134" s="24" t="n">
        <f aca="false">AB14+$E$31*AB47</f>
        <v>0.6809</v>
      </c>
      <c r="AC134" s="24" t="n">
        <f aca="false">AC14+$E$31*AC47</f>
        <v>0.6487</v>
      </c>
      <c r="AD134" s="24" t="n">
        <f aca="false">AD14+$E$31*AD47</f>
        <v>0.6352</v>
      </c>
      <c r="AE134" s="24" t="n">
        <f aca="false">AE14+$E$31*AE47</f>
        <v>0.6121</v>
      </c>
      <c r="AF134" s="24" t="n">
        <f aca="false">AF14+$E$31*AF47</f>
        <v>0.5776</v>
      </c>
      <c r="AG134" s="24" t="n">
        <f aca="false">AG14+$E$31*AG47</f>
        <v>0.5561</v>
      </c>
      <c r="AH134" s="24" t="n">
        <f aca="false">AH14+$E$31*AH47</f>
        <v>0.5347</v>
      </c>
      <c r="AI134" s="24" t="n">
        <f aca="false">AI14+$E$31*AI47</f>
        <v>0.5115</v>
      </c>
      <c r="AJ134" s="24" t="n">
        <f aca="false">AJ14+$E$31*AJ47</f>
        <v>0.4962</v>
      </c>
      <c r="AL134" s="35" t="s">
        <v>79</v>
      </c>
      <c r="AM134" s="37" t="n">
        <f aca="false">C134*(1+(((2-3*O134^2)/24*AA134^2)+(O134*AA134*C134/4))*10)</f>
        <v>0.550264847380366</v>
      </c>
      <c r="AN134" s="37" t="n">
        <f aca="false">D134*(1+(((2-3*P134^2)/24*AB134^2)+(P134*AB134*D134/4))*10)</f>
        <v>0.528422859278301</v>
      </c>
      <c r="AO134" s="37" t="n">
        <f aca="false">E134*(1+(((2-3*Q134^2)/24*AC134^2)+(Q134*AC134*E134/4))*10)</f>
        <v>0.505643099577676</v>
      </c>
      <c r="AP134" s="37" t="n">
        <f aca="false">F134*(1+(((2-3*R134^2)/24*AD134^2)+(R134*AD134*F134/4))*10)</f>
        <v>0.496443225127783</v>
      </c>
      <c r="AQ134" s="37" t="n">
        <f aca="false">G134*(1+(((2-3*S134^2)/24*AE134^2)+(S134*AE134*G134/4))*10)</f>
        <v>0.466893538815443</v>
      </c>
      <c r="AR134" s="37" t="n">
        <f aca="false">H134*(1+(((2-3*T134^2)/24*AF134^2)+(T134*AF134*H134/4))*10)</f>
        <v>0.428406195544933</v>
      </c>
      <c r="AS134" s="37" t="n">
        <f aca="false">I134*(1+(((2-3*U134^2)/24*AG134^2)+(U134*AG134*I134/4))*10)</f>
        <v>0.401531807515833</v>
      </c>
      <c r="AT134" s="37" t="n">
        <f aca="false">J134*(1+(((2-3*V134^2)/24*AH134^2)+(V134*AH134*J134/4))*10)</f>
        <v>0.378021396115781</v>
      </c>
      <c r="AU134" s="37" t="n">
        <f aca="false">K134*(1+(((2-3*W134^2)/24*AI134^2)+(W134*AI134*K134/4))*10)</f>
        <v>0.374865661171386</v>
      </c>
      <c r="AV134" s="37" t="n">
        <f aca="false">L134*(1+(((2-3*X134^2)/24*AJ134^2)+(X134*AJ134*L134/4))*10)</f>
        <v>0.348808068460491</v>
      </c>
    </row>
    <row r="135" customFormat="false" ht="15" hidden="false" customHeight="true" outlineLevel="0" collapsed="false">
      <c r="B135" s="35" t="s">
        <v>80</v>
      </c>
      <c r="C135" s="24" t="n">
        <f aca="false">C15+$C$31*C48</f>
        <v>0.427297</v>
      </c>
      <c r="D135" s="24" t="n">
        <f aca="false">D15+$C$31*D48</f>
        <v>0.4121238</v>
      </c>
      <c r="E135" s="24" t="n">
        <f aca="false">E15+$C$31*E48</f>
        <v>0.3887092</v>
      </c>
      <c r="F135" s="24" t="n">
        <f aca="false">F15+$C$31*F48</f>
        <v>0.3862208</v>
      </c>
      <c r="G135" s="24" t="n">
        <f aca="false">G15+$C$31*G48</f>
        <v>0.3560356</v>
      </c>
      <c r="H135" s="24" t="n">
        <f aca="false">H15+$C$31*H48</f>
        <v>0.3406346</v>
      </c>
      <c r="I135" s="24" t="n">
        <f aca="false">I15+$C$31*I48</f>
        <v>0.3247614</v>
      </c>
      <c r="J135" s="24" t="n">
        <f aca="false">J15+$C$31*J48</f>
        <v>0.3126568</v>
      </c>
      <c r="K135" s="24" t="n">
        <f aca="false">K15+$C$31*K48</f>
        <v>0.284459</v>
      </c>
      <c r="L135" s="24" t="n">
        <f aca="false">L15+$C$31*L48</f>
        <v>0.27767</v>
      </c>
      <c r="N135" s="35" t="s">
        <v>80</v>
      </c>
      <c r="O135" s="24" t="n">
        <f aca="false">O15+$D$31*O48</f>
        <v>-0.1944</v>
      </c>
      <c r="P135" s="24" t="n">
        <f aca="false">P15+$D$31*P48</f>
        <v>-0.1744</v>
      </c>
      <c r="Q135" s="24" t="n">
        <f aca="false">Q15+$D$31*Q48</f>
        <v>-0.1551</v>
      </c>
      <c r="R135" s="24" t="n">
        <f aca="false">R15+$D$31*R48</f>
        <v>-0.1457</v>
      </c>
      <c r="S135" s="24" t="n">
        <f aca="false">S15+$D$31*S48</f>
        <v>-0.1179</v>
      </c>
      <c r="T135" s="24" t="n">
        <f aca="false">T15+$D$31*T48</f>
        <v>-0.1036</v>
      </c>
      <c r="U135" s="24" t="n">
        <f aca="false">U15+$D$31*U48</f>
        <v>-0.0877</v>
      </c>
      <c r="V135" s="24" t="n">
        <f aca="false">V15+$D$31*V48</f>
        <v>-0.0523</v>
      </c>
      <c r="W135" s="24" t="n">
        <f aca="false">W15+$D$31*W48</f>
        <v>-0.0454</v>
      </c>
      <c r="X135" s="24" t="n">
        <f aca="false">X15+$D$31*X48</f>
        <v>-0.02</v>
      </c>
      <c r="Z135" s="35" t="s">
        <v>80</v>
      </c>
      <c r="AA135" s="24" t="n">
        <f aca="false">AA15+$E$31*AA48</f>
        <v>0.6767</v>
      </c>
      <c r="AB135" s="24" t="n">
        <f aca="false">AB15+$E$31*AB48</f>
        <v>0.6511</v>
      </c>
      <c r="AC135" s="24" t="n">
        <f aca="false">AC15+$E$31*AC48</f>
        <v>0.6243</v>
      </c>
      <c r="AD135" s="24" t="n">
        <f aca="false">AD15+$E$31*AD48</f>
        <v>0.6059</v>
      </c>
      <c r="AE135" s="24" t="n">
        <f aca="false">AE15+$E$31*AE48</f>
        <v>0.5844</v>
      </c>
      <c r="AF135" s="24" t="n">
        <f aca="false">AF15+$E$31*AF48</f>
        <v>0.5668</v>
      </c>
      <c r="AG135" s="24" t="n">
        <f aca="false">AG15+$E$31*AG48</f>
        <v>0.531</v>
      </c>
      <c r="AH135" s="24" t="n">
        <f aca="false">AH15+$E$31*AH48</f>
        <v>0.5179</v>
      </c>
      <c r="AI135" s="24" t="n">
        <f aca="false">AI15+$E$31*AI48</f>
        <v>0.4894</v>
      </c>
      <c r="AJ135" s="24" t="n">
        <f aca="false">AJ15+$E$31*AJ48</f>
        <v>0.4678</v>
      </c>
      <c r="AL135" s="35" t="s">
        <v>80</v>
      </c>
      <c r="AM135" s="37" t="n">
        <f aca="false">C135*(1+(((2-3*O135^2)/24*AA135^2)+(O135*AA135*C135/4))*20)</f>
        <v>0.614831400848143</v>
      </c>
      <c r="AN135" s="37" t="n">
        <f aca="false">D135*(1+(((2-3*P135^2)/24*AB135^2)+(P135*AB135*D135/4))*20)</f>
        <v>0.593594226184789</v>
      </c>
      <c r="AO135" s="37" t="n">
        <f aca="false">E135*(1+(((2-3*Q135^2)/24*AC135^2)+(Q135*AC135*E135/4))*20)</f>
        <v>0.558945586000871</v>
      </c>
      <c r="AP135" s="37" t="n">
        <f aca="false">F135*(1+(((2-3*R135^2)/24*AD135^2)+(R135*AD135*F135/4))*20)</f>
        <v>0.549166443024235</v>
      </c>
      <c r="AQ135" s="37" t="n">
        <f aca="false">G135*(1+(((2-3*S135^2)/24*AE135^2)+(S135*AE135*G135/4))*20)</f>
        <v>0.510797758459785</v>
      </c>
      <c r="AR135" s="37" t="n">
        <f aca="false">H135*(1+(((2-3*T135^2)/24*AF135^2)+(T135*AF135*H135/4))*20)</f>
        <v>0.486019386735911</v>
      </c>
      <c r="AS135" s="37" t="n">
        <f aca="false">I135*(1+(((2-3*U135^2)/24*AG135^2)+(U135*AG135*I135/4))*20)</f>
        <v>0.451059422756684</v>
      </c>
      <c r="AT135" s="37" t="n">
        <f aca="false">J135*(1+(((2-3*V135^2)/24*AH135^2)+(V135*AH135*J135/4))*20)</f>
        <v>0.438612620700975</v>
      </c>
      <c r="AU135" s="37" t="n">
        <f aca="false">K135*(1+(((2-3*W135^2)/24*AI135^2)+(W135*AI135*K135/4))*20)</f>
        <v>0.388670967733572</v>
      </c>
      <c r="AV135" s="37" t="n">
        <f aca="false">L135*(1+(((2-3*X135^2)/24*AJ135^2)+(X135*AJ135*L135/4))*20)</f>
        <v>0.375276510426029</v>
      </c>
    </row>
    <row r="136" customFormat="false" ht="15" hidden="false" customHeight="true" outlineLevel="0" collapsed="false">
      <c r="B136" s="35" t="s">
        <v>81</v>
      </c>
      <c r="C136" s="24" t="n">
        <f aca="false">C16+$C$31*C49</f>
        <v>0.4189636</v>
      </c>
      <c r="D136" s="24" t="n">
        <f aca="false">D16+$C$31*D49</f>
        <v>0.3964584</v>
      </c>
      <c r="E136" s="24" t="n">
        <f aca="false">E16+$C$31*E49</f>
        <v>0.3784732</v>
      </c>
      <c r="F136" s="24" t="n">
        <f aca="false">F16+$C$31*F49</f>
        <v>0.3646696</v>
      </c>
      <c r="G136" s="24" t="n">
        <f aca="false">G16+$C$31*G49</f>
        <v>0.348987</v>
      </c>
      <c r="H136" s="24" t="n">
        <f aca="false">H16+$C$31*H49</f>
        <v>0.3218902</v>
      </c>
      <c r="I136" s="24" t="n">
        <f aca="false">I16+$C$31*I49</f>
        <v>0.3068568</v>
      </c>
      <c r="J136" s="24" t="n">
        <f aca="false">J16+$C$31*J49</f>
        <v>0.28607</v>
      </c>
      <c r="K136" s="24" t="n">
        <f aca="false">K16+$C$31*K49</f>
        <v>0.26957</v>
      </c>
      <c r="L136" s="24" t="n">
        <f aca="false">L16+$C$31*L49</f>
        <v>0.25657</v>
      </c>
      <c r="N136" s="35" t="s">
        <v>81</v>
      </c>
      <c r="O136" s="24" t="n">
        <f aca="false">O16+$D$31*O49</f>
        <v>-0.176</v>
      </c>
      <c r="P136" s="24" t="n">
        <f aca="false">P16+$D$31*P49</f>
        <v>-0.1549</v>
      </c>
      <c r="Q136" s="24" t="n">
        <f aca="false">Q16+$D$31*Q49</f>
        <v>-0.1366</v>
      </c>
      <c r="R136" s="24" t="n">
        <f aca="false">R16+$D$31*R49</f>
        <v>-0.1078</v>
      </c>
      <c r="S136" s="24" t="n">
        <f aca="false">S16+$D$31*S49</f>
        <v>-0.0932</v>
      </c>
      <c r="T136" s="24" t="n">
        <f aca="false">T16+$D$31*T49</f>
        <v>-0.0702</v>
      </c>
      <c r="U136" s="24" t="n">
        <f aca="false">U16+$D$31*U49</f>
        <v>-0.0495</v>
      </c>
      <c r="V136" s="24" t="n">
        <f aca="false">V16+$D$31*V49</f>
        <v>-0.0437</v>
      </c>
      <c r="W136" s="24" t="n">
        <f aca="false">W16+$D$31*W49</f>
        <v>-0.0183</v>
      </c>
      <c r="X136" s="24" t="n">
        <f aca="false">X16+$D$31*X49</f>
        <v>0.0089</v>
      </c>
      <c r="Z136" s="35" t="s">
        <v>81</v>
      </c>
      <c r="AA136" s="24" t="n">
        <f aca="false">AA16+$E$31*AA49</f>
        <v>0.6568</v>
      </c>
      <c r="AB136" s="24" t="n">
        <f aca="false">AB16+$E$31*AB49</f>
        <v>0.6205</v>
      </c>
      <c r="AC136" s="24" t="n">
        <f aca="false">AC16+$E$31*AC49</f>
        <v>0.598</v>
      </c>
      <c r="AD136" s="24" t="n">
        <f aca="false">AD16+$E$31*AD49</f>
        <v>0.5822</v>
      </c>
      <c r="AE136" s="24" t="n">
        <f aca="false">AE16+$E$31*AE49</f>
        <v>0.5526</v>
      </c>
      <c r="AF136" s="24" t="n">
        <f aca="false">AF16+$E$31*AF49</f>
        <v>0.5337</v>
      </c>
      <c r="AG136" s="24" t="n">
        <f aca="false">AG16+$E$31*AG49</f>
        <v>0.5081</v>
      </c>
      <c r="AH136" s="24" t="n">
        <f aca="false">AH16+$E$31*AH49</f>
        <v>0.4978</v>
      </c>
      <c r="AI136" s="24" t="n">
        <f aca="false">AI16+$E$31*AI49</f>
        <v>0.4779</v>
      </c>
      <c r="AJ136" s="24" t="n">
        <f aca="false">AJ16+$E$31*AJ49</f>
        <v>0.4579</v>
      </c>
      <c r="AL136" s="35" t="s">
        <v>81</v>
      </c>
      <c r="AM136" s="37" t="n">
        <f aca="false">C136*(1+(((2-3*O136^2)/24*AA136^2)+(O136*AA136*C136/4))*30)</f>
        <v>0.697626508164939</v>
      </c>
      <c r="AN136" s="37" t="n">
        <f aca="false">D136*(1+(((2-3*P136^2)/24*AB136^2)+(P136*AB136*D136/4))*30)</f>
        <v>0.65102993647413</v>
      </c>
      <c r="AO136" s="37" t="n">
        <f aca="false">E136*(1+(((2-3*Q136^2)/24*AC136^2)+(Q136*AC136*E136/4))*30)</f>
        <v>0.619604253375831</v>
      </c>
      <c r="AP136" s="37" t="n">
        <f aca="false">F136*(1+(((2-3*R136^2)/24*AD136^2)+(R136*AD136*F136/4))*30)</f>
        <v>0.605704475870099</v>
      </c>
      <c r="AQ136" s="37" t="n">
        <f aca="false">G136*(1+(((2-3*S136^2)/24*AE136^2)+(S136*AE136*G136/4))*30)</f>
        <v>0.564894007393401</v>
      </c>
      <c r="AR136" s="37" t="n">
        <f aca="false">H136*(1+(((2-3*T136^2)/24*AF136^2)+(T136*AF136*H136/4))*30)</f>
        <v>0.520295757969868</v>
      </c>
      <c r="AS136" s="37" t="n">
        <f aca="false">I136*(1+(((2-3*U136^2)/24*AG136^2)+(U136*AG136*I136/4))*30)</f>
        <v>0.486416767959822</v>
      </c>
      <c r="AT136" s="37" t="n">
        <f aca="false">J136*(1+(((2-3*V136^2)/24*AH136^2)+(V136*AH136*J136/4))*30)</f>
        <v>0.449434288615496</v>
      </c>
      <c r="AU136" s="37" t="n">
        <f aca="false">K136*(1+(((2-3*W136^2)/24*AI136^2)+(W136*AI136*K136/4))*30)</f>
        <v>0.418642919368982</v>
      </c>
      <c r="AV136" s="37" t="n">
        <f aca="false">L136*(1+(((2-3*X136^2)/24*AJ136^2)+(X136*AJ136*L136/4))*30)</f>
        <v>0.393055172599033</v>
      </c>
    </row>
    <row r="138" customFormat="false" ht="15" hidden="false" customHeight="true" outlineLevel="0" collapsed="false">
      <c r="A138" s="28" t="s">
        <v>159</v>
      </c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</row>
    <row r="139" customFormat="false" ht="15" hidden="false" customHeight="true" outlineLevel="0" collapsed="false">
      <c r="B139" s="28" t="s">
        <v>136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N139" s="28" t="s">
        <v>137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Z139" s="28" t="s">
        <v>138</v>
      </c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L139" s="34" t="s">
        <v>139</v>
      </c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</row>
    <row r="140" customFormat="false" ht="15" hidden="false" customHeight="true" outlineLevel="0" collapsed="false">
      <c r="B140" s="18" t="s">
        <v>140</v>
      </c>
      <c r="C140" s="12" t="s">
        <v>141</v>
      </c>
      <c r="D140" s="12" t="s">
        <v>74</v>
      </c>
      <c r="E140" s="12" t="s">
        <v>75</v>
      </c>
      <c r="F140" s="12" t="s">
        <v>30</v>
      </c>
      <c r="G140" s="12" t="s">
        <v>76</v>
      </c>
      <c r="H140" s="12" t="s">
        <v>77</v>
      </c>
      <c r="I140" s="12" t="s">
        <v>78</v>
      </c>
      <c r="J140" s="12" t="s">
        <v>79</v>
      </c>
      <c r="K140" s="12" t="s">
        <v>80</v>
      </c>
      <c r="L140" s="12" t="s">
        <v>81</v>
      </c>
      <c r="N140" s="18" t="s">
        <v>140</v>
      </c>
      <c r="O140" s="12" t="s">
        <v>141</v>
      </c>
      <c r="P140" s="12" t="s">
        <v>74</v>
      </c>
      <c r="Q140" s="12" t="s">
        <v>75</v>
      </c>
      <c r="R140" s="12" t="s">
        <v>30</v>
      </c>
      <c r="S140" s="12" t="s">
        <v>76</v>
      </c>
      <c r="T140" s="12" t="s">
        <v>77</v>
      </c>
      <c r="U140" s="12" t="s">
        <v>78</v>
      </c>
      <c r="V140" s="12" t="s">
        <v>79</v>
      </c>
      <c r="W140" s="12" t="s">
        <v>80</v>
      </c>
      <c r="X140" s="12" t="s">
        <v>81</v>
      </c>
      <c r="Z140" s="18" t="s">
        <v>140</v>
      </c>
      <c r="AA140" s="12" t="s">
        <v>141</v>
      </c>
      <c r="AB140" s="12" t="s">
        <v>74</v>
      </c>
      <c r="AC140" s="12" t="s">
        <v>75</v>
      </c>
      <c r="AD140" s="12" t="s">
        <v>30</v>
      </c>
      <c r="AE140" s="12" t="s">
        <v>76</v>
      </c>
      <c r="AF140" s="12" t="s">
        <v>77</v>
      </c>
      <c r="AG140" s="12" t="s">
        <v>78</v>
      </c>
      <c r="AH140" s="12" t="s">
        <v>79</v>
      </c>
      <c r="AI140" s="12" t="s">
        <v>80</v>
      </c>
      <c r="AJ140" s="12" t="s">
        <v>81</v>
      </c>
      <c r="AL140" s="18" t="s">
        <v>140</v>
      </c>
      <c r="AM140" s="12" t="s">
        <v>141</v>
      </c>
      <c r="AN140" s="12" t="s">
        <v>74</v>
      </c>
      <c r="AO140" s="12" t="s">
        <v>75</v>
      </c>
      <c r="AP140" s="12" t="s">
        <v>30</v>
      </c>
      <c r="AQ140" s="12" t="s">
        <v>76</v>
      </c>
      <c r="AR140" s="12" t="s">
        <v>77</v>
      </c>
      <c r="AS140" s="12" t="s">
        <v>78</v>
      </c>
      <c r="AT140" s="12" t="s">
        <v>79</v>
      </c>
      <c r="AU140" s="12" t="s">
        <v>80</v>
      </c>
      <c r="AV140" s="12" t="s">
        <v>81</v>
      </c>
    </row>
    <row r="141" customFormat="false" ht="15" hidden="false" customHeight="true" outlineLevel="0" collapsed="false">
      <c r="B141" s="35" t="s">
        <v>141</v>
      </c>
      <c r="C141" s="24" t="n">
        <f aca="false">C7+$C$32*C40</f>
        <v>0.5886063</v>
      </c>
      <c r="D141" s="24" t="n">
        <f aca="false">D7+$C$32*D40</f>
        <v>0.5663234</v>
      </c>
      <c r="E141" s="24" t="n">
        <f aca="false">E7+$C$32*E40</f>
        <v>0.557046</v>
      </c>
      <c r="F141" s="24" t="n">
        <f aca="false">F7+$C$32*F40</f>
        <v>0.526642</v>
      </c>
      <c r="G141" s="24" t="n">
        <f aca="false">G7+$C$32*G40</f>
        <v>0.5166331</v>
      </c>
      <c r="H141" s="24" t="n">
        <f aca="false">H7+$C$32*H40</f>
        <v>0.4939031</v>
      </c>
      <c r="I141" s="24" t="n">
        <f aca="false">I7+$C$32*I40</f>
        <v>0.469867</v>
      </c>
      <c r="J141" s="24" t="n">
        <f aca="false">J7+$C$32*J40</f>
        <v>0.4598</v>
      </c>
      <c r="K141" s="24" t="n">
        <f aca="false">K7+$C$32*K40</f>
        <v>0.43107</v>
      </c>
      <c r="L141" s="24" t="n">
        <f aca="false">L7+$C$32*L40</f>
        <v>0.4197926</v>
      </c>
      <c r="N141" s="35" t="s">
        <v>141</v>
      </c>
      <c r="O141" s="24" t="n">
        <f aca="false">O7+$D$32*O40</f>
        <v>-0.3586</v>
      </c>
      <c r="P141" s="24" t="n">
        <f aca="false">P7+$D$32*P40</f>
        <v>-0.3387</v>
      </c>
      <c r="Q141" s="24" t="n">
        <f aca="false">Q7+$D$32*Q40</f>
        <v>-0.3126</v>
      </c>
      <c r="R141" s="24" t="n">
        <f aca="false">R7+$D$32*R40</f>
        <v>-0.2851</v>
      </c>
      <c r="S141" s="24" t="n">
        <f aca="false">S7+$D$32*S40</f>
        <v>-0.2797</v>
      </c>
      <c r="T141" s="24" t="n">
        <f aca="false">T7+$D$32*T40</f>
        <v>-0.2583</v>
      </c>
      <c r="U141" s="24" t="n">
        <f aca="false">U7+$D$32*U40</f>
        <v>-0.2308</v>
      </c>
      <c r="V141" s="24" t="n">
        <f aca="false">V7+$D$32*V40</f>
        <v>-0.2049</v>
      </c>
      <c r="W141" s="24" t="n">
        <f aca="false">W7+$D$32*W40</f>
        <v>-0.1929</v>
      </c>
      <c r="X141" s="24" t="n">
        <f aca="false">X7+$D$32*X40</f>
        <v>-0.1771</v>
      </c>
      <c r="Z141" s="35" t="s">
        <v>141</v>
      </c>
      <c r="AA141" s="24" t="n">
        <f aca="false">AA7+$E$32*AA40</f>
        <v>0.8595</v>
      </c>
      <c r="AB141" s="24" t="n">
        <f aca="false">AB7+$E$32*AB40</f>
        <v>0.8187</v>
      </c>
      <c r="AC141" s="24" t="n">
        <f aca="false">AC7+$E$32*AC40</f>
        <v>0.8127</v>
      </c>
      <c r="AD141" s="24" t="n">
        <f aca="false">AD7+$E$32*AD40</f>
        <v>0.7791</v>
      </c>
      <c r="AE141" s="24" t="n">
        <f aca="false">AE7+$E$32*AE40</f>
        <v>0.754</v>
      </c>
      <c r="AF141" s="24" t="n">
        <f aca="false">AF7+$E$32*AF40</f>
        <v>0.7312</v>
      </c>
      <c r="AG141" s="24" t="n">
        <f aca="false">AG7+$E$32*AG40</f>
        <v>0.7128</v>
      </c>
      <c r="AH141" s="24" t="n">
        <f aca="false">AH7+$E$32*AH40</f>
        <v>0.7008</v>
      </c>
      <c r="AI141" s="24" t="n">
        <f aca="false">AI7+$E$32*AI40</f>
        <v>0.6658</v>
      </c>
      <c r="AJ141" s="24" t="n">
        <f aca="false">AJ7+$E$32*AJ40</f>
        <v>0.6516</v>
      </c>
      <c r="AL141" s="35" t="s">
        <v>141</v>
      </c>
      <c r="AM141" s="37" t="n">
        <f aca="false">C141*(1+(((2-3*O141^2)/24*AA141^2)+(O141*AA141*C141/4))*0.0833333333333333)</f>
        <v>0.588818807616974</v>
      </c>
      <c r="AN141" s="37" t="n">
        <f aca="false">D141*(1+(((2-3*P141^2)/24*AB141^2)+(P141*AB141*D141/4))*0.0833333333333333)</f>
        <v>0.566653040680527</v>
      </c>
      <c r="AO141" s="37" t="n">
        <f aca="false">E141*(1+(((2-3*Q141^2)/24*AC141^2)+(Q141*AC141*E141/4))*0.0833333333333333)</f>
        <v>0.557584154901649</v>
      </c>
      <c r="AP141" s="37" t="n">
        <f aca="false">F141*(1+(((2-3*R141^2)/24*AD141^2)+(R141*AD141*F141/4))*0.0833333333333333)</f>
        <v>0.527307816430616</v>
      </c>
      <c r="AQ141" s="37" t="n">
        <f aca="false">G141*(1+(((2-3*S141^2)/24*AE141^2)+(S141*AE141*G141/4))*0.0833333333333333)</f>
        <v>0.517260728688784</v>
      </c>
      <c r="AR141" s="37" t="n">
        <f aca="false">H141*(1+(((2-3*T141^2)/24*AF141^2)+(T141*AF141*H141/4))*0.0833333333333333)</f>
        <v>0.494593526181097</v>
      </c>
      <c r="AS141" s="37" t="n">
        <f aca="false">I141*(1+(((2-3*U141^2)/24*AG141^2)+(U141*AG141*I141/4))*0.0833333333333333)</f>
        <v>0.470635712201018</v>
      </c>
      <c r="AT141" s="37" t="n">
        <f aca="false">J141*(1+(((2-3*V141^2)/24*AH141^2)+(V141*AH141*J141/4))*0.0833333333333333)</f>
        <v>0.460636958504643</v>
      </c>
      <c r="AU141" s="37" t="n">
        <f aca="false">K141*(1+(((2-3*W141^2)/24*AI141^2)+(W141*AI141*K141/4))*0.0833333333333333)</f>
        <v>0.431825739198359</v>
      </c>
      <c r="AV141" s="37" t="n">
        <f aca="false">L141*(1+(((2-3*X141^2)/24*AJ141^2)+(X141*AJ141*L141/4))*0.0833333333333333)</f>
        <v>0.420548451895883</v>
      </c>
    </row>
    <row r="142" customFormat="false" ht="15" hidden="false" customHeight="true" outlineLevel="0" collapsed="false">
      <c r="B142" s="35" t="s">
        <v>74</v>
      </c>
      <c r="C142" s="24" t="n">
        <f aca="false">C8+$C$32*C41</f>
        <v>0.5755237</v>
      </c>
      <c r="D142" s="24" t="n">
        <f aca="false">D8+$C$32*D41</f>
        <v>0.5510252</v>
      </c>
      <c r="E142" s="24" t="n">
        <f aca="false">E8+$C$32*E41</f>
        <v>0.5356371</v>
      </c>
      <c r="F142" s="24" t="n">
        <f aca="false">F8+$C$32*F41</f>
        <v>0.5065282</v>
      </c>
      <c r="G142" s="24" t="n">
        <f aca="false">G8+$C$32*G41</f>
        <v>0.4885658</v>
      </c>
      <c r="H142" s="24" t="n">
        <f aca="false">H8+$C$32*H41</f>
        <v>0.4718202</v>
      </c>
      <c r="I142" s="24" t="n">
        <f aca="false">I8+$C$32*I41</f>
        <v>0.4629633</v>
      </c>
      <c r="J142" s="24" t="n">
        <f aca="false">J8+$C$32*J41</f>
        <v>0.4381599</v>
      </c>
      <c r="K142" s="24" t="n">
        <f aca="false">K8+$C$32*K41</f>
        <v>0.4177871</v>
      </c>
      <c r="L142" s="24" t="n">
        <f aca="false">L8+$C$32*L41</f>
        <v>0.4039623</v>
      </c>
      <c r="N142" s="35" t="s">
        <v>74</v>
      </c>
      <c r="O142" s="24" t="n">
        <f aca="false">O8+$D$32*O41</f>
        <v>-0.3315</v>
      </c>
      <c r="P142" s="24" t="n">
        <f aca="false">P8+$D$32*P41</f>
        <v>-0.3151</v>
      </c>
      <c r="Q142" s="24" t="n">
        <f aca="false">Q8+$D$32*Q41</f>
        <v>-0.2858</v>
      </c>
      <c r="R142" s="24" t="n">
        <f aca="false">R8+$D$32*R41</f>
        <v>-0.2682</v>
      </c>
      <c r="S142" s="24" t="n">
        <f aca="false">S8+$D$32*S41</f>
        <v>-0.2579</v>
      </c>
      <c r="T142" s="24" t="n">
        <f aca="false">T8+$D$32*T41</f>
        <v>-0.2318</v>
      </c>
      <c r="U142" s="24" t="n">
        <f aca="false">U8+$D$32*U41</f>
        <v>-0.2134</v>
      </c>
      <c r="V142" s="24" t="n">
        <f aca="false">V8+$D$32*V41</f>
        <v>-0.1869</v>
      </c>
      <c r="W142" s="24" t="n">
        <f aca="false">W8+$D$32*W41</f>
        <v>-0.1704</v>
      </c>
      <c r="X142" s="24" t="n">
        <f aca="false">X8+$D$32*X41</f>
        <v>-0.1598</v>
      </c>
      <c r="Z142" s="35" t="s">
        <v>74</v>
      </c>
      <c r="AA142" s="24" t="n">
        <f aca="false">AA8+$E$32*AA41</f>
        <v>0.8374</v>
      </c>
      <c r="AB142" s="24" t="n">
        <f aca="false">AB8+$E$32*AB41</f>
        <v>0.7979</v>
      </c>
      <c r="AC142" s="24" t="n">
        <f aca="false">AC8+$E$32*AC41</f>
        <v>0.7817</v>
      </c>
      <c r="AD142" s="24" t="n">
        <f aca="false">AD8+$E$32*AD41</f>
        <v>0.7663</v>
      </c>
      <c r="AE142" s="24" t="n">
        <f aca="false">AE8+$E$32*AE41</f>
        <v>0.7319</v>
      </c>
      <c r="AF142" s="24" t="n">
        <f aca="false">AF8+$E$32*AF41</f>
        <v>0.7164</v>
      </c>
      <c r="AG142" s="24" t="n">
        <f aca="false">AG8+$E$32*AG41</f>
        <v>0.6852</v>
      </c>
      <c r="AH142" s="24" t="n">
        <f aca="false">AH8+$E$32*AH41</f>
        <v>0.6756</v>
      </c>
      <c r="AI142" s="24" t="n">
        <f aca="false">AI8+$E$32*AI41</f>
        <v>0.6553</v>
      </c>
      <c r="AJ142" s="24" t="n">
        <f aca="false">AJ8+$E$32*AJ41</f>
        <v>0.6292</v>
      </c>
      <c r="AL142" s="35" t="s">
        <v>74</v>
      </c>
      <c r="AM142" s="37" t="n">
        <f aca="false">C142*(1+(((2-3*O142^2)/24*AA142^2)+(O142*AA142*C142/4))*0.25)</f>
        <v>0.576798902795008</v>
      </c>
      <c r="AN142" s="37" t="n">
        <f aca="false">D142*(1+(((2-3*P142^2)/24*AB142^2)+(P142*AB142*D142/4))*0.25)</f>
        <v>0.552474100497009</v>
      </c>
      <c r="AO142" s="37" t="n">
        <f aca="false">E142*(1+(((2-3*Q142^2)/24*AC142^2)+(Q142*AC142*E142/4))*0.25)</f>
        <v>0.537614349821401</v>
      </c>
      <c r="AP142" s="37" t="n">
        <f aca="false">F142*(1+(((2-3*R142^2)/24*AD142^2)+(R142*AD142*F142/4))*0.25)</f>
        <v>0.50876061130353</v>
      </c>
      <c r="AQ142" s="37" t="n">
        <f aca="false">G142*(1+(((2-3*S142^2)/24*AE142^2)+(S142*AE142*G142/4))*0.25)</f>
        <v>0.490658216762777</v>
      </c>
      <c r="AR142" s="37" t="n">
        <f aca="false">H142*(1+(((2-3*T142^2)/24*AF142^2)+(T142*AF142*H142/4))*0.25)</f>
        <v>0.474147952269455</v>
      </c>
      <c r="AS142" s="37" t="n">
        <f aca="false">I142*(1+(((2-3*U142^2)/24*AG142^2)+(U142*AG142*I142/4))*0.25)</f>
        <v>0.465223545240499</v>
      </c>
      <c r="AT142" s="37" t="n">
        <f aca="false">J142*(1+(((2-3*V142^2)/24*AH142^2)+(V142*AH142*J142/4))*0.25)</f>
        <v>0.440592969505569</v>
      </c>
      <c r="AU142" s="37" t="n">
        <f aca="false">K142*(1+(((2-3*W142^2)/24*AI142^2)+(W142*AI142*K142/4))*0.25)</f>
        <v>0.420143775043702</v>
      </c>
      <c r="AV142" s="37" t="n">
        <f aca="false">L142*(1+(((2-3*X142^2)/24*AJ142^2)+(X142*AJ142*L142/4))*0.25)</f>
        <v>0.406140984574074</v>
      </c>
    </row>
    <row r="143" customFormat="false" ht="15" hidden="false" customHeight="true" outlineLevel="0" collapsed="false">
      <c r="B143" s="35" t="s">
        <v>75</v>
      </c>
      <c r="C143" s="24" t="n">
        <f aca="false">C9+$C$32*C42</f>
        <v>0.560757</v>
      </c>
      <c r="D143" s="24" t="n">
        <f aca="false">D9+$C$32*D42</f>
        <v>0.5308319</v>
      </c>
      <c r="E143" s="24" t="n">
        <f aca="false">E9+$C$32*E42</f>
        <v>0.5204695</v>
      </c>
      <c r="F143" s="24" t="n">
        <f aca="false">F9+$C$32*F42</f>
        <v>0.4987924</v>
      </c>
      <c r="G143" s="24" t="n">
        <f aca="false">G9+$C$32*G42</f>
        <v>0.4802407</v>
      </c>
      <c r="H143" s="24" t="n">
        <f aca="false">H9+$C$32*H42</f>
        <v>0.4578532</v>
      </c>
      <c r="I143" s="24" t="n">
        <f aca="false">I9+$C$32*I42</f>
        <v>0.4459602</v>
      </c>
      <c r="J143" s="24" t="n">
        <f aca="false">J9+$C$32*J42</f>
        <v>0.4298874</v>
      </c>
      <c r="K143" s="24" t="n">
        <f aca="false">K9+$C$32*K42</f>
        <v>0.4016571</v>
      </c>
      <c r="L143" s="24" t="n">
        <f aca="false">L9+$C$32*L42</f>
        <v>0.3855748</v>
      </c>
      <c r="N143" s="35" t="s">
        <v>75</v>
      </c>
      <c r="O143" s="24" t="n">
        <f aca="false">O9+$D$32*O42</f>
        <v>-0.3199</v>
      </c>
      <c r="P143" s="24" t="n">
        <f aca="false">P9+$D$32*P42</f>
        <v>-0.2876</v>
      </c>
      <c r="Q143" s="24" t="n">
        <f aca="false">Q9+$D$32*Q42</f>
        <v>-0.2693</v>
      </c>
      <c r="R143" s="24" t="n">
        <f aca="false">R9+$D$32*R42</f>
        <v>-0.2429</v>
      </c>
      <c r="S143" s="24" t="n">
        <f aca="false">S9+$D$32*S42</f>
        <v>-0.2269</v>
      </c>
      <c r="T143" s="24" t="n">
        <f aca="false">T9+$D$32*T42</f>
        <v>-0.2182</v>
      </c>
      <c r="U143" s="24" t="n">
        <f aca="false">U9+$D$32*U42</f>
        <v>-0.1967</v>
      </c>
      <c r="V143" s="24" t="n">
        <f aca="false">V9+$D$32*V42</f>
        <v>-0.1716</v>
      </c>
      <c r="W143" s="24" t="n">
        <f aca="false">W9+$D$32*W42</f>
        <v>-0.1651</v>
      </c>
      <c r="X143" s="24" t="n">
        <f aca="false">X9+$D$32*X42</f>
        <v>-0.1369</v>
      </c>
      <c r="Z143" s="35" t="s">
        <v>75</v>
      </c>
      <c r="AA143" s="24" t="n">
        <f aca="false">AA9+$E$32*AA42</f>
        <v>0.7989</v>
      </c>
      <c r="AB143" s="24" t="n">
        <f aca="false">AB9+$E$32*AB42</f>
        <v>0.7757</v>
      </c>
      <c r="AC143" s="24" t="n">
        <f aca="false">AC9+$E$32*AC42</f>
        <v>0.7523</v>
      </c>
      <c r="AD143" s="24" t="n">
        <f aca="false">AD9+$E$32*AD42</f>
        <v>0.7443</v>
      </c>
      <c r="AE143" s="24" t="n">
        <f aca="false">AE9+$E$32*AE42</f>
        <v>0.7093</v>
      </c>
      <c r="AF143" s="24" t="n">
        <f aca="false">AF9+$E$32*AF42</f>
        <v>0.6894</v>
      </c>
      <c r="AG143" s="24" t="n">
        <f aca="false">AG9+$E$32*AG42</f>
        <v>0.67</v>
      </c>
      <c r="AH143" s="24" t="n">
        <f aca="false">AH9+$E$32*AH42</f>
        <v>0.6574</v>
      </c>
      <c r="AI143" s="24" t="n">
        <f aca="false">AI9+$E$32*AI42</f>
        <v>0.6194</v>
      </c>
      <c r="AJ143" s="24" t="n">
        <f aca="false">AJ9+$E$32*AJ42</f>
        <v>0.6045</v>
      </c>
      <c r="AL143" s="35" t="s">
        <v>75</v>
      </c>
      <c r="AM143" s="37" t="n">
        <f aca="false">C143*(1+(((2-3*O143^2)/24*AA143^2)+(O143*AA143*C143/4))*0.5)</f>
        <v>0.563334935486134</v>
      </c>
      <c r="AN143" s="37" t="n">
        <f aca="false">D143*(1+(((2-3*P143^2)/24*AB143^2)+(P143*AB143*D143/4))*0.5)</f>
        <v>0.534631415951674</v>
      </c>
      <c r="AO143" s="37" t="n">
        <f aca="false">E143*(1+(((2-3*Q143^2)/24*AC143^2)+(Q143*AC143*E143/4))*0.5)</f>
        <v>0.524547724582098</v>
      </c>
      <c r="AP143" s="37" t="n">
        <f aca="false">F143*(1+(((2-3*R143^2)/24*AD143^2)+(R143*AD143*F143/4))*0.5)</f>
        <v>0.503664437102048</v>
      </c>
      <c r="AQ143" s="37" t="n">
        <f aca="false">G143*(1+(((2-3*S143^2)/24*AE143^2)+(S143*AE143*G143/4))*0.5)</f>
        <v>0.484890707072566</v>
      </c>
      <c r="AR143" s="37" t="n">
        <f aca="false">H143*(1+(((2-3*T143^2)/24*AF143^2)+(T143*AF143*H143/4))*0.5)</f>
        <v>0.462330800943745</v>
      </c>
      <c r="AS143" s="37" t="n">
        <f aca="false">I143*(1+(((2-3*U143^2)/24*AG143^2)+(U143*AG143*I143/4))*0.5)</f>
        <v>0.450541131842675</v>
      </c>
      <c r="AT143" s="37" t="n">
        <f aca="false">J143*(1+(((2-3*V143^2)/24*AH143^2)+(V143*AH143*J143/4))*0.5)</f>
        <v>0.434680628094798</v>
      </c>
      <c r="AU143" s="37" t="n">
        <f aca="false">K143*(1+(((2-3*W143^2)/24*AI143^2)+(W143*AI143*K143/4))*0.5)</f>
        <v>0.405753096832191</v>
      </c>
      <c r="AV143" s="37" t="n">
        <f aca="false">L143*(1+(((2-3*X143^2)/24*AJ143^2)+(X143*AJ143*L143/4))*0.5)</f>
        <v>0.389742565763598</v>
      </c>
    </row>
    <row r="144" customFormat="false" ht="15" hidden="false" customHeight="true" outlineLevel="0" collapsed="false">
      <c r="B144" s="35" t="s">
        <v>30</v>
      </c>
      <c r="C144" s="24" t="n">
        <f aca="false">C10+$C$32*C43</f>
        <v>0.5353215</v>
      </c>
      <c r="D144" s="24" t="n">
        <f aca="false">D10+$C$32*D43</f>
        <v>0.523349</v>
      </c>
      <c r="E144" s="24" t="n">
        <f aca="false">E10+$C$32*E43</f>
        <v>0.5040814</v>
      </c>
      <c r="F144" s="24" t="n">
        <f aca="false">F10+$C$32*F43</f>
        <v>0.4855725</v>
      </c>
      <c r="G144" s="24" t="n">
        <f aca="false">G10+$C$32*G43</f>
        <v>0.4538061</v>
      </c>
      <c r="H144" s="24" t="n">
        <f aca="false">H10+$C$32*H43</f>
        <v>0.4377495</v>
      </c>
      <c r="I144" s="24" t="n">
        <f aca="false">I10+$C$32*I43</f>
        <v>0.4173458</v>
      </c>
      <c r="J144" s="24" t="n">
        <f aca="false">J10+$C$32*J43</f>
        <v>0.4087262</v>
      </c>
      <c r="K144" s="24" t="n">
        <f aca="false">K10+$C$32*K43</f>
        <v>0.3923164</v>
      </c>
      <c r="L144" s="24" t="n">
        <f aca="false">L10+$C$32*L43</f>
        <v>0.3561763</v>
      </c>
      <c r="N144" s="35" t="s">
        <v>30</v>
      </c>
      <c r="O144" s="24" t="n">
        <f aca="false">O10+$D$32*O43</f>
        <v>-0.2981</v>
      </c>
      <c r="P144" s="24" t="n">
        <f aca="false">P10+$D$32*P43</f>
        <v>-0.2776</v>
      </c>
      <c r="Q144" s="24" t="n">
        <f aca="false">Q10+$D$32*Q43</f>
        <v>-0.2581</v>
      </c>
      <c r="R144" s="24" t="n">
        <f aca="false">R10+$D$32*R43</f>
        <v>-0.2336</v>
      </c>
      <c r="S144" s="24" t="n">
        <f aca="false">S10+$D$32*S43</f>
        <v>-0.2121</v>
      </c>
      <c r="T144" s="24" t="n">
        <f aca="false">T10+$D$32*T43</f>
        <v>-0.1992</v>
      </c>
      <c r="U144" s="24" t="n">
        <f aca="false">U10+$D$32*U43</f>
        <v>-0.1849</v>
      </c>
      <c r="V144" s="24" t="n">
        <f aca="false">V10+$D$32*V43</f>
        <v>-0.1572</v>
      </c>
      <c r="W144" s="24" t="n">
        <f aca="false">W10+$D$32*W43</f>
        <v>-0.1387</v>
      </c>
      <c r="X144" s="24" t="n">
        <f aca="false">X10+$D$32*X43</f>
        <v>-0.1153</v>
      </c>
      <c r="Z144" s="35" t="s">
        <v>30</v>
      </c>
      <c r="AA144" s="24" t="n">
        <f aca="false">AA10+$E$32*AA43</f>
        <v>0.7924</v>
      </c>
      <c r="AB144" s="24" t="n">
        <f aca="false">AB10+$E$32*AB43</f>
        <v>0.7649</v>
      </c>
      <c r="AC144" s="24" t="n">
        <f aca="false">AC10+$E$32*AC43</f>
        <v>0.7392</v>
      </c>
      <c r="AD144" s="24" t="n">
        <f aca="false">AD10+$E$32*AD43</f>
        <v>0.719</v>
      </c>
      <c r="AE144" s="24" t="n">
        <f aca="false">AE10+$E$32*AE43</f>
        <v>0.698</v>
      </c>
      <c r="AF144" s="24" t="n">
        <f aca="false">AF10+$E$32*AF43</f>
        <v>0.6633</v>
      </c>
      <c r="AG144" s="24" t="n">
        <f aca="false">AG10+$E$32*AG43</f>
        <v>0.658</v>
      </c>
      <c r="AH144" s="24" t="n">
        <f aca="false">AH10+$E$32*AH43</f>
        <v>0.6334</v>
      </c>
      <c r="AI144" s="24" t="n">
        <f aca="false">AI10+$E$32*AI43</f>
        <v>0.613</v>
      </c>
      <c r="AJ144" s="24" t="n">
        <f aca="false">AJ10+$E$32*AJ43</f>
        <v>0.5893</v>
      </c>
      <c r="AL144" s="35" t="s">
        <v>30</v>
      </c>
      <c r="AM144" s="37" t="n">
        <f aca="false">C144*(1+(((2-3*O144^2)/24*AA144^2)+(O144*AA144*C144/4))*1)</f>
        <v>0.542675472971281</v>
      </c>
      <c r="AN144" s="37" t="n">
        <f aca="false">D144*(1+(((2-3*P144^2)/24*AB144^2)+(P144*AB144*D144/4))*1)</f>
        <v>0.531376480884207</v>
      </c>
      <c r="AO144" s="37" t="n">
        <f aca="false">E144*(1+(((2-3*Q144^2)/24*AC144^2)+(Q144*AC144*E144/4))*1)</f>
        <v>0.512621358164465</v>
      </c>
      <c r="AP144" s="37" t="n">
        <f aca="false">F144*(1+(((2-3*R144^2)/24*AD144^2)+(R144*AD144*F144/4))*1)</f>
        <v>0.494878416974634</v>
      </c>
      <c r="AQ144" s="37" t="n">
        <f aca="false">G144*(1+(((2-3*S144^2)/24*AE144^2)+(S144*AE144*G144/4))*1)</f>
        <v>0.463365351548666</v>
      </c>
      <c r="AR144" s="37" t="n">
        <f aca="false">H144*(1+(((2-3*T144^2)/24*AF144^2)+(T144*AF144*H144/4))*1)</f>
        <v>0.4465140093923</v>
      </c>
      <c r="AS144" s="37" t="n">
        <f aca="false">I144*(1+(((2-3*U144^2)/24*AG144^2)+(U144*AG144*I144/4))*1)</f>
        <v>0.426333780190557</v>
      </c>
      <c r="AT144" s="37" t="n">
        <f aca="false">J144*(1+(((2-3*V144^2)/24*AH144^2)+(V144*AH144*J144/4))*1)</f>
        <v>0.417726110712245</v>
      </c>
      <c r="AU144" s="37" t="n">
        <f aca="false">K144*(1+(((2-3*W144^2)/24*AI144^2)+(W144*AI144*K144/4))*1)</f>
        <v>0.400975402895376</v>
      </c>
      <c r="AV144" s="37" t="n">
        <f aca="false">L144*(1+(((2-3*X144^2)/24*AJ144^2)+(X144*AJ144*L144/4))*1)</f>
        <v>0.364123390731738</v>
      </c>
    </row>
    <row r="145" customFormat="false" ht="15" hidden="false" customHeight="true" outlineLevel="0" collapsed="false">
      <c r="B145" s="35" t="s">
        <v>76</v>
      </c>
      <c r="C145" s="24" t="n">
        <f aca="false">C11+$C$32*C44</f>
        <v>0.5139172</v>
      </c>
      <c r="D145" s="24" t="n">
        <f aca="false">D11+$C$32*D44</f>
        <v>0.4947661</v>
      </c>
      <c r="E145" s="24" t="n">
        <f aca="false">E11+$C$32*E44</f>
        <v>0.4694783</v>
      </c>
      <c r="F145" s="24" t="n">
        <f aca="false">F11+$C$32*F44</f>
        <v>0.4618792</v>
      </c>
      <c r="G145" s="24" t="n">
        <f aca="false">G11+$C$32*G44</f>
        <v>0.4304654</v>
      </c>
      <c r="H145" s="24" t="n">
        <f aca="false">H11+$C$32*H44</f>
        <v>0.4123137</v>
      </c>
      <c r="I145" s="24" t="n">
        <f aca="false">I11+$C$32*I44</f>
        <v>0.3953051</v>
      </c>
      <c r="J145" s="24" t="n">
        <f aca="false">J11+$C$32*J44</f>
        <v>0.3758115</v>
      </c>
      <c r="K145" s="24" t="n">
        <f aca="false">K11+$C$32*K44</f>
        <v>0.3600289</v>
      </c>
      <c r="L145" s="24" t="n">
        <f aca="false">L11+$C$32*L44</f>
        <v>0.3353408</v>
      </c>
      <c r="N145" s="35" t="s">
        <v>76</v>
      </c>
      <c r="O145" s="24" t="n">
        <f aca="false">O11+$D$32*O44</f>
        <v>-0.2822</v>
      </c>
      <c r="P145" s="24" t="n">
        <f aca="false">P11+$D$32*P44</f>
        <v>-0.2598</v>
      </c>
      <c r="Q145" s="24" t="n">
        <f aca="false">Q11+$D$32*Q44</f>
        <v>-0.2413</v>
      </c>
      <c r="R145" s="24" t="n">
        <f aca="false">R11+$D$32*R44</f>
        <v>-0.2166</v>
      </c>
      <c r="S145" s="24" t="n">
        <f aca="false">S11+$D$32*S44</f>
        <v>-0.2039</v>
      </c>
      <c r="T145" s="24" t="n">
        <f aca="false">T11+$D$32*T44</f>
        <v>-0.1675</v>
      </c>
      <c r="U145" s="24" t="n">
        <f aca="false">U11+$D$32*U44</f>
        <v>-0.1533</v>
      </c>
      <c r="V145" s="24" t="n">
        <f aca="false">V11+$D$32*V44</f>
        <v>-0.1431</v>
      </c>
      <c r="W145" s="24" t="n">
        <f aca="false">W11+$D$32*W44</f>
        <v>-0.1216</v>
      </c>
      <c r="X145" s="24" t="n">
        <f aca="false">X11+$D$32*X44</f>
        <v>-0.1003</v>
      </c>
      <c r="Z145" s="35" t="s">
        <v>76</v>
      </c>
      <c r="AA145" s="24" t="n">
        <f aca="false">AA11+$E$32*AA44</f>
        <v>0.7584</v>
      </c>
      <c r="AB145" s="24" t="n">
        <f aca="false">AB11+$E$32*AB44</f>
        <v>0.7313</v>
      </c>
      <c r="AC145" s="24" t="n">
        <f aca="false">AC11+$E$32*AC44</f>
        <v>0.7236</v>
      </c>
      <c r="AD145" s="24" t="n">
        <f aca="false">AD11+$E$32*AD44</f>
        <v>0.7043</v>
      </c>
      <c r="AE145" s="24" t="n">
        <f aca="false">AE11+$E$32*AE44</f>
        <v>0.6715</v>
      </c>
      <c r="AF145" s="24" t="n">
        <f aca="false">AF11+$E$32*AF44</f>
        <v>0.6497</v>
      </c>
      <c r="AG145" s="24" t="n">
        <f aca="false">AG11+$E$32*AG44</f>
        <v>0.6195</v>
      </c>
      <c r="AH145" s="24" t="n">
        <f aca="false">AH11+$E$32*AH44</f>
        <v>0.5976</v>
      </c>
      <c r="AI145" s="24" t="n">
        <f aca="false">AI11+$E$32*AI44</f>
        <v>0.5802</v>
      </c>
      <c r="AJ145" s="24" t="n">
        <f aca="false">AJ11+$E$32*AJ44</f>
        <v>0.5564</v>
      </c>
      <c r="AL145" s="35" t="s">
        <v>76</v>
      </c>
      <c r="AM145" s="37" t="n">
        <f aca="false">C145*(1+(((2-3*O145^2)/24*AA145^2)+(O145*AA145*C145/4))*2)</f>
        <v>0.529034673471716</v>
      </c>
      <c r="AN145" s="37" t="n">
        <f aca="false">D145*(1+(((2-3*P145^2)/24*AB145^2)+(P145*AB145*D145/4))*2)</f>
        <v>0.511146979427192</v>
      </c>
      <c r="AO145" s="37" t="n">
        <f aca="false">E145*(1+(((2-3*Q145^2)/24*AC145^2)+(Q145*AC145*E145/4))*2)</f>
        <v>0.487627348582594</v>
      </c>
      <c r="AP145" s="37" t="n">
        <f aca="false">F145*(1+(((2-3*R145^2)/24*AD145^2)+(R145*AD145*F145/4))*2)</f>
        <v>0.48110489680704</v>
      </c>
      <c r="AQ145" s="37" t="n">
        <f aca="false">G145*(1+(((2-3*S145^2)/24*AE145^2)+(S145*AE145*G145/4))*2)</f>
        <v>0.448112731570607</v>
      </c>
      <c r="AR145" s="37" t="n">
        <f aca="false">H145*(1+(((2-3*T145^2)/24*AF145^2)+(T145*AF145*H145/4))*2)</f>
        <v>0.430849677769551</v>
      </c>
      <c r="AS145" s="37" t="n">
        <f aca="false">I145*(1+(((2-3*U145^2)/24*AG145^2)+(U145*AG145*I145/4))*2)</f>
        <v>0.412278570620046</v>
      </c>
      <c r="AT145" s="37" t="n">
        <f aca="false">J145*(1+(((2-3*V145^2)/24*AH145^2)+(V145*AH145*J145/4))*2)</f>
        <v>0.391454141135942</v>
      </c>
      <c r="AU145" s="37" t="n">
        <f aca="false">K145*(1+(((2-3*W145^2)/24*AI145^2)+(W145*AI145*K145/4))*2)</f>
        <v>0.375207896801986</v>
      </c>
      <c r="AV145" s="37" t="n">
        <f aca="false">L145*(1+(((2-3*X145^2)/24*AJ145^2)+(X145*AJ145*L145/4))*2)</f>
        <v>0.349244383348361</v>
      </c>
    </row>
    <row r="146" customFormat="false" ht="15" hidden="false" customHeight="true" outlineLevel="0" collapsed="false">
      <c r="B146" s="35" t="s">
        <v>77</v>
      </c>
      <c r="C146" s="24" t="n">
        <f aca="false">C12+$C$32*C45</f>
        <v>0.5041814</v>
      </c>
      <c r="D146" s="24" t="n">
        <f aca="false">D12+$C$32*D45</f>
        <v>0.4715514</v>
      </c>
      <c r="E146" s="24" t="n">
        <f aca="false">E12+$C$32*E45</f>
        <v>0.4489954</v>
      </c>
      <c r="F146" s="24" t="n">
        <f aca="false">F12+$C$32*F45</f>
        <v>0.4494489</v>
      </c>
      <c r="G146" s="24" t="n">
        <f aca="false">G12+$C$32*G45</f>
        <v>0.4209299</v>
      </c>
      <c r="H146" s="24" t="n">
        <f aca="false">H12+$C$32*H45</f>
        <v>0.3945522</v>
      </c>
      <c r="I146" s="24" t="n">
        <f aca="false">I12+$C$32*I45</f>
        <v>0.3840953</v>
      </c>
      <c r="J146" s="24" t="n">
        <f aca="false">J12+$C$32*J45</f>
        <v>0.3544127</v>
      </c>
      <c r="K146" s="24" t="n">
        <f aca="false">K12+$C$32*K45</f>
        <v>0.3445778</v>
      </c>
      <c r="L146" s="24" t="n">
        <f aca="false">L12+$C$32*L45</f>
        <v>0.3359047</v>
      </c>
      <c r="N146" s="35" t="s">
        <v>77</v>
      </c>
      <c r="O146" s="24" t="n">
        <f aca="false">O12+$D$32*O45</f>
        <v>-0.2455</v>
      </c>
      <c r="P146" s="24" t="n">
        <f aca="false">P12+$D$32*P45</f>
        <v>-0.2294</v>
      </c>
      <c r="Q146" s="24" t="n">
        <f aca="false">Q12+$D$32*Q45</f>
        <v>-0.2187</v>
      </c>
      <c r="R146" s="24" t="n">
        <f aca="false">R12+$D$32*R45</f>
        <v>-0.1971</v>
      </c>
      <c r="S146" s="24" t="n">
        <f aca="false">S12+$D$32*S45</f>
        <v>-0.1817</v>
      </c>
      <c r="T146" s="24" t="n">
        <f aca="false">T12+$D$32*T45</f>
        <v>-0.1501</v>
      </c>
      <c r="U146" s="24" t="n">
        <f aca="false">U12+$D$32*U45</f>
        <v>-0.1355</v>
      </c>
      <c r="V146" s="24" t="n">
        <f aca="false">V12+$D$32*V45</f>
        <v>-0.1111</v>
      </c>
      <c r="W146" s="24" t="n">
        <f aca="false">W12+$D$32*W45</f>
        <v>-0.1006</v>
      </c>
      <c r="X146" s="24" t="n">
        <f aca="false">X12+$D$32*X45</f>
        <v>-0.0833</v>
      </c>
      <c r="Z146" s="35" t="s">
        <v>77</v>
      </c>
      <c r="AA146" s="24" t="n">
        <f aca="false">AA12+$E$32*AA45</f>
        <v>0.7451</v>
      </c>
      <c r="AB146" s="24" t="n">
        <f aca="false">AB12+$E$32*AB45</f>
        <v>0.7264</v>
      </c>
      <c r="AC146" s="24" t="n">
        <f aca="false">AC12+$E$32*AC45</f>
        <v>0.7015</v>
      </c>
      <c r="AD146" s="24" t="n">
        <f aca="false">AD12+$E$32*AD45</f>
        <v>0.6783</v>
      </c>
      <c r="AE146" s="24" t="n">
        <f aca="false">AE12+$E$32*AE45</f>
        <v>0.6564</v>
      </c>
      <c r="AF146" s="24" t="n">
        <f aca="false">AF12+$E$32*AF45</f>
        <v>0.6326</v>
      </c>
      <c r="AG146" s="24" t="n">
        <f aca="false">AG12+$E$32*AG45</f>
        <v>0.6001</v>
      </c>
      <c r="AH146" s="24" t="n">
        <f aca="false">AH12+$E$32*AH45</f>
        <v>0.5837</v>
      </c>
      <c r="AI146" s="24" t="n">
        <f aca="false">AI12+$E$32*AI45</f>
        <v>0.5582</v>
      </c>
      <c r="AJ146" s="24" t="n">
        <f aca="false">AJ12+$E$32*AJ45</f>
        <v>0.5295</v>
      </c>
      <c r="AL146" s="35" t="s">
        <v>77</v>
      </c>
      <c r="AM146" s="37" t="n">
        <f aca="false">C146*(1+(((2-3*O146^2)/24*AA146^2)+(O146*AA146*C146/4))*3)</f>
        <v>0.532958260476065</v>
      </c>
      <c r="AN146" s="37" t="n">
        <f aca="false">D146*(1+(((2-3*P146^2)/24*AB146^2)+(P146*AB146*D146/4))*3)</f>
        <v>0.501055546078132</v>
      </c>
      <c r="AO146" s="37" t="n">
        <f aca="false">E146*(1+(((2-3*Q146^2)/24*AC146^2)+(Q146*AC146*E146/4))*3)</f>
        <v>0.477073844438066</v>
      </c>
      <c r="AP146" s="37" t="n">
        <f aca="false">F146*(1+(((2-3*R146^2)/24*AD146^2)+(R146*AD146*F146/4))*3)</f>
        <v>0.477878314846186</v>
      </c>
      <c r="AQ146" s="37" t="n">
        <f aca="false">G146*(1+(((2-3*S146^2)/24*AE146^2)+(S146*AE146*G146/4))*3)</f>
        <v>0.448176005132199</v>
      </c>
      <c r="AR146" s="37" t="n">
        <f aca="false">H146*(1+(((2-3*T146^2)/24*AF146^2)+(T146*AF146*H146/4))*3)</f>
        <v>0.421605315179895</v>
      </c>
      <c r="AS146" s="37" t="n">
        <f aca="false">I146*(1+(((2-3*U146^2)/24*AG146^2)+(U146*AG146*I146/4))*3)</f>
        <v>0.408725959671228</v>
      </c>
      <c r="AT146" s="37" t="n">
        <f aca="false">J146*(1+(((2-3*V146^2)/24*AH146^2)+(V146*AH146*J146/4))*3)</f>
        <v>0.377932198845391</v>
      </c>
      <c r="AU146" s="37" t="n">
        <f aca="false">K146*(1+(((2-3*W146^2)/24*AI146^2)+(W146*AI146*K146/4))*3)</f>
        <v>0.366011224961252</v>
      </c>
      <c r="AV146" s="37" t="n">
        <f aca="false">L146*(1+(((2-3*X146^2)/24*AJ146^2)+(X146*AJ146*L146/4))*3)</f>
        <v>0.355471523645093</v>
      </c>
    </row>
    <row r="147" customFormat="false" ht="15" hidden="false" customHeight="true" outlineLevel="0" collapsed="false">
      <c r="B147" s="35" t="s">
        <v>78</v>
      </c>
      <c r="C147" s="24" t="n">
        <f aca="false">C13+$C$32*C46</f>
        <v>0.4680309</v>
      </c>
      <c r="D147" s="24" t="n">
        <f aca="false">D13+$C$32*D46</f>
        <v>0.4540165</v>
      </c>
      <c r="E147" s="24" t="n">
        <f aca="false">E13+$C$32*E46</f>
        <v>0.4354648</v>
      </c>
      <c r="F147" s="24" t="n">
        <f aca="false">F13+$C$32*F46</f>
        <v>0.424414</v>
      </c>
      <c r="G147" s="24" t="n">
        <f aca="false">G13+$C$32*G46</f>
        <v>0.4105944</v>
      </c>
      <c r="H147" s="24" t="n">
        <f aca="false">H13+$C$32*H46</f>
        <v>0.3809592</v>
      </c>
      <c r="I147" s="24" t="n">
        <f aca="false">I13+$C$32*I46</f>
        <v>0.3717185</v>
      </c>
      <c r="J147" s="24" t="n">
        <f aca="false">J13+$C$32*J46</f>
        <v>0.3545405</v>
      </c>
      <c r="K147" s="24" t="n">
        <f aca="false">K13+$C$32*K46</f>
        <v>0.3343475</v>
      </c>
      <c r="L147" s="24" t="n">
        <f aca="false">L13+$C$32*L46</f>
        <v>0.3040328</v>
      </c>
      <c r="N147" s="35" t="s">
        <v>78</v>
      </c>
      <c r="O147" s="24" t="n">
        <f aca="false">O13+$D$32*O46</f>
        <v>-0.2389</v>
      </c>
      <c r="P147" s="24" t="n">
        <f aca="false">P13+$D$32*P46</f>
        <v>-0.2194</v>
      </c>
      <c r="Q147" s="24" t="n">
        <f aca="false">Q13+$D$32*Q46</f>
        <v>-0.2005</v>
      </c>
      <c r="R147" s="24" t="n">
        <f aca="false">R13+$D$32*R46</f>
        <v>-0.1809</v>
      </c>
      <c r="S147" s="24" t="n">
        <f aca="false">S13+$D$32*S46</f>
        <v>-0.1531</v>
      </c>
      <c r="T147" s="24" t="n">
        <f aca="false">T13+$D$32*T46</f>
        <v>-0.1281</v>
      </c>
      <c r="U147" s="24" t="n">
        <f aca="false">U13+$D$32*U46</f>
        <v>-0.1099</v>
      </c>
      <c r="V147" s="24" t="n">
        <f aca="false">V13+$D$32*V46</f>
        <v>-0.0976</v>
      </c>
      <c r="W147" s="24" t="n">
        <f aca="false">W13+$D$32*W46</f>
        <v>-0.0747</v>
      </c>
      <c r="X147" s="24" t="n">
        <f aca="false">X13+$D$32*X46</f>
        <v>-0.0523</v>
      </c>
      <c r="Z147" s="35" t="s">
        <v>78</v>
      </c>
      <c r="AA147" s="24" t="n">
        <f aca="false">AA13+$E$32*AA46</f>
        <v>0.7084</v>
      </c>
      <c r="AB147" s="24" t="n">
        <f aca="false">AB13+$E$32*AB46</f>
        <v>0.6977</v>
      </c>
      <c r="AC147" s="24" t="n">
        <f aca="false">AC13+$E$32*AC46</f>
        <v>0.6804</v>
      </c>
      <c r="AD147" s="24" t="n">
        <f aca="false">AD13+$E$32*AD46</f>
        <v>0.6556</v>
      </c>
      <c r="AE147" s="24" t="n">
        <f aca="false">AE13+$E$32*AE46</f>
        <v>0.6328</v>
      </c>
      <c r="AF147" s="24" t="n">
        <f aca="false">AF13+$E$32*AF46</f>
        <v>0.6051</v>
      </c>
      <c r="AG147" s="24" t="n">
        <f aca="false">AG13+$E$32*AG46</f>
        <v>0.5769</v>
      </c>
      <c r="AH147" s="24" t="n">
        <f aca="false">AH13+$E$32*AH46</f>
        <v>0.5669</v>
      </c>
      <c r="AI147" s="24" t="n">
        <f aca="false">AI13+$E$32*AI46</f>
        <v>0.5355</v>
      </c>
      <c r="AJ147" s="24" t="n">
        <f aca="false">AJ13+$E$32*AJ46</f>
        <v>0.5227</v>
      </c>
      <c r="AL147" s="35" t="s">
        <v>78</v>
      </c>
      <c r="AM147" s="37" t="n">
        <f aca="false">C147*(1+(((2-3*O147^2)/24*AA147^2)+(O147*AA147*C147/4))*5)</f>
        <v>0.511176492192639</v>
      </c>
      <c r="AN147" s="37" t="n">
        <f aca="false">D147*(1+(((2-3*P147^2)/24*AB147^2)+(P147*AB147*D147/4))*5)</f>
        <v>0.500012332226662</v>
      </c>
      <c r="AO147" s="37" t="n">
        <f aca="false">E147*(1+(((2-3*Q147^2)/24*AC147^2)+(Q147*AC147*E147/4))*5)</f>
        <v>0.482061324126213</v>
      </c>
      <c r="AP147" s="37" t="n">
        <f aca="false">F147*(1+(((2-3*R147^2)/24*AD147^2)+(R147*AD147*F147/4))*5)</f>
        <v>0.469987064558363</v>
      </c>
      <c r="AQ147" s="37" t="n">
        <f aca="false">G147*(1+(((2-3*S147^2)/24*AE147^2)+(S147*AE147*G147/4))*5)</f>
        <v>0.456276367238272</v>
      </c>
      <c r="AR147" s="37" t="n">
        <f aca="false">H147*(1+(((2-3*T147^2)/24*AF147^2)+(T147*AF147*H147/4))*5)</f>
        <v>0.423586203399927</v>
      </c>
      <c r="AS147" s="37" t="n">
        <f aca="false">I147*(1+(((2-3*U147^2)/24*AG147^2)+(U147*AG147*I147/4))*5)</f>
        <v>0.411381127449121</v>
      </c>
      <c r="AT147" s="37" t="n">
        <f aca="false">J147*(1+(((2-3*V147^2)/24*AH147^2)+(V147*AH147*J147/4))*5)</f>
        <v>0.392643855014423</v>
      </c>
      <c r="AU147" s="37" t="n">
        <f aca="false">K147*(1+(((2-3*W147^2)/24*AI147^2)+(W147*AI147*K147/4))*5)</f>
        <v>0.36837243914353</v>
      </c>
      <c r="AV147" s="37" t="n">
        <f aca="false">L147*(1+(((2-3*X147^2)/24*AJ147^2)+(X147*AJ147*L147/4))*5)</f>
        <v>0.335343121311296</v>
      </c>
    </row>
    <row r="148" customFormat="false" ht="15" hidden="false" customHeight="true" outlineLevel="0" collapsed="false">
      <c r="B148" s="35" t="s">
        <v>79</v>
      </c>
      <c r="C148" s="24" t="n">
        <f aca="false">C14+$C$32*C47</f>
        <v>0.4681006</v>
      </c>
      <c r="D148" s="24" t="n">
        <f aca="false">D14+$C$32*D47</f>
        <v>0.4376651</v>
      </c>
      <c r="E148" s="24" t="n">
        <f aca="false">E14+$C$32*E47</f>
        <v>0.4195134</v>
      </c>
      <c r="F148" s="24" t="n">
        <f aca="false">F14+$C$32*F47</f>
        <v>0.4106837</v>
      </c>
      <c r="G148" s="24" t="n">
        <f aca="false">G14+$C$32*G47</f>
        <v>0.3873482</v>
      </c>
      <c r="H148" s="24" t="n">
        <f aca="false">H14+$C$32*H47</f>
        <v>0.3576546</v>
      </c>
      <c r="I148" s="24" t="n">
        <f aca="false">I14+$C$32*I47</f>
        <v>0.3367093</v>
      </c>
      <c r="J148" s="24" t="n">
        <f aca="false">J14+$C$32*J47</f>
        <v>0.3180897</v>
      </c>
      <c r="K148" s="24" t="n">
        <f aca="false">K14+$C$32*K47</f>
        <v>0.3153325</v>
      </c>
      <c r="L148" s="24" t="n">
        <f aca="false">L14+$C$32*L47</f>
        <v>0.2942077</v>
      </c>
      <c r="N148" s="35" t="s">
        <v>79</v>
      </c>
      <c r="O148" s="24" t="n">
        <f aca="false">O14+$D$32*O47</f>
        <v>-0.221</v>
      </c>
      <c r="P148" s="24" t="n">
        <f aca="false">P14+$D$32*P47</f>
        <v>-0.1879</v>
      </c>
      <c r="Q148" s="24" t="n">
        <f aca="false">Q14+$D$32*Q47</f>
        <v>-0.1654</v>
      </c>
      <c r="R148" s="24" t="n">
        <f aca="false">R14+$D$32*R47</f>
        <v>-0.1524</v>
      </c>
      <c r="S148" s="24" t="n">
        <f aca="false">S14+$D$32*S47</f>
        <v>-0.1391</v>
      </c>
      <c r="T148" s="24" t="n">
        <f aca="false">T14+$D$32*T47</f>
        <v>-0.1157</v>
      </c>
      <c r="U148" s="24" t="n">
        <f aca="false">U14+$D$32*U47</f>
        <v>-0.1046</v>
      </c>
      <c r="V148" s="24" t="n">
        <f aca="false">V14+$D$32*V47</f>
        <v>-0.0875</v>
      </c>
      <c r="W148" s="24" t="n">
        <f aca="false">W14+$D$32*W47</f>
        <v>-0.0489</v>
      </c>
      <c r="X148" s="24" t="n">
        <f aca="false">X14+$D$32*X47</f>
        <v>-0.0359</v>
      </c>
      <c r="Z148" s="35" t="s">
        <v>79</v>
      </c>
      <c r="AA148" s="24" t="n">
        <f aca="false">AA14+$E$32*AA47</f>
        <v>0.695</v>
      </c>
      <c r="AB148" s="24" t="n">
        <f aca="false">AB14+$E$32*AB47</f>
        <v>0.6809</v>
      </c>
      <c r="AC148" s="24" t="n">
        <f aca="false">AC14+$E$32*AC47</f>
        <v>0.6487</v>
      </c>
      <c r="AD148" s="24" t="n">
        <f aca="false">AD14+$E$32*AD47</f>
        <v>0.6352</v>
      </c>
      <c r="AE148" s="24" t="n">
        <f aca="false">AE14+$E$32*AE47</f>
        <v>0.6121</v>
      </c>
      <c r="AF148" s="24" t="n">
        <f aca="false">AF14+$E$32*AF47</f>
        <v>0.5776</v>
      </c>
      <c r="AG148" s="24" t="n">
        <f aca="false">AG14+$E$32*AG47</f>
        <v>0.5561</v>
      </c>
      <c r="AH148" s="24" t="n">
        <f aca="false">AH14+$E$32*AH47</f>
        <v>0.5347</v>
      </c>
      <c r="AI148" s="24" t="n">
        <f aca="false">AI14+$E$32*AI47</f>
        <v>0.5115</v>
      </c>
      <c r="AJ148" s="24" t="n">
        <f aca="false">AJ14+$E$32*AJ47</f>
        <v>0.4962</v>
      </c>
      <c r="AL148" s="35" t="s">
        <v>79</v>
      </c>
      <c r="AM148" s="37" t="n">
        <f aca="false">C148*(1+(((2-3*O148^2)/24*AA148^2)+(O148*AA148*C148/4))*10)</f>
        <v>0.558578254956166</v>
      </c>
      <c r="AN148" s="37" t="n">
        <f aca="false">D148*(1+(((2-3*P148^2)/24*AB148^2)+(P148*AB148*D148/4))*10)</f>
        <v>0.536535594593688</v>
      </c>
      <c r="AO148" s="37" t="n">
        <f aca="false">E148*(1+(((2-3*Q148^2)/24*AC148^2)+(Q148*AC148*E148/4))*10)</f>
        <v>0.513382433733287</v>
      </c>
      <c r="AP148" s="37" t="n">
        <f aca="false">F148*(1+(((2-3*R148^2)/24*AD148^2)+(R148*AD148*F148/4))*10)</f>
        <v>0.50314034399701</v>
      </c>
      <c r="AQ148" s="37" t="n">
        <f aca="false">G148*(1+(((2-3*S148^2)/24*AE148^2)+(S148*AE148*G148/4))*10)</f>
        <v>0.472839916453681</v>
      </c>
      <c r="AR148" s="37" t="n">
        <f aca="false">H148*(1+(((2-3*T148^2)/24*AF148^2)+(T148*AF148*H148/4))*10)</f>
        <v>0.433721282312823</v>
      </c>
      <c r="AS148" s="37" t="n">
        <f aca="false">I148*(1+(((2-3*U148^2)/24*AG148^2)+(U148*AG148*I148/4))*10)</f>
        <v>0.405570489137151</v>
      </c>
      <c r="AT148" s="37" t="n">
        <f aca="false">J148*(1+(((2-3*V148^2)/24*AH148^2)+(V148*AH148*J148/4))*10)</f>
        <v>0.381170595252749</v>
      </c>
      <c r="AU148" s="37" t="n">
        <f aca="false">K148*(1+(((2-3*W148^2)/24*AI148^2)+(W148*AI148*K148/4))*10)</f>
        <v>0.377619130947825</v>
      </c>
      <c r="AV148" s="37" t="n">
        <f aca="false">L148*(1+(((2-3*X148^2)/24*AJ148^2)+(X148*AJ148*L148/4))*10)</f>
        <v>0.350601377348134</v>
      </c>
    </row>
    <row r="149" customFormat="false" ht="15" hidden="false" customHeight="true" outlineLevel="0" collapsed="false">
      <c r="B149" s="35" t="s">
        <v>80</v>
      </c>
      <c r="C149" s="24" t="n">
        <f aca="false">C15+$C$32*C48</f>
        <v>0.4346495</v>
      </c>
      <c r="D149" s="24" t="n">
        <f aca="false">D15+$C$32*D48</f>
        <v>0.4186773</v>
      </c>
      <c r="E149" s="24" t="n">
        <f aca="false">E15+$C$32*E48</f>
        <v>0.3947782</v>
      </c>
      <c r="F149" s="24" t="n">
        <f aca="false">F15+$C$32*F48</f>
        <v>0.3916268</v>
      </c>
      <c r="G149" s="24" t="n">
        <f aca="false">G15+$C$32*G48</f>
        <v>0.3603026</v>
      </c>
      <c r="H149" s="24" t="n">
        <f aca="false">H15+$C$32*H48</f>
        <v>0.3445191</v>
      </c>
      <c r="I149" s="24" t="n">
        <f aca="false">I15+$C$32*I48</f>
        <v>0.3278469</v>
      </c>
      <c r="J149" s="24" t="n">
        <f aca="false">J15+$C$32*J48</f>
        <v>0.3148328</v>
      </c>
      <c r="K149" s="24" t="n">
        <f aca="false">K15+$C$32*K48</f>
        <v>0.2857765</v>
      </c>
      <c r="L149" s="24" t="n">
        <f aca="false">L15+$C$32*L48</f>
        <v>0.278945</v>
      </c>
      <c r="N149" s="35" t="s">
        <v>80</v>
      </c>
      <c r="O149" s="24" t="n">
        <f aca="false">O15+$D$32*O48</f>
        <v>-0.1944</v>
      </c>
      <c r="P149" s="24" t="n">
        <f aca="false">P15+$D$32*P48</f>
        <v>-0.1744</v>
      </c>
      <c r="Q149" s="24" t="n">
        <f aca="false">Q15+$D$32*Q48</f>
        <v>-0.1551</v>
      </c>
      <c r="R149" s="24" t="n">
        <f aca="false">R15+$D$32*R48</f>
        <v>-0.1457</v>
      </c>
      <c r="S149" s="24" t="n">
        <f aca="false">S15+$D$32*S48</f>
        <v>-0.1179</v>
      </c>
      <c r="T149" s="24" t="n">
        <f aca="false">T15+$D$32*T48</f>
        <v>-0.1036</v>
      </c>
      <c r="U149" s="24" t="n">
        <f aca="false">U15+$D$32*U48</f>
        <v>-0.0877</v>
      </c>
      <c r="V149" s="24" t="n">
        <f aca="false">V15+$D$32*V48</f>
        <v>-0.0523</v>
      </c>
      <c r="W149" s="24" t="n">
        <f aca="false">W15+$D$32*W48</f>
        <v>-0.0454</v>
      </c>
      <c r="X149" s="24" t="n">
        <f aca="false">X15+$D$32*X48</f>
        <v>-0.02</v>
      </c>
      <c r="Z149" s="35" t="s">
        <v>80</v>
      </c>
      <c r="AA149" s="24" t="n">
        <f aca="false">AA15+$E$32*AA48</f>
        <v>0.6767</v>
      </c>
      <c r="AB149" s="24" t="n">
        <f aca="false">AB15+$E$32*AB48</f>
        <v>0.6511</v>
      </c>
      <c r="AC149" s="24" t="n">
        <f aca="false">AC15+$E$32*AC48</f>
        <v>0.6243</v>
      </c>
      <c r="AD149" s="24" t="n">
        <f aca="false">AD15+$E$32*AD48</f>
        <v>0.6059</v>
      </c>
      <c r="AE149" s="24" t="n">
        <f aca="false">AE15+$E$32*AE48</f>
        <v>0.5844</v>
      </c>
      <c r="AF149" s="24" t="n">
        <f aca="false">AF15+$E$32*AF48</f>
        <v>0.5668</v>
      </c>
      <c r="AG149" s="24" t="n">
        <f aca="false">AG15+$E$32*AG48</f>
        <v>0.531</v>
      </c>
      <c r="AH149" s="24" t="n">
        <f aca="false">AH15+$E$32*AH48</f>
        <v>0.5179</v>
      </c>
      <c r="AI149" s="24" t="n">
        <f aca="false">AI15+$E$32*AI48</f>
        <v>0.4894</v>
      </c>
      <c r="AJ149" s="24" t="n">
        <f aca="false">AJ15+$E$32*AJ48</f>
        <v>0.4678</v>
      </c>
      <c r="AL149" s="35" t="s">
        <v>80</v>
      </c>
      <c r="AM149" s="37" t="n">
        <f aca="false">C149*(1+(((2-3*O149^2)/24*AA149^2)+(O149*AA149*C149/4))*20)</f>
        <v>0.623308786407206</v>
      </c>
      <c r="AN149" s="37" t="n">
        <f aca="false">D149*(1+(((2-3*P149^2)/24*AB149^2)+(P149*AB149*D149/4))*20)</f>
        <v>0.601475609447719</v>
      </c>
      <c r="AO149" s="37" t="n">
        <f aca="false">E149*(1+(((2-3*Q149^2)/24*AC149^2)+(Q149*AC149*E149/4))*20)</f>
        <v>0.566512556685861</v>
      </c>
      <c r="AP149" s="37" t="n">
        <f aca="false">F149*(1+(((2-3*R149^2)/24*AD149^2)+(R149*AD149*F149/4))*20)</f>
        <v>0.555918722408746</v>
      </c>
      <c r="AQ149" s="37" t="n">
        <f aca="false">G149*(1+(((2-3*S149^2)/24*AE149^2)+(S149*AE149*G149/4))*20)</f>
        <v>0.516389901258238</v>
      </c>
      <c r="AR149" s="37" t="n">
        <f aca="false">H149*(1+(((2-3*T149^2)/24*AF149^2)+(T149*AF149*H149/4))*20)</f>
        <v>0.491168889928287</v>
      </c>
      <c r="AS149" s="37" t="n">
        <f aca="false">I149*(1+(((2-3*U149^2)/24*AG149^2)+(U149*AG149*I149/4))*20)</f>
        <v>0.455109319816957</v>
      </c>
      <c r="AT149" s="37" t="n">
        <f aca="false">J149*(1+(((2-3*V149^2)/24*AH149^2)+(V149*AH149*J149/4))*20)</f>
        <v>0.441572455972579</v>
      </c>
      <c r="AU149" s="37" t="n">
        <f aca="false">K149*(1+(((2-3*W149^2)/24*AI149^2)+(W149*AI149*K149/4))*20)</f>
        <v>0.39042930778532</v>
      </c>
      <c r="AV149" s="37" t="n">
        <f aca="false">L149*(1+(((2-3*X149^2)/24*AJ149^2)+(X149*AJ149*L149/4))*20)</f>
        <v>0.37698306067069</v>
      </c>
    </row>
    <row r="150" customFormat="false" ht="15" hidden="false" customHeight="true" outlineLevel="0" collapsed="false">
      <c r="B150" s="35" t="s">
        <v>81</v>
      </c>
      <c r="C150" s="24" t="n">
        <f aca="false">C16+$C$32*C49</f>
        <v>0.4254406</v>
      </c>
      <c r="D150" s="24" t="n">
        <f aca="false">D16+$C$32*D49</f>
        <v>0.4026464</v>
      </c>
      <c r="E150" s="24" t="n">
        <f aca="false">E16+$C$32*E49</f>
        <v>0.3835222</v>
      </c>
      <c r="F150" s="24" t="n">
        <f aca="false">F16+$C$32*F49</f>
        <v>0.3691916</v>
      </c>
      <c r="G150" s="24" t="n">
        <f aca="false">G16+$C$32*G49</f>
        <v>0.3525145</v>
      </c>
      <c r="H150" s="24" t="n">
        <f aca="false">H16+$C$32*H49</f>
        <v>0.3249417</v>
      </c>
      <c r="I150" s="24" t="n">
        <f aca="false">I16+$C$32*I49</f>
        <v>0.3090328</v>
      </c>
      <c r="J150" s="24" t="n">
        <f aca="false">J16+$C$32*J49</f>
        <v>0.287345</v>
      </c>
      <c r="K150" s="24" t="n">
        <f aca="false">K16+$C$32*K49</f>
        <v>0.270845</v>
      </c>
      <c r="L150" s="24" t="n">
        <f aca="false">L16+$C$32*L49</f>
        <v>0.257845</v>
      </c>
      <c r="N150" s="35" t="s">
        <v>81</v>
      </c>
      <c r="O150" s="24" t="n">
        <f aca="false">O16+$D$32*O49</f>
        <v>-0.176</v>
      </c>
      <c r="P150" s="24" t="n">
        <f aca="false">P16+$D$32*P49</f>
        <v>-0.1549</v>
      </c>
      <c r="Q150" s="24" t="n">
        <f aca="false">Q16+$D$32*Q49</f>
        <v>-0.1366</v>
      </c>
      <c r="R150" s="24" t="n">
        <f aca="false">R16+$D$32*R49</f>
        <v>-0.1078</v>
      </c>
      <c r="S150" s="24" t="n">
        <f aca="false">S16+$D$32*S49</f>
        <v>-0.0932</v>
      </c>
      <c r="T150" s="24" t="n">
        <f aca="false">T16+$D$32*T49</f>
        <v>-0.0702</v>
      </c>
      <c r="U150" s="24" t="n">
        <f aca="false">U16+$D$32*U49</f>
        <v>-0.0495</v>
      </c>
      <c r="V150" s="24" t="n">
        <f aca="false">V16+$D$32*V49</f>
        <v>-0.0437</v>
      </c>
      <c r="W150" s="24" t="n">
        <f aca="false">W16+$D$32*W49</f>
        <v>-0.0183</v>
      </c>
      <c r="X150" s="24" t="n">
        <f aca="false">X16+$D$32*X49</f>
        <v>0.0089</v>
      </c>
      <c r="Z150" s="35" t="s">
        <v>81</v>
      </c>
      <c r="AA150" s="24" t="n">
        <f aca="false">AA16+$E$32*AA49</f>
        <v>0.6568</v>
      </c>
      <c r="AB150" s="24" t="n">
        <f aca="false">AB16+$E$32*AB49</f>
        <v>0.6205</v>
      </c>
      <c r="AC150" s="24" t="n">
        <f aca="false">AC16+$E$32*AC49</f>
        <v>0.598</v>
      </c>
      <c r="AD150" s="24" t="n">
        <f aca="false">AD16+$E$32*AD49</f>
        <v>0.5822</v>
      </c>
      <c r="AE150" s="24" t="n">
        <f aca="false">AE16+$E$32*AE49</f>
        <v>0.5526</v>
      </c>
      <c r="AF150" s="24" t="n">
        <f aca="false">AF16+$E$32*AF49</f>
        <v>0.5337</v>
      </c>
      <c r="AG150" s="24" t="n">
        <f aca="false">AG16+$E$32*AG49</f>
        <v>0.5081</v>
      </c>
      <c r="AH150" s="24" t="n">
        <f aca="false">AH16+$E$32*AH49</f>
        <v>0.4978</v>
      </c>
      <c r="AI150" s="24" t="n">
        <f aca="false">AI16+$E$32*AI49</f>
        <v>0.4779</v>
      </c>
      <c r="AJ150" s="24" t="n">
        <f aca="false">AJ16+$E$32*AJ49</f>
        <v>0.4579</v>
      </c>
      <c r="AL150" s="35" t="s">
        <v>81</v>
      </c>
      <c r="AM150" s="37" t="n">
        <f aca="false">C150*(1+(((2-3*O150^2)/24*AA150^2)+(O150*AA150*C150/4))*30)</f>
        <v>0.706022498171475</v>
      </c>
      <c r="AN150" s="37" t="n">
        <f aca="false">D150*(1+(((2-3*P150^2)/24*AB150^2)+(P150*AB150*D150/4))*30)</f>
        <v>0.65939524658821</v>
      </c>
      <c r="AO150" s="37" t="n">
        <f aca="false">E150*(1+(((2-3*Q150^2)/24*AC150^2)+(Q150*AC150*E150/4))*30)</f>
        <v>0.626683708757848</v>
      </c>
      <c r="AP150" s="37" t="n">
        <f aca="false">F150*(1+(((2-3*R150^2)/24*AD150^2)+(R150*AD150*F150/4))*30)</f>
        <v>0.612429531579581</v>
      </c>
      <c r="AQ150" s="37" t="n">
        <f aca="false">G150*(1+(((2-3*S150^2)/24*AE150^2)+(S150*AE150*G150/4))*30)</f>
        <v>0.570123536393889</v>
      </c>
      <c r="AR150" s="37" t="n">
        <f aca="false">H150*(1+(((2-3*T150^2)/24*AF150^2)+(T150*AF150*H150/4))*30)</f>
        <v>0.524949509533524</v>
      </c>
      <c r="AS150" s="37" t="n">
        <f aca="false">I150*(1+(((2-3*U150^2)/24*AG150^2)+(U150*AG150*I150/4))*30)</f>
        <v>0.489739226901396</v>
      </c>
      <c r="AT150" s="37" t="n">
        <f aca="false">J150*(1+(((2-3*V150^2)/24*AH150^2)+(V150*AH150*J150/4))*30)</f>
        <v>0.451377621384172</v>
      </c>
      <c r="AU150" s="37" t="n">
        <f aca="false">K150*(1+(((2-3*W150^2)/24*AI150^2)+(W150*AI150*K150/4))*30)</f>
        <v>0.420600347088641</v>
      </c>
      <c r="AV150" s="37" t="n">
        <f aca="false">L150*(1+(((2-3*X150^2)/24*AJ150^2)+(X150*AJ150*L150/4))*30)</f>
        <v>0.39501847082886</v>
      </c>
    </row>
    <row r="152" customFormat="false" ht="15" hidden="false" customHeight="true" outlineLevel="0" collapsed="false">
      <c r="A152" s="28" t="s">
        <v>160</v>
      </c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</row>
    <row r="153" customFormat="false" ht="15" hidden="false" customHeight="true" outlineLevel="0" collapsed="false">
      <c r="B153" s="28" t="s">
        <v>136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N153" s="28" t="s">
        <v>137</v>
      </c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Z153" s="28" t="s">
        <v>138</v>
      </c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L153" s="34" t="s">
        <v>139</v>
      </c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</row>
    <row r="154" customFormat="false" ht="15" hidden="false" customHeight="true" outlineLevel="0" collapsed="false">
      <c r="B154" s="18" t="s">
        <v>140</v>
      </c>
      <c r="C154" s="12" t="s">
        <v>141</v>
      </c>
      <c r="D154" s="12" t="s">
        <v>74</v>
      </c>
      <c r="E154" s="12" t="s">
        <v>75</v>
      </c>
      <c r="F154" s="12" t="s">
        <v>30</v>
      </c>
      <c r="G154" s="12" t="s">
        <v>76</v>
      </c>
      <c r="H154" s="12" t="s">
        <v>77</v>
      </c>
      <c r="I154" s="12" t="s">
        <v>78</v>
      </c>
      <c r="J154" s="12" t="s">
        <v>79</v>
      </c>
      <c r="K154" s="12" t="s">
        <v>80</v>
      </c>
      <c r="L154" s="12" t="s">
        <v>81</v>
      </c>
      <c r="N154" s="18" t="s">
        <v>140</v>
      </c>
      <c r="O154" s="12" t="s">
        <v>141</v>
      </c>
      <c r="P154" s="12" t="s">
        <v>74</v>
      </c>
      <c r="Q154" s="12" t="s">
        <v>75</v>
      </c>
      <c r="R154" s="12" t="s">
        <v>30</v>
      </c>
      <c r="S154" s="12" t="s">
        <v>76</v>
      </c>
      <c r="T154" s="12" t="s">
        <v>77</v>
      </c>
      <c r="U154" s="12" t="s">
        <v>78</v>
      </c>
      <c r="V154" s="12" t="s">
        <v>79</v>
      </c>
      <c r="W154" s="12" t="s">
        <v>80</v>
      </c>
      <c r="X154" s="12" t="s">
        <v>81</v>
      </c>
      <c r="Z154" s="18" t="s">
        <v>140</v>
      </c>
      <c r="AA154" s="12" t="s">
        <v>141</v>
      </c>
      <c r="AB154" s="12" t="s">
        <v>74</v>
      </c>
      <c r="AC154" s="12" t="s">
        <v>75</v>
      </c>
      <c r="AD154" s="12" t="s">
        <v>30</v>
      </c>
      <c r="AE154" s="12" t="s">
        <v>76</v>
      </c>
      <c r="AF154" s="12" t="s">
        <v>77</v>
      </c>
      <c r="AG154" s="12" t="s">
        <v>78</v>
      </c>
      <c r="AH154" s="12" t="s">
        <v>79</v>
      </c>
      <c r="AI154" s="12" t="s">
        <v>80</v>
      </c>
      <c r="AJ154" s="12" t="s">
        <v>81</v>
      </c>
      <c r="AL154" s="18" t="s">
        <v>140</v>
      </c>
      <c r="AM154" s="12" t="s">
        <v>141</v>
      </c>
      <c r="AN154" s="12" t="s">
        <v>74</v>
      </c>
      <c r="AO154" s="12" t="s">
        <v>75</v>
      </c>
      <c r="AP154" s="12" t="s">
        <v>30</v>
      </c>
      <c r="AQ154" s="12" t="s">
        <v>76</v>
      </c>
      <c r="AR154" s="12" t="s">
        <v>77</v>
      </c>
      <c r="AS154" s="12" t="s">
        <v>78</v>
      </c>
      <c r="AT154" s="12" t="s">
        <v>79</v>
      </c>
      <c r="AU154" s="12" t="s">
        <v>80</v>
      </c>
      <c r="AV154" s="12" t="s">
        <v>81</v>
      </c>
    </row>
    <row r="155" customFormat="false" ht="15" hidden="false" customHeight="true" outlineLevel="0" collapsed="false">
      <c r="B155" s="35" t="s">
        <v>141</v>
      </c>
      <c r="C155" s="24" t="n">
        <f aca="false">C7+$C$33*C40</f>
        <v>0.5823624</v>
      </c>
      <c r="D155" s="24" t="n">
        <f aca="false">D7+$C$33*D40</f>
        <v>0.5604032</v>
      </c>
      <c r="E155" s="24" t="n">
        <f aca="false">E7+$C$33*E40</f>
        <v>0.551508</v>
      </c>
      <c r="F155" s="24" t="n">
        <f aca="false">F7+$C$33*F40</f>
        <v>0.521416</v>
      </c>
      <c r="G155" s="24" t="n">
        <f aca="false">G7+$C$33*G40</f>
        <v>0.5118088</v>
      </c>
      <c r="H155" s="24" t="n">
        <f aca="false">H7+$C$33*H40</f>
        <v>0.4894688</v>
      </c>
      <c r="I155" s="24" t="n">
        <f aca="false">I7+$C$33*I40</f>
        <v>0.465616</v>
      </c>
      <c r="J155" s="24" t="n">
        <f aca="false">J7+$C$33*J40</f>
        <v>0.4559</v>
      </c>
      <c r="K155" s="24" t="n">
        <f aca="false">K7+$C$33*K40</f>
        <v>0.42756</v>
      </c>
      <c r="L155" s="24" t="n">
        <f aca="false">L7+$C$33*L40</f>
        <v>0.4166648</v>
      </c>
      <c r="N155" s="35" t="s">
        <v>141</v>
      </c>
      <c r="O155" s="24" t="n">
        <f aca="false">O7+$D$33*O40</f>
        <v>-0.3586</v>
      </c>
      <c r="P155" s="24" t="n">
        <f aca="false">P7+$D$33*P40</f>
        <v>-0.3387</v>
      </c>
      <c r="Q155" s="24" t="n">
        <f aca="false">Q7+$D$33*Q40</f>
        <v>-0.3126</v>
      </c>
      <c r="R155" s="24" t="n">
        <f aca="false">R7+$D$33*R40</f>
        <v>-0.2851</v>
      </c>
      <c r="S155" s="24" t="n">
        <f aca="false">S7+$D$33*S40</f>
        <v>-0.2797</v>
      </c>
      <c r="T155" s="24" t="n">
        <f aca="false">T7+$D$33*T40</f>
        <v>-0.2583</v>
      </c>
      <c r="U155" s="24" t="n">
        <f aca="false">U7+$D$33*U40</f>
        <v>-0.2308</v>
      </c>
      <c r="V155" s="24" t="n">
        <f aca="false">V7+$D$33*V40</f>
        <v>-0.2049</v>
      </c>
      <c r="W155" s="24" t="n">
        <f aca="false">W7+$D$33*W40</f>
        <v>-0.1929</v>
      </c>
      <c r="X155" s="24" t="n">
        <f aca="false">X7+$D$33*X40</f>
        <v>-0.1771</v>
      </c>
      <c r="Z155" s="35" t="s">
        <v>141</v>
      </c>
      <c r="AA155" s="24" t="n">
        <f aca="false">AA7+$E$33*AA40</f>
        <v>0.8595</v>
      </c>
      <c r="AB155" s="24" t="n">
        <f aca="false">AB7+$E$33*AB40</f>
        <v>0.8187</v>
      </c>
      <c r="AC155" s="24" t="n">
        <f aca="false">AC7+$E$33*AC40</f>
        <v>0.8127</v>
      </c>
      <c r="AD155" s="24" t="n">
        <f aca="false">AD7+$E$33*AD40</f>
        <v>0.7791</v>
      </c>
      <c r="AE155" s="24" t="n">
        <f aca="false">AE7+$E$33*AE40</f>
        <v>0.754</v>
      </c>
      <c r="AF155" s="24" t="n">
        <f aca="false">AF7+$E$33*AF40</f>
        <v>0.7312</v>
      </c>
      <c r="AG155" s="24" t="n">
        <f aca="false">AG7+$E$33*AG40</f>
        <v>0.7128</v>
      </c>
      <c r="AH155" s="24" t="n">
        <f aca="false">AH7+$E$33*AH40</f>
        <v>0.7008</v>
      </c>
      <c r="AI155" s="24" t="n">
        <f aca="false">AI7+$E$33*AI40</f>
        <v>0.6658</v>
      </c>
      <c r="AJ155" s="24" t="n">
        <f aca="false">AJ7+$E$33*AJ40</f>
        <v>0.6516</v>
      </c>
      <c r="AL155" s="35" t="s">
        <v>141</v>
      </c>
      <c r="AM155" s="37" t="n">
        <f aca="false">C155*(1+(((2-3*O155^2)/24*AA155^2)+(O155*AA155*C155/4))*0.0833333333333333)</f>
        <v>0.582596002129137</v>
      </c>
      <c r="AN155" s="37" t="n">
        <f aca="false">D155*(1+(((2-3*P155^2)/24*AB155^2)+(P155*AB155*D155/4))*0.0833333333333333)</f>
        <v>0.560748560888752</v>
      </c>
      <c r="AO155" s="37" t="n">
        <f aca="false">E155*(1+(((2-3*Q155^2)/24*AC155^2)+(Q155*AC155*E155/4))*0.0833333333333333)</f>
        <v>0.552056969974418</v>
      </c>
      <c r="AP155" s="37" t="n">
        <f aca="false">F155*(1+(((2-3*R155^2)/24*AD155^2)+(R155*AD155*F155/4))*0.0833333333333333)</f>
        <v>0.522087819015425</v>
      </c>
      <c r="AQ155" s="37" t="n">
        <f aca="false">G155*(1+(((2-3*S155^2)/24*AE155^2)+(S155*AE155*G155/4))*0.0833333333333333)</f>
        <v>0.512441416289779</v>
      </c>
      <c r="AR155" s="37" t="n">
        <f aca="false">H155*(1+(((2-3*T155^2)/24*AF155^2)+(T155*AF155*H155/4))*0.0833333333333333)</f>
        <v>0.490161567709216</v>
      </c>
      <c r="AS155" s="37" t="n">
        <f aca="false">I155*(1+(((2-3*U155^2)/24*AG155^2)+(U155*AG155*I155/4))*0.0833333333333333)</f>
        <v>0.466384541404904</v>
      </c>
      <c r="AT155" s="37" t="n">
        <f aca="false">J155*(1+(((2-3*V155^2)/24*AH155^2)+(V155*AH155*J155/4))*0.0833333333333333)</f>
        <v>0.456735178453601</v>
      </c>
      <c r="AU155" s="37" t="n">
        <f aca="false">K155*(1+(((2-3*W155^2)/24*AI155^2)+(W155*AI155*K155/4))*0.0833333333333333)</f>
        <v>0.428313601063836</v>
      </c>
      <c r="AV155" s="37" t="n">
        <f aca="false">L155*(1+(((2-3*X155^2)/24*AJ155^2)+(X155*AJ155*L155/4))*0.0833333333333333)</f>
        <v>0.417418153349484</v>
      </c>
    </row>
    <row r="156" customFormat="false" ht="15" hidden="false" customHeight="true" outlineLevel="0" collapsed="false">
      <c r="B156" s="35" t="s">
        <v>74</v>
      </c>
      <c r="C156" s="24" t="n">
        <f aca="false">C8+$C$33*C41</f>
        <v>0.5696776</v>
      </c>
      <c r="D156" s="24" t="n">
        <f aca="false">D8+$C$33*D41</f>
        <v>0.5455496</v>
      </c>
      <c r="E156" s="24" t="n">
        <f aca="false">E8+$C$33*E41</f>
        <v>0.5305008</v>
      </c>
      <c r="F156" s="24" t="n">
        <f aca="false">F8+$C$33*F41</f>
        <v>0.5017936</v>
      </c>
      <c r="G156" s="24" t="n">
        <f aca="false">G8+$C$33*G41</f>
        <v>0.4840184</v>
      </c>
      <c r="H156" s="24" t="n">
        <f aca="false">H8+$C$33*H41</f>
        <v>0.4677096</v>
      </c>
      <c r="I156" s="24" t="n">
        <f aca="false">I8+$C$33*I41</f>
        <v>0.4590984</v>
      </c>
      <c r="J156" s="24" t="n">
        <f aca="false">J8+$C$33*J41</f>
        <v>0.4347552</v>
      </c>
      <c r="K156" s="24" t="n">
        <f aca="false">K8+$C$33*K41</f>
        <v>0.4146008</v>
      </c>
      <c r="L156" s="24" t="n">
        <f aca="false">L8+$C$33*L41</f>
        <v>0.4011504</v>
      </c>
      <c r="N156" s="35" t="s">
        <v>74</v>
      </c>
      <c r="O156" s="24" t="n">
        <f aca="false">O8+$D$33*O41</f>
        <v>-0.3315</v>
      </c>
      <c r="P156" s="24" t="n">
        <f aca="false">P8+$D$33*P41</f>
        <v>-0.3151</v>
      </c>
      <c r="Q156" s="24" t="n">
        <f aca="false">Q8+$D$33*Q41</f>
        <v>-0.2858</v>
      </c>
      <c r="R156" s="24" t="n">
        <f aca="false">R8+$D$33*R41</f>
        <v>-0.2682</v>
      </c>
      <c r="S156" s="24" t="n">
        <f aca="false">S8+$D$33*S41</f>
        <v>-0.2579</v>
      </c>
      <c r="T156" s="24" t="n">
        <f aca="false">T8+$D$33*T41</f>
        <v>-0.2318</v>
      </c>
      <c r="U156" s="24" t="n">
        <f aca="false">U8+$D$33*U41</f>
        <v>-0.2134</v>
      </c>
      <c r="V156" s="24" t="n">
        <f aca="false">V8+$D$33*V41</f>
        <v>-0.1869</v>
      </c>
      <c r="W156" s="24" t="n">
        <f aca="false">W8+$D$33*W41</f>
        <v>-0.1704</v>
      </c>
      <c r="X156" s="24" t="n">
        <f aca="false">X8+$D$33*X41</f>
        <v>-0.1598</v>
      </c>
      <c r="Z156" s="35" t="s">
        <v>74</v>
      </c>
      <c r="AA156" s="24" t="n">
        <f aca="false">AA8+$E$33*AA41</f>
        <v>0.8374</v>
      </c>
      <c r="AB156" s="24" t="n">
        <f aca="false">AB8+$E$33*AB41</f>
        <v>0.7979</v>
      </c>
      <c r="AC156" s="24" t="n">
        <f aca="false">AC8+$E$33*AC41</f>
        <v>0.7817</v>
      </c>
      <c r="AD156" s="24" t="n">
        <f aca="false">AD8+$E$33*AD41</f>
        <v>0.7663</v>
      </c>
      <c r="AE156" s="24" t="n">
        <f aca="false">AE8+$E$33*AE41</f>
        <v>0.7319</v>
      </c>
      <c r="AF156" s="24" t="n">
        <f aca="false">AF8+$E$33*AF41</f>
        <v>0.7164</v>
      </c>
      <c r="AG156" s="24" t="n">
        <f aca="false">AG8+$E$33*AG41</f>
        <v>0.6852</v>
      </c>
      <c r="AH156" s="24" t="n">
        <f aca="false">AH8+$E$33*AH41</f>
        <v>0.6756</v>
      </c>
      <c r="AI156" s="24" t="n">
        <f aca="false">AI8+$E$33*AI41</f>
        <v>0.6553</v>
      </c>
      <c r="AJ156" s="24" t="n">
        <f aca="false">AJ8+$E$33*AJ41</f>
        <v>0.6292</v>
      </c>
      <c r="AL156" s="35" t="s">
        <v>74</v>
      </c>
      <c r="AM156" s="37" t="n">
        <f aca="false">C156*(1+(((2-3*O156^2)/24*AA156^2)+(O156*AA156*C156/4))*0.25)</f>
        <v>0.570997631349038</v>
      </c>
      <c r="AN156" s="37" t="n">
        <f aca="false">D156*(1+(((2-3*P156^2)/24*AB156^2)+(P156*AB156*D156/4))*0.25)</f>
        <v>0.547031042581916</v>
      </c>
      <c r="AO156" s="37" t="n">
        <f aca="false">E156*(1+(((2-3*Q156^2)/24*AC156^2)+(Q156*AC156*E156/4))*0.25)</f>
        <v>0.532497136549247</v>
      </c>
      <c r="AP156" s="37" t="n">
        <f aca="false">F156*(1+(((2-3*R156^2)/24*AD156^2)+(R156*AD156*F156/4))*0.25)</f>
        <v>0.504035661892916</v>
      </c>
      <c r="AQ156" s="37" t="n">
        <f aca="false">G156*(1+(((2-3*S156^2)/24*AE156^2)+(S156*AE156*G156/4))*0.25)</f>
        <v>0.486117307461949</v>
      </c>
      <c r="AR156" s="37" t="n">
        <f aca="false">H156*(1+(((2-3*T156^2)/24*AF156^2)+(T156*AF156*H156/4))*0.25)</f>
        <v>0.470037026412145</v>
      </c>
      <c r="AS156" s="37" t="n">
        <f aca="false">I156*(1+(((2-3*U156^2)/24*AG156^2)+(U156*AG156*I156/4))*0.25)</f>
        <v>0.461355992015802</v>
      </c>
      <c r="AT156" s="37" t="n">
        <f aca="false">J156*(1+(((2-3*V156^2)/24*AH156^2)+(V156*AH156*J156/4))*0.25)</f>
        <v>0.437181045065494</v>
      </c>
      <c r="AU156" s="37" t="n">
        <f aca="false">K156*(1+(((2-3*W156^2)/24*AI156^2)+(W156*AI156*K156/4))*0.25)</f>
        <v>0.416948721081309</v>
      </c>
      <c r="AV156" s="37" t="n">
        <f aca="false">L156*(1+(((2-3*X156^2)/24*AJ156^2)+(X156*AJ156*L156/4))*0.25)</f>
        <v>0.40332100766235</v>
      </c>
    </row>
    <row r="157" customFormat="false" ht="15" hidden="false" customHeight="true" outlineLevel="0" collapsed="false">
      <c r="B157" s="35" t="s">
        <v>75</v>
      </c>
      <c r="C157" s="24" t="n">
        <f aca="false">C9+$C$33*C42</f>
        <v>0.555336</v>
      </c>
      <c r="D157" s="24" t="n">
        <f aca="false">D9+$C$33*D42</f>
        <v>0.5257112</v>
      </c>
      <c r="E157" s="24" t="n">
        <f aca="false">E9+$C$33*E42</f>
        <v>0.515536</v>
      </c>
      <c r="F157" s="24" t="n">
        <f aca="false">F9+$C$33*F42</f>
        <v>0.4943152</v>
      </c>
      <c r="G157" s="24" t="n">
        <f aca="false">G9+$C$33*G42</f>
        <v>0.4759936</v>
      </c>
      <c r="H157" s="24" t="n">
        <f aca="false">H9+$C$33*H42</f>
        <v>0.4540936</v>
      </c>
      <c r="I157" s="24" t="n">
        <f aca="false">I9+$C$33*I42</f>
        <v>0.4426296</v>
      </c>
      <c r="J157" s="24" t="n">
        <f aca="false">J9+$C$33*J42</f>
        <v>0.4267752</v>
      </c>
      <c r="K157" s="24" t="n">
        <f aca="false">K9+$C$33*K42</f>
        <v>0.3988608</v>
      </c>
      <c r="L157" s="24" t="n">
        <f aca="false">L9+$C$33*L42</f>
        <v>0.3832504</v>
      </c>
      <c r="N157" s="35" t="s">
        <v>75</v>
      </c>
      <c r="O157" s="24" t="n">
        <f aca="false">O9+$D$33*O42</f>
        <v>-0.3199</v>
      </c>
      <c r="P157" s="24" t="n">
        <f aca="false">P9+$D$33*P42</f>
        <v>-0.2876</v>
      </c>
      <c r="Q157" s="24" t="n">
        <f aca="false">Q9+$D$33*Q42</f>
        <v>-0.2693</v>
      </c>
      <c r="R157" s="24" t="n">
        <f aca="false">R9+$D$33*R42</f>
        <v>-0.2429</v>
      </c>
      <c r="S157" s="24" t="n">
        <f aca="false">S9+$D$33*S42</f>
        <v>-0.2269</v>
      </c>
      <c r="T157" s="24" t="n">
        <f aca="false">T9+$D$33*T42</f>
        <v>-0.2182</v>
      </c>
      <c r="U157" s="24" t="n">
        <f aca="false">U9+$D$33*U42</f>
        <v>-0.1967</v>
      </c>
      <c r="V157" s="24" t="n">
        <f aca="false">V9+$D$33*V42</f>
        <v>-0.1716</v>
      </c>
      <c r="W157" s="24" t="n">
        <f aca="false">W9+$D$33*W42</f>
        <v>-0.1651</v>
      </c>
      <c r="X157" s="24" t="n">
        <f aca="false">X9+$D$33*X42</f>
        <v>-0.1369</v>
      </c>
      <c r="Z157" s="35" t="s">
        <v>75</v>
      </c>
      <c r="AA157" s="24" t="n">
        <f aca="false">AA9+$E$33*AA42</f>
        <v>0.7989</v>
      </c>
      <c r="AB157" s="24" t="n">
        <f aca="false">AB9+$E$33*AB42</f>
        <v>0.7757</v>
      </c>
      <c r="AC157" s="24" t="n">
        <f aca="false">AC9+$E$33*AC42</f>
        <v>0.7523</v>
      </c>
      <c r="AD157" s="24" t="n">
        <f aca="false">AD9+$E$33*AD42</f>
        <v>0.7443</v>
      </c>
      <c r="AE157" s="24" t="n">
        <f aca="false">AE9+$E$33*AE42</f>
        <v>0.7093</v>
      </c>
      <c r="AF157" s="24" t="n">
        <f aca="false">AF9+$E$33*AF42</f>
        <v>0.6894</v>
      </c>
      <c r="AG157" s="24" t="n">
        <f aca="false">AG9+$E$33*AG42</f>
        <v>0.67</v>
      </c>
      <c r="AH157" s="24" t="n">
        <f aca="false">AH9+$E$33*AH42</f>
        <v>0.6574</v>
      </c>
      <c r="AI157" s="24" t="n">
        <f aca="false">AI9+$E$33*AI42</f>
        <v>0.6194</v>
      </c>
      <c r="AJ157" s="24" t="n">
        <f aca="false">AJ9+$E$33*AJ42</f>
        <v>0.6045</v>
      </c>
      <c r="AL157" s="35" t="s">
        <v>75</v>
      </c>
      <c r="AM157" s="37" t="n">
        <f aca="false">C157*(1+(((2-3*O157^2)/24*AA157^2)+(O157*AA157*C157/4))*0.5)</f>
        <v>0.557985186560921</v>
      </c>
      <c r="AN157" s="37" t="n">
        <f aca="false">D157*(1+(((2-3*P157^2)/24*AB157^2)+(P157*AB157*D157/4))*0.5)</f>
        <v>0.529549134195458</v>
      </c>
      <c r="AO157" s="37" t="n">
        <f aca="false">E157*(1+(((2-3*Q157^2)/24*AC157^2)+(Q157*AC157*E157/4))*0.5)</f>
        <v>0.519639977071235</v>
      </c>
      <c r="AP157" s="37" t="n">
        <f aca="false">F157*(1+(((2-3*R157^2)/24*AD157^2)+(R157*AD157*F157/4))*0.5)</f>
        <v>0.499193519820693</v>
      </c>
      <c r="AQ157" s="37" t="n">
        <f aca="false">G157*(1+(((2-3*S157^2)/24*AE157^2)+(S157*AE157*G157/4))*0.5)</f>
        <v>0.480643153278759</v>
      </c>
      <c r="AR157" s="37" t="n">
        <f aca="false">H157*(1+(((2-3*T157^2)/24*AF157^2)+(T157*AF157*H157/4))*0.5)</f>
        <v>0.458566535058065</v>
      </c>
      <c r="AS157" s="37" t="n">
        <f aca="false">I157*(1+(((2-3*U157^2)/24*AG157^2)+(U157*AG157*I157/4))*0.5)</f>
        <v>0.447200605488165</v>
      </c>
      <c r="AT157" s="37" t="n">
        <f aca="false">J157*(1+(((2-3*V157^2)/24*AH157^2)+(V157*AH157*J157/4))*0.5)</f>
        <v>0.431552456575197</v>
      </c>
      <c r="AU157" s="37" t="n">
        <f aca="false">K157*(1+(((2-3*W157^2)/24*AI157^2)+(W157*AI157*K157/4))*0.5)</f>
        <v>0.402942538049367</v>
      </c>
      <c r="AV157" s="37" t="n">
        <f aca="false">L157*(1+(((2-3*X157^2)/24*AJ157^2)+(X157*AJ157*L157/4))*0.5)</f>
        <v>0.387402255962849</v>
      </c>
    </row>
    <row r="158" customFormat="false" ht="15" hidden="false" customHeight="true" outlineLevel="0" collapsed="false">
      <c r="B158" s="35" t="s">
        <v>30</v>
      </c>
      <c r="C158" s="24" t="n">
        <f aca="false">C10+$C$33*C43</f>
        <v>0.530232</v>
      </c>
      <c r="D158" s="24" t="n">
        <f aca="false">D10+$C$33*D43</f>
        <v>0.518552</v>
      </c>
      <c r="E158" s="24" t="n">
        <f aca="false">E10+$C$33*E43</f>
        <v>0.4994872</v>
      </c>
      <c r="F158" s="24" t="n">
        <f aca="false">F10+$C$33*F43</f>
        <v>0.48138</v>
      </c>
      <c r="G158" s="24" t="n">
        <f aca="false">G10+$C$33*G43</f>
        <v>0.4501128</v>
      </c>
      <c r="H158" s="24" t="n">
        <f aca="false">H10+$C$33*H43</f>
        <v>0.434376</v>
      </c>
      <c r="I158" s="24" t="n">
        <f aca="false">I10+$C$33*I43</f>
        <v>0.4143584</v>
      </c>
      <c r="J158" s="24" t="n">
        <f aca="false">J10+$C$33*J43</f>
        <v>0.4060976</v>
      </c>
      <c r="K158" s="24" t="n">
        <f aca="false">K10+$C$33*K43</f>
        <v>0.3898672</v>
      </c>
      <c r="L158" s="24" t="n">
        <f aca="false">L10+$C$33*L43</f>
        <v>0.3542224</v>
      </c>
      <c r="N158" s="35" t="s">
        <v>30</v>
      </c>
      <c r="O158" s="24" t="n">
        <f aca="false">O10+$D$33*O43</f>
        <v>-0.2981</v>
      </c>
      <c r="P158" s="24" t="n">
        <f aca="false">P10+$D$33*P43</f>
        <v>-0.2776</v>
      </c>
      <c r="Q158" s="24" t="n">
        <f aca="false">Q10+$D$33*Q43</f>
        <v>-0.2581</v>
      </c>
      <c r="R158" s="24" t="n">
        <f aca="false">R10+$D$33*R43</f>
        <v>-0.2336</v>
      </c>
      <c r="S158" s="24" t="n">
        <f aca="false">S10+$D$33*S43</f>
        <v>-0.2121</v>
      </c>
      <c r="T158" s="24" t="n">
        <f aca="false">T10+$D$33*T43</f>
        <v>-0.1992</v>
      </c>
      <c r="U158" s="24" t="n">
        <f aca="false">U10+$D$33*U43</f>
        <v>-0.1849</v>
      </c>
      <c r="V158" s="24" t="n">
        <f aca="false">V10+$D$33*V43</f>
        <v>-0.1572</v>
      </c>
      <c r="W158" s="24" t="n">
        <f aca="false">W10+$D$33*W43</f>
        <v>-0.1387</v>
      </c>
      <c r="X158" s="24" t="n">
        <f aca="false">X10+$D$33*X43</f>
        <v>-0.1153</v>
      </c>
      <c r="Z158" s="35" t="s">
        <v>30</v>
      </c>
      <c r="AA158" s="24" t="n">
        <f aca="false">AA10+$E$33*AA43</f>
        <v>0.7924</v>
      </c>
      <c r="AB158" s="24" t="n">
        <f aca="false">AB10+$E$33*AB43</f>
        <v>0.7649</v>
      </c>
      <c r="AC158" s="24" t="n">
        <f aca="false">AC10+$E$33*AC43</f>
        <v>0.7392</v>
      </c>
      <c r="AD158" s="24" t="n">
        <f aca="false">AD10+$E$33*AD43</f>
        <v>0.719</v>
      </c>
      <c r="AE158" s="24" t="n">
        <f aca="false">AE10+$E$33*AE43</f>
        <v>0.698</v>
      </c>
      <c r="AF158" s="24" t="n">
        <f aca="false">AF10+$E$33*AF43</f>
        <v>0.6633</v>
      </c>
      <c r="AG158" s="24" t="n">
        <f aca="false">AG10+$E$33*AG43</f>
        <v>0.658</v>
      </c>
      <c r="AH158" s="24" t="n">
        <f aca="false">AH10+$E$33*AH43</f>
        <v>0.6334</v>
      </c>
      <c r="AI158" s="24" t="n">
        <f aca="false">AI10+$E$33*AI43</f>
        <v>0.613</v>
      </c>
      <c r="AJ158" s="24" t="n">
        <f aca="false">AJ10+$E$33*AJ43</f>
        <v>0.5893</v>
      </c>
      <c r="AL158" s="35" t="s">
        <v>30</v>
      </c>
      <c r="AM158" s="37" t="n">
        <f aca="false">C158*(1+(((2-3*O158^2)/24*AA158^2)+(O158*AA158*C158/4))*1)</f>
        <v>0.537675419026225</v>
      </c>
      <c r="AN158" s="37" t="n">
        <f aca="false">D158*(1+(((2-3*P158^2)/24*AB158^2)+(P158*AB158*D158/4))*1)</f>
        <v>0.52663794753194</v>
      </c>
      <c r="AO158" s="37" t="n">
        <f aca="false">E158*(1+(((2-3*Q158^2)/24*AC158^2)+(Q158*AC158*E158/4))*1)</f>
        <v>0.508058777083525</v>
      </c>
      <c r="AP158" s="37" t="n">
        <f aca="false">F158*(1+(((2-3*R158^2)/24*AD158^2)+(R158*AD158*F158/4))*1)</f>
        <v>0.49069031121093</v>
      </c>
      <c r="AQ158" s="37" t="n">
        <f aca="false">G158*(1+(((2-3*S158^2)/24*AE158^2)+(S158*AE158*G158/4))*1)</f>
        <v>0.459655781493696</v>
      </c>
      <c r="AR158" s="37" t="n">
        <f aca="false">H158*(1+(((2-3*T158^2)/24*AF158^2)+(T158*AF158*H158/4))*1)</f>
        <v>0.443121370546833</v>
      </c>
      <c r="AS158" s="37" t="n">
        <f aca="false">I158*(1+(((2-3*U158^2)/24*AG158^2)+(U158*AG158*I158/4))*1)</f>
        <v>0.423319694031337</v>
      </c>
      <c r="AT158" s="37" t="n">
        <f aca="false">J158*(1+(((2-3*V158^2)/24*AH158^2)+(V158*AH158*J158/4))*1)</f>
        <v>0.415066202564148</v>
      </c>
      <c r="AU158" s="37" t="n">
        <f aca="false">K158*(1+(((2-3*W158^2)/24*AI158^2)+(W158*AI158*K158/4))*1)</f>
        <v>0.398492441778501</v>
      </c>
      <c r="AV158" s="37" t="n">
        <f aca="false">L158*(1+(((2-3*X158^2)/24*AJ158^2)+(X158*AJ158*L158/4))*1)</f>
        <v>0.362137651512085</v>
      </c>
    </row>
    <row r="159" customFormat="false" ht="15" hidden="false" customHeight="true" outlineLevel="0" collapsed="false">
      <c r="B159" s="35" t="s">
        <v>76</v>
      </c>
      <c r="C159" s="24" t="n">
        <f aca="false">C11+$C$33*C44</f>
        <v>0.5090656</v>
      </c>
      <c r="D159" s="24" t="n">
        <f aca="false">D11+$C$33*D44</f>
        <v>0.4902928</v>
      </c>
      <c r="E159" s="24" t="n">
        <f aca="false">E11+$C$33*E44</f>
        <v>0.4654184</v>
      </c>
      <c r="F159" s="24" t="n">
        <f aca="false">F11+$C$33*F44</f>
        <v>0.4580416</v>
      </c>
      <c r="G159" s="24" t="n">
        <f aca="false">G11+$C$33*G44</f>
        <v>0.4271192</v>
      </c>
      <c r="H159" s="24" t="n">
        <f aca="false">H11+$C$33*H44</f>
        <v>0.4091976</v>
      </c>
      <c r="I159" s="24" t="n">
        <f aca="false">I11+$C$33*I44</f>
        <v>0.3926648</v>
      </c>
      <c r="J159" s="24" t="n">
        <f aca="false">J11+$C$33*J44</f>
        <v>0.373452</v>
      </c>
      <c r="K159" s="24" t="n">
        <f aca="false">K11+$C$33*K44</f>
        <v>0.3580672</v>
      </c>
      <c r="L159" s="24" t="n">
        <f aca="false">L11+$C$33*L44</f>
        <v>0.3337184</v>
      </c>
      <c r="N159" s="35" t="s">
        <v>76</v>
      </c>
      <c r="O159" s="24" t="n">
        <f aca="false">O11+$D$33*O44</f>
        <v>-0.2822</v>
      </c>
      <c r="P159" s="24" t="n">
        <f aca="false">P11+$D$33*P44</f>
        <v>-0.2598</v>
      </c>
      <c r="Q159" s="24" t="n">
        <f aca="false">Q11+$D$33*Q44</f>
        <v>-0.2413</v>
      </c>
      <c r="R159" s="24" t="n">
        <f aca="false">R11+$D$33*R44</f>
        <v>-0.2166</v>
      </c>
      <c r="S159" s="24" t="n">
        <f aca="false">S11+$D$33*S44</f>
        <v>-0.2039</v>
      </c>
      <c r="T159" s="24" t="n">
        <f aca="false">T11+$D$33*T44</f>
        <v>-0.1675</v>
      </c>
      <c r="U159" s="24" t="n">
        <f aca="false">U11+$D$33*U44</f>
        <v>-0.1533</v>
      </c>
      <c r="V159" s="24" t="n">
        <f aca="false">V11+$D$33*V44</f>
        <v>-0.1431</v>
      </c>
      <c r="W159" s="24" t="n">
        <f aca="false">W11+$D$33*W44</f>
        <v>-0.1216</v>
      </c>
      <c r="X159" s="24" t="n">
        <f aca="false">X11+$D$33*X44</f>
        <v>-0.1003</v>
      </c>
      <c r="Z159" s="35" t="s">
        <v>76</v>
      </c>
      <c r="AA159" s="24" t="n">
        <f aca="false">AA11+$E$33*AA44</f>
        <v>0.7584</v>
      </c>
      <c r="AB159" s="24" t="n">
        <f aca="false">AB11+$E$33*AB44</f>
        <v>0.7313</v>
      </c>
      <c r="AC159" s="24" t="n">
        <f aca="false">AC11+$E$33*AC44</f>
        <v>0.7236</v>
      </c>
      <c r="AD159" s="24" t="n">
        <f aca="false">AD11+$E$33*AD44</f>
        <v>0.7043</v>
      </c>
      <c r="AE159" s="24" t="n">
        <f aca="false">AE11+$E$33*AE44</f>
        <v>0.6715</v>
      </c>
      <c r="AF159" s="24" t="n">
        <f aca="false">AF11+$E$33*AF44</f>
        <v>0.6497</v>
      </c>
      <c r="AG159" s="24" t="n">
        <f aca="false">AG11+$E$33*AG44</f>
        <v>0.6195</v>
      </c>
      <c r="AH159" s="24" t="n">
        <f aca="false">AH11+$E$33*AH44</f>
        <v>0.5976</v>
      </c>
      <c r="AI159" s="24" t="n">
        <f aca="false">AI11+$E$33*AI44</f>
        <v>0.5802</v>
      </c>
      <c r="AJ159" s="24" t="n">
        <f aca="false">AJ11+$E$33*AJ44</f>
        <v>0.5564</v>
      </c>
      <c r="AL159" s="35" t="s">
        <v>76</v>
      </c>
      <c r="AM159" s="37" t="n">
        <f aca="false">C159*(1+(((2-3*O159^2)/24*AA159^2)+(O159*AA159*C159/4))*2)</f>
        <v>0.524304650038304</v>
      </c>
      <c r="AN159" s="37" t="n">
        <f aca="false">D159*(1+(((2-3*P159^2)/24*AB159^2)+(P159*AB159*D159/4))*2)</f>
        <v>0.506733923419844</v>
      </c>
      <c r="AO159" s="37" t="n">
        <f aca="false">E159*(1+(((2-3*Q159^2)/24*AC159^2)+(Q159*AC159*E159/4))*2)</f>
        <v>0.483575463670212</v>
      </c>
      <c r="AP159" s="37" t="n">
        <f aca="false">F159*(1+(((2-3*R159^2)/24*AD159^2)+(R159*AD159*F159/4))*2)</f>
        <v>0.477241632830114</v>
      </c>
      <c r="AQ159" s="37" t="n">
        <f aca="false">G159*(1+(((2-3*S159^2)/24*AE159^2)+(S159*AE159*G159/4))*2)</f>
        <v>0.44472719498125</v>
      </c>
      <c r="AR159" s="37" t="n">
        <f aca="false">H159*(1+(((2-3*T159^2)/24*AF159^2)+(T159*AF159*H159/4))*2)</f>
        <v>0.427662871608992</v>
      </c>
      <c r="AS159" s="37" t="n">
        <f aca="false">I159*(1+(((2-3*U159^2)/24*AG159^2)+(U159*AG159*I159/4))*2)</f>
        <v>0.409574132225304</v>
      </c>
      <c r="AT159" s="37" t="n">
        <f aca="false">J159*(1+(((2-3*V159^2)/24*AH159^2)+(V159*AH159*J159/4))*2)</f>
        <v>0.3890341070522</v>
      </c>
      <c r="AU159" s="37" t="n">
        <f aca="false">K159*(1+(((2-3*W159^2)/24*AI159^2)+(W159*AI159*K159/4))*2)</f>
        <v>0.373188269253396</v>
      </c>
      <c r="AV159" s="37" t="n">
        <f aca="false">L159*(1+(((2-3*X159^2)/24*AJ159^2)+(X159*AJ159*L159/4))*2)</f>
        <v>0.347569824556106</v>
      </c>
    </row>
    <row r="160" customFormat="false" ht="15" hidden="false" customHeight="true" outlineLevel="0" collapsed="false">
      <c r="B160" s="35" t="s">
        <v>77</v>
      </c>
      <c r="C160" s="24" t="n">
        <f aca="false">C12+$C$33*C45</f>
        <v>0.4995872</v>
      </c>
      <c r="D160" s="24" t="n">
        <f aca="false">D12+$C$33*D45</f>
        <v>0.4673472</v>
      </c>
      <c r="E160" s="24" t="n">
        <f aca="false">E12+$C$33*E45</f>
        <v>0.4452592</v>
      </c>
      <c r="F160" s="24" t="n">
        <f aca="false">F12+$C$33*F45</f>
        <v>0.4459272</v>
      </c>
      <c r="G160" s="24" t="n">
        <f aca="false">G12+$C$33*G45</f>
        <v>0.4179152</v>
      </c>
      <c r="H160" s="24" t="n">
        <f aca="false">H12+$C$33*H45</f>
        <v>0.3918456</v>
      </c>
      <c r="I160" s="24" t="n">
        <f aca="false">I12+$C$33*I45</f>
        <v>0.3816344</v>
      </c>
      <c r="J160" s="24" t="n">
        <f aca="false">J12+$C$33*J45</f>
        <v>0.3523496</v>
      </c>
      <c r="K160" s="24" t="n">
        <f aca="false">K12+$C$33*K45</f>
        <v>0.3429944</v>
      </c>
      <c r="L160" s="24" t="n">
        <f aca="false">L12+$C$33*L45</f>
        <v>0.3344656</v>
      </c>
      <c r="N160" s="35" t="s">
        <v>77</v>
      </c>
      <c r="O160" s="24" t="n">
        <f aca="false">O12+$D$33*O45</f>
        <v>-0.2455</v>
      </c>
      <c r="P160" s="24" t="n">
        <f aca="false">P12+$D$33*P45</f>
        <v>-0.2294</v>
      </c>
      <c r="Q160" s="24" t="n">
        <f aca="false">Q12+$D$33*Q45</f>
        <v>-0.2187</v>
      </c>
      <c r="R160" s="24" t="n">
        <f aca="false">R12+$D$33*R45</f>
        <v>-0.1971</v>
      </c>
      <c r="S160" s="24" t="n">
        <f aca="false">S12+$D$33*S45</f>
        <v>-0.1817</v>
      </c>
      <c r="T160" s="24" t="n">
        <f aca="false">T12+$D$33*T45</f>
        <v>-0.1501</v>
      </c>
      <c r="U160" s="24" t="n">
        <f aca="false">U12+$D$33*U45</f>
        <v>-0.1355</v>
      </c>
      <c r="V160" s="24" t="n">
        <f aca="false">V12+$D$33*V45</f>
        <v>-0.1111</v>
      </c>
      <c r="W160" s="24" t="n">
        <f aca="false">W12+$D$33*W45</f>
        <v>-0.1006</v>
      </c>
      <c r="X160" s="24" t="n">
        <f aca="false">X12+$D$33*X45</f>
        <v>-0.0833</v>
      </c>
      <c r="Z160" s="35" t="s">
        <v>77</v>
      </c>
      <c r="AA160" s="24" t="n">
        <f aca="false">AA12+$E$33*AA45</f>
        <v>0.7451</v>
      </c>
      <c r="AB160" s="24" t="n">
        <f aca="false">AB12+$E$33*AB45</f>
        <v>0.7264</v>
      </c>
      <c r="AC160" s="24" t="n">
        <f aca="false">AC12+$E$33*AC45</f>
        <v>0.7015</v>
      </c>
      <c r="AD160" s="24" t="n">
        <f aca="false">AD12+$E$33*AD45</f>
        <v>0.6783</v>
      </c>
      <c r="AE160" s="24" t="n">
        <f aca="false">AE12+$E$33*AE45</f>
        <v>0.6564</v>
      </c>
      <c r="AF160" s="24" t="n">
        <f aca="false">AF12+$E$33*AF45</f>
        <v>0.6326</v>
      </c>
      <c r="AG160" s="24" t="n">
        <f aca="false">AG12+$E$33*AG45</f>
        <v>0.6001</v>
      </c>
      <c r="AH160" s="24" t="n">
        <f aca="false">AH12+$E$33*AH45</f>
        <v>0.5837</v>
      </c>
      <c r="AI160" s="24" t="n">
        <f aca="false">AI12+$E$33*AI45</f>
        <v>0.5582</v>
      </c>
      <c r="AJ160" s="24" t="n">
        <f aca="false">AJ12+$E$33*AJ45</f>
        <v>0.5295</v>
      </c>
      <c r="AL160" s="35" t="s">
        <v>77</v>
      </c>
      <c r="AM160" s="37" t="n">
        <f aca="false">C160*(1+(((2-3*O160^2)/24*AA160^2)+(O160*AA160*C160/4))*3)</f>
        <v>0.528416722567088</v>
      </c>
      <c r="AN160" s="37" t="n">
        <f aca="false">D160*(1+(((2-3*P160^2)/24*AB160^2)+(P160*AB160*D160/4))*3)</f>
        <v>0.496833854321916</v>
      </c>
      <c r="AO160" s="37" t="n">
        <f aca="false">E160*(1+(((2-3*Q160^2)/24*AC160^2)+(Q160*AC160*E160/4))*3)</f>
        <v>0.473295413971359</v>
      </c>
      <c r="AP160" s="37" t="n">
        <f aca="false">F160*(1+(((2-3*R160^2)/24*AD160^2)+(R160*AD160*F160/4))*3)</f>
        <v>0.47429131915799</v>
      </c>
      <c r="AQ160" s="37" t="n">
        <f aca="false">G160*(1+(((2-3*S160^2)/24*AE160^2)+(S160*AE160*G160/4))*3)</f>
        <v>0.445078866736988</v>
      </c>
      <c r="AR160" s="37" t="n">
        <f aca="false">H160*(1+(((2-3*T160^2)/24*AF160^2)+(T160*AF160*H160/4))*3)</f>
        <v>0.418788661120371</v>
      </c>
      <c r="AS160" s="37" t="n">
        <f aca="false">I160*(1+(((2-3*U160^2)/24*AG160^2)+(U160*AG160*I160/4))*3)</f>
        <v>0.406164526019056</v>
      </c>
      <c r="AT160" s="37" t="n">
        <f aca="false">J160*(1+(((2-3*V160^2)/24*AH160^2)+(V160*AH160*J160/4))*3)</f>
        <v>0.375767543287607</v>
      </c>
      <c r="AU160" s="37" t="n">
        <f aca="false">K160*(1+(((2-3*W160^2)/24*AI160^2)+(W160*AI160*K160/4))*3)</f>
        <v>0.36435220752033</v>
      </c>
      <c r="AV160" s="37" t="n">
        <f aca="false">L160*(1+(((2-3*X160^2)/24*AJ160^2)+(X160*AJ160*L160/4))*3)</f>
        <v>0.353964517088776</v>
      </c>
    </row>
    <row r="161" customFormat="false" ht="15" hidden="false" customHeight="true" outlineLevel="0" collapsed="false">
      <c r="B161" s="35" t="s">
        <v>78</v>
      </c>
      <c r="C161" s="24" t="n">
        <f aca="false">C13+$C$33*C46</f>
        <v>0.4639632</v>
      </c>
      <c r="D161" s="24" t="n">
        <f aca="false">D13+$C$33*D46</f>
        <v>0.450292</v>
      </c>
      <c r="E161" s="24" t="n">
        <f aca="false">E13+$C$33*E46</f>
        <v>0.4319704</v>
      </c>
      <c r="F161" s="24" t="n">
        <f aca="false">F13+$C$33*F46</f>
        <v>0.421372</v>
      </c>
      <c r="G161" s="24" t="n">
        <f aca="false">G13+$C$33*G46</f>
        <v>0.4079112</v>
      </c>
      <c r="H161" s="24" t="n">
        <f aca="false">H13+$C$33*H46</f>
        <v>0.3786816</v>
      </c>
      <c r="I161" s="24" t="n">
        <f aca="false">I13+$C$33*I46</f>
        <v>0.369788</v>
      </c>
      <c r="J161" s="24" t="n">
        <f aca="false">J13+$C$33*J46</f>
        <v>0.352844</v>
      </c>
      <c r="K161" s="24" t="n">
        <f aca="false">K13+$C$33*K46</f>
        <v>0.33308</v>
      </c>
      <c r="L161" s="24" t="n">
        <f aca="false">L13+$C$33*L46</f>
        <v>0.3030344</v>
      </c>
      <c r="N161" s="35" t="s">
        <v>78</v>
      </c>
      <c r="O161" s="24" t="n">
        <f aca="false">O13+$D$33*O46</f>
        <v>-0.2389</v>
      </c>
      <c r="P161" s="24" t="n">
        <f aca="false">P13+$D$33*P46</f>
        <v>-0.2194</v>
      </c>
      <c r="Q161" s="24" t="n">
        <f aca="false">Q13+$D$33*Q46</f>
        <v>-0.2005</v>
      </c>
      <c r="R161" s="24" t="n">
        <f aca="false">R13+$D$33*R46</f>
        <v>-0.1809</v>
      </c>
      <c r="S161" s="24" t="n">
        <f aca="false">S13+$D$33*S46</f>
        <v>-0.1531</v>
      </c>
      <c r="T161" s="24" t="n">
        <f aca="false">T13+$D$33*T46</f>
        <v>-0.1281</v>
      </c>
      <c r="U161" s="24" t="n">
        <f aca="false">U13+$D$33*U46</f>
        <v>-0.1099</v>
      </c>
      <c r="V161" s="24" t="n">
        <f aca="false">V13+$D$33*V46</f>
        <v>-0.0976</v>
      </c>
      <c r="W161" s="24" t="n">
        <f aca="false">W13+$D$33*W46</f>
        <v>-0.0747</v>
      </c>
      <c r="X161" s="24" t="n">
        <f aca="false">X13+$D$33*X46</f>
        <v>-0.0523</v>
      </c>
      <c r="Z161" s="35" t="s">
        <v>78</v>
      </c>
      <c r="AA161" s="24" t="n">
        <f aca="false">AA13+$E$33*AA46</f>
        <v>0.7084</v>
      </c>
      <c r="AB161" s="24" t="n">
        <f aca="false">AB13+$E$33*AB46</f>
        <v>0.6977</v>
      </c>
      <c r="AC161" s="24" t="n">
        <f aca="false">AC13+$E$33*AC46</f>
        <v>0.6804</v>
      </c>
      <c r="AD161" s="24" t="n">
        <f aca="false">AD13+$E$33*AD46</f>
        <v>0.6556</v>
      </c>
      <c r="AE161" s="24" t="n">
        <f aca="false">AE13+$E$33*AE46</f>
        <v>0.6328</v>
      </c>
      <c r="AF161" s="24" t="n">
        <f aca="false">AF13+$E$33*AF46</f>
        <v>0.6051</v>
      </c>
      <c r="AG161" s="24" t="n">
        <f aca="false">AG13+$E$33*AG46</f>
        <v>0.5769</v>
      </c>
      <c r="AH161" s="24" t="n">
        <f aca="false">AH13+$E$33*AH46</f>
        <v>0.5669</v>
      </c>
      <c r="AI161" s="24" t="n">
        <f aca="false">AI13+$E$33*AI46</f>
        <v>0.5355</v>
      </c>
      <c r="AJ161" s="24" t="n">
        <f aca="false">AJ13+$E$33*AJ46</f>
        <v>0.5227</v>
      </c>
      <c r="AL161" s="35" t="s">
        <v>78</v>
      </c>
      <c r="AM161" s="37" t="n">
        <f aca="false">C161*(1+(((2-3*O161^2)/24*AA161^2)+(O161*AA161*C161/4))*5)</f>
        <v>0.507133052712832</v>
      </c>
      <c r="AN161" s="37" t="n">
        <f aca="false">D161*(1+(((2-3*P161^2)/24*AB161^2)+(P161*AB161*D161/4))*5)</f>
        <v>0.496231413686526</v>
      </c>
      <c r="AO161" s="37" t="n">
        <f aca="false">E161*(1+(((2-3*Q161^2)/24*AC161^2)+(Q161*AC161*E161/4))*5)</f>
        <v>0.478450412963248</v>
      </c>
      <c r="AP161" s="37" t="n">
        <f aca="false">F161*(1+(((2-3*R161^2)/24*AD161^2)+(R161*AD161*F161/4))*5)</f>
        <v>0.466808443988577</v>
      </c>
      <c r="AQ161" s="37" t="n">
        <f aca="false">G161*(1+(((2-3*S161^2)/24*AE161^2)+(S161*AE161*G161/4))*5)</f>
        <v>0.453427186546446</v>
      </c>
      <c r="AR161" s="37" t="n">
        <f aca="false">H161*(1+(((2-3*T161^2)/24*AF161^2)+(T161*AF161*H161/4))*5)</f>
        <v>0.421137321501031</v>
      </c>
      <c r="AS161" s="37" t="n">
        <f aca="false">I161*(1+(((2-3*U161^2)/24*AG161^2)+(U161*AG161*I161/4))*5)</f>
        <v>0.409301217551543</v>
      </c>
      <c r="AT161" s="37" t="n">
        <f aca="false">J161*(1+(((2-3*V161^2)/24*AH161^2)+(V161*AH161*J161/4))*5)</f>
        <v>0.390806428155604</v>
      </c>
      <c r="AU161" s="37" t="n">
        <f aca="false">K161*(1+(((2-3*W161^2)/24*AI161^2)+(W161*AI161*K161/4))*5)</f>
        <v>0.36699706167785</v>
      </c>
      <c r="AV161" s="37" t="n">
        <f aca="false">L161*(1+(((2-3*X161^2)/24*AJ161^2)+(X161*AJ161*L161/4))*5)</f>
        <v>0.334252241293606</v>
      </c>
    </row>
    <row r="162" customFormat="false" ht="15" hidden="false" customHeight="true" outlineLevel="0" collapsed="false">
      <c r="B162" s="35" t="s">
        <v>79</v>
      </c>
      <c r="C162" s="24" t="n">
        <f aca="false">C14+$C$33*C47</f>
        <v>0.4643488</v>
      </c>
      <c r="D162" s="24" t="n">
        <f aca="false">D14+$C$33*D47</f>
        <v>0.4342448</v>
      </c>
      <c r="E162" s="24" t="n">
        <f aca="false">E14+$C$33*E47</f>
        <v>0.4163232</v>
      </c>
      <c r="F162" s="24" t="n">
        <f aca="false">F14+$C$33*F47</f>
        <v>0.4079576</v>
      </c>
      <c r="G162" s="24" t="n">
        <f aca="false">G14+$C$33*G47</f>
        <v>0.3849536</v>
      </c>
      <c r="H162" s="24" t="n">
        <f aca="false">H14+$C$33*H47</f>
        <v>0.3555408</v>
      </c>
      <c r="I162" s="24" t="n">
        <f aca="false">I14+$C$33*I47</f>
        <v>0.3351064</v>
      </c>
      <c r="J162" s="24" t="n">
        <f aca="false">J14+$C$33*J47</f>
        <v>0.3168456</v>
      </c>
      <c r="K162" s="24" t="n">
        <f aca="false">K14+$C$33*K47</f>
        <v>0.31426</v>
      </c>
      <c r="L162" s="24" t="n">
        <f aca="false">L14+$C$33*L47</f>
        <v>0.2935096</v>
      </c>
      <c r="N162" s="35" t="s">
        <v>79</v>
      </c>
      <c r="O162" s="24" t="n">
        <f aca="false">O14+$D$33*O47</f>
        <v>-0.221</v>
      </c>
      <c r="P162" s="24" t="n">
        <f aca="false">P14+$D$33*P47</f>
        <v>-0.1879</v>
      </c>
      <c r="Q162" s="24" t="n">
        <f aca="false">Q14+$D$33*Q47</f>
        <v>-0.1654</v>
      </c>
      <c r="R162" s="24" t="n">
        <f aca="false">R14+$D$33*R47</f>
        <v>-0.1524</v>
      </c>
      <c r="S162" s="24" t="n">
        <f aca="false">S14+$D$33*S47</f>
        <v>-0.1391</v>
      </c>
      <c r="T162" s="24" t="n">
        <f aca="false">T14+$D$33*T47</f>
        <v>-0.1157</v>
      </c>
      <c r="U162" s="24" t="n">
        <f aca="false">U14+$D$33*U47</f>
        <v>-0.1046</v>
      </c>
      <c r="V162" s="24" t="n">
        <f aca="false">V14+$D$33*V47</f>
        <v>-0.0875</v>
      </c>
      <c r="W162" s="24" t="n">
        <f aca="false">W14+$D$33*W47</f>
        <v>-0.0489</v>
      </c>
      <c r="X162" s="24" t="n">
        <f aca="false">X14+$D$33*X47</f>
        <v>-0.0359</v>
      </c>
      <c r="Z162" s="35" t="s">
        <v>79</v>
      </c>
      <c r="AA162" s="24" t="n">
        <f aca="false">AA14+$E$33*AA47</f>
        <v>0.695</v>
      </c>
      <c r="AB162" s="24" t="n">
        <f aca="false">AB14+$E$33*AB47</f>
        <v>0.6809</v>
      </c>
      <c r="AC162" s="24" t="n">
        <f aca="false">AC14+$E$33*AC47</f>
        <v>0.6487</v>
      </c>
      <c r="AD162" s="24" t="n">
        <f aca="false">AD14+$E$33*AD47</f>
        <v>0.6352</v>
      </c>
      <c r="AE162" s="24" t="n">
        <f aca="false">AE14+$E$33*AE47</f>
        <v>0.6121</v>
      </c>
      <c r="AF162" s="24" t="n">
        <f aca="false">AF14+$E$33*AF47</f>
        <v>0.5776</v>
      </c>
      <c r="AG162" s="24" t="n">
        <f aca="false">AG14+$E$33*AG47</f>
        <v>0.5561</v>
      </c>
      <c r="AH162" s="24" t="n">
        <f aca="false">AH14+$E$33*AH47</f>
        <v>0.5347</v>
      </c>
      <c r="AI162" s="24" t="n">
        <f aca="false">AI14+$E$33*AI47</f>
        <v>0.5115</v>
      </c>
      <c r="AJ162" s="24" t="n">
        <f aca="false">AJ14+$E$33*AJ47</f>
        <v>0.4962</v>
      </c>
      <c r="AL162" s="35" t="s">
        <v>79</v>
      </c>
      <c r="AM162" s="37" t="n">
        <f aca="false">C162*(1+(((2-3*O162^2)/24*AA162^2)+(O162*AA162*C162/4))*10)</f>
        <v>0.554770243089966</v>
      </c>
      <c r="AN162" s="37" t="n">
        <f aca="false">D162*(1+(((2-3*P162^2)/24*AB162^2)+(P162*AB162*D162/4))*10)</f>
        <v>0.532817694127425</v>
      </c>
      <c r="AO162" s="37" t="n">
        <f aca="false">E162*(1+(((2-3*Q162^2)/24*AC162^2)+(Q162*AC162*E162/4))*10)</f>
        <v>0.509834665065745</v>
      </c>
      <c r="AP162" s="37" t="n">
        <f aca="false">F162*(1+(((2-3*R162^2)/24*AD162^2)+(R162*AD162*F162/4))*10)</f>
        <v>0.500069669630184</v>
      </c>
      <c r="AQ162" s="37" t="n">
        <f aca="false">G162*(1+(((2-3*S162^2)/24*AE162^2)+(S162*AE162*G162/4))*10)</f>
        <v>0.470113018101233</v>
      </c>
      <c r="AR162" s="37" t="n">
        <f aca="false">H162*(1+(((2-3*T162^2)/24*AF162^2)+(T162*AF162*H162/4))*10)</f>
        <v>0.431283475927043</v>
      </c>
      <c r="AS162" s="37" t="n">
        <f aca="false">I162*(1+(((2-3*U162^2)/24*AG162^2)+(U162*AG162*I162/4))*10)</f>
        <v>0.403717887668925</v>
      </c>
      <c r="AT162" s="37" t="n">
        <f aca="false">J162*(1+(((2-3*V162^2)/24*AH162^2)+(V162*AH162*J162/4))*10)</f>
        <v>0.379725882121454</v>
      </c>
      <c r="AU162" s="37" t="n">
        <f aca="false">K162*(1+(((2-3*W162^2)/24*AI162^2)+(W162*AI162*K162/4))*10)</f>
        <v>0.376355859063291</v>
      </c>
      <c r="AV162" s="37" t="n">
        <f aca="false">L162*(1+(((2-3*X162^2)/24*AJ162^2)+(X162*AJ162*L162/4))*10)</f>
        <v>0.349778590633787</v>
      </c>
    </row>
    <row r="163" customFormat="false" ht="15" hidden="false" customHeight="true" outlineLevel="0" collapsed="false">
      <c r="B163" s="35" t="s">
        <v>80</v>
      </c>
      <c r="C163" s="24" t="n">
        <f aca="false">C15+$C$33*C48</f>
        <v>0.431276</v>
      </c>
      <c r="D163" s="24" t="n">
        <f aca="false">D15+$C$33*D48</f>
        <v>0.4156704</v>
      </c>
      <c r="E163" s="24" t="n">
        <f aca="false">E15+$C$33*E48</f>
        <v>0.3919936</v>
      </c>
      <c r="F163" s="24" t="n">
        <f aca="false">F15+$C$33*F48</f>
        <v>0.3891464</v>
      </c>
      <c r="G163" s="24" t="n">
        <f aca="false">G15+$C$33*G48</f>
        <v>0.3583448</v>
      </c>
      <c r="H163" s="24" t="n">
        <f aca="false">H15+$C$33*H48</f>
        <v>0.3427368</v>
      </c>
      <c r="I163" s="24" t="n">
        <f aca="false">I15+$C$33*I48</f>
        <v>0.3264312</v>
      </c>
      <c r="J163" s="24" t="n">
        <f aca="false">J15+$C$33*J48</f>
        <v>0.3138344</v>
      </c>
      <c r="K163" s="24" t="n">
        <f aca="false">K15+$C$33*K48</f>
        <v>0.285172</v>
      </c>
      <c r="L163" s="24" t="n">
        <f aca="false">L15+$C$33*L48</f>
        <v>0.27836</v>
      </c>
      <c r="N163" s="35" t="s">
        <v>80</v>
      </c>
      <c r="O163" s="24" t="n">
        <f aca="false">O15+$D$33*O48</f>
        <v>-0.1944</v>
      </c>
      <c r="P163" s="24" t="n">
        <f aca="false">P15+$D$33*P48</f>
        <v>-0.1744</v>
      </c>
      <c r="Q163" s="24" t="n">
        <f aca="false">Q15+$D$33*Q48</f>
        <v>-0.1551</v>
      </c>
      <c r="R163" s="24" t="n">
        <f aca="false">R15+$D$33*R48</f>
        <v>-0.1457</v>
      </c>
      <c r="S163" s="24" t="n">
        <f aca="false">S15+$D$33*S48</f>
        <v>-0.1179</v>
      </c>
      <c r="T163" s="24" t="n">
        <f aca="false">T15+$D$33*T48</f>
        <v>-0.1036</v>
      </c>
      <c r="U163" s="24" t="n">
        <f aca="false">U15+$D$33*U48</f>
        <v>-0.0877</v>
      </c>
      <c r="V163" s="24" t="n">
        <f aca="false">V15+$D$33*V48</f>
        <v>-0.0523</v>
      </c>
      <c r="W163" s="24" t="n">
        <f aca="false">W15+$D$33*W48</f>
        <v>-0.0454</v>
      </c>
      <c r="X163" s="24" t="n">
        <f aca="false">X15+$D$33*X48</f>
        <v>-0.02</v>
      </c>
      <c r="Z163" s="35" t="s">
        <v>80</v>
      </c>
      <c r="AA163" s="24" t="n">
        <f aca="false">AA15+$E$33*AA48</f>
        <v>0.6767</v>
      </c>
      <c r="AB163" s="24" t="n">
        <f aca="false">AB15+$E$33*AB48</f>
        <v>0.6511</v>
      </c>
      <c r="AC163" s="24" t="n">
        <f aca="false">AC15+$E$33*AC48</f>
        <v>0.6243</v>
      </c>
      <c r="AD163" s="24" t="n">
        <f aca="false">AD15+$E$33*AD48</f>
        <v>0.6059</v>
      </c>
      <c r="AE163" s="24" t="n">
        <f aca="false">AE15+$E$33*AE48</f>
        <v>0.5844</v>
      </c>
      <c r="AF163" s="24" t="n">
        <f aca="false">AF15+$E$33*AF48</f>
        <v>0.5668</v>
      </c>
      <c r="AG163" s="24" t="n">
        <f aca="false">AG15+$E$33*AG48</f>
        <v>0.531</v>
      </c>
      <c r="AH163" s="24" t="n">
        <f aca="false">AH15+$E$33*AH48</f>
        <v>0.5179</v>
      </c>
      <c r="AI163" s="24" t="n">
        <f aca="false">AI15+$E$33*AI48</f>
        <v>0.4894</v>
      </c>
      <c r="AJ163" s="24" t="n">
        <f aca="false">AJ15+$E$33*AJ48</f>
        <v>0.4678</v>
      </c>
      <c r="AL163" s="35" t="s">
        <v>80</v>
      </c>
      <c r="AM163" s="37" t="n">
        <f aca="false">C163*(1+(((2-3*O163^2)/24*AA163^2)+(O163*AA163*C163/4))*20)</f>
        <v>0.619427991558216</v>
      </c>
      <c r="AN163" s="37" t="n">
        <f aca="false">D163*(1+(((2-3*P163^2)/24*AB163^2)+(P163*AB163*D163/4))*20)</f>
        <v>0.597865500100653</v>
      </c>
      <c r="AO163" s="37" t="n">
        <f aca="false">E163*(1+(((2-3*Q163^2)/24*AC163^2)+(Q163*AC163*E163/4))*20)</f>
        <v>0.563045080350426</v>
      </c>
      <c r="AP163" s="37" t="n">
        <f aca="false">F163*(1+(((2-3*R163^2)/24*AD163^2)+(R163*AD163*F163/4))*20)</f>
        <v>0.552823820825492</v>
      </c>
      <c r="AQ163" s="37" t="n">
        <f aca="false">G163*(1+(((2-3*S163^2)/24*AE163^2)+(S163*AE163*G163/4))*20)</f>
        <v>0.513825652047538</v>
      </c>
      <c r="AR163" s="37" t="n">
        <f aca="false">H163*(1+(((2-3*T163^2)/24*AF163^2)+(T163*AF163*H163/4))*20)</f>
        <v>0.488807276753947</v>
      </c>
      <c r="AS163" s="37" t="n">
        <f aca="false">I163*(1+(((2-3*U163^2)/24*AG163^2)+(U163*AG163*I163/4))*20)</f>
        <v>0.453251682181108</v>
      </c>
      <c r="AT163" s="37" t="n">
        <f aca="false">J163*(1+(((2-3*V163^2)/24*AH163^2)+(V163*AH163*J163/4))*20)</f>
        <v>0.44021457313498</v>
      </c>
      <c r="AU163" s="37" t="n">
        <f aca="false">K163*(1+(((2-3*W163^2)/24*AI163^2)+(W163*AI163*K163/4))*20)</f>
        <v>0.389622587879243</v>
      </c>
      <c r="AV163" s="37" t="n">
        <f aca="false">L163*(1+(((2-3*X163^2)/24*AJ163^2)+(X163*AJ163*L163/4))*20)</f>
        <v>0.376200074147063</v>
      </c>
    </row>
    <row r="164" customFormat="false" ht="15" hidden="false" customHeight="true" outlineLevel="0" collapsed="false">
      <c r="B164" s="35" t="s">
        <v>81</v>
      </c>
      <c r="C164" s="24" t="n">
        <f aca="false">C16+$C$33*C49</f>
        <v>0.4224688</v>
      </c>
      <c r="D164" s="24" t="n">
        <f aca="false">D16+$C$33*D49</f>
        <v>0.3998072</v>
      </c>
      <c r="E164" s="24" t="n">
        <f aca="false">E16+$C$33*E49</f>
        <v>0.3812056</v>
      </c>
      <c r="F164" s="24" t="n">
        <f aca="false">F16+$C$33*F49</f>
        <v>0.3671168</v>
      </c>
      <c r="G164" s="24" t="n">
        <f aca="false">G16+$C$33*G49</f>
        <v>0.350896</v>
      </c>
      <c r="H164" s="24" t="n">
        <f aca="false">H16+$C$33*H49</f>
        <v>0.3235416</v>
      </c>
      <c r="I164" s="24" t="n">
        <f aca="false">I16+$C$33*I49</f>
        <v>0.3080344</v>
      </c>
      <c r="J164" s="24" t="n">
        <f aca="false">J16+$C$33*J49</f>
        <v>0.28676</v>
      </c>
      <c r="K164" s="24" t="n">
        <f aca="false">K16+$C$33*K49</f>
        <v>0.27026</v>
      </c>
      <c r="L164" s="24" t="n">
        <f aca="false">L16+$C$33*L49</f>
        <v>0.25726</v>
      </c>
      <c r="N164" s="35" t="s">
        <v>81</v>
      </c>
      <c r="O164" s="24" t="n">
        <f aca="false">O16+$D$33*O49</f>
        <v>-0.176</v>
      </c>
      <c r="P164" s="24" t="n">
        <f aca="false">P16+$D$33*P49</f>
        <v>-0.1549</v>
      </c>
      <c r="Q164" s="24" t="n">
        <f aca="false">Q16+$D$33*Q49</f>
        <v>-0.1366</v>
      </c>
      <c r="R164" s="24" t="n">
        <f aca="false">R16+$D$33*R49</f>
        <v>-0.1078</v>
      </c>
      <c r="S164" s="24" t="n">
        <f aca="false">S16+$D$33*S49</f>
        <v>-0.0932</v>
      </c>
      <c r="T164" s="24" t="n">
        <f aca="false">T16+$D$33*T49</f>
        <v>-0.0702</v>
      </c>
      <c r="U164" s="24" t="n">
        <f aca="false">U16+$D$33*U49</f>
        <v>-0.0495</v>
      </c>
      <c r="V164" s="24" t="n">
        <f aca="false">V16+$D$33*V49</f>
        <v>-0.0437</v>
      </c>
      <c r="W164" s="24" t="n">
        <f aca="false">W16+$D$33*W49</f>
        <v>-0.0183</v>
      </c>
      <c r="X164" s="24" t="n">
        <f aca="false">X16+$D$33*X49</f>
        <v>0.0089</v>
      </c>
      <c r="Z164" s="35" t="s">
        <v>81</v>
      </c>
      <c r="AA164" s="24" t="n">
        <f aca="false">AA16+$E$33*AA49</f>
        <v>0.6568</v>
      </c>
      <c r="AB164" s="24" t="n">
        <f aca="false">AB16+$E$33*AB49</f>
        <v>0.6205</v>
      </c>
      <c r="AC164" s="24" t="n">
        <f aca="false">AC16+$E$33*AC49</f>
        <v>0.598</v>
      </c>
      <c r="AD164" s="24" t="n">
        <f aca="false">AD16+$E$33*AD49</f>
        <v>0.5822</v>
      </c>
      <c r="AE164" s="24" t="n">
        <f aca="false">AE16+$E$33*AE49</f>
        <v>0.5526</v>
      </c>
      <c r="AF164" s="24" t="n">
        <f aca="false">AF16+$E$33*AF49</f>
        <v>0.5337</v>
      </c>
      <c r="AG164" s="24" t="n">
        <f aca="false">AG16+$E$33*AG49</f>
        <v>0.5081</v>
      </c>
      <c r="AH164" s="24" t="n">
        <f aca="false">AH16+$E$33*AH49</f>
        <v>0.4978</v>
      </c>
      <c r="AI164" s="24" t="n">
        <f aca="false">AI16+$E$33*AI49</f>
        <v>0.4779</v>
      </c>
      <c r="AJ164" s="24" t="n">
        <f aca="false">AJ16+$E$33*AJ49</f>
        <v>0.4579</v>
      </c>
      <c r="AL164" s="35" t="s">
        <v>81</v>
      </c>
      <c r="AM164" s="37" t="n">
        <f aca="false">C164*(1+(((2-3*O164^2)/24*AA164^2)+(O164*AA164*C164/4))*30)</f>
        <v>0.702179251478931</v>
      </c>
      <c r="AN164" s="37" t="n">
        <f aca="false">D164*(1+(((2-3*P164^2)/24*AB164^2)+(P164*AB164*D164/4))*30)</f>
        <v>0.655563899407039</v>
      </c>
      <c r="AO164" s="37" t="n">
        <f aca="false">E164*(1+(((2-3*Q164^2)/24*AC164^2)+(Q164*AC164*E164/4))*30)</f>
        <v>0.623439366059147</v>
      </c>
      <c r="AP164" s="37" t="n">
        <f aca="false">F164*(1+(((2-3*R164^2)/24*AD164^2)+(R164*AD164*F164/4))*30)</f>
        <v>0.609346307783618</v>
      </c>
      <c r="AQ164" s="37" t="n">
        <f aca="false">G164*(1+(((2-3*S164^2)/24*AE164^2)+(S164*AE164*G164/4))*30)</f>
        <v>0.567725298897483</v>
      </c>
      <c r="AR164" s="37" t="n">
        <f aca="false">H164*(1+(((2-3*T164^2)/24*AF164^2)+(T164*AF164*H164/4))*30)</f>
        <v>0.522814908507177</v>
      </c>
      <c r="AS164" s="37" t="n">
        <f aca="false">I164*(1+(((2-3*U164^2)/24*AG164^2)+(U164*AG164*I164/4))*30)</f>
        <v>0.488215026341274</v>
      </c>
      <c r="AT164" s="37" t="n">
        <f aca="false">J164*(1+(((2-3*V164^2)/24*AH164^2)+(V164*AH164*J164/4))*30)</f>
        <v>0.450486040441519</v>
      </c>
      <c r="AU164" s="37" t="n">
        <f aca="false">K164*(1+(((2-3*W164^2)/24*AI164^2)+(W164*AI164*K164/4))*30)</f>
        <v>0.419702259669859</v>
      </c>
      <c r="AV164" s="37" t="n">
        <f aca="false">L164*(1+(((2-3*X164^2)/24*AJ164^2)+(X164*AJ164*L164/4))*30)</f>
        <v>0.394117651068272</v>
      </c>
    </row>
    <row r="166" customFormat="false" ht="15" hidden="false" customHeight="true" outlineLevel="0" collapsed="false">
      <c r="A166" s="28" t="s">
        <v>161</v>
      </c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</row>
    <row r="167" customFormat="false" ht="15" hidden="false" customHeight="true" outlineLevel="0" collapsed="false">
      <c r="B167" s="28" t="s">
        <v>136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N167" s="28" t="s">
        <v>137</v>
      </c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Z167" s="28" t="s">
        <v>138</v>
      </c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L167" s="34" t="s">
        <v>139</v>
      </c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</row>
    <row r="168" customFormat="false" ht="15" hidden="false" customHeight="true" outlineLevel="0" collapsed="false">
      <c r="B168" s="18" t="s">
        <v>140</v>
      </c>
      <c r="C168" s="12" t="s">
        <v>141</v>
      </c>
      <c r="D168" s="12" t="s">
        <v>74</v>
      </c>
      <c r="E168" s="12" t="s">
        <v>75</v>
      </c>
      <c r="F168" s="12" t="s">
        <v>30</v>
      </c>
      <c r="G168" s="12" t="s">
        <v>76</v>
      </c>
      <c r="H168" s="12" t="s">
        <v>77</v>
      </c>
      <c r="I168" s="12" t="s">
        <v>78</v>
      </c>
      <c r="J168" s="12" t="s">
        <v>79</v>
      </c>
      <c r="K168" s="12" t="s">
        <v>80</v>
      </c>
      <c r="L168" s="12" t="s">
        <v>81</v>
      </c>
      <c r="N168" s="18" t="s">
        <v>140</v>
      </c>
      <c r="O168" s="12" t="s">
        <v>141</v>
      </c>
      <c r="P168" s="12" t="s">
        <v>74</v>
      </c>
      <c r="Q168" s="12" t="s">
        <v>75</v>
      </c>
      <c r="R168" s="12" t="s">
        <v>30</v>
      </c>
      <c r="S168" s="12" t="s">
        <v>76</v>
      </c>
      <c r="T168" s="12" t="s">
        <v>77</v>
      </c>
      <c r="U168" s="12" t="s">
        <v>78</v>
      </c>
      <c r="V168" s="12" t="s">
        <v>79</v>
      </c>
      <c r="W168" s="12" t="s">
        <v>80</v>
      </c>
      <c r="X168" s="12" t="s">
        <v>81</v>
      </c>
      <c r="Z168" s="18" t="s">
        <v>140</v>
      </c>
      <c r="AA168" s="12" t="s">
        <v>141</v>
      </c>
      <c r="AB168" s="12" t="s">
        <v>74</v>
      </c>
      <c r="AC168" s="12" t="s">
        <v>75</v>
      </c>
      <c r="AD168" s="12" t="s">
        <v>30</v>
      </c>
      <c r="AE168" s="12" t="s">
        <v>76</v>
      </c>
      <c r="AF168" s="12" t="s">
        <v>77</v>
      </c>
      <c r="AG168" s="12" t="s">
        <v>78</v>
      </c>
      <c r="AH168" s="12" t="s">
        <v>79</v>
      </c>
      <c r="AI168" s="12" t="s">
        <v>80</v>
      </c>
      <c r="AJ168" s="12" t="s">
        <v>81</v>
      </c>
      <c r="AL168" s="18" t="s">
        <v>140</v>
      </c>
      <c r="AM168" s="12" t="s">
        <v>141</v>
      </c>
      <c r="AN168" s="12" t="s">
        <v>74</v>
      </c>
      <c r="AO168" s="12" t="s">
        <v>75</v>
      </c>
      <c r="AP168" s="12" t="s">
        <v>30</v>
      </c>
      <c r="AQ168" s="12" t="s">
        <v>76</v>
      </c>
      <c r="AR168" s="12" t="s">
        <v>77</v>
      </c>
      <c r="AS168" s="12" t="s">
        <v>78</v>
      </c>
      <c r="AT168" s="12" t="s">
        <v>79</v>
      </c>
      <c r="AU168" s="12" t="s">
        <v>80</v>
      </c>
      <c r="AV168" s="12" t="s">
        <v>81</v>
      </c>
    </row>
    <row r="169" customFormat="false" ht="15" hidden="false" customHeight="true" outlineLevel="0" collapsed="false">
      <c r="B169" s="35" t="s">
        <v>141</v>
      </c>
      <c r="C169" s="24" t="n">
        <f aca="false">C7+$C$34*C40</f>
        <v>0.5889265</v>
      </c>
      <c r="D169" s="24" t="n">
        <f aca="false">D7+$C$34*D40</f>
        <v>0.566627</v>
      </c>
      <c r="E169" s="24" t="n">
        <f aca="false">E7+$C$34*E40</f>
        <v>0.55733</v>
      </c>
      <c r="F169" s="24" t="n">
        <f aca="false">F7+$C$34*F40</f>
        <v>0.52691</v>
      </c>
      <c r="G169" s="24" t="n">
        <f aca="false">G7+$C$34*G40</f>
        <v>0.5168805</v>
      </c>
      <c r="H169" s="24" t="n">
        <f aca="false">H7+$C$34*H40</f>
        <v>0.4941305</v>
      </c>
      <c r="I169" s="24" t="n">
        <f aca="false">I7+$C$34*I40</f>
        <v>0.470085</v>
      </c>
      <c r="J169" s="24" t="n">
        <f aca="false">J7+$C$34*J40</f>
        <v>0.46</v>
      </c>
      <c r="K169" s="24" t="n">
        <f aca="false">K7+$C$34*K40</f>
        <v>0.43125</v>
      </c>
      <c r="L169" s="24" t="n">
        <f aca="false">L7+$C$34*L40</f>
        <v>0.419953</v>
      </c>
      <c r="N169" s="35" t="s">
        <v>141</v>
      </c>
      <c r="O169" s="24" t="n">
        <f aca="false">O7+$D$34*O40</f>
        <v>-0.3586</v>
      </c>
      <c r="P169" s="24" t="n">
        <f aca="false">P7+$D$34*P40</f>
        <v>-0.3387</v>
      </c>
      <c r="Q169" s="24" t="n">
        <f aca="false">Q7+$D$34*Q40</f>
        <v>-0.3126</v>
      </c>
      <c r="R169" s="24" t="n">
        <f aca="false">R7+$D$34*R40</f>
        <v>-0.2851</v>
      </c>
      <c r="S169" s="24" t="n">
        <f aca="false">S7+$D$34*S40</f>
        <v>-0.2797</v>
      </c>
      <c r="T169" s="24" t="n">
        <f aca="false">T7+$D$34*T40</f>
        <v>-0.2583</v>
      </c>
      <c r="U169" s="24" t="n">
        <f aca="false">U7+$D$34*U40</f>
        <v>-0.2308</v>
      </c>
      <c r="V169" s="24" t="n">
        <f aca="false">V7+$D$34*V40</f>
        <v>-0.2049</v>
      </c>
      <c r="W169" s="24" t="n">
        <f aca="false">W7+$D$34*W40</f>
        <v>-0.1929</v>
      </c>
      <c r="X169" s="24" t="n">
        <f aca="false">X7+$D$34*X40</f>
        <v>-0.1771</v>
      </c>
      <c r="Z169" s="35" t="s">
        <v>141</v>
      </c>
      <c r="AA169" s="24" t="n">
        <f aca="false">AA7+$E$34*AA40</f>
        <v>0.8595</v>
      </c>
      <c r="AB169" s="24" t="n">
        <f aca="false">AB7+$E$34*AB40</f>
        <v>0.8187</v>
      </c>
      <c r="AC169" s="24" t="n">
        <f aca="false">AC7+$E$34*AC40</f>
        <v>0.8127</v>
      </c>
      <c r="AD169" s="24" t="n">
        <f aca="false">AD7+$E$34*AD40</f>
        <v>0.7791</v>
      </c>
      <c r="AE169" s="24" t="n">
        <f aca="false">AE7+$E$34*AE40</f>
        <v>0.754</v>
      </c>
      <c r="AF169" s="24" t="n">
        <f aca="false">AF7+$E$34*AF40</f>
        <v>0.7312</v>
      </c>
      <c r="AG169" s="24" t="n">
        <f aca="false">AG7+$E$34*AG40</f>
        <v>0.7128</v>
      </c>
      <c r="AH169" s="24" t="n">
        <f aca="false">AH7+$E$34*AH40</f>
        <v>0.7008</v>
      </c>
      <c r="AI169" s="24" t="n">
        <f aca="false">AI7+$E$34*AI40</f>
        <v>0.6658</v>
      </c>
      <c r="AJ169" s="24" t="n">
        <f aca="false">AJ7+$E$34*AJ40</f>
        <v>0.6516</v>
      </c>
      <c r="AL169" s="35" t="s">
        <v>141</v>
      </c>
      <c r="AM169" s="37" t="n">
        <f aca="false">C169*(1+(((2-3*O169^2)/24*AA169^2)+(O169*AA169*C169/4))*0.0833333333333333)</f>
        <v>0.589137912350922</v>
      </c>
      <c r="AN169" s="37" t="n">
        <f aca="false">D169*(1+(((2-3*P169^2)/24*AB169^2)+(P169*AB169*D169/4))*0.0833333333333333)</f>
        <v>0.566955823600189</v>
      </c>
      <c r="AO169" s="37" t="n">
        <f aca="false">E169*(1+(((2-3*Q169^2)/24*AC169^2)+(Q169*AC169*E169/4))*0.0833333333333333)</f>
        <v>0.557867591531314</v>
      </c>
      <c r="AP169" s="37" t="n">
        <f aca="false">F169*(1+(((2-3*R169^2)/24*AD169^2)+(R169*AD169*F169/4))*0.0833333333333333)</f>
        <v>0.527575501792216</v>
      </c>
      <c r="AQ169" s="37" t="n">
        <f aca="false">G169*(1+(((2-3*S169^2)/24*AE169^2)+(S169*AE169*G169/4))*0.0833333333333333)</f>
        <v>0.517507867401528</v>
      </c>
      <c r="AR169" s="37" t="n">
        <f aca="false">H169*(1+(((2-3*T169^2)/24*AF169^2)+(T169*AF169*H169/4))*0.0833333333333333)</f>
        <v>0.494820801931598</v>
      </c>
      <c r="AS169" s="37" t="n">
        <f aca="false">I169*(1+(((2-3*U169^2)/24*AG169^2)+(U169*AG169*I169/4))*0.0833333333333333)</f>
        <v>0.470853717620696</v>
      </c>
      <c r="AT169" s="37" t="n">
        <f aca="false">J169*(1+(((2-3*V169^2)/24*AH169^2)+(V169*AH169*J169/4))*0.0833333333333333)</f>
        <v>0.46083704733625</v>
      </c>
      <c r="AU169" s="37" t="n">
        <f aca="false">K169*(1+(((2-3*W169^2)/24*AI169^2)+(W169*AI169*K169/4))*0.0833333333333333)</f>
        <v>0.432005847069094</v>
      </c>
      <c r="AV169" s="37" t="n">
        <f aca="false">L169*(1+(((2-3*X169^2)/24*AJ169^2)+(X169*AJ169*L169/4))*0.0833333333333333)</f>
        <v>0.420708978758463</v>
      </c>
    </row>
    <row r="170" customFormat="false" ht="15" hidden="false" customHeight="true" outlineLevel="0" collapsed="false">
      <c r="B170" s="35" t="s">
        <v>74</v>
      </c>
      <c r="C170" s="24" t="n">
        <f aca="false">C8+$C$34*C41</f>
        <v>0.5758235</v>
      </c>
      <c r="D170" s="24" t="n">
        <f aca="false">D8+$C$34*D41</f>
        <v>0.551306</v>
      </c>
      <c r="E170" s="24" t="n">
        <f aca="false">E8+$C$34*E41</f>
        <v>0.5359005</v>
      </c>
      <c r="F170" s="24" t="n">
        <f aca="false">F8+$C$34*F41</f>
        <v>0.506771</v>
      </c>
      <c r="G170" s="24" t="n">
        <f aca="false">G8+$C$34*G41</f>
        <v>0.488799</v>
      </c>
      <c r="H170" s="24" t="n">
        <f aca="false">H8+$C$34*H41</f>
        <v>0.472031</v>
      </c>
      <c r="I170" s="24" t="n">
        <f aca="false">I8+$C$34*I41</f>
        <v>0.4631615</v>
      </c>
      <c r="J170" s="24" t="n">
        <f aca="false">J8+$C$34*J41</f>
        <v>0.4383345</v>
      </c>
      <c r="K170" s="24" t="n">
        <f aca="false">K8+$C$34*K41</f>
        <v>0.4179505</v>
      </c>
      <c r="L170" s="24" t="n">
        <f aca="false">L8+$C$34*L41</f>
        <v>0.4041065</v>
      </c>
      <c r="N170" s="35" t="s">
        <v>74</v>
      </c>
      <c r="O170" s="24" t="n">
        <f aca="false">O8+$D$34*O41</f>
        <v>-0.3315</v>
      </c>
      <c r="P170" s="24" t="n">
        <f aca="false">P8+$D$34*P41</f>
        <v>-0.3151</v>
      </c>
      <c r="Q170" s="24" t="n">
        <f aca="false">Q8+$D$34*Q41</f>
        <v>-0.2858</v>
      </c>
      <c r="R170" s="24" t="n">
        <f aca="false">R8+$D$34*R41</f>
        <v>-0.2682</v>
      </c>
      <c r="S170" s="24" t="n">
        <f aca="false">S8+$D$34*S41</f>
        <v>-0.2579</v>
      </c>
      <c r="T170" s="24" t="n">
        <f aca="false">T8+$D$34*T41</f>
        <v>-0.2318</v>
      </c>
      <c r="U170" s="24" t="n">
        <f aca="false">U8+$D$34*U41</f>
        <v>-0.2134</v>
      </c>
      <c r="V170" s="24" t="n">
        <f aca="false">V8+$D$34*V41</f>
        <v>-0.1869</v>
      </c>
      <c r="W170" s="24" t="n">
        <f aca="false">W8+$D$34*W41</f>
        <v>-0.1704</v>
      </c>
      <c r="X170" s="24" t="n">
        <f aca="false">X8+$D$34*X41</f>
        <v>-0.1598</v>
      </c>
      <c r="Z170" s="35" t="s">
        <v>74</v>
      </c>
      <c r="AA170" s="24" t="n">
        <f aca="false">AA8+$E$34*AA41</f>
        <v>0.8374</v>
      </c>
      <c r="AB170" s="24" t="n">
        <f aca="false">AB8+$E$34*AB41</f>
        <v>0.7979</v>
      </c>
      <c r="AC170" s="24" t="n">
        <f aca="false">AC8+$E$34*AC41</f>
        <v>0.7817</v>
      </c>
      <c r="AD170" s="24" t="n">
        <f aca="false">AD8+$E$34*AD41</f>
        <v>0.7663</v>
      </c>
      <c r="AE170" s="24" t="n">
        <f aca="false">AE8+$E$34*AE41</f>
        <v>0.7319</v>
      </c>
      <c r="AF170" s="24" t="n">
        <f aca="false">AF8+$E$34*AF41</f>
        <v>0.7164</v>
      </c>
      <c r="AG170" s="24" t="n">
        <f aca="false">AG8+$E$34*AG41</f>
        <v>0.6852</v>
      </c>
      <c r="AH170" s="24" t="n">
        <f aca="false">AH8+$E$34*AH41</f>
        <v>0.6756</v>
      </c>
      <c r="AI170" s="24" t="n">
        <f aca="false">AI8+$E$34*AI41</f>
        <v>0.6553</v>
      </c>
      <c r="AJ170" s="24" t="n">
        <f aca="false">AJ8+$E$34*AJ41</f>
        <v>0.6292</v>
      </c>
      <c r="AL170" s="35" t="s">
        <v>74</v>
      </c>
      <c r="AM170" s="37" t="n">
        <f aca="false">C170*(1+(((2-3*O170^2)/24*AA170^2)+(O170*AA170*C170/4))*0.25)</f>
        <v>0.577096371926937</v>
      </c>
      <c r="AN170" s="37" t="n">
        <f aca="false">D170*(1+(((2-3*P170^2)/24*AB170^2)+(P170*AB170*D170/4))*0.25)</f>
        <v>0.552753206272654</v>
      </c>
      <c r="AO170" s="37" t="n">
        <f aca="false">E170*(1+(((2-3*Q170^2)/24*AC170^2)+(Q170*AC170*E170/4))*0.25)</f>
        <v>0.53787675115537</v>
      </c>
      <c r="AP170" s="37" t="n">
        <f aca="false">F170*(1+(((2-3*R170^2)/24*AD170^2)+(R170*AD170*F170/4))*0.25)</f>
        <v>0.509002900878039</v>
      </c>
      <c r="AQ170" s="37" t="n">
        <f aca="false">G170*(1+(((2-3*S170^2)/24*AE170^2)+(S170*AE170*G170/4))*0.25)</f>
        <v>0.49089107075434</v>
      </c>
      <c r="AR170" s="37" t="n">
        <f aca="false">H170*(1+(((2-3*T170^2)/24*AF170^2)+(T170*AF170*H170/4))*0.25)</f>
        <v>0.474358759525466</v>
      </c>
      <c r="AS170" s="37" t="n">
        <f aca="false">I170*(1+(((2-3*U170^2)/24*AG170^2)+(U170*AG170*I170/4))*0.25)</f>
        <v>0.465421873943726</v>
      </c>
      <c r="AT170" s="37" t="n">
        <f aca="false">J170*(1+(((2-3*V170^2)/24*AH170^2)+(V170*AH170*J170/4))*0.25)</f>
        <v>0.440767935057696</v>
      </c>
      <c r="AU170" s="37" t="n">
        <f aca="false">K170*(1+(((2-3*W170^2)/24*AI170^2)+(W170*AI170*K170/4))*0.25)</f>
        <v>0.420307620144988</v>
      </c>
      <c r="AV170" s="37" t="n">
        <f aca="false">L170*(1+(((2-3*X170^2)/24*AJ170^2)+(X170*AJ170*L170/4))*0.25)</f>
        <v>0.406285596095939</v>
      </c>
    </row>
    <row r="171" customFormat="false" ht="15" hidden="false" customHeight="true" outlineLevel="0" collapsed="false">
      <c r="B171" s="35" t="s">
        <v>75</v>
      </c>
      <c r="C171" s="24" t="n">
        <f aca="false">C9+$C$34*C42</f>
        <v>0.561035</v>
      </c>
      <c r="D171" s="24" t="n">
        <f aca="false">D9+$C$34*D42</f>
        <v>0.5310945</v>
      </c>
      <c r="E171" s="24" t="n">
        <f aca="false">E9+$C$34*E42</f>
        <v>0.5207225</v>
      </c>
      <c r="F171" s="24" t="n">
        <f aca="false">F9+$C$34*F42</f>
        <v>0.499022</v>
      </c>
      <c r="G171" s="24" t="n">
        <f aca="false">G9+$C$34*G42</f>
        <v>0.4804585</v>
      </c>
      <c r="H171" s="24" t="n">
        <f aca="false">H9+$C$34*H42</f>
        <v>0.458046</v>
      </c>
      <c r="I171" s="24" t="n">
        <f aca="false">I9+$C$34*I42</f>
        <v>0.446131</v>
      </c>
      <c r="J171" s="24" t="n">
        <f aca="false">J9+$C$34*J42</f>
        <v>0.430047</v>
      </c>
      <c r="K171" s="24" t="n">
        <f aca="false">K9+$C$34*K42</f>
        <v>0.4018005</v>
      </c>
      <c r="L171" s="24" t="n">
        <f aca="false">L9+$C$34*L42</f>
        <v>0.385694</v>
      </c>
      <c r="N171" s="35" t="s">
        <v>75</v>
      </c>
      <c r="O171" s="24" t="n">
        <f aca="false">O9+$D$34*O42</f>
        <v>-0.3199</v>
      </c>
      <c r="P171" s="24" t="n">
        <f aca="false">P9+$D$34*P42</f>
        <v>-0.2876</v>
      </c>
      <c r="Q171" s="24" t="n">
        <f aca="false">Q9+$D$34*Q42</f>
        <v>-0.2693</v>
      </c>
      <c r="R171" s="24" t="n">
        <f aca="false">R9+$D$34*R42</f>
        <v>-0.2429</v>
      </c>
      <c r="S171" s="24" t="n">
        <f aca="false">S9+$D$34*S42</f>
        <v>-0.2269</v>
      </c>
      <c r="T171" s="24" t="n">
        <f aca="false">T9+$D$34*T42</f>
        <v>-0.2182</v>
      </c>
      <c r="U171" s="24" t="n">
        <f aca="false">U9+$D$34*U42</f>
        <v>-0.1967</v>
      </c>
      <c r="V171" s="24" t="n">
        <f aca="false">V9+$D$34*V42</f>
        <v>-0.1716</v>
      </c>
      <c r="W171" s="24" t="n">
        <f aca="false">W9+$D$34*W42</f>
        <v>-0.1651</v>
      </c>
      <c r="X171" s="24" t="n">
        <f aca="false">X9+$D$34*X42</f>
        <v>-0.1369</v>
      </c>
      <c r="Z171" s="35" t="s">
        <v>75</v>
      </c>
      <c r="AA171" s="24" t="n">
        <f aca="false">AA9+$E$34*AA42</f>
        <v>0.7989</v>
      </c>
      <c r="AB171" s="24" t="n">
        <f aca="false">AB9+$E$34*AB42</f>
        <v>0.7757</v>
      </c>
      <c r="AC171" s="24" t="n">
        <f aca="false">AC9+$E$34*AC42</f>
        <v>0.7523</v>
      </c>
      <c r="AD171" s="24" t="n">
        <f aca="false">AD9+$E$34*AD42</f>
        <v>0.7443</v>
      </c>
      <c r="AE171" s="24" t="n">
        <f aca="false">AE9+$E$34*AE42</f>
        <v>0.7093</v>
      </c>
      <c r="AF171" s="24" t="n">
        <f aca="false">AF9+$E$34*AF42</f>
        <v>0.6894</v>
      </c>
      <c r="AG171" s="24" t="n">
        <f aca="false">AG9+$E$34*AG42</f>
        <v>0.67</v>
      </c>
      <c r="AH171" s="24" t="n">
        <f aca="false">AH9+$E$34*AH42</f>
        <v>0.6574</v>
      </c>
      <c r="AI171" s="24" t="n">
        <f aca="false">AI9+$E$34*AI42</f>
        <v>0.6194</v>
      </c>
      <c r="AJ171" s="24" t="n">
        <f aca="false">AJ9+$E$34*AJ42</f>
        <v>0.6045</v>
      </c>
      <c r="AL171" s="35" t="s">
        <v>75</v>
      </c>
      <c r="AM171" s="37" t="n">
        <f aca="false">C171*(1+(((2-3*O171^2)/24*AA171^2)+(O171*AA171*C171/4))*0.5)</f>
        <v>0.56360923097209</v>
      </c>
      <c r="AN171" s="37" t="n">
        <f aca="false">D171*(1+(((2-3*P171^2)/24*AB171^2)+(P171*AB171*D171/4))*0.5)</f>
        <v>0.534892006363567</v>
      </c>
      <c r="AO171" s="37" t="n">
        <f aca="false">E171*(1+(((2-3*Q171^2)/24*AC171^2)+(Q171*AC171*E171/4))*0.5)</f>
        <v>0.524799370711477</v>
      </c>
      <c r="AP171" s="37" t="n">
        <f aca="false">F171*(1+(((2-3*R171^2)/24*AD171^2)+(R171*AD171*F171/4))*0.5)</f>
        <v>0.503893690489239</v>
      </c>
      <c r="AQ171" s="37" t="n">
        <f aca="false">G171*(1+(((2-3*S171^2)/24*AE171^2)+(S171*AE171*G171/4))*0.5)</f>
        <v>0.485108510780655</v>
      </c>
      <c r="AR171" s="37" t="n">
        <f aca="false">H171*(1+(((2-3*T171^2)/24*AF171^2)+(T171*AF171*H171/4))*0.5)</f>
        <v>0.462523825891327</v>
      </c>
      <c r="AS171" s="37" t="n">
        <f aca="false">I171*(1+(((2-3*U171^2)/24*AG171^2)+(U171*AG171*I171/4))*0.5)</f>
        <v>0.450712431034623</v>
      </c>
      <c r="AT171" s="37" t="n">
        <f aca="false">J171*(1+(((2-3*V171^2)/24*AH171^2)+(V171*AH171*J171/4))*0.5)</f>
        <v>0.434841039783715</v>
      </c>
      <c r="AU171" s="37" t="n">
        <f aca="false">K171*(1+(((2-3*W171^2)/24*AI171^2)+(W171*AI171*K171/4))*0.5)</f>
        <v>0.405897222663167</v>
      </c>
      <c r="AV171" s="37" t="n">
        <f aca="false">L171*(1+(((2-3*X171^2)/24*AJ171^2)+(X171*AJ171*L171/4))*0.5)</f>
        <v>0.389862578637698</v>
      </c>
    </row>
    <row r="172" customFormat="false" ht="15" hidden="false" customHeight="true" outlineLevel="0" collapsed="false">
      <c r="B172" s="35" t="s">
        <v>30</v>
      </c>
      <c r="C172" s="24" t="n">
        <f aca="false">C10+$C$34*C43</f>
        <v>0.5355825</v>
      </c>
      <c r="D172" s="24" t="n">
        <f aca="false">D10+$C$34*D43</f>
        <v>0.523595</v>
      </c>
      <c r="E172" s="24" t="n">
        <f aca="false">E10+$C$34*E43</f>
        <v>0.504317</v>
      </c>
      <c r="F172" s="24" t="n">
        <f aca="false">F10+$C$34*F43</f>
        <v>0.4857875</v>
      </c>
      <c r="G172" s="24" t="n">
        <f aca="false">G10+$C$34*G43</f>
        <v>0.4539955</v>
      </c>
      <c r="H172" s="24" t="n">
        <f aca="false">H10+$C$34*H43</f>
        <v>0.4379225</v>
      </c>
      <c r="I172" s="24" t="n">
        <f aca="false">I10+$C$34*I43</f>
        <v>0.417499</v>
      </c>
      <c r="J172" s="24" t="n">
        <f aca="false">J10+$C$34*J43</f>
        <v>0.408861</v>
      </c>
      <c r="K172" s="24" t="n">
        <f aca="false">K10+$C$34*K43</f>
        <v>0.392442</v>
      </c>
      <c r="L172" s="24" t="n">
        <f aca="false">L10+$C$34*L43</f>
        <v>0.3562765</v>
      </c>
      <c r="N172" s="35" t="s">
        <v>30</v>
      </c>
      <c r="O172" s="24" t="n">
        <f aca="false">O10+$D$34*O43</f>
        <v>-0.2981</v>
      </c>
      <c r="P172" s="24" t="n">
        <f aca="false">P10+$D$34*P43</f>
        <v>-0.2776</v>
      </c>
      <c r="Q172" s="24" t="n">
        <f aca="false">Q10+$D$34*Q43</f>
        <v>-0.2581</v>
      </c>
      <c r="R172" s="24" t="n">
        <f aca="false">R10+$D$34*R43</f>
        <v>-0.2336</v>
      </c>
      <c r="S172" s="24" t="n">
        <f aca="false">S10+$D$34*S43</f>
        <v>-0.2121</v>
      </c>
      <c r="T172" s="24" t="n">
        <f aca="false">T10+$D$34*T43</f>
        <v>-0.1992</v>
      </c>
      <c r="U172" s="24" t="n">
        <f aca="false">U10+$D$34*U43</f>
        <v>-0.1849</v>
      </c>
      <c r="V172" s="24" t="n">
        <f aca="false">V10+$D$34*V43</f>
        <v>-0.1572</v>
      </c>
      <c r="W172" s="24" t="n">
        <f aca="false">W10+$D$34*W43</f>
        <v>-0.1387</v>
      </c>
      <c r="X172" s="24" t="n">
        <f aca="false">X10+$D$34*X43</f>
        <v>-0.1153</v>
      </c>
      <c r="Z172" s="35" t="s">
        <v>30</v>
      </c>
      <c r="AA172" s="24" t="n">
        <f aca="false">AA10+$E$34*AA43</f>
        <v>0.7924</v>
      </c>
      <c r="AB172" s="24" t="n">
        <f aca="false">AB10+$E$34*AB43</f>
        <v>0.7649</v>
      </c>
      <c r="AC172" s="24" t="n">
        <f aca="false">AC10+$E$34*AC43</f>
        <v>0.7392</v>
      </c>
      <c r="AD172" s="24" t="n">
        <f aca="false">AD10+$E$34*AD43</f>
        <v>0.719</v>
      </c>
      <c r="AE172" s="24" t="n">
        <f aca="false">AE10+$E$34*AE43</f>
        <v>0.698</v>
      </c>
      <c r="AF172" s="24" t="n">
        <f aca="false">AF10+$E$34*AF43</f>
        <v>0.6633</v>
      </c>
      <c r="AG172" s="24" t="n">
        <f aca="false">AG10+$E$34*AG43</f>
        <v>0.658</v>
      </c>
      <c r="AH172" s="24" t="n">
        <f aca="false">AH10+$E$34*AH43</f>
        <v>0.6334</v>
      </c>
      <c r="AI172" s="24" t="n">
        <f aca="false">AI10+$E$34*AI43</f>
        <v>0.613</v>
      </c>
      <c r="AJ172" s="24" t="n">
        <f aca="false">AJ10+$E$34*AJ43</f>
        <v>0.5893</v>
      </c>
      <c r="AL172" s="35" t="s">
        <v>30</v>
      </c>
      <c r="AM172" s="37" t="n">
        <f aca="false">C172*(1+(((2-3*O172^2)/24*AA172^2)+(O172*AA172*C172/4))*1)</f>
        <v>0.542931803526889</v>
      </c>
      <c r="AN172" s="37" t="n">
        <f aca="false">D172*(1+(((2-3*P172^2)/24*AB172^2)+(P172*AB172*D172/4))*1)</f>
        <v>0.531619416739662</v>
      </c>
      <c r="AO172" s="37" t="n">
        <f aca="false">E172*(1+(((2-3*Q172^2)/24*AC172^2)+(Q172*AC172*E172/4))*1)</f>
        <v>0.512855282407115</v>
      </c>
      <c r="AP172" s="37" t="n">
        <f aca="false">F172*(1+(((2-3*R172^2)/24*AD172^2)+(R172*AD172*F172/4))*1)</f>
        <v>0.495093151839313</v>
      </c>
      <c r="AQ172" s="37" t="n">
        <f aca="false">G172*(1+(((2-3*S172^2)/24*AE172^2)+(S172*AE172*G172/4))*1)</f>
        <v>0.463555558692854</v>
      </c>
      <c r="AR172" s="37" t="n">
        <f aca="false">H172*(1+(((2-3*T172^2)/24*AF172^2)+(T172*AF172*H172/4))*1)</f>
        <v>0.446687970604744</v>
      </c>
      <c r="AS172" s="37" t="n">
        <f aca="false">I172*(1+(((2-3*U172^2)/24*AG172^2)+(U172*AG172*I172/4))*1)</f>
        <v>0.426488334077166</v>
      </c>
      <c r="AT172" s="37" t="n">
        <f aca="false">J172*(1+(((2-3*V172^2)/24*AH172^2)+(V172*AH172*J172/4))*1)</f>
        <v>0.417862506985643</v>
      </c>
      <c r="AU172" s="37" t="n">
        <f aca="false">K172*(1+(((2-3*W172^2)/24*AI172^2)+(W172*AI172*K172/4))*1)</f>
        <v>0.401102727360694</v>
      </c>
      <c r="AV172" s="37" t="n">
        <f aca="false">L172*(1+(((2-3*X172^2)/24*AJ172^2)+(X172*AJ172*L172/4))*1)</f>
        <v>0.364225220016043</v>
      </c>
    </row>
    <row r="173" customFormat="false" ht="15" hidden="false" customHeight="true" outlineLevel="0" collapsed="false">
      <c r="B173" s="35" t="s">
        <v>76</v>
      </c>
      <c r="C173" s="24" t="n">
        <f aca="false">C11+$C$34*C44</f>
        <v>0.514166</v>
      </c>
      <c r="D173" s="24" t="n">
        <f aca="false">D11+$C$34*D44</f>
        <v>0.4949955</v>
      </c>
      <c r="E173" s="24" t="n">
        <f aca="false">E11+$C$34*E44</f>
        <v>0.4696865</v>
      </c>
      <c r="F173" s="24" t="n">
        <f aca="false">F11+$C$34*F44</f>
        <v>0.462076</v>
      </c>
      <c r="G173" s="24" t="n">
        <f aca="false">G11+$C$34*G44</f>
        <v>0.430637</v>
      </c>
      <c r="H173" s="24" t="n">
        <f aca="false">H11+$C$34*H44</f>
        <v>0.4124735</v>
      </c>
      <c r="I173" s="24" t="n">
        <f aca="false">I11+$C$34*I44</f>
        <v>0.3954405</v>
      </c>
      <c r="J173" s="24" t="n">
        <f aca="false">J11+$C$34*J44</f>
        <v>0.3759325</v>
      </c>
      <c r="K173" s="24" t="n">
        <f aca="false">K11+$C$34*K44</f>
        <v>0.3601295</v>
      </c>
      <c r="L173" s="24" t="n">
        <f aca="false">L11+$C$34*L44</f>
        <v>0.335424</v>
      </c>
      <c r="N173" s="35" t="s">
        <v>76</v>
      </c>
      <c r="O173" s="24" t="n">
        <f aca="false">O11+$D$34*O44</f>
        <v>-0.2822</v>
      </c>
      <c r="P173" s="24" t="n">
        <f aca="false">P11+$D$34*P44</f>
        <v>-0.2598</v>
      </c>
      <c r="Q173" s="24" t="n">
        <f aca="false">Q11+$D$34*Q44</f>
        <v>-0.2413</v>
      </c>
      <c r="R173" s="24" t="n">
        <f aca="false">R11+$D$34*R44</f>
        <v>-0.2166</v>
      </c>
      <c r="S173" s="24" t="n">
        <f aca="false">S11+$D$34*S44</f>
        <v>-0.2039</v>
      </c>
      <c r="T173" s="24" t="n">
        <f aca="false">T11+$D$34*T44</f>
        <v>-0.1675</v>
      </c>
      <c r="U173" s="24" t="n">
        <f aca="false">U11+$D$34*U44</f>
        <v>-0.1533</v>
      </c>
      <c r="V173" s="24" t="n">
        <f aca="false">V11+$D$34*V44</f>
        <v>-0.1431</v>
      </c>
      <c r="W173" s="24" t="n">
        <f aca="false">W11+$D$34*W44</f>
        <v>-0.1216</v>
      </c>
      <c r="X173" s="24" t="n">
        <f aca="false">X11+$D$34*X44</f>
        <v>-0.1003</v>
      </c>
      <c r="Z173" s="35" t="s">
        <v>76</v>
      </c>
      <c r="AA173" s="24" t="n">
        <f aca="false">AA11+$E$34*AA44</f>
        <v>0.7584</v>
      </c>
      <c r="AB173" s="24" t="n">
        <f aca="false">AB11+$E$34*AB44</f>
        <v>0.7313</v>
      </c>
      <c r="AC173" s="24" t="n">
        <f aca="false">AC11+$E$34*AC44</f>
        <v>0.7236</v>
      </c>
      <c r="AD173" s="24" t="n">
        <f aca="false">AD11+$E$34*AD44</f>
        <v>0.7043</v>
      </c>
      <c r="AE173" s="24" t="n">
        <f aca="false">AE11+$E$34*AE44</f>
        <v>0.6715</v>
      </c>
      <c r="AF173" s="24" t="n">
        <f aca="false">AF11+$E$34*AF44</f>
        <v>0.6497</v>
      </c>
      <c r="AG173" s="24" t="n">
        <f aca="false">AG11+$E$34*AG44</f>
        <v>0.6195</v>
      </c>
      <c r="AH173" s="24" t="n">
        <f aca="false">AH11+$E$34*AH44</f>
        <v>0.5976</v>
      </c>
      <c r="AI173" s="24" t="n">
        <f aca="false">AI11+$E$34*AI44</f>
        <v>0.5802</v>
      </c>
      <c r="AJ173" s="24" t="n">
        <f aca="false">AJ11+$E$34*AJ44</f>
        <v>0.5564</v>
      </c>
      <c r="AL173" s="35" t="s">
        <v>76</v>
      </c>
      <c r="AM173" s="37" t="n">
        <f aca="false">C173*(1+(((2-3*O173^2)/24*AA173^2)+(O173*AA173*C173/4))*2)</f>
        <v>0.52927710298219</v>
      </c>
      <c r="AN173" s="37" t="n">
        <f aca="false">D173*(1+(((2-3*P173^2)/24*AB173^2)+(P173*AB173*D173/4))*2)</f>
        <v>0.511373187510186</v>
      </c>
      <c r="AO173" s="37" t="n">
        <f aca="false">E173*(1+(((2-3*Q173^2)/24*AC173^2)+(Q173*AC173*E173/4))*2)</f>
        <v>0.487835059973992</v>
      </c>
      <c r="AP173" s="37" t="n">
        <f aca="false">F173*(1+(((2-3*R173^2)/24*AD173^2)+(R173*AD173*F173/4))*2)</f>
        <v>0.481302952347817</v>
      </c>
      <c r="AQ173" s="37" t="n">
        <f aca="false">G173*(1+(((2-3*S173^2)/24*AE173^2)+(S173*AE173*G173/4))*2)</f>
        <v>0.448286307505761</v>
      </c>
      <c r="AR173" s="37" t="n">
        <f aca="false">H173*(1+(((2-3*T173^2)/24*AF173^2)+(T173*AF173*H173/4))*2)</f>
        <v>0.431013075242233</v>
      </c>
      <c r="AS173" s="37" t="n">
        <f aca="false">I173*(1+(((2-3*U173^2)/24*AG173^2)+(U173*AG173*I173/4))*2)</f>
        <v>0.412417241922339</v>
      </c>
      <c r="AT173" s="37" t="n">
        <f aca="false">J173*(1+(((2-3*V173^2)/24*AH173^2)+(V173*AH173*J173/4))*2)</f>
        <v>0.391578232614437</v>
      </c>
      <c r="AU173" s="37" t="n">
        <f aca="false">K173*(1+(((2-3*W173^2)/24*AI173^2)+(W173*AI173*K173/4))*2)</f>
        <v>0.375311460126851</v>
      </c>
      <c r="AV173" s="37" t="n">
        <f aca="false">L173*(1+(((2-3*X173^2)/24*AJ173^2)+(X173*AJ173*L173/4))*2)</f>
        <v>0.349330254198554</v>
      </c>
    </row>
    <row r="174" customFormat="false" ht="15" hidden="false" customHeight="true" outlineLevel="0" collapsed="false">
      <c r="B174" s="35" t="s">
        <v>77</v>
      </c>
      <c r="C174" s="24" t="n">
        <f aca="false">C12+$C$34*C45</f>
        <v>0.504417</v>
      </c>
      <c r="D174" s="24" t="n">
        <f aca="false">D12+$C$34*D45</f>
        <v>0.471767</v>
      </c>
      <c r="E174" s="24" t="n">
        <f aca="false">E12+$C$34*E45</f>
        <v>0.449187</v>
      </c>
      <c r="F174" s="24" t="n">
        <f aca="false">F12+$C$34*F45</f>
        <v>0.4496295</v>
      </c>
      <c r="G174" s="24" t="n">
        <f aca="false">G12+$C$34*G45</f>
        <v>0.4210845</v>
      </c>
      <c r="H174" s="24" t="n">
        <f aca="false">H12+$C$34*H45</f>
        <v>0.394691</v>
      </c>
      <c r="I174" s="24" t="n">
        <f aca="false">I12+$C$34*I45</f>
        <v>0.3842215</v>
      </c>
      <c r="J174" s="24" t="n">
        <f aca="false">J12+$C$34*J45</f>
        <v>0.3545185</v>
      </c>
      <c r="K174" s="24" t="n">
        <f aca="false">K12+$C$34*K45</f>
        <v>0.344659</v>
      </c>
      <c r="L174" s="24" t="n">
        <f aca="false">L12+$C$34*L45</f>
        <v>0.3359785</v>
      </c>
      <c r="N174" s="35" t="s">
        <v>77</v>
      </c>
      <c r="O174" s="24" t="n">
        <f aca="false">O12+$D$34*O45</f>
        <v>-0.2455</v>
      </c>
      <c r="P174" s="24" t="n">
        <f aca="false">P12+$D$34*P45</f>
        <v>-0.2294</v>
      </c>
      <c r="Q174" s="24" t="n">
        <f aca="false">Q12+$D$34*Q45</f>
        <v>-0.2187</v>
      </c>
      <c r="R174" s="24" t="n">
        <f aca="false">R12+$D$34*R45</f>
        <v>-0.1971</v>
      </c>
      <c r="S174" s="24" t="n">
        <f aca="false">S12+$D$34*S45</f>
        <v>-0.1817</v>
      </c>
      <c r="T174" s="24" t="n">
        <f aca="false">T12+$D$34*T45</f>
        <v>-0.1501</v>
      </c>
      <c r="U174" s="24" t="n">
        <f aca="false">U12+$D$34*U45</f>
        <v>-0.1355</v>
      </c>
      <c r="V174" s="24" t="n">
        <f aca="false">V12+$D$34*V45</f>
        <v>-0.1111</v>
      </c>
      <c r="W174" s="24" t="n">
        <f aca="false">W12+$D$34*W45</f>
        <v>-0.1006</v>
      </c>
      <c r="X174" s="24" t="n">
        <f aca="false">X12+$D$34*X45</f>
        <v>-0.0833</v>
      </c>
      <c r="Z174" s="35" t="s">
        <v>77</v>
      </c>
      <c r="AA174" s="24" t="n">
        <f aca="false">AA12+$E$34*AA45</f>
        <v>0.7451</v>
      </c>
      <c r="AB174" s="24" t="n">
        <f aca="false">AB12+$E$34*AB45</f>
        <v>0.7264</v>
      </c>
      <c r="AC174" s="24" t="n">
        <f aca="false">AC12+$E$34*AC45</f>
        <v>0.7015</v>
      </c>
      <c r="AD174" s="24" t="n">
        <f aca="false">AD12+$E$34*AD45</f>
        <v>0.6783</v>
      </c>
      <c r="AE174" s="24" t="n">
        <f aca="false">AE12+$E$34*AE45</f>
        <v>0.6564</v>
      </c>
      <c r="AF174" s="24" t="n">
        <f aca="false">AF12+$E$34*AF45</f>
        <v>0.6326</v>
      </c>
      <c r="AG174" s="24" t="n">
        <f aca="false">AG12+$E$34*AG45</f>
        <v>0.6001</v>
      </c>
      <c r="AH174" s="24" t="n">
        <f aca="false">AH12+$E$34*AH45</f>
        <v>0.5837</v>
      </c>
      <c r="AI174" s="24" t="n">
        <f aca="false">AI12+$E$34*AI45</f>
        <v>0.5582</v>
      </c>
      <c r="AJ174" s="24" t="n">
        <f aca="false">AJ12+$E$34*AJ45</f>
        <v>0.5295</v>
      </c>
      <c r="AL174" s="35" t="s">
        <v>77</v>
      </c>
      <c r="AM174" s="37" t="n">
        <f aca="false">C174*(1+(((2-3*O174^2)/24*AA174^2)+(O174*AA174*C174/4))*3)</f>
        <v>0.533191003745641</v>
      </c>
      <c r="AN174" s="37" t="n">
        <f aca="false">D174*(1+(((2-3*P174^2)/24*AB174^2)+(P174*AB174*D174/4))*3)</f>
        <v>0.501271923999464</v>
      </c>
      <c r="AO174" s="37" t="n">
        <f aca="false">E174*(1+(((2-3*Q174^2)/24*AC174^2)+(Q174*AC174*E174/4))*3)</f>
        <v>0.477267523510064</v>
      </c>
      <c r="AP174" s="37" t="n">
        <f aca="false">F174*(1+(((2-3*R174^2)/24*AD174^2)+(R174*AD174*F174/4))*3)</f>
        <v>0.478062196299149</v>
      </c>
      <c r="AQ174" s="37" t="n">
        <f aca="false">G174*(1+(((2-3*S174^2)/24*AE174^2)+(S174*AE174*G174/4))*3)</f>
        <v>0.448334788913609</v>
      </c>
      <c r="AR174" s="37" t="n">
        <f aca="false">H174*(1+(((2-3*T174^2)/24*AF174^2)+(T174*AF174*H174/4))*3)</f>
        <v>0.42174973085208</v>
      </c>
      <c r="AS174" s="37" t="n">
        <f aca="false">I174*(1+(((2-3*U174^2)/24*AG174^2)+(U174*AG174*I174/4))*3)</f>
        <v>0.408857295331966</v>
      </c>
      <c r="AT174" s="37" t="n">
        <f aca="false">J174*(1+(((2-3*V174^2)/24*AH174^2)+(V174*AH174*J174/4))*3)</f>
        <v>0.378043195662045</v>
      </c>
      <c r="AU174" s="37" t="n">
        <f aca="false">K174*(1+(((2-3*W174^2)/24*AI174^2)+(W174*AI174*K174/4))*3)</f>
        <v>0.366096297086079</v>
      </c>
      <c r="AV174" s="37" t="n">
        <f aca="false">L174*(1+(((2-3*X174^2)/24*AJ174^2)+(X174*AJ174*L174/4))*3)</f>
        <v>0.35554880233909</v>
      </c>
    </row>
    <row r="175" customFormat="false" ht="15" hidden="false" customHeight="true" outlineLevel="0" collapsed="false">
      <c r="B175" s="35" t="s">
        <v>78</v>
      </c>
      <c r="C175" s="24" t="n">
        <f aca="false">C13+$C$34*C46</f>
        <v>0.4682395</v>
      </c>
      <c r="D175" s="24" t="n">
        <f aca="false">D13+$C$34*D46</f>
        <v>0.4542075</v>
      </c>
      <c r="E175" s="24" t="n">
        <f aca="false">E13+$C$34*E46</f>
        <v>0.435644</v>
      </c>
      <c r="F175" s="24" t="n">
        <f aca="false">F13+$C$34*F46</f>
        <v>0.42457</v>
      </c>
      <c r="G175" s="24" t="n">
        <f aca="false">G13+$C$34*G46</f>
        <v>0.410732</v>
      </c>
      <c r="H175" s="24" t="n">
        <f aca="false">H13+$C$34*H46</f>
        <v>0.381076</v>
      </c>
      <c r="I175" s="24" t="n">
        <f aca="false">I13+$C$34*I46</f>
        <v>0.3718175</v>
      </c>
      <c r="J175" s="24" t="n">
        <f aca="false">J13+$C$34*J46</f>
        <v>0.3546275</v>
      </c>
      <c r="K175" s="24" t="n">
        <f aca="false">K13+$C$34*K46</f>
        <v>0.3344125</v>
      </c>
      <c r="L175" s="24" t="n">
        <f aca="false">L13+$C$34*L46</f>
        <v>0.304084</v>
      </c>
      <c r="N175" s="35" t="s">
        <v>78</v>
      </c>
      <c r="O175" s="24" t="n">
        <f aca="false">O13+$D$34*O46</f>
        <v>-0.2389</v>
      </c>
      <c r="P175" s="24" t="n">
        <f aca="false">P13+$D$34*P46</f>
        <v>-0.2194</v>
      </c>
      <c r="Q175" s="24" t="n">
        <f aca="false">Q13+$D$34*Q46</f>
        <v>-0.2005</v>
      </c>
      <c r="R175" s="24" t="n">
        <f aca="false">R13+$D$34*R46</f>
        <v>-0.1809</v>
      </c>
      <c r="S175" s="24" t="n">
        <f aca="false">S13+$D$34*S46</f>
        <v>-0.1531</v>
      </c>
      <c r="T175" s="24" t="n">
        <f aca="false">T13+$D$34*T46</f>
        <v>-0.1281</v>
      </c>
      <c r="U175" s="24" t="n">
        <f aca="false">U13+$D$34*U46</f>
        <v>-0.1099</v>
      </c>
      <c r="V175" s="24" t="n">
        <f aca="false">V13+$D$34*V46</f>
        <v>-0.0976</v>
      </c>
      <c r="W175" s="24" t="n">
        <f aca="false">W13+$D$34*W46</f>
        <v>-0.0747</v>
      </c>
      <c r="X175" s="24" t="n">
        <f aca="false">X13+$D$34*X46</f>
        <v>-0.0523</v>
      </c>
      <c r="Z175" s="35" t="s">
        <v>78</v>
      </c>
      <c r="AA175" s="24" t="n">
        <f aca="false">AA13+$E$34*AA46</f>
        <v>0.7084</v>
      </c>
      <c r="AB175" s="24" t="n">
        <f aca="false">AB13+$E$34*AB46</f>
        <v>0.6977</v>
      </c>
      <c r="AC175" s="24" t="n">
        <f aca="false">AC13+$E$34*AC46</f>
        <v>0.6804</v>
      </c>
      <c r="AD175" s="24" t="n">
        <f aca="false">AD13+$E$34*AD46</f>
        <v>0.6556</v>
      </c>
      <c r="AE175" s="24" t="n">
        <f aca="false">AE13+$E$34*AE46</f>
        <v>0.6328</v>
      </c>
      <c r="AF175" s="24" t="n">
        <f aca="false">AF13+$E$34*AF46</f>
        <v>0.6051</v>
      </c>
      <c r="AG175" s="24" t="n">
        <f aca="false">AG13+$E$34*AG46</f>
        <v>0.5769</v>
      </c>
      <c r="AH175" s="24" t="n">
        <f aca="false">AH13+$E$34*AH46</f>
        <v>0.5669</v>
      </c>
      <c r="AI175" s="24" t="n">
        <f aca="false">AI13+$E$34*AI46</f>
        <v>0.5355</v>
      </c>
      <c r="AJ175" s="24" t="n">
        <f aca="false">AJ13+$E$34*AJ46</f>
        <v>0.5227</v>
      </c>
      <c r="AL175" s="35" t="s">
        <v>78</v>
      </c>
      <c r="AM175" s="37" t="n">
        <f aca="false">C175*(1+(((2-3*O175^2)/24*AA175^2)+(O175*AA175*C175/4))*5)</f>
        <v>0.511383659356758</v>
      </c>
      <c r="AN175" s="37" t="n">
        <f aca="false">D175*(1+(((2-3*P175^2)/24*AB175^2)+(P175*AB175*D175/4))*5)</f>
        <v>0.500206082386343</v>
      </c>
      <c r="AO175" s="37" t="n">
        <f aca="false">E175*(1+(((2-3*Q175^2)/24*AC175^2)+(Q175*AC175*E175/4))*5)</f>
        <v>0.482246386799319</v>
      </c>
      <c r="AP175" s="37" t="n">
        <f aca="false">F175*(1+(((2-3*R175^2)/24*AD175^2)+(R175*AD175*F175/4))*5)</f>
        <v>0.470149996782505</v>
      </c>
      <c r="AQ175" s="37" t="n">
        <f aca="false">G175*(1+(((2-3*S175^2)/24*AE175^2)+(S175*AE175*G175/4))*5)</f>
        <v>0.456422432063801</v>
      </c>
      <c r="AR175" s="37" t="n">
        <f aca="false">H175*(1+(((2-3*T175^2)/24*AF175^2)+(T175*AF175*H175/4))*5)</f>
        <v>0.423711759989761</v>
      </c>
      <c r="AS175" s="37" t="n">
        <f aca="false">I175*(1+(((2-3*U175^2)/24*AG175^2)+(U175*AG175*I175/4))*5)</f>
        <v>0.411487773571872</v>
      </c>
      <c r="AT175" s="37" t="n">
        <f aca="false">J175*(1+(((2-3*V175^2)/24*AH175^2)+(V175*AH175*J175/4))*5)</f>
        <v>0.392738071301368</v>
      </c>
      <c r="AU175" s="37" t="n">
        <f aca="false">K175*(1+(((2-3*W175^2)/24*AI175^2)+(W175*AI175*K175/4))*5)</f>
        <v>0.368442966990432</v>
      </c>
      <c r="AV175" s="37" t="n">
        <f aca="false">L175*(1+(((2-3*X175^2)/24*AJ175^2)+(X175*AJ175*L175/4))*5)</f>
        <v>0.335399062039945</v>
      </c>
    </row>
    <row r="176" customFormat="false" ht="15" hidden="false" customHeight="true" outlineLevel="0" collapsed="false">
      <c r="B176" s="35" t="s">
        <v>79</v>
      </c>
      <c r="C176" s="24" t="n">
        <f aca="false">C14+$C$34*C47</f>
        <v>0.468293</v>
      </c>
      <c r="D176" s="24" t="n">
        <f aca="false">D14+$C$34*D47</f>
        <v>0.4378405</v>
      </c>
      <c r="E176" s="24" t="n">
        <f aca="false">E14+$C$34*E47</f>
        <v>0.419677</v>
      </c>
      <c r="F176" s="24" t="n">
        <f aca="false">F14+$C$34*F47</f>
        <v>0.4108235</v>
      </c>
      <c r="G176" s="24" t="n">
        <f aca="false">G14+$C$34*G47</f>
        <v>0.387471</v>
      </c>
      <c r="H176" s="24" t="n">
        <f aca="false">H14+$C$34*H47</f>
        <v>0.357763</v>
      </c>
      <c r="I176" s="24" t="n">
        <f aca="false">I14+$C$34*I47</f>
        <v>0.3367915</v>
      </c>
      <c r="J176" s="24" t="n">
        <f aca="false">J14+$C$34*J47</f>
        <v>0.3181535</v>
      </c>
      <c r="K176" s="24" t="n">
        <f aca="false">K14+$C$34*K47</f>
        <v>0.3153875</v>
      </c>
      <c r="L176" s="24" t="n">
        <f aca="false">L14+$C$34*L47</f>
        <v>0.2942435</v>
      </c>
      <c r="N176" s="35" t="s">
        <v>79</v>
      </c>
      <c r="O176" s="24" t="n">
        <f aca="false">O14+$D$34*O47</f>
        <v>-0.221</v>
      </c>
      <c r="P176" s="24" t="n">
        <f aca="false">P14+$D$34*P47</f>
        <v>-0.1879</v>
      </c>
      <c r="Q176" s="24" t="n">
        <f aca="false">Q14+$D$34*Q47</f>
        <v>-0.1654</v>
      </c>
      <c r="R176" s="24" t="n">
        <f aca="false">R14+$D$34*R47</f>
        <v>-0.1524</v>
      </c>
      <c r="S176" s="24" t="n">
        <f aca="false">S14+$D$34*S47</f>
        <v>-0.1391</v>
      </c>
      <c r="T176" s="24" t="n">
        <f aca="false">T14+$D$34*T47</f>
        <v>-0.1157</v>
      </c>
      <c r="U176" s="24" t="n">
        <f aca="false">U14+$D$34*U47</f>
        <v>-0.1046</v>
      </c>
      <c r="V176" s="24" t="n">
        <f aca="false">V14+$D$34*V47</f>
        <v>-0.0875</v>
      </c>
      <c r="W176" s="24" t="n">
        <f aca="false">W14+$D$34*W47</f>
        <v>-0.0489</v>
      </c>
      <c r="X176" s="24" t="n">
        <f aca="false">X14+$D$34*X47</f>
        <v>-0.0359</v>
      </c>
      <c r="Z176" s="35" t="s">
        <v>79</v>
      </c>
      <c r="AA176" s="24" t="n">
        <f aca="false">AA14+$E$34*AA47</f>
        <v>0.695</v>
      </c>
      <c r="AB176" s="24" t="n">
        <f aca="false">AB14+$E$34*AB47</f>
        <v>0.6809</v>
      </c>
      <c r="AC176" s="24" t="n">
        <f aca="false">AC14+$E$34*AC47</f>
        <v>0.6487</v>
      </c>
      <c r="AD176" s="24" t="n">
        <f aca="false">AD14+$E$34*AD47</f>
        <v>0.6352</v>
      </c>
      <c r="AE176" s="24" t="n">
        <f aca="false">AE14+$E$34*AE47</f>
        <v>0.6121</v>
      </c>
      <c r="AF176" s="24" t="n">
        <f aca="false">AF14+$E$34*AF47</f>
        <v>0.5776</v>
      </c>
      <c r="AG176" s="24" t="n">
        <f aca="false">AG14+$E$34*AG47</f>
        <v>0.5561</v>
      </c>
      <c r="AH176" s="24" t="n">
        <f aca="false">AH14+$E$34*AH47</f>
        <v>0.5347</v>
      </c>
      <c r="AI176" s="24" t="n">
        <f aca="false">AI14+$E$34*AI47</f>
        <v>0.5115</v>
      </c>
      <c r="AJ176" s="24" t="n">
        <f aca="false">AJ14+$E$34*AJ47</f>
        <v>0.4962</v>
      </c>
      <c r="AL176" s="35" t="s">
        <v>79</v>
      </c>
      <c r="AM176" s="37" t="n">
        <f aca="false">C176*(1+(((2-3*O176^2)/24*AA176^2)+(O176*AA176*C176/4))*10)</f>
        <v>0.55877324622165</v>
      </c>
      <c r="AN176" s="37" t="n">
        <f aca="false">D176*(1+(((2-3*P176^2)/24*AB176^2)+(P176*AB176*D176/4))*10)</f>
        <v>0.536726054429463</v>
      </c>
      <c r="AO176" s="37" t="n">
        <f aca="false">E176*(1+(((2-3*Q176^2)/24*AC176^2)+(Q176*AC176*E176/4))*10)</f>
        <v>0.513564223411058</v>
      </c>
      <c r="AP176" s="37" t="n">
        <f aca="false">F176*(1+(((2-3*R176^2)/24*AD176^2)+(R176*AD176*F176/4))*10)</f>
        <v>0.50329771751489</v>
      </c>
      <c r="AQ176" s="37" t="n">
        <f aca="false">G176*(1+(((2-3*S176^2)/24*AE176^2)+(S176*AE176*G176/4))*10)</f>
        <v>0.472979691592678</v>
      </c>
      <c r="AR176" s="37" t="n">
        <f aca="false">H176*(1+(((2-3*T176^2)/24*AF176^2)+(T176*AF176*H176/4))*10)</f>
        <v>0.433846257779817</v>
      </c>
      <c r="AS176" s="37" t="n">
        <f aca="false">I176*(1+(((2-3*U176^2)/24*AG176^2)+(U176*AG176*I176/4))*10)</f>
        <v>0.405665474197745</v>
      </c>
      <c r="AT176" s="37" t="n">
        <f aca="false">J176*(1+(((2-3*V176^2)/24*AH176^2)+(V176*AH176*J176/4))*10)</f>
        <v>0.381244673345554</v>
      </c>
      <c r="AU176" s="37" t="n">
        <f aca="false">K176*(1+(((2-3*W176^2)/24*AI176^2)+(W176*AI176*K176/4))*10)</f>
        <v>0.377683910243695</v>
      </c>
      <c r="AV176" s="37" t="n">
        <f aca="false">L176*(1+(((2-3*X176^2)/24*AJ176^2)+(X176*AJ176*L176/4))*10)</f>
        <v>0.350643570368545</v>
      </c>
    </row>
    <row r="177" customFormat="false" ht="15" hidden="false" customHeight="true" outlineLevel="0" collapsed="false">
      <c r="B177" s="35" t="s">
        <v>80</v>
      </c>
      <c r="C177" s="24" t="n">
        <f aca="false">C15+$C$34*C48</f>
        <v>0.4348225</v>
      </c>
      <c r="D177" s="24" t="n">
        <f aca="false">D15+$C$34*D48</f>
        <v>0.4188315</v>
      </c>
      <c r="E177" s="24" t="n">
        <f aca="false">E15+$C$34*E48</f>
        <v>0.394921</v>
      </c>
      <c r="F177" s="24" t="n">
        <f aca="false">F15+$C$34*F48</f>
        <v>0.391754</v>
      </c>
      <c r="G177" s="24" t="n">
        <f aca="false">G15+$C$34*G48</f>
        <v>0.360403</v>
      </c>
      <c r="H177" s="24" t="n">
        <f aca="false">H15+$C$34*H48</f>
        <v>0.3446105</v>
      </c>
      <c r="I177" s="24" t="n">
        <f aca="false">I15+$C$34*I48</f>
        <v>0.3279195</v>
      </c>
      <c r="J177" s="24" t="n">
        <f aca="false">J15+$C$34*J48</f>
        <v>0.314884</v>
      </c>
      <c r="K177" s="24" t="n">
        <f aca="false">K15+$C$34*K48</f>
        <v>0.2858075</v>
      </c>
      <c r="L177" s="24" t="n">
        <f aca="false">L15+$C$34*L48</f>
        <v>0.278975</v>
      </c>
      <c r="N177" s="35" t="s">
        <v>80</v>
      </c>
      <c r="O177" s="24" t="n">
        <f aca="false">O15+$D$34*O48</f>
        <v>-0.1944</v>
      </c>
      <c r="P177" s="24" t="n">
        <f aca="false">P15+$D$34*P48</f>
        <v>-0.1744</v>
      </c>
      <c r="Q177" s="24" t="n">
        <f aca="false">Q15+$D$34*Q48</f>
        <v>-0.1551</v>
      </c>
      <c r="R177" s="24" t="n">
        <f aca="false">R15+$D$34*R48</f>
        <v>-0.1457</v>
      </c>
      <c r="S177" s="24" t="n">
        <f aca="false">S15+$D$34*S48</f>
        <v>-0.1179</v>
      </c>
      <c r="T177" s="24" t="n">
        <f aca="false">T15+$D$34*T48</f>
        <v>-0.1036</v>
      </c>
      <c r="U177" s="24" t="n">
        <f aca="false">U15+$D$34*U48</f>
        <v>-0.0877</v>
      </c>
      <c r="V177" s="24" t="n">
        <f aca="false">V15+$D$34*V48</f>
        <v>-0.0523</v>
      </c>
      <c r="W177" s="24" t="n">
        <f aca="false">W15+$D$34*W48</f>
        <v>-0.0454</v>
      </c>
      <c r="X177" s="24" t="n">
        <f aca="false">X15+$D$34*X48</f>
        <v>-0.02</v>
      </c>
      <c r="Z177" s="35" t="s">
        <v>80</v>
      </c>
      <c r="AA177" s="24" t="n">
        <f aca="false">AA15+$E$34*AA48</f>
        <v>0.6767</v>
      </c>
      <c r="AB177" s="24" t="n">
        <f aca="false">AB15+$E$34*AB48</f>
        <v>0.6511</v>
      </c>
      <c r="AC177" s="24" t="n">
        <f aca="false">AC15+$E$34*AC48</f>
        <v>0.6243</v>
      </c>
      <c r="AD177" s="24" t="n">
        <f aca="false">AD15+$E$34*AD48</f>
        <v>0.6059</v>
      </c>
      <c r="AE177" s="24" t="n">
        <f aca="false">AE15+$E$34*AE48</f>
        <v>0.5844</v>
      </c>
      <c r="AF177" s="24" t="n">
        <f aca="false">AF15+$E$34*AF48</f>
        <v>0.5668</v>
      </c>
      <c r="AG177" s="24" t="n">
        <f aca="false">AG15+$E$34*AG48</f>
        <v>0.531</v>
      </c>
      <c r="AH177" s="24" t="n">
        <f aca="false">AH15+$E$34*AH48</f>
        <v>0.5179</v>
      </c>
      <c r="AI177" s="24" t="n">
        <f aca="false">AI15+$E$34*AI48</f>
        <v>0.4894</v>
      </c>
      <c r="AJ177" s="24" t="n">
        <f aca="false">AJ15+$E$34*AJ48</f>
        <v>0.4678</v>
      </c>
      <c r="AL177" s="35" t="s">
        <v>80</v>
      </c>
      <c r="AM177" s="37" t="n">
        <f aca="false">C177*(1+(((2-3*O177^2)/24*AA177^2)+(O177*AA177*C177/4))*20)</f>
        <v>0.623507397967299</v>
      </c>
      <c r="AN177" s="37" t="n">
        <f aca="false">D177*(1+(((2-3*P177^2)/24*AB177^2)+(P177*AB177*D177/4))*20)</f>
        <v>0.601660466510925</v>
      </c>
      <c r="AO177" s="37" t="n">
        <f aca="false">E177*(1+(((2-3*Q177^2)/24*AC177^2)+(Q177*AC177*E177/4))*20)</f>
        <v>0.566690173596809</v>
      </c>
      <c r="AP177" s="37" t="n">
        <f aca="false">F177*(1+(((2-3*R177^2)/24*AD177^2)+(R177*AD177*F177/4))*20)</f>
        <v>0.556077288904546</v>
      </c>
      <c r="AQ177" s="37" t="n">
        <f aca="false">G177*(1+(((2-3*S177^2)/24*AE177^2)+(S177*AE177*G177/4))*20)</f>
        <v>0.516521330028366</v>
      </c>
      <c r="AR177" s="37" t="n">
        <f aca="false">H177*(1+(((2-3*T177^2)/24*AF177^2)+(T177*AF177*H177/4))*20)</f>
        <v>0.491289948014977</v>
      </c>
      <c r="AS177" s="37" t="n">
        <f aca="false">I177*(1+(((2-3*U177^2)/24*AG177^2)+(U177*AG177*I177/4))*20)</f>
        <v>0.455204558126587</v>
      </c>
      <c r="AT177" s="37" t="n">
        <f aca="false">J177*(1+(((2-3*V177^2)/24*AH177^2)+(V177*AH177*J177/4))*20)</f>
        <v>0.441642083711903</v>
      </c>
      <c r="AU177" s="37" t="n">
        <f aca="false">K177*(1+(((2-3*W177^2)/24*AI177^2)+(W177*AI177*K177/4))*20)</f>
        <v>0.39047067584831</v>
      </c>
      <c r="AV177" s="37" t="n">
        <f aca="false">L177*(1+(((2-3*X177^2)/24*AJ177^2)+(X177*AJ177*L177/4))*20)</f>
        <v>0.377023212962657</v>
      </c>
    </row>
    <row r="178" customFormat="false" ht="15" hidden="false" customHeight="true" outlineLevel="0" collapsed="false">
      <c r="B178" s="35" t="s">
        <v>81</v>
      </c>
      <c r="C178" s="24" t="n">
        <f aca="false">C16+$C$34*C49</f>
        <v>0.425593</v>
      </c>
      <c r="D178" s="24" t="n">
        <f aca="false">D16+$C$34*D49</f>
        <v>0.402792</v>
      </c>
      <c r="E178" s="24" t="n">
        <f aca="false">E16+$C$34*E49</f>
        <v>0.383641</v>
      </c>
      <c r="F178" s="24" t="n">
        <f aca="false">F16+$C$34*F49</f>
        <v>0.369298</v>
      </c>
      <c r="G178" s="24" t="n">
        <f aca="false">G16+$C$34*G49</f>
        <v>0.3525975</v>
      </c>
      <c r="H178" s="24" t="n">
        <f aca="false">H16+$C$34*H49</f>
        <v>0.3250135</v>
      </c>
      <c r="I178" s="24" t="n">
        <f aca="false">I16+$C$34*I49</f>
        <v>0.309084</v>
      </c>
      <c r="J178" s="24" t="n">
        <f aca="false">J16+$C$34*J49</f>
        <v>0.287375</v>
      </c>
      <c r="K178" s="24" t="n">
        <f aca="false">K16+$C$34*K49</f>
        <v>0.270875</v>
      </c>
      <c r="L178" s="24" t="n">
        <f aca="false">L16+$C$34*L49</f>
        <v>0.257875</v>
      </c>
      <c r="N178" s="35" t="s">
        <v>81</v>
      </c>
      <c r="O178" s="24" t="n">
        <f aca="false">O16+$D$34*O49</f>
        <v>-0.176</v>
      </c>
      <c r="P178" s="24" t="n">
        <f aca="false">P16+$D$34*P49</f>
        <v>-0.1549</v>
      </c>
      <c r="Q178" s="24" t="n">
        <f aca="false">Q16+$D$34*Q49</f>
        <v>-0.1366</v>
      </c>
      <c r="R178" s="24" t="n">
        <f aca="false">R16+$D$34*R49</f>
        <v>-0.1078</v>
      </c>
      <c r="S178" s="24" t="n">
        <f aca="false">S16+$D$34*S49</f>
        <v>-0.0932</v>
      </c>
      <c r="T178" s="24" t="n">
        <f aca="false">T16+$D$34*T49</f>
        <v>-0.0702</v>
      </c>
      <c r="U178" s="24" t="n">
        <f aca="false">U16+$D$34*U49</f>
        <v>-0.0495</v>
      </c>
      <c r="V178" s="24" t="n">
        <f aca="false">V16+$D$34*V49</f>
        <v>-0.0437</v>
      </c>
      <c r="W178" s="24" t="n">
        <f aca="false">W16+$D$34*W49</f>
        <v>-0.0183</v>
      </c>
      <c r="X178" s="24" t="n">
        <f aca="false">X16+$D$34*X49</f>
        <v>0.0089</v>
      </c>
      <c r="Z178" s="35" t="s">
        <v>81</v>
      </c>
      <c r="AA178" s="24" t="n">
        <f aca="false">AA16+$E$34*AA49</f>
        <v>0.6568</v>
      </c>
      <c r="AB178" s="24" t="n">
        <f aca="false">AB16+$E$34*AB49</f>
        <v>0.6205</v>
      </c>
      <c r="AC178" s="24" t="n">
        <f aca="false">AC16+$E$34*AC49</f>
        <v>0.598</v>
      </c>
      <c r="AD178" s="24" t="n">
        <f aca="false">AD16+$E$34*AD49</f>
        <v>0.5822</v>
      </c>
      <c r="AE178" s="24" t="n">
        <f aca="false">AE16+$E$34*AE49</f>
        <v>0.5526</v>
      </c>
      <c r="AF178" s="24" t="n">
        <f aca="false">AF16+$E$34*AF49</f>
        <v>0.5337</v>
      </c>
      <c r="AG178" s="24" t="n">
        <f aca="false">AG16+$E$34*AG49</f>
        <v>0.5081</v>
      </c>
      <c r="AH178" s="24" t="n">
        <f aca="false">AH16+$E$34*AH49</f>
        <v>0.4978</v>
      </c>
      <c r="AI178" s="24" t="n">
        <f aca="false">AI16+$E$34*AI49</f>
        <v>0.4779</v>
      </c>
      <c r="AJ178" s="24" t="n">
        <f aca="false">AJ16+$E$34*AJ49</f>
        <v>0.4579</v>
      </c>
      <c r="AL178" s="35" t="s">
        <v>81</v>
      </c>
      <c r="AM178" s="37" t="n">
        <f aca="false">C178*(1+(((2-3*O178^2)/24*AA178^2)+(O178*AA178*C178/4))*30)</f>
        <v>0.706219174953833</v>
      </c>
      <c r="AN178" s="37" t="n">
        <f aca="false">D178*(1+(((2-3*P178^2)/24*AB178^2)+(P178*AB178*D178/4))*30)</f>
        <v>0.659591412651983</v>
      </c>
      <c r="AO178" s="37" t="n">
        <f aca="false">E178*(1+(((2-3*Q178^2)/24*AC178^2)+(Q178*AC178*E178/4))*30)</f>
        <v>0.62684990805093</v>
      </c>
      <c r="AP178" s="37" t="n">
        <f aca="false">F178*(1+(((2-3*R178^2)/24*AD178^2)+(R178*AD178*F178/4))*30)</f>
        <v>0.612587536378475</v>
      </c>
      <c r="AQ178" s="37" t="n">
        <f aca="false">G178*(1+(((2-3*S178^2)/24*AE178^2)+(S178*AE178*G178/4))*30)</f>
        <v>0.570246468381745</v>
      </c>
      <c r="AR178" s="37" t="n">
        <f aca="false">H178*(1+(((2-3*T178^2)/24*AF178^2)+(T178*AF178*H178/4))*30)</f>
        <v>0.525058946556798</v>
      </c>
      <c r="AS178" s="37" t="n">
        <f aca="false">I178*(1+(((2-3*U178^2)/24*AG178^2)+(U178*AG178*I178/4))*30)</f>
        <v>0.489817380895684</v>
      </c>
      <c r="AT178" s="37" t="n">
        <f aca="false">J178*(1+(((2-3*V178^2)/24*AH178^2)+(V178*AH178*J178/4))*30)</f>
        <v>0.451423340473605</v>
      </c>
      <c r="AU178" s="37" t="n">
        <f aca="false">K178*(1+(((2-3*W178^2)/24*AI178^2)+(W178*AI178*K178/4))*30)</f>
        <v>0.420646401643538</v>
      </c>
      <c r="AV178" s="37" t="n">
        <f aca="false">L178*(1+(((2-3*X178^2)/24*AJ178^2)+(X178*AJ178*L178/4))*30)</f>
        <v>0.39506466727794</v>
      </c>
    </row>
    <row r="180" customFormat="false" ht="15" hidden="false" customHeight="true" outlineLevel="0" collapsed="false">
      <c r="A180" s="28" t="s">
        <v>162</v>
      </c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</row>
    <row r="181" customFormat="false" ht="15" hidden="false" customHeight="true" outlineLevel="0" collapsed="false">
      <c r="B181" s="28" t="s">
        <v>136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N181" s="28" t="s">
        <v>137</v>
      </c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Z181" s="28" t="s">
        <v>138</v>
      </c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L181" s="34" t="s">
        <v>139</v>
      </c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</row>
    <row r="182" customFormat="false" ht="15" hidden="false" customHeight="true" outlineLevel="0" collapsed="false">
      <c r="B182" s="18" t="s">
        <v>140</v>
      </c>
      <c r="C182" s="12" t="s">
        <v>141</v>
      </c>
      <c r="D182" s="12" t="s">
        <v>74</v>
      </c>
      <c r="E182" s="12" t="s">
        <v>75</v>
      </c>
      <c r="F182" s="12" t="s">
        <v>30</v>
      </c>
      <c r="G182" s="12" t="s">
        <v>76</v>
      </c>
      <c r="H182" s="12" t="s">
        <v>77</v>
      </c>
      <c r="I182" s="12" t="s">
        <v>78</v>
      </c>
      <c r="J182" s="12" t="s">
        <v>79</v>
      </c>
      <c r="K182" s="12" t="s">
        <v>80</v>
      </c>
      <c r="L182" s="12" t="s">
        <v>81</v>
      </c>
      <c r="N182" s="18" t="s">
        <v>140</v>
      </c>
      <c r="O182" s="12" t="s">
        <v>141</v>
      </c>
      <c r="P182" s="12" t="s">
        <v>74</v>
      </c>
      <c r="Q182" s="12" t="s">
        <v>75</v>
      </c>
      <c r="R182" s="12" t="s">
        <v>30</v>
      </c>
      <c r="S182" s="12" t="s">
        <v>76</v>
      </c>
      <c r="T182" s="12" t="s">
        <v>77</v>
      </c>
      <c r="U182" s="12" t="s">
        <v>78</v>
      </c>
      <c r="V182" s="12" t="s">
        <v>79</v>
      </c>
      <c r="W182" s="12" t="s">
        <v>80</v>
      </c>
      <c r="X182" s="12" t="s">
        <v>81</v>
      </c>
      <c r="Z182" s="18" t="s">
        <v>140</v>
      </c>
      <c r="AA182" s="12" t="s">
        <v>141</v>
      </c>
      <c r="AB182" s="12" t="s">
        <v>74</v>
      </c>
      <c r="AC182" s="12" t="s">
        <v>75</v>
      </c>
      <c r="AD182" s="12" t="s">
        <v>30</v>
      </c>
      <c r="AE182" s="12" t="s">
        <v>76</v>
      </c>
      <c r="AF182" s="12" t="s">
        <v>77</v>
      </c>
      <c r="AG182" s="12" t="s">
        <v>78</v>
      </c>
      <c r="AH182" s="12" t="s">
        <v>79</v>
      </c>
      <c r="AI182" s="12" t="s">
        <v>80</v>
      </c>
      <c r="AJ182" s="12" t="s">
        <v>81</v>
      </c>
      <c r="AL182" s="18" t="s">
        <v>140</v>
      </c>
      <c r="AM182" s="12" t="s">
        <v>141</v>
      </c>
      <c r="AN182" s="12" t="s">
        <v>74</v>
      </c>
      <c r="AO182" s="12" t="s">
        <v>75</v>
      </c>
      <c r="AP182" s="12" t="s">
        <v>30</v>
      </c>
      <c r="AQ182" s="12" t="s">
        <v>76</v>
      </c>
      <c r="AR182" s="12" t="s">
        <v>77</v>
      </c>
      <c r="AS182" s="12" t="s">
        <v>78</v>
      </c>
      <c r="AT182" s="12" t="s">
        <v>79</v>
      </c>
      <c r="AU182" s="12" t="s">
        <v>80</v>
      </c>
      <c r="AV182" s="12" t="s">
        <v>81</v>
      </c>
    </row>
    <row r="183" customFormat="false" ht="15" hidden="false" customHeight="true" outlineLevel="0" collapsed="false">
      <c r="B183" s="35" t="s">
        <v>141</v>
      </c>
      <c r="C183" s="24" t="n">
        <f aca="false">C7+$C$35*C40</f>
        <v>0.5970916</v>
      </c>
      <c r="D183" s="24" t="n">
        <f aca="false">D7+$C$35*D40</f>
        <v>0.5743688</v>
      </c>
      <c r="E183" s="24" t="n">
        <f aca="false">E7+$C$35*E40</f>
        <v>0.564572</v>
      </c>
      <c r="F183" s="24" t="n">
        <f aca="false">F7+$C$35*F40</f>
        <v>0.533744</v>
      </c>
      <c r="G183" s="24" t="n">
        <f aca="false">G7+$C$35*G40</f>
        <v>0.5231892</v>
      </c>
      <c r="H183" s="24" t="n">
        <f aca="false">H7+$C$35*H40</f>
        <v>0.4999292</v>
      </c>
      <c r="I183" s="24" t="n">
        <f aca="false">I7+$C$35*I40</f>
        <v>0.475644</v>
      </c>
      <c r="J183" s="24" t="n">
        <f aca="false">J7+$C$35*J40</f>
        <v>0.4651</v>
      </c>
      <c r="K183" s="24" t="n">
        <f aca="false">K7+$C$35*K40</f>
        <v>0.43584</v>
      </c>
      <c r="L183" s="24" t="n">
        <f aca="false">L7+$C$35*L40</f>
        <v>0.4240432</v>
      </c>
      <c r="N183" s="35" t="s">
        <v>141</v>
      </c>
      <c r="O183" s="24" t="n">
        <f aca="false">O7+$D$35*O40</f>
        <v>-0.3586</v>
      </c>
      <c r="P183" s="24" t="n">
        <f aca="false">P7+$D$35*P40</f>
        <v>-0.3387</v>
      </c>
      <c r="Q183" s="24" t="n">
        <f aca="false">Q7+$D$35*Q40</f>
        <v>-0.3126</v>
      </c>
      <c r="R183" s="24" t="n">
        <f aca="false">R7+$D$35*R40</f>
        <v>-0.2851</v>
      </c>
      <c r="S183" s="24" t="n">
        <f aca="false">S7+$D$35*S40</f>
        <v>-0.2797</v>
      </c>
      <c r="T183" s="24" t="n">
        <f aca="false">T7+$D$35*T40</f>
        <v>-0.2583</v>
      </c>
      <c r="U183" s="24" t="n">
        <f aca="false">U7+$D$35*U40</f>
        <v>-0.2308</v>
      </c>
      <c r="V183" s="24" t="n">
        <f aca="false">V7+$D$35*V40</f>
        <v>-0.2049</v>
      </c>
      <c r="W183" s="24" t="n">
        <f aca="false">W7+$D$35*W40</f>
        <v>-0.1929</v>
      </c>
      <c r="X183" s="24" t="n">
        <f aca="false">X7+$D$35*X40</f>
        <v>-0.1771</v>
      </c>
      <c r="Z183" s="35" t="s">
        <v>141</v>
      </c>
      <c r="AA183" s="24" t="n">
        <f aca="false">AA7+$E$35*AA40</f>
        <v>0.8595</v>
      </c>
      <c r="AB183" s="24" t="n">
        <f aca="false">AB7+$E$35*AB40</f>
        <v>0.8187</v>
      </c>
      <c r="AC183" s="24" t="n">
        <f aca="false">AC7+$E$35*AC40</f>
        <v>0.8127</v>
      </c>
      <c r="AD183" s="24" t="n">
        <f aca="false">AD7+$E$35*AD40</f>
        <v>0.7791</v>
      </c>
      <c r="AE183" s="24" t="n">
        <f aca="false">AE7+$E$35*AE40</f>
        <v>0.754</v>
      </c>
      <c r="AF183" s="24" t="n">
        <f aca="false">AF7+$E$35*AF40</f>
        <v>0.7312</v>
      </c>
      <c r="AG183" s="24" t="n">
        <f aca="false">AG7+$E$35*AG40</f>
        <v>0.7128</v>
      </c>
      <c r="AH183" s="24" t="n">
        <f aca="false">AH7+$E$35*AH40</f>
        <v>0.7008</v>
      </c>
      <c r="AI183" s="24" t="n">
        <f aca="false">AI7+$E$35*AI40</f>
        <v>0.6658</v>
      </c>
      <c r="AJ183" s="24" t="n">
        <f aca="false">AJ7+$E$35*AJ40</f>
        <v>0.6516</v>
      </c>
      <c r="AL183" s="35" t="s">
        <v>141</v>
      </c>
      <c r="AM183" s="37" t="n">
        <f aca="false">C183*(1+(((2-3*O183^2)/24*AA183^2)+(O183*AA183*C183/4))*0.0833333333333333)</f>
        <v>0.597274638185805</v>
      </c>
      <c r="AN183" s="37" t="n">
        <f aca="false">D183*(1+(((2-3*P183^2)/24*AB183^2)+(P183*AB183*D183/4))*0.0833333333333333)</f>
        <v>0.574676428229031</v>
      </c>
      <c r="AO183" s="37" t="n">
        <f aca="false">E183*(1+(((2-3*Q183^2)/24*AC183^2)+(Q183*AC183*E183/4))*0.0833333333333333)</f>
        <v>0.565094937117719</v>
      </c>
      <c r="AP183" s="37" t="n">
        <f aca="false">F183*(1+(((2-3*R183^2)/24*AD183^2)+(R183*AD183*F183/4))*0.0833333333333333)</f>
        <v>0.534401253915582</v>
      </c>
      <c r="AQ183" s="37" t="n">
        <f aca="false">G183*(1+(((2-3*S183^2)/24*AE183^2)+(S183*AE183*G183/4))*0.0833333333333333)</f>
        <v>0.523809722854298</v>
      </c>
      <c r="AR183" s="37" t="n">
        <f aca="false">H183*(1+(((2-3*T183^2)/24*AF183^2)+(T183*AF183*H183/4))*0.0833333333333333)</f>
        <v>0.500616196074558</v>
      </c>
      <c r="AS183" s="37" t="n">
        <f aca="false">I183*(1+(((2-3*U183^2)/24*AG183^2)+(U183*AG183*I183/4))*0.0833333333333333)</f>
        <v>0.476412745754417</v>
      </c>
      <c r="AT183" s="37" t="n">
        <f aca="false">J183*(1+(((2-3*V183^2)/24*AH183^2)+(V183*AH183*J183/4))*0.0833333333333333)</f>
        <v>0.465939231680878</v>
      </c>
      <c r="AU183" s="37" t="n">
        <f aca="false">K183*(1+(((2-3*W183^2)/24*AI183^2)+(W183*AI183*K183/4))*0.0833333333333333)</f>
        <v>0.436598539190617</v>
      </c>
      <c r="AV183" s="37" t="n">
        <f aca="false">L183*(1+(((2-3*X183^2)/24*AJ183^2)+(X183*AJ183*L183/4))*0.0833333333333333)</f>
        <v>0.424802371956464</v>
      </c>
    </row>
    <row r="184" customFormat="false" ht="15" hidden="false" customHeight="true" outlineLevel="0" collapsed="false">
      <c r="B184" s="35" t="s">
        <v>74</v>
      </c>
      <c r="C184" s="24" t="n">
        <f aca="false">C8+$C$35*C41</f>
        <v>0.5834684</v>
      </c>
      <c r="D184" s="24" t="n">
        <f aca="false">D8+$C$35*D41</f>
        <v>0.5584664</v>
      </c>
      <c r="E184" s="24" t="n">
        <f aca="false">E8+$C$35*E41</f>
        <v>0.5426172</v>
      </c>
      <c r="F184" s="24" t="n">
        <f aca="false">F8+$C$35*F41</f>
        <v>0.5129624</v>
      </c>
      <c r="G184" s="24" t="n">
        <f aca="false">G8+$C$35*G41</f>
        <v>0.4947456</v>
      </c>
      <c r="H184" s="24" t="n">
        <f aca="false">H8+$C$35*H41</f>
        <v>0.4774064</v>
      </c>
      <c r="I184" s="24" t="n">
        <f aca="false">I8+$C$35*I41</f>
        <v>0.4682156</v>
      </c>
      <c r="J184" s="24" t="n">
        <f aca="false">J8+$C$35*J41</f>
        <v>0.4427868</v>
      </c>
      <c r="K184" s="24" t="n">
        <f aca="false">K8+$C$35*K41</f>
        <v>0.4221172</v>
      </c>
      <c r="L184" s="24" t="n">
        <f aca="false">L8+$C$35*L41</f>
        <v>0.4077836</v>
      </c>
      <c r="N184" s="35" t="s">
        <v>74</v>
      </c>
      <c r="O184" s="24" t="n">
        <f aca="false">O8+$D$35*O41</f>
        <v>-0.3315</v>
      </c>
      <c r="P184" s="24" t="n">
        <f aca="false">P8+$D$35*P41</f>
        <v>-0.3151</v>
      </c>
      <c r="Q184" s="24" t="n">
        <f aca="false">Q8+$D$35*Q41</f>
        <v>-0.2858</v>
      </c>
      <c r="R184" s="24" t="n">
        <f aca="false">R8+$D$35*R41</f>
        <v>-0.2682</v>
      </c>
      <c r="S184" s="24" t="n">
        <f aca="false">S8+$D$35*S41</f>
        <v>-0.2579</v>
      </c>
      <c r="T184" s="24" t="n">
        <f aca="false">T8+$D$35*T41</f>
        <v>-0.2318</v>
      </c>
      <c r="U184" s="24" t="n">
        <f aca="false">U8+$D$35*U41</f>
        <v>-0.2134</v>
      </c>
      <c r="V184" s="24" t="n">
        <f aca="false">V8+$D$35*V41</f>
        <v>-0.1869</v>
      </c>
      <c r="W184" s="24" t="n">
        <f aca="false">W8+$D$35*W41</f>
        <v>-0.1704</v>
      </c>
      <c r="X184" s="24" t="n">
        <f aca="false">X8+$D$35*X41</f>
        <v>-0.1598</v>
      </c>
      <c r="Z184" s="35" t="s">
        <v>74</v>
      </c>
      <c r="AA184" s="24" t="n">
        <f aca="false">AA8+$E$35*AA41</f>
        <v>0.8374</v>
      </c>
      <c r="AB184" s="24" t="n">
        <f aca="false">AB8+$E$35*AB41</f>
        <v>0.7979</v>
      </c>
      <c r="AC184" s="24" t="n">
        <f aca="false">AC8+$E$35*AC41</f>
        <v>0.7817</v>
      </c>
      <c r="AD184" s="24" t="n">
        <f aca="false">AD8+$E$35*AD41</f>
        <v>0.7663</v>
      </c>
      <c r="AE184" s="24" t="n">
        <f aca="false">AE8+$E$35*AE41</f>
        <v>0.7319</v>
      </c>
      <c r="AF184" s="24" t="n">
        <f aca="false">AF8+$E$35*AF41</f>
        <v>0.7164</v>
      </c>
      <c r="AG184" s="24" t="n">
        <f aca="false">AG8+$E$35*AG41</f>
        <v>0.6852</v>
      </c>
      <c r="AH184" s="24" t="n">
        <f aca="false">AH8+$E$35*AH41</f>
        <v>0.6756</v>
      </c>
      <c r="AI184" s="24" t="n">
        <f aca="false">AI8+$E$35*AI41</f>
        <v>0.6553</v>
      </c>
      <c r="AJ184" s="24" t="n">
        <f aca="false">AJ8+$E$35*AJ41</f>
        <v>0.6292</v>
      </c>
      <c r="AL184" s="35" t="s">
        <v>74</v>
      </c>
      <c r="AM184" s="37" t="n">
        <f aca="false">C184*(1+(((2-3*O184^2)/24*AA184^2)+(O184*AA184*C184/4))*0.25)</f>
        <v>0.584680781021153</v>
      </c>
      <c r="AN184" s="37" t="n">
        <f aca="false">D184*(1+(((2-3*P184^2)/24*AB184^2)+(P184*AB184*D184/4))*0.25)</f>
        <v>0.559869566297776</v>
      </c>
      <c r="AO184" s="37" t="n">
        <f aca="false">E184*(1+(((2-3*Q184^2)/24*AC184^2)+(Q184*AC184*E184/4))*0.25)</f>
        <v>0.544567330535485</v>
      </c>
      <c r="AP184" s="37" t="n">
        <f aca="false">F184*(1+(((2-3*R184^2)/24*AD184^2)+(R184*AD184*F184/4))*0.25)</f>
        <v>0.515180773321397</v>
      </c>
      <c r="AQ184" s="37" t="n">
        <f aca="false">G184*(1+(((2-3*S184^2)/24*AE184^2)+(S184*AE184*G184/4))*0.25)</f>
        <v>0.49682841400213</v>
      </c>
      <c r="AR184" s="37" t="n">
        <f aca="false">H184*(1+(((2-3*T184^2)/24*AF184^2)+(T184*AF184*H184/4))*0.25)</f>
        <v>0.479734032897168</v>
      </c>
      <c r="AS184" s="37" t="n">
        <f aca="false">I184*(1+(((2-3*U184^2)/24*AG184^2)+(U184*AG184*I184/4))*0.25)</f>
        <v>0.470479013279157</v>
      </c>
      <c r="AT184" s="37" t="n">
        <f aca="false">J184*(1+(((2-3*V184^2)/24*AH184^2)+(V184*AH184*J184/4))*0.25)</f>
        <v>0.445229394062023</v>
      </c>
      <c r="AU184" s="37" t="n">
        <f aca="false">K184*(1+(((2-3*W184^2)/24*AI184^2)+(W184*AI184*K184/4))*0.25)</f>
        <v>0.424485544312061</v>
      </c>
      <c r="AV184" s="37" t="n">
        <f aca="false">L184*(1+(((2-3*X184^2)/24*AJ184^2)+(X184*AJ184*L184/4))*0.25)</f>
        <v>0.409973101603227</v>
      </c>
    </row>
    <row r="185" customFormat="false" ht="15" hidden="false" customHeight="true" outlineLevel="0" collapsed="false">
      <c r="B185" s="35" t="s">
        <v>75</v>
      </c>
      <c r="C185" s="24" t="n">
        <f aca="false">C9+$C$35*C42</f>
        <v>0.568124</v>
      </c>
      <c r="D185" s="24" t="n">
        <f aca="false">D9+$C$35*D42</f>
        <v>0.5377908</v>
      </c>
      <c r="E185" s="24" t="n">
        <f aca="false">E9+$C$35*E42</f>
        <v>0.527174</v>
      </c>
      <c r="F185" s="24" t="n">
        <f aca="false">F9+$C$35*F42</f>
        <v>0.5048768</v>
      </c>
      <c r="G185" s="24" t="n">
        <f aca="false">G9+$C$35*G42</f>
        <v>0.4860124</v>
      </c>
      <c r="H185" s="24" t="n">
        <f aca="false">H9+$C$35*H42</f>
        <v>0.4629624</v>
      </c>
      <c r="I185" s="24" t="n">
        <f aca="false">I9+$C$35*I42</f>
        <v>0.4504864</v>
      </c>
      <c r="J185" s="24" t="n">
        <f aca="false">J9+$C$35*J42</f>
        <v>0.4341168</v>
      </c>
      <c r="K185" s="24" t="n">
        <f aca="false">K9+$C$35*K42</f>
        <v>0.4054572</v>
      </c>
      <c r="L185" s="24" t="n">
        <f aca="false">L9+$C$35*L42</f>
        <v>0.3887336</v>
      </c>
      <c r="N185" s="35" t="s">
        <v>75</v>
      </c>
      <c r="O185" s="24" t="n">
        <f aca="false">O9+$D$35*O42</f>
        <v>-0.3199</v>
      </c>
      <c r="P185" s="24" t="n">
        <f aca="false">P9+$D$35*P42</f>
        <v>-0.2876</v>
      </c>
      <c r="Q185" s="24" t="n">
        <f aca="false">Q9+$D$35*Q42</f>
        <v>-0.2693</v>
      </c>
      <c r="R185" s="24" t="n">
        <f aca="false">R9+$D$35*R42</f>
        <v>-0.2429</v>
      </c>
      <c r="S185" s="24" t="n">
        <f aca="false">S9+$D$35*S42</f>
        <v>-0.2269</v>
      </c>
      <c r="T185" s="24" t="n">
        <f aca="false">T9+$D$35*T42</f>
        <v>-0.2182</v>
      </c>
      <c r="U185" s="24" t="n">
        <f aca="false">U9+$D$35*U42</f>
        <v>-0.1967</v>
      </c>
      <c r="V185" s="24" t="n">
        <f aca="false">V9+$D$35*V42</f>
        <v>-0.1716</v>
      </c>
      <c r="W185" s="24" t="n">
        <f aca="false">W9+$D$35*W42</f>
        <v>-0.1651</v>
      </c>
      <c r="X185" s="24" t="n">
        <f aca="false">X9+$D$35*X42</f>
        <v>-0.1369</v>
      </c>
      <c r="Z185" s="35" t="s">
        <v>75</v>
      </c>
      <c r="AA185" s="24" t="n">
        <f aca="false">AA9+$E$35*AA42</f>
        <v>0.7989</v>
      </c>
      <c r="AB185" s="24" t="n">
        <f aca="false">AB9+$E$35*AB42</f>
        <v>0.7757</v>
      </c>
      <c r="AC185" s="24" t="n">
        <f aca="false">AC9+$E$35*AC42</f>
        <v>0.7523</v>
      </c>
      <c r="AD185" s="24" t="n">
        <f aca="false">AD9+$E$35*AD42</f>
        <v>0.7443</v>
      </c>
      <c r="AE185" s="24" t="n">
        <f aca="false">AE9+$E$35*AE42</f>
        <v>0.7093</v>
      </c>
      <c r="AF185" s="24" t="n">
        <f aca="false">AF9+$E$35*AF42</f>
        <v>0.6894</v>
      </c>
      <c r="AG185" s="24" t="n">
        <f aca="false">AG9+$E$35*AG42</f>
        <v>0.67</v>
      </c>
      <c r="AH185" s="24" t="n">
        <f aca="false">AH9+$E$35*AH42</f>
        <v>0.6574</v>
      </c>
      <c r="AI185" s="24" t="n">
        <f aca="false">AI9+$E$35*AI42</f>
        <v>0.6194</v>
      </c>
      <c r="AJ185" s="24" t="n">
        <f aca="false">AJ9+$E$35*AJ42</f>
        <v>0.6045</v>
      </c>
      <c r="AL185" s="35" t="s">
        <v>75</v>
      </c>
      <c r="AM185" s="37" t="n">
        <f aca="false">C185*(1+(((2-3*O185^2)/24*AA185^2)+(O185*AA185*C185/4))*0.5)</f>
        <v>0.570602097494178</v>
      </c>
      <c r="AN185" s="37" t="n">
        <f aca="false">D185*(1+(((2-3*P185^2)/24*AB185^2)+(P185*AB185*D185/4))*0.5)</f>
        <v>0.541535762391096</v>
      </c>
      <c r="AO185" s="37" t="n">
        <f aca="false">E185*(1+(((2-3*Q185^2)/24*AC185^2)+(Q185*AC185*E185/4))*0.5)</f>
        <v>0.531215251631357</v>
      </c>
      <c r="AP185" s="37" t="n">
        <f aca="false">F185*(1+(((2-3*R185^2)/24*AD185^2)+(R185*AD185*F185/4))*0.5)</f>
        <v>0.509738846826477</v>
      </c>
      <c r="AQ185" s="37" t="n">
        <f aca="false">G185*(1+(((2-3*S185^2)/24*AE185^2)+(S185*AE185*G185/4))*0.5)</f>
        <v>0.490661860460829</v>
      </c>
      <c r="AR185" s="37" t="n">
        <f aca="false">H185*(1+(((2-3*T185^2)/24*AF185^2)+(T185*AF185*H185/4))*0.5)</f>
        <v>0.467445489734873</v>
      </c>
      <c r="AS185" s="37" t="n">
        <f aca="false">I185*(1+(((2-3*U185^2)/24*AG185^2)+(U185*AG185*I185/4))*0.5)</f>
        <v>0.45508023567797</v>
      </c>
      <c r="AT185" s="37" t="n">
        <f aca="false">J185*(1+(((2-3*V185^2)/24*AH185^2)+(V185*AH185*J185/4))*0.5)</f>
        <v>0.438931295129279</v>
      </c>
      <c r="AU185" s="37" t="n">
        <f aca="false">K185*(1+(((2-3*W185^2)/24*AI185^2)+(W185*AI185*K185/4))*0.5)</f>
        <v>0.409572253724559</v>
      </c>
      <c r="AV185" s="37" t="n">
        <f aca="false">L185*(1+(((2-3*X185^2)/24*AJ185^2)+(X185*AJ185*L185/4))*0.5)</f>
        <v>0.392922807604588</v>
      </c>
    </row>
    <row r="186" customFormat="false" ht="15" hidden="false" customHeight="true" outlineLevel="0" collapsed="false">
      <c r="B186" s="35" t="s">
        <v>30</v>
      </c>
      <c r="C186" s="24" t="n">
        <f aca="false">C10+$C$35*C43</f>
        <v>0.542238</v>
      </c>
      <c r="D186" s="24" t="n">
        <f aca="false">D10+$C$35*D43</f>
        <v>0.529868</v>
      </c>
      <c r="E186" s="24" t="n">
        <f aca="false">E10+$C$35*E43</f>
        <v>0.5103248</v>
      </c>
      <c r="F186" s="24" t="n">
        <f aca="false">F10+$C$35*F43</f>
        <v>0.49127</v>
      </c>
      <c r="G186" s="24" t="n">
        <f aca="false">G10+$C$35*G43</f>
        <v>0.4588252</v>
      </c>
      <c r="H186" s="24" t="n">
        <f aca="false">H10+$C$35*H43</f>
        <v>0.442334</v>
      </c>
      <c r="I186" s="24" t="n">
        <f aca="false">I10+$C$35*I43</f>
        <v>0.4214056</v>
      </c>
      <c r="J186" s="24" t="n">
        <f aca="false">J10+$C$35*J43</f>
        <v>0.4122984</v>
      </c>
      <c r="K186" s="24" t="n">
        <f aca="false">K10+$C$35*K43</f>
        <v>0.3956448</v>
      </c>
      <c r="L186" s="24" t="n">
        <f aca="false">L10+$C$35*L43</f>
        <v>0.3588316</v>
      </c>
      <c r="N186" s="35" t="s">
        <v>30</v>
      </c>
      <c r="O186" s="24" t="n">
        <f aca="false">O10+$D$35*O43</f>
        <v>-0.2981</v>
      </c>
      <c r="P186" s="24" t="n">
        <f aca="false">P10+$D$35*P43</f>
        <v>-0.2776</v>
      </c>
      <c r="Q186" s="24" t="n">
        <f aca="false">Q10+$D$35*Q43</f>
        <v>-0.2581</v>
      </c>
      <c r="R186" s="24" t="n">
        <f aca="false">R10+$D$35*R43</f>
        <v>-0.2336</v>
      </c>
      <c r="S186" s="24" t="n">
        <f aca="false">S10+$D$35*S43</f>
        <v>-0.2121</v>
      </c>
      <c r="T186" s="24" t="n">
        <f aca="false">T10+$D$35*T43</f>
        <v>-0.1992</v>
      </c>
      <c r="U186" s="24" t="n">
        <f aca="false">U10+$D$35*U43</f>
        <v>-0.1849</v>
      </c>
      <c r="V186" s="24" t="n">
        <f aca="false">V10+$D$35*V43</f>
        <v>-0.1572</v>
      </c>
      <c r="W186" s="24" t="n">
        <f aca="false">W10+$D$35*W43</f>
        <v>-0.1387</v>
      </c>
      <c r="X186" s="24" t="n">
        <f aca="false">X10+$D$35*X43</f>
        <v>-0.1153</v>
      </c>
      <c r="Z186" s="35" t="s">
        <v>30</v>
      </c>
      <c r="AA186" s="24" t="n">
        <f aca="false">AA10+$E$35*AA43</f>
        <v>0.7924</v>
      </c>
      <c r="AB186" s="24" t="n">
        <f aca="false">AB10+$E$35*AB43</f>
        <v>0.7649</v>
      </c>
      <c r="AC186" s="24" t="n">
        <f aca="false">AC10+$E$35*AC43</f>
        <v>0.7392</v>
      </c>
      <c r="AD186" s="24" t="n">
        <f aca="false">AD10+$E$35*AD43</f>
        <v>0.719</v>
      </c>
      <c r="AE186" s="24" t="n">
        <f aca="false">AE10+$E$35*AE43</f>
        <v>0.698</v>
      </c>
      <c r="AF186" s="24" t="n">
        <f aca="false">AF10+$E$35*AF43</f>
        <v>0.6633</v>
      </c>
      <c r="AG186" s="24" t="n">
        <f aca="false">AG10+$E$35*AG43</f>
        <v>0.658</v>
      </c>
      <c r="AH186" s="24" t="n">
        <f aca="false">AH10+$E$35*AH43</f>
        <v>0.6334</v>
      </c>
      <c r="AI186" s="24" t="n">
        <f aca="false">AI10+$E$35*AI43</f>
        <v>0.613</v>
      </c>
      <c r="AJ186" s="24" t="n">
        <f aca="false">AJ10+$E$35*AJ43</f>
        <v>0.5893</v>
      </c>
      <c r="AL186" s="35" t="s">
        <v>30</v>
      </c>
      <c r="AM186" s="37" t="n">
        <f aca="false">C186*(1+(((2-3*O186^2)/24*AA186^2)+(O186*AA186*C186/4))*1)</f>
        <v>0.549465514293911</v>
      </c>
      <c r="AN186" s="37" t="n">
        <f aca="false">D186*(1+(((2-3*P186^2)/24*AB186^2)+(P186*AB186*D186/4))*1)</f>
        <v>0.537812110250847</v>
      </c>
      <c r="AO186" s="37" t="n">
        <f aca="false">E186*(1+(((2-3*Q186^2)/24*AC186^2)+(Q186*AC186*E186/4))*1)</f>
        <v>0.518818561527708</v>
      </c>
      <c r="AP186" s="37" t="n">
        <f aca="false">F186*(1+(((2-3*R186^2)/24*AD186^2)+(R186*AD186*F186/4))*1)</f>
        <v>0.500567579278653</v>
      </c>
      <c r="AQ186" s="37" t="n">
        <f aca="false">G186*(1+(((2-3*S186^2)/24*AE186^2)+(S186*AE186*G186/4))*1)</f>
        <v>0.468404943684447</v>
      </c>
      <c r="AR186" s="37" t="n">
        <f aca="false">H186*(1+(((2-3*T186^2)/24*AF186^2)+(T186*AF186*H186/4))*1)</f>
        <v>0.451123313458792</v>
      </c>
      <c r="AS186" s="37" t="n">
        <f aca="false">I186*(1+(((2-3*U186^2)/24*AG186^2)+(U186*AG186*I186/4))*1)</f>
        <v>0.430428975786715</v>
      </c>
      <c r="AT186" s="37" t="n">
        <f aca="false">J186*(1+(((2-3*V186^2)/24*AH186^2)+(V186*AH186*J186/4))*1)</f>
        <v>0.421340306298811</v>
      </c>
      <c r="AU186" s="37" t="n">
        <f aca="false">K186*(1+(((2-3*W186^2)/24*AI186^2)+(W186*AI186*K186/4))*1)</f>
        <v>0.404349274635504</v>
      </c>
      <c r="AV186" s="37" t="n">
        <f aca="false">L186*(1+(((2-3*X186^2)/24*AJ186^2)+(X186*AJ186*L186/4))*1)</f>
        <v>0.366821751519444</v>
      </c>
    </row>
    <row r="187" customFormat="false" ht="15" hidden="false" customHeight="true" outlineLevel="0" collapsed="false">
      <c r="B187" s="35" t="s">
        <v>76</v>
      </c>
      <c r="C187" s="24" t="n">
        <f aca="false">C11+$C$35*C44</f>
        <v>0.5205104</v>
      </c>
      <c r="D187" s="24" t="n">
        <f aca="false">D11+$C$35*D44</f>
        <v>0.5008452</v>
      </c>
      <c r="E187" s="24" t="n">
        <f aca="false">E11+$C$35*E44</f>
        <v>0.4749956</v>
      </c>
      <c r="F187" s="24" t="n">
        <f aca="false">F11+$C$35*F44</f>
        <v>0.4670944</v>
      </c>
      <c r="G187" s="24" t="n">
        <f aca="false">G11+$C$35*G44</f>
        <v>0.4350128</v>
      </c>
      <c r="H187" s="24" t="n">
        <f aca="false">H11+$C$35*H44</f>
        <v>0.4165484</v>
      </c>
      <c r="I187" s="24" t="n">
        <f aca="false">I11+$C$35*I44</f>
        <v>0.3988932</v>
      </c>
      <c r="J187" s="24" t="n">
        <f aca="false">J11+$C$35*J44</f>
        <v>0.379018</v>
      </c>
      <c r="K187" s="24" t="n">
        <f aca="false">K11+$C$35*K44</f>
        <v>0.3626948</v>
      </c>
      <c r="L187" s="24" t="n">
        <f aca="false">L11+$C$35*L44</f>
        <v>0.3375456</v>
      </c>
      <c r="N187" s="35" t="s">
        <v>76</v>
      </c>
      <c r="O187" s="24" t="n">
        <f aca="false">O11+$D$35*O44</f>
        <v>-0.2822</v>
      </c>
      <c r="P187" s="24" t="n">
        <f aca="false">P11+$D$35*P44</f>
        <v>-0.2598</v>
      </c>
      <c r="Q187" s="24" t="n">
        <f aca="false">Q11+$D$35*Q44</f>
        <v>-0.2413</v>
      </c>
      <c r="R187" s="24" t="n">
        <f aca="false">R11+$D$35*R44</f>
        <v>-0.2166</v>
      </c>
      <c r="S187" s="24" t="n">
        <f aca="false">S11+$D$35*S44</f>
        <v>-0.2039</v>
      </c>
      <c r="T187" s="24" t="n">
        <f aca="false">T11+$D$35*T44</f>
        <v>-0.1675</v>
      </c>
      <c r="U187" s="24" t="n">
        <f aca="false">U11+$D$35*U44</f>
        <v>-0.1533</v>
      </c>
      <c r="V187" s="24" t="n">
        <f aca="false">V11+$D$35*V44</f>
        <v>-0.1431</v>
      </c>
      <c r="W187" s="24" t="n">
        <f aca="false">W11+$D$35*W44</f>
        <v>-0.1216</v>
      </c>
      <c r="X187" s="24" t="n">
        <f aca="false">X11+$D$35*X44</f>
        <v>-0.1003</v>
      </c>
      <c r="Z187" s="35" t="s">
        <v>76</v>
      </c>
      <c r="AA187" s="24" t="n">
        <f aca="false">AA11+$E$35*AA44</f>
        <v>0.7584</v>
      </c>
      <c r="AB187" s="24" t="n">
        <f aca="false">AB11+$E$35*AB44</f>
        <v>0.7313</v>
      </c>
      <c r="AC187" s="24" t="n">
        <f aca="false">AC11+$E$35*AC44</f>
        <v>0.7236</v>
      </c>
      <c r="AD187" s="24" t="n">
        <f aca="false">AD11+$E$35*AD44</f>
        <v>0.7043</v>
      </c>
      <c r="AE187" s="24" t="n">
        <f aca="false">AE11+$E$35*AE44</f>
        <v>0.6715</v>
      </c>
      <c r="AF187" s="24" t="n">
        <f aca="false">AF11+$E$35*AF44</f>
        <v>0.6497</v>
      </c>
      <c r="AG187" s="24" t="n">
        <f aca="false">AG11+$E$35*AG44</f>
        <v>0.6195</v>
      </c>
      <c r="AH187" s="24" t="n">
        <f aca="false">AH11+$E$35*AH44</f>
        <v>0.5976</v>
      </c>
      <c r="AI187" s="24" t="n">
        <f aca="false">AI11+$E$35*AI44</f>
        <v>0.5802</v>
      </c>
      <c r="AJ187" s="24" t="n">
        <f aca="false">AJ11+$E$35*AJ44</f>
        <v>0.5564</v>
      </c>
      <c r="AL187" s="35" t="s">
        <v>76</v>
      </c>
      <c r="AM187" s="37" t="n">
        <f aca="false">C187*(1+(((2-3*O187^2)/24*AA187^2)+(O187*AA187*C187/4))*2)</f>
        <v>0.535454579271858</v>
      </c>
      <c r="AN187" s="37" t="n">
        <f aca="false">D187*(1+(((2-3*P187^2)/24*AB187^2)+(P187*AB187*D187/4))*2)</f>
        <v>0.517138115486821</v>
      </c>
      <c r="AO187" s="37" t="n">
        <f aca="false">E187*(1+(((2-3*Q187^2)/24*AC187^2)+(Q187*AC187*E187/4))*2)</f>
        <v>0.49312914320346</v>
      </c>
      <c r="AP187" s="37" t="n">
        <f aca="false">F187*(1+(((2-3*R187^2)/24*AD187^2)+(R187*AD187*F187/4))*2)</f>
        <v>0.486351372353356</v>
      </c>
      <c r="AQ187" s="37" t="n">
        <f aca="false">G187*(1+(((2-3*S187^2)/24*AE187^2)+(S187*AE187*G187/4))*2)</f>
        <v>0.452711131611438</v>
      </c>
      <c r="AR187" s="37" t="n">
        <f aca="false">H187*(1+(((2-3*T187^2)/24*AF187^2)+(T187*AF187*H187/4))*2)</f>
        <v>0.435178771856816</v>
      </c>
      <c r="AS187" s="37" t="n">
        <f aca="false">I187*(1+(((2-3*U187^2)/24*AG187^2)+(U187*AG187*I187/4))*2)</f>
        <v>0.415952771860614</v>
      </c>
      <c r="AT187" s="37" t="n">
        <f aca="false">J187*(1+(((2-3*V187^2)/24*AH187^2)+(V187*AH187*J187/4))*2)</f>
        <v>0.394742142280361</v>
      </c>
      <c r="AU187" s="37" t="n">
        <f aca="false">K187*(1+(((2-3*W187^2)/24*AI187^2)+(W187*AI187*K187/4))*2)</f>
        <v>0.37795208366313</v>
      </c>
      <c r="AV187" s="37" t="n">
        <f aca="false">L187*(1+(((2-3*X187^2)/24*AJ187^2)+(X187*AJ187*L187/4))*2)</f>
        <v>0.35151983035436</v>
      </c>
    </row>
    <row r="188" customFormat="false" ht="15" hidden="false" customHeight="true" outlineLevel="0" collapsed="false">
      <c r="B188" s="35" t="s">
        <v>77</v>
      </c>
      <c r="C188" s="24" t="n">
        <f aca="false">C12+$C$35*C45</f>
        <v>0.5104248</v>
      </c>
      <c r="D188" s="24" t="n">
        <f aca="false">D12+$C$35*D45</f>
        <v>0.4772648</v>
      </c>
      <c r="E188" s="24" t="n">
        <f aca="false">E12+$C$35*E45</f>
        <v>0.4540728</v>
      </c>
      <c r="F188" s="24" t="n">
        <f aca="false">F12+$C$35*F45</f>
        <v>0.4542348</v>
      </c>
      <c r="G188" s="24" t="n">
        <f aca="false">G12+$C$35*G45</f>
        <v>0.4250268</v>
      </c>
      <c r="H188" s="24" t="n">
        <f aca="false">H12+$C$35*H45</f>
        <v>0.3982304</v>
      </c>
      <c r="I188" s="24" t="n">
        <f aca="false">I12+$C$35*I45</f>
        <v>0.3874396</v>
      </c>
      <c r="J188" s="24" t="n">
        <f aca="false">J12+$C$35*J45</f>
        <v>0.3572164</v>
      </c>
      <c r="K188" s="24" t="n">
        <f aca="false">K12+$C$35*K45</f>
        <v>0.3467296</v>
      </c>
      <c r="L188" s="24" t="n">
        <f aca="false">L12+$C$35*L45</f>
        <v>0.3378604</v>
      </c>
      <c r="N188" s="35" t="s">
        <v>77</v>
      </c>
      <c r="O188" s="24" t="n">
        <f aca="false">O12+$D$35*O45</f>
        <v>-0.2455</v>
      </c>
      <c r="P188" s="24" t="n">
        <f aca="false">P12+$D$35*P45</f>
        <v>-0.2294</v>
      </c>
      <c r="Q188" s="24" t="n">
        <f aca="false">Q12+$D$35*Q45</f>
        <v>-0.2187</v>
      </c>
      <c r="R188" s="24" t="n">
        <f aca="false">R12+$D$35*R45</f>
        <v>-0.1971</v>
      </c>
      <c r="S188" s="24" t="n">
        <f aca="false">S12+$D$35*S45</f>
        <v>-0.1817</v>
      </c>
      <c r="T188" s="24" t="n">
        <f aca="false">T12+$D$35*T45</f>
        <v>-0.1501</v>
      </c>
      <c r="U188" s="24" t="n">
        <f aca="false">U12+$D$35*U45</f>
        <v>-0.1355</v>
      </c>
      <c r="V188" s="24" t="n">
        <f aca="false">V12+$D$35*V45</f>
        <v>-0.1111</v>
      </c>
      <c r="W188" s="24" t="n">
        <f aca="false">W12+$D$35*W45</f>
        <v>-0.1006</v>
      </c>
      <c r="X188" s="24" t="n">
        <f aca="false">X12+$D$35*X45</f>
        <v>-0.0833</v>
      </c>
      <c r="Z188" s="35" t="s">
        <v>77</v>
      </c>
      <c r="AA188" s="24" t="n">
        <f aca="false">AA12+$E$35*AA45</f>
        <v>0.7451</v>
      </c>
      <c r="AB188" s="24" t="n">
        <f aca="false">AB12+$E$35*AB45</f>
        <v>0.7264</v>
      </c>
      <c r="AC188" s="24" t="n">
        <f aca="false">AC12+$E$35*AC45</f>
        <v>0.7015</v>
      </c>
      <c r="AD188" s="24" t="n">
        <f aca="false">AD12+$E$35*AD45</f>
        <v>0.6783</v>
      </c>
      <c r="AE188" s="24" t="n">
        <f aca="false">AE12+$E$35*AE45</f>
        <v>0.6564</v>
      </c>
      <c r="AF188" s="24" t="n">
        <f aca="false">AF12+$E$35*AF45</f>
        <v>0.6326</v>
      </c>
      <c r="AG188" s="24" t="n">
        <f aca="false">AG12+$E$35*AG45</f>
        <v>0.6001</v>
      </c>
      <c r="AH188" s="24" t="n">
        <f aca="false">AH12+$E$35*AH45</f>
        <v>0.5837</v>
      </c>
      <c r="AI188" s="24" t="n">
        <f aca="false">AI12+$E$35*AI45</f>
        <v>0.5582</v>
      </c>
      <c r="AJ188" s="24" t="n">
        <f aca="false">AJ12+$E$35*AJ45</f>
        <v>0.5295</v>
      </c>
      <c r="AL188" s="35" t="s">
        <v>77</v>
      </c>
      <c r="AM188" s="37" t="n">
        <f aca="false">C188*(1+(((2-3*O188^2)/24*AA188^2)+(O188*AA188*C188/4))*3)</f>
        <v>0.53912081118894</v>
      </c>
      <c r="AN188" s="37" t="n">
        <f aca="false">D188*(1+(((2-3*P188^2)/24*AB188^2)+(P188*AB188*D188/4))*3)</f>
        <v>0.506785635320797</v>
      </c>
      <c r="AO188" s="37" t="n">
        <f aca="false">E188*(1+(((2-3*Q188^2)/24*AC188^2)+(Q188*AC188*E188/4))*3)</f>
        <v>0.48220348544632</v>
      </c>
      <c r="AP188" s="37" t="n">
        <f aca="false">F188*(1+(((2-3*R188^2)/24*AD188^2)+(R188*AD188*F188/4))*3)</f>
        <v>0.482748963354916</v>
      </c>
      <c r="AQ188" s="37" t="n">
        <f aca="false">G188*(1+(((2-3*S188^2)/24*AE188^2)+(S188*AE188*G188/4))*3)</f>
        <v>0.45238233059924</v>
      </c>
      <c r="AR188" s="37" t="n">
        <f aca="false">H188*(1+(((2-3*T188^2)/24*AF188^2)+(T188*AF188*H188/4))*3)</f>
        <v>0.425431403372431</v>
      </c>
      <c r="AS188" s="37" t="n">
        <f aca="false">I188*(1+(((2-3*U188^2)/24*AG188^2)+(U188*AG188*I188/4))*3)</f>
        <v>0.412205698340653</v>
      </c>
      <c r="AT188" s="37" t="n">
        <f aca="false">J188*(1+(((2-3*V188^2)/24*AH188^2)+(V188*AH188*J188/4))*3)</f>
        <v>0.380873246592967</v>
      </c>
      <c r="AU188" s="37" t="n">
        <f aca="false">K188*(1+(((2-3*W188^2)/24*AI188^2)+(W188*AI188*K188/4))*3)</f>
        <v>0.368265448619751</v>
      </c>
      <c r="AV188" s="37" t="n">
        <f aca="false">L188*(1+(((2-3*X188^2)/24*AJ188^2)+(X188*AJ188*L188/4))*3)</f>
        <v>0.357519287285452</v>
      </c>
    </row>
    <row r="189" customFormat="false" ht="15" hidden="false" customHeight="true" outlineLevel="0" collapsed="false">
      <c r="B189" s="35" t="s">
        <v>78</v>
      </c>
      <c r="C189" s="24" t="n">
        <f aca="false">C13+$C$35*C46</f>
        <v>0.4735588</v>
      </c>
      <c r="D189" s="24" t="n">
        <f aca="false">D13+$C$35*D46</f>
        <v>0.459078</v>
      </c>
      <c r="E189" s="24" t="n">
        <f aca="false">E13+$C$35*E46</f>
        <v>0.4402136</v>
      </c>
      <c r="F189" s="24" t="n">
        <f aca="false">F13+$C$35*F46</f>
        <v>0.428548</v>
      </c>
      <c r="G189" s="24" t="n">
        <f aca="false">G13+$C$35*G46</f>
        <v>0.4142408</v>
      </c>
      <c r="H189" s="24" t="n">
        <f aca="false">H13+$C$35*H46</f>
        <v>0.3840544</v>
      </c>
      <c r="I189" s="24" t="n">
        <f aca="false">I13+$C$35*I46</f>
        <v>0.374342</v>
      </c>
      <c r="J189" s="24" t="n">
        <f aca="false">J13+$C$35*J46</f>
        <v>0.356846</v>
      </c>
      <c r="K189" s="24" t="n">
        <f aca="false">K13+$C$35*K46</f>
        <v>0.33607</v>
      </c>
      <c r="L189" s="24" t="n">
        <f aca="false">L13+$C$35*L46</f>
        <v>0.3053896</v>
      </c>
      <c r="N189" s="35" t="s">
        <v>78</v>
      </c>
      <c r="O189" s="24" t="n">
        <f aca="false">O13+$D$35*O46</f>
        <v>-0.2389</v>
      </c>
      <c r="P189" s="24" t="n">
        <f aca="false">P13+$D$35*P46</f>
        <v>-0.2194</v>
      </c>
      <c r="Q189" s="24" t="n">
        <f aca="false">Q13+$D$35*Q46</f>
        <v>-0.2005</v>
      </c>
      <c r="R189" s="24" t="n">
        <f aca="false">R13+$D$35*R46</f>
        <v>-0.1809</v>
      </c>
      <c r="S189" s="24" t="n">
        <f aca="false">S13+$D$35*S46</f>
        <v>-0.1531</v>
      </c>
      <c r="T189" s="24" t="n">
        <f aca="false">T13+$D$35*T46</f>
        <v>-0.1281</v>
      </c>
      <c r="U189" s="24" t="n">
        <f aca="false">U13+$D$35*U46</f>
        <v>-0.1099</v>
      </c>
      <c r="V189" s="24" t="n">
        <f aca="false">V13+$D$35*V46</f>
        <v>-0.0976</v>
      </c>
      <c r="W189" s="24" t="n">
        <f aca="false">W13+$D$35*W46</f>
        <v>-0.0747</v>
      </c>
      <c r="X189" s="24" t="n">
        <f aca="false">X13+$D$35*X46</f>
        <v>-0.0523</v>
      </c>
      <c r="Z189" s="35" t="s">
        <v>78</v>
      </c>
      <c r="AA189" s="24" t="n">
        <f aca="false">AA13+$E$35*AA46</f>
        <v>0.7084</v>
      </c>
      <c r="AB189" s="24" t="n">
        <f aca="false">AB13+$E$35*AB46</f>
        <v>0.6977</v>
      </c>
      <c r="AC189" s="24" t="n">
        <f aca="false">AC13+$E$35*AC46</f>
        <v>0.6804</v>
      </c>
      <c r="AD189" s="24" t="n">
        <f aca="false">AD13+$E$35*AD46</f>
        <v>0.6556</v>
      </c>
      <c r="AE189" s="24" t="n">
        <f aca="false">AE13+$E$35*AE46</f>
        <v>0.6328</v>
      </c>
      <c r="AF189" s="24" t="n">
        <f aca="false">AF13+$E$35*AF46</f>
        <v>0.6051</v>
      </c>
      <c r="AG189" s="24" t="n">
        <f aca="false">AG13+$E$35*AG46</f>
        <v>0.5769</v>
      </c>
      <c r="AH189" s="24" t="n">
        <f aca="false">AH13+$E$35*AH46</f>
        <v>0.5669</v>
      </c>
      <c r="AI189" s="24" t="n">
        <f aca="false">AI13+$E$35*AI46</f>
        <v>0.5355</v>
      </c>
      <c r="AJ189" s="24" t="n">
        <f aca="false">AJ13+$E$35*AJ46</f>
        <v>0.5227</v>
      </c>
      <c r="AL189" s="35" t="s">
        <v>78</v>
      </c>
      <c r="AM189" s="37" t="n">
        <f aca="false">C189*(1+(((2-3*O189^2)/24*AA189^2)+(O189*AA189*C189/4))*5)</f>
        <v>0.516660201626516</v>
      </c>
      <c r="AN189" s="37" t="n">
        <f aca="false">D189*(1+(((2-3*P189^2)/24*AB189^2)+(P189*AB189*D189/4))*5)</f>
        <v>0.505141994433527</v>
      </c>
      <c r="AO189" s="37" t="n">
        <f aca="false">E189*(1+(((2-3*Q189^2)/24*AC189^2)+(Q189*AC189*E189/4))*5)</f>
        <v>0.486961784545755</v>
      </c>
      <c r="AP189" s="37" t="n">
        <f aca="false">F189*(1+(((2-3*R189^2)/24*AD189^2)+(R189*AD189*F189/4))*5)</f>
        <v>0.474302330559463</v>
      </c>
      <c r="AQ189" s="37" t="n">
        <f aca="false">G189*(1+(((2-3*S189^2)/24*AE189^2)+(S189*AE189*G189/4))*5)</f>
        <v>0.460145535675388</v>
      </c>
      <c r="AR189" s="37" t="n">
        <f aca="false">H189*(1+(((2-3*T189^2)/24*AF189^2)+(T189*AF189*H189/4))*5)</f>
        <v>0.426912559811354</v>
      </c>
      <c r="AS189" s="37" t="n">
        <f aca="false">I189*(1+(((2-3*U189^2)/24*AG189^2)+(U189*AG189*I189/4))*5)</f>
        <v>0.414206724816386</v>
      </c>
      <c r="AT189" s="37" t="n">
        <f aca="false">J189*(1+(((2-3*V189^2)/24*AH189^2)+(V189*AH189*J189/4))*5)</f>
        <v>0.395140232873024</v>
      </c>
      <c r="AU189" s="37" t="n">
        <f aca="false">K189*(1+(((2-3*W189^2)/24*AI189^2)+(W189*AI189*K189/4))*5)</f>
        <v>0.37024128432764</v>
      </c>
      <c r="AV189" s="37" t="n">
        <f aca="false">L189*(1+(((2-3*X189^2)/24*AJ189^2)+(X189*AJ189*L189/4))*5)</f>
        <v>0.336825490087778</v>
      </c>
    </row>
    <row r="190" customFormat="false" ht="15" hidden="false" customHeight="true" outlineLevel="0" collapsed="false">
      <c r="B190" s="35" t="s">
        <v>79</v>
      </c>
      <c r="C190" s="24" t="n">
        <f aca="false">C14+$C$35*C47</f>
        <v>0.4731992</v>
      </c>
      <c r="D190" s="24" t="n">
        <f aca="false">D14+$C$35*D47</f>
        <v>0.4423132</v>
      </c>
      <c r="E190" s="24" t="n">
        <f aca="false">E14+$C$35*E47</f>
        <v>0.4238488</v>
      </c>
      <c r="F190" s="24" t="n">
        <f aca="false">F14+$C$35*F47</f>
        <v>0.4143884</v>
      </c>
      <c r="G190" s="24" t="n">
        <f aca="false">G14+$C$35*G47</f>
        <v>0.3906024</v>
      </c>
      <c r="H190" s="24" t="n">
        <f aca="false">H14+$C$35*H47</f>
        <v>0.3605272</v>
      </c>
      <c r="I190" s="24" t="n">
        <f aca="false">I14+$C$35*I47</f>
        <v>0.3388876</v>
      </c>
      <c r="J190" s="24" t="n">
        <f aca="false">J14+$C$35*J47</f>
        <v>0.3197804</v>
      </c>
      <c r="K190" s="24" t="n">
        <f aca="false">K14+$C$35*K47</f>
        <v>0.31679</v>
      </c>
      <c r="L190" s="24" t="n">
        <f aca="false">L14+$C$35*L47</f>
        <v>0.2951564</v>
      </c>
      <c r="N190" s="35" t="s">
        <v>79</v>
      </c>
      <c r="O190" s="24" t="n">
        <f aca="false">O14+$D$35*O47</f>
        <v>-0.221</v>
      </c>
      <c r="P190" s="24" t="n">
        <f aca="false">P14+$D$35*P47</f>
        <v>-0.1879</v>
      </c>
      <c r="Q190" s="24" t="n">
        <f aca="false">Q14+$D$35*Q47</f>
        <v>-0.1654</v>
      </c>
      <c r="R190" s="24" t="n">
        <f aca="false">R14+$D$35*R47</f>
        <v>-0.1524</v>
      </c>
      <c r="S190" s="24" t="n">
        <f aca="false">S14+$D$35*S47</f>
        <v>-0.1391</v>
      </c>
      <c r="T190" s="24" t="n">
        <f aca="false">T14+$D$35*T47</f>
        <v>-0.1157</v>
      </c>
      <c r="U190" s="24" t="n">
        <f aca="false">U14+$D$35*U47</f>
        <v>-0.1046</v>
      </c>
      <c r="V190" s="24" t="n">
        <f aca="false">V14+$D$35*V47</f>
        <v>-0.0875</v>
      </c>
      <c r="W190" s="24" t="n">
        <f aca="false">W14+$D$35*W47</f>
        <v>-0.0489</v>
      </c>
      <c r="X190" s="24" t="n">
        <f aca="false">X14+$D$35*X47</f>
        <v>-0.0359</v>
      </c>
      <c r="Z190" s="35" t="s">
        <v>79</v>
      </c>
      <c r="AA190" s="24" t="n">
        <f aca="false">AA14+$E$35*AA47</f>
        <v>0.695</v>
      </c>
      <c r="AB190" s="24" t="n">
        <f aca="false">AB14+$E$35*AB47</f>
        <v>0.6809</v>
      </c>
      <c r="AC190" s="24" t="n">
        <f aca="false">AC14+$E$35*AC47</f>
        <v>0.6487</v>
      </c>
      <c r="AD190" s="24" t="n">
        <f aca="false">AD14+$E$35*AD47</f>
        <v>0.6352</v>
      </c>
      <c r="AE190" s="24" t="n">
        <f aca="false">AE14+$E$35*AE47</f>
        <v>0.6121</v>
      </c>
      <c r="AF190" s="24" t="n">
        <f aca="false">AF14+$E$35*AF47</f>
        <v>0.5776</v>
      </c>
      <c r="AG190" s="24" t="n">
        <f aca="false">AG14+$E$35*AG47</f>
        <v>0.5561</v>
      </c>
      <c r="AH190" s="24" t="n">
        <f aca="false">AH14+$E$35*AH47</f>
        <v>0.5347</v>
      </c>
      <c r="AI190" s="24" t="n">
        <f aca="false">AI14+$E$35*AI47</f>
        <v>0.5115</v>
      </c>
      <c r="AJ190" s="24" t="n">
        <f aca="false">AJ14+$E$35*AJ47</f>
        <v>0.4962</v>
      </c>
      <c r="AL190" s="35" t="s">
        <v>79</v>
      </c>
      <c r="AM190" s="37" t="n">
        <f aca="false">C190*(1+(((2-3*O190^2)/24*AA190^2)+(O190*AA190*C190/4))*10)</f>
        <v>0.563735918139674</v>
      </c>
      <c r="AN190" s="37" t="n">
        <f aca="false">D190*(1+(((2-3*P190^2)/24*AB190^2)+(P190*AB190*D190/4))*10)</f>
        <v>0.541576130644283</v>
      </c>
      <c r="AO190" s="37" t="n">
        <f aca="false">E190*(1+(((2-3*Q190^2)/24*AC190^2)+(Q190*AC190*E190/4))*10)</f>
        <v>0.518195008738579</v>
      </c>
      <c r="AP190" s="37" t="n">
        <f aca="false">F190*(1+(((2-3*R190^2)/24*AD190^2)+(R190*AD190*F190/4))*10)</f>
        <v>0.507307546006743</v>
      </c>
      <c r="AQ190" s="37" t="n">
        <f aca="false">G190*(1+(((2-3*S190^2)/24*AE190^2)+(S190*AE190*G190/4))*10)</f>
        <v>0.476541788573397</v>
      </c>
      <c r="AR190" s="37" t="n">
        <f aca="false">H190*(1+(((2-3*T190^2)/24*AF190^2)+(T190*AF190*H190/4))*10)</f>
        <v>0.437031805572355</v>
      </c>
      <c r="AS190" s="37" t="n">
        <f aca="false">I190*(1+(((2-3*U190^2)/24*AG190^2)+(U190*AG190*I190/4))*10)</f>
        <v>0.408086929264011</v>
      </c>
      <c r="AT190" s="37" t="n">
        <f aca="false">J190*(1+(((2-3*V190^2)/24*AH190^2)+(V190*AH190*J190/4))*10)</f>
        <v>0.383133342986453</v>
      </c>
      <c r="AU190" s="37" t="n">
        <f aca="false">K190*(1+(((2-3*W190^2)/24*AI190^2)+(W190*AI190*K190/4))*10)</f>
        <v>0.379335654466283</v>
      </c>
      <c r="AV190" s="37" t="n">
        <f aca="false">L190*(1+(((2-3*X190^2)/24*AJ190^2)+(X190*AJ190*L190/4))*10)</f>
        <v>0.351719453819593</v>
      </c>
    </row>
    <row r="191" customFormat="false" ht="15" hidden="false" customHeight="true" outlineLevel="0" collapsed="false">
      <c r="B191" s="35" t="s">
        <v>80</v>
      </c>
      <c r="C191" s="24" t="n">
        <f aca="false">C15+$C$35*C48</f>
        <v>0.439234</v>
      </c>
      <c r="D191" s="24" t="n">
        <f aca="false">D15+$C$35*D48</f>
        <v>0.4227636</v>
      </c>
      <c r="E191" s="24" t="n">
        <f aca="false">E15+$C$35*E48</f>
        <v>0.3985624</v>
      </c>
      <c r="F191" s="24" t="n">
        <f aca="false">F15+$C$35*F48</f>
        <v>0.3949976</v>
      </c>
      <c r="G191" s="24" t="n">
        <f aca="false">G15+$C$35*G48</f>
        <v>0.3629632</v>
      </c>
      <c r="H191" s="24" t="n">
        <f aca="false">H15+$C$35*H48</f>
        <v>0.3469412</v>
      </c>
      <c r="I191" s="24" t="n">
        <f aca="false">I15+$C$35*I48</f>
        <v>0.3297708</v>
      </c>
      <c r="J191" s="24" t="n">
        <f aca="false">J15+$C$35*J48</f>
        <v>0.3161896</v>
      </c>
      <c r="K191" s="24" t="n">
        <f aca="false">K15+$C$35*K48</f>
        <v>0.286598</v>
      </c>
      <c r="L191" s="24" t="n">
        <f aca="false">L15+$C$35*L48</f>
        <v>0.27974</v>
      </c>
      <c r="N191" s="35" t="s">
        <v>80</v>
      </c>
      <c r="O191" s="24" t="n">
        <f aca="false">O15+$D$35*O48</f>
        <v>-0.1944</v>
      </c>
      <c r="P191" s="24" t="n">
        <f aca="false">P15+$D$35*P48</f>
        <v>-0.1744</v>
      </c>
      <c r="Q191" s="24" t="n">
        <f aca="false">Q15+$D$35*Q48</f>
        <v>-0.1551</v>
      </c>
      <c r="R191" s="24" t="n">
        <f aca="false">R15+$D$35*R48</f>
        <v>-0.1457</v>
      </c>
      <c r="S191" s="24" t="n">
        <f aca="false">S15+$D$35*S48</f>
        <v>-0.1179</v>
      </c>
      <c r="T191" s="24" t="n">
        <f aca="false">T15+$D$35*T48</f>
        <v>-0.1036</v>
      </c>
      <c r="U191" s="24" t="n">
        <f aca="false">U15+$D$35*U48</f>
        <v>-0.0877</v>
      </c>
      <c r="V191" s="24" t="n">
        <f aca="false">V15+$D$35*V48</f>
        <v>-0.0523</v>
      </c>
      <c r="W191" s="24" t="n">
        <f aca="false">W15+$D$35*W48</f>
        <v>-0.0454</v>
      </c>
      <c r="X191" s="24" t="n">
        <f aca="false">X15+$D$35*X48</f>
        <v>-0.02</v>
      </c>
      <c r="Z191" s="35" t="s">
        <v>80</v>
      </c>
      <c r="AA191" s="24" t="n">
        <f aca="false">AA15+$E$35*AA48</f>
        <v>0.6767</v>
      </c>
      <c r="AB191" s="24" t="n">
        <f aca="false">AB15+$E$35*AB48</f>
        <v>0.6511</v>
      </c>
      <c r="AC191" s="24" t="n">
        <f aca="false">AC15+$E$35*AC48</f>
        <v>0.6243</v>
      </c>
      <c r="AD191" s="24" t="n">
        <f aca="false">AD15+$E$35*AD48</f>
        <v>0.6059</v>
      </c>
      <c r="AE191" s="24" t="n">
        <f aca="false">AE15+$E$35*AE48</f>
        <v>0.5844</v>
      </c>
      <c r="AF191" s="24" t="n">
        <f aca="false">AF15+$E$35*AF48</f>
        <v>0.5668</v>
      </c>
      <c r="AG191" s="24" t="n">
        <f aca="false">AG15+$E$35*AG48</f>
        <v>0.531</v>
      </c>
      <c r="AH191" s="24" t="n">
        <f aca="false">AH15+$E$35*AH48</f>
        <v>0.5179</v>
      </c>
      <c r="AI191" s="24" t="n">
        <f aca="false">AI15+$E$35*AI48</f>
        <v>0.4894</v>
      </c>
      <c r="AJ191" s="24" t="n">
        <f aca="false">AJ15+$E$35*AJ48</f>
        <v>0.4678</v>
      </c>
      <c r="AL191" s="35" t="s">
        <v>80</v>
      </c>
      <c r="AM191" s="37" t="n">
        <f aca="false">C191*(1+(((2-3*O191^2)/24*AA191^2)+(O191*AA191*C191/4))*20)</f>
        <v>0.628558690021968</v>
      </c>
      <c r="AN191" s="37" t="n">
        <f aca="false">D191*(1+(((2-3*P191^2)/24*AB191^2)+(P191*AB191*D191/4))*20)</f>
        <v>0.606365199015335</v>
      </c>
      <c r="AO191" s="37" t="n">
        <f aca="false">E191*(1+(((2-3*Q191^2)/24*AC191^2)+(Q191*AC191*E191/4))*20)</f>
        <v>0.571212733416376</v>
      </c>
      <c r="AP191" s="37" t="n">
        <f aca="false">F191*(1+(((2-3*R191^2)/24*AD191^2)+(R191*AD191*F191/4))*20)</f>
        <v>0.560115908508927</v>
      </c>
      <c r="AQ191" s="37" t="n">
        <f aca="false">G191*(1+(((2-3*S191^2)/24*AE191^2)+(S191*AE191*G191/4))*20)</f>
        <v>0.519870417021074</v>
      </c>
      <c r="AR191" s="37" t="n">
        <f aca="false">H191*(1+(((2-3*T191^2)/24*AF191^2)+(T191*AF191*H191/4))*20)</f>
        <v>0.494375271784673</v>
      </c>
      <c r="AS191" s="37" t="n">
        <f aca="false">I191*(1+(((2-3*U191^2)/24*AG191^2)+(U191*AG191*I191/4))*20)</f>
        <v>0.457632305699713</v>
      </c>
      <c r="AT191" s="37" t="n">
        <f aca="false">J191*(1+(((2-3*V191^2)/24*AH191^2)+(V191*AH191*J191/4))*20)</f>
        <v>0.443417351157298</v>
      </c>
      <c r="AU191" s="37" t="n">
        <f aca="false">K191*(1+(((2-3*W191^2)/24*AI191^2)+(W191*AI191*K191/4))*20)</f>
        <v>0.391525489310721</v>
      </c>
      <c r="AV191" s="37" t="n">
        <f aca="false">L191*(1+(((2-3*X191^2)/24*AJ191^2)+(X191*AJ191*L191/4))*20)</f>
        <v>0.378047067957384</v>
      </c>
    </row>
    <row r="192" customFormat="false" ht="15" hidden="false" customHeight="true" outlineLevel="0" collapsed="false">
      <c r="B192" s="35" t="s">
        <v>81</v>
      </c>
      <c r="C192" s="24" t="n">
        <f aca="false">C16+$C$35*C49</f>
        <v>0.4294792</v>
      </c>
      <c r="D192" s="24" t="n">
        <f aca="false">D16+$C$35*D49</f>
        <v>0.4065048</v>
      </c>
      <c r="E192" s="24" t="n">
        <f aca="false">E16+$C$35*E49</f>
        <v>0.3866704</v>
      </c>
      <c r="F192" s="24" t="n">
        <f aca="false">F16+$C$35*F49</f>
        <v>0.3720112</v>
      </c>
      <c r="G192" s="24" t="n">
        <f aca="false">G16+$C$35*G49</f>
        <v>0.354714</v>
      </c>
      <c r="H192" s="24" t="n">
        <f aca="false">H16+$C$35*H49</f>
        <v>0.3268444</v>
      </c>
      <c r="I192" s="24" t="n">
        <f aca="false">I16+$C$35*I49</f>
        <v>0.3103896</v>
      </c>
      <c r="J192" s="24" t="n">
        <f aca="false">J16+$C$35*J49</f>
        <v>0.28814</v>
      </c>
      <c r="K192" s="24" t="n">
        <f aca="false">K16+$C$35*K49</f>
        <v>0.27164</v>
      </c>
      <c r="L192" s="24" t="n">
        <f aca="false">L16+$C$35*L49</f>
        <v>0.25864</v>
      </c>
      <c r="N192" s="35" t="s">
        <v>81</v>
      </c>
      <c r="O192" s="24" t="n">
        <f aca="false">O16+$D$35*O49</f>
        <v>-0.176</v>
      </c>
      <c r="P192" s="24" t="n">
        <f aca="false">P16+$D$35*P49</f>
        <v>-0.1549</v>
      </c>
      <c r="Q192" s="24" t="n">
        <f aca="false">Q16+$D$35*Q49</f>
        <v>-0.1366</v>
      </c>
      <c r="R192" s="24" t="n">
        <f aca="false">R16+$D$35*R49</f>
        <v>-0.1078</v>
      </c>
      <c r="S192" s="24" t="n">
        <f aca="false">S16+$D$35*S49</f>
        <v>-0.0932</v>
      </c>
      <c r="T192" s="24" t="n">
        <f aca="false">T16+$D$35*T49</f>
        <v>-0.0702</v>
      </c>
      <c r="U192" s="24" t="n">
        <f aca="false">U16+$D$35*U49</f>
        <v>-0.0495</v>
      </c>
      <c r="V192" s="24" t="n">
        <f aca="false">V16+$D$35*V49</f>
        <v>-0.0437</v>
      </c>
      <c r="W192" s="24" t="n">
        <f aca="false">W16+$D$35*W49</f>
        <v>-0.0183</v>
      </c>
      <c r="X192" s="24" t="n">
        <f aca="false">X16+$D$35*X49</f>
        <v>0.0089</v>
      </c>
      <c r="Z192" s="35" t="s">
        <v>81</v>
      </c>
      <c r="AA192" s="24" t="n">
        <f aca="false">AA16+$E$35*AA49</f>
        <v>0.6568</v>
      </c>
      <c r="AB192" s="24" t="n">
        <f aca="false">AB16+$E$35*AB49</f>
        <v>0.6205</v>
      </c>
      <c r="AC192" s="24" t="n">
        <f aca="false">AC16+$E$35*AC49</f>
        <v>0.598</v>
      </c>
      <c r="AD192" s="24" t="n">
        <f aca="false">AD16+$E$35*AD49</f>
        <v>0.5822</v>
      </c>
      <c r="AE192" s="24" t="n">
        <f aca="false">AE16+$E$35*AE49</f>
        <v>0.5526</v>
      </c>
      <c r="AF192" s="24" t="n">
        <f aca="false">AF16+$E$35*AF49</f>
        <v>0.5337</v>
      </c>
      <c r="AG192" s="24" t="n">
        <f aca="false">AG16+$E$35*AG49</f>
        <v>0.5081</v>
      </c>
      <c r="AH192" s="24" t="n">
        <f aca="false">AH16+$E$35*AH49</f>
        <v>0.4978</v>
      </c>
      <c r="AI192" s="24" t="n">
        <f aca="false">AI16+$E$35*AI49</f>
        <v>0.4779</v>
      </c>
      <c r="AJ192" s="24" t="n">
        <f aca="false">AJ16+$E$35*AJ49</f>
        <v>0.4579</v>
      </c>
      <c r="AL192" s="35" t="s">
        <v>81</v>
      </c>
      <c r="AM192" s="37" t="n">
        <f aca="false">C192*(1+(((2-3*O192^2)/24*AA192^2)+(O192*AA192*C192/4))*30)</f>
        <v>0.711220825882699</v>
      </c>
      <c r="AN192" s="37" t="n">
        <f aca="false">D192*(1+(((2-3*P192^2)/24*AB192^2)+(P192*AB192*D192/4))*30)</f>
        <v>0.664583320537506</v>
      </c>
      <c r="AO192" s="37" t="n">
        <f aca="false">E192*(1+(((2-3*Q192^2)/24*AC192^2)+(Q192*AC192*E192/4))*30)</f>
        <v>0.631082147075704</v>
      </c>
      <c r="AP192" s="37" t="n">
        <f aca="false">F192*(1+(((2-3*R192^2)/24*AD192^2)+(R192*AD192*F192/4))*30)</f>
        <v>0.616613057763423</v>
      </c>
      <c r="AQ192" s="37" t="n">
        <f aca="false">G192*(1+(((2-3*S192^2)/24*AE192^2)+(S192*AE192*G192/4))*30)</f>
        <v>0.573379435903966</v>
      </c>
      <c r="AR192" s="37" t="n">
        <f aca="false">H192*(1+(((2-3*T192^2)/24*AF192^2)+(T192*AF192*H192/4))*30)</f>
        <v>0.527848611767891</v>
      </c>
      <c r="AS192" s="37" t="n">
        <f aca="false">I192*(1+(((2-3*U192^2)/24*AG192^2)+(U192*AG192*I192/4))*30)</f>
        <v>0.491809973599909</v>
      </c>
      <c r="AT192" s="37" t="n">
        <f aca="false">J192*(1+(((2-3*V192^2)/24*AH192^2)+(V192*AH192*J192/4))*30)</f>
        <v>0.45258907802799</v>
      </c>
      <c r="AU192" s="37" t="n">
        <f aca="false">K192*(1+(((2-3*W192^2)/24*AI192^2)+(W192*AI192*K192/4))*30)</f>
        <v>0.421820752902147</v>
      </c>
      <c r="AV192" s="37" t="n">
        <f aca="false">L192*(1+(((2-3*X192^2)/24*AJ192^2)+(X192*AJ192*L192/4))*30)</f>
        <v>0.396242695318227</v>
      </c>
    </row>
  </sheetData>
  <mergeCells count="61">
    <mergeCell ref="A3:AU3"/>
    <mergeCell ref="B5:L5"/>
    <mergeCell ref="N5:X5"/>
    <mergeCell ref="Z5:AJ5"/>
    <mergeCell ref="AL5:AV5"/>
    <mergeCell ref="A18:AU18"/>
    <mergeCell ref="A20:AU20"/>
    <mergeCell ref="B21:X22"/>
    <mergeCell ref="B24:E24"/>
    <mergeCell ref="B38:L38"/>
    <mergeCell ref="A51:AU51"/>
    <mergeCell ref="A54:AU54"/>
    <mergeCell ref="B55:L55"/>
    <mergeCell ref="N55:X55"/>
    <mergeCell ref="Z55:AJ55"/>
    <mergeCell ref="AL55:AV55"/>
    <mergeCell ref="A68:AU68"/>
    <mergeCell ref="B69:L69"/>
    <mergeCell ref="N69:X69"/>
    <mergeCell ref="Z69:AJ69"/>
    <mergeCell ref="AL69:AV69"/>
    <mergeCell ref="A82:AU82"/>
    <mergeCell ref="B83:L83"/>
    <mergeCell ref="N83:X83"/>
    <mergeCell ref="Z83:AJ83"/>
    <mergeCell ref="AL83:AV83"/>
    <mergeCell ref="A96:AU96"/>
    <mergeCell ref="B97:L97"/>
    <mergeCell ref="N97:X97"/>
    <mergeCell ref="Z97:AJ97"/>
    <mergeCell ref="AL97:AV97"/>
    <mergeCell ref="A110:AU110"/>
    <mergeCell ref="B111:L111"/>
    <mergeCell ref="N111:X111"/>
    <mergeCell ref="Z111:AJ111"/>
    <mergeCell ref="AL111:AV111"/>
    <mergeCell ref="A124:AU124"/>
    <mergeCell ref="B125:L125"/>
    <mergeCell ref="N125:X125"/>
    <mergeCell ref="Z125:AJ125"/>
    <mergeCell ref="AL125:AV125"/>
    <mergeCell ref="A138:AU138"/>
    <mergeCell ref="B139:L139"/>
    <mergeCell ref="N139:X139"/>
    <mergeCell ref="Z139:AJ139"/>
    <mergeCell ref="AL139:AV139"/>
    <mergeCell ref="A152:AU152"/>
    <mergeCell ref="B153:L153"/>
    <mergeCell ref="N153:X153"/>
    <mergeCell ref="Z153:AJ153"/>
    <mergeCell ref="AL153:AV153"/>
    <mergeCell ref="A166:AU166"/>
    <mergeCell ref="B167:L167"/>
    <mergeCell ref="N167:X167"/>
    <mergeCell ref="Z167:AJ167"/>
    <mergeCell ref="AL167:AV167"/>
    <mergeCell ref="A180:AU180"/>
    <mergeCell ref="B181:L181"/>
    <mergeCell ref="N181:X181"/>
    <mergeCell ref="Z181:AJ181"/>
    <mergeCell ref="AL181:AV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5"/>
    <col collapsed="false" customWidth="true" hidden="false" outlineLevel="0" max="12" min="3" style="1" width="9"/>
    <col collapsed="false" customWidth="true" hidden="false" outlineLevel="0" max="13" min="13" style="1" width="3"/>
    <col collapsed="false" customWidth="true" hidden="false" outlineLevel="0" max="14" min="14" style="1" width="15"/>
    <col collapsed="false" customWidth="true" hidden="false" outlineLevel="0" max="24" min="15" style="1" width="9"/>
    <col collapsed="false" customWidth="true" hidden="false" outlineLevel="0" max="25" min="25" style="1" width="3"/>
    <col collapsed="false" customWidth="true" hidden="false" outlineLevel="0" max="26" min="26" style="1" width="15"/>
    <col collapsed="false" customWidth="true" hidden="false" outlineLevel="0" max="36" min="27" style="1" width="9"/>
    <col collapsed="false" customWidth="true" hidden="false" outlineLevel="0" max="37" min="37" style="1" width="3"/>
    <col collapsed="false" customWidth="true" hidden="false" outlineLevel="0" max="38" min="38" style="1" width="15"/>
    <col collapsed="false" customWidth="true" hidden="false" outlineLevel="0" max="48" min="39" style="1" width="9"/>
  </cols>
  <sheetData>
    <row r="1" customFormat="false" ht="17.25" hidden="false" customHeight="true" outlineLevel="0" collapsed="false">
      <c r="A1" s="32" t="s">
        <v>163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</row>
    <row r="2" customFormat="false" ht="27.75" hidden="false" customHeight="true" outlineLevel="0" collapsed="false">
      <c r="A2" s="15" t="s">
        <v>164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</row>
    <row r="4" customFormat="false" ht="19.5" hidden="false" customHeight="true" outlineLevel="0" collapsed="false">
      <c r="A4" s="17" t="s">
        <v>165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</row>
    <row r="6" customFormat="false" ht="15" hidden="false" customHeight="true" outlineLevel="0" collapsed="false">
      <c r="B6" s="28" t="s">
        <v>166</v>
      </c>
      <c r="C6" s="28"/>
      <c r="D6" s="28"/>
      <c r="E6" s="28"/>
    </row>
    <row r="7" customFormat="false" ht="15" hidden="false" customHeight="true" outlineLevel="0" collapsed="false">
      <c r="B7" s="18" t="s">
        <v>146</v>
      </c>
      <c r="C7" s="12" t="s">
        <v>147</v>
      </c>
      <c r="D7" s="12" t="s">
        <v>148</v>
      </c>
      <c r="E7" s="12" t="s">
        <v>149</v>
      </c>
    </row>
    <row r="8" customFormat="false" ht="15" hidden="false" customHeight="true" outlineLevel="0" collapsed="false">
      <c r="B8" s="9" t="s">
        <v>117</v>
      </c>
      <c r="C8" s="36" t="n">
        <v>0.0028</v>
      </c>
      <c r="D8" s="36" t="n">
        <v>0.0027</v>
      </c>
      <c r="E8" s="36" t="n">
        <v>0.0057</v>
      </c>
    </row>
    <row r="9" customFormat="false" ht="15" hidden="false" customHeight="true" outlineLevel="0" collapsed="false">
      <c r="B9" s="9" t="s">
        <v>118</v>
      </c>
      <c r="C9" s="36" t="n">
        <v>0.0025</v>
      </c>
      <c r="D9" s="36" t="n">
        <v>0.0021</v>
      </c>
      <c r="E9" s="36" t="n">
        <v>0.0041</v>
      </c>
    </row>
    <row r="10" customFormat="false" ht="15" hidden="false" customHeight="true" outlineLevel="0" collapsed="false">
      <c r="B10" s="9" t="s">
        <v>119</v>
      </c>
      <c r="C10" s="36" t="n">
        <v>0.0032</v>
      </c>
      <c r="D10" s="36" t="n">
        <v>0.0031</v>
      </c>
      <c r="E10" s="36" t="n">
        <v>0.0092</v>
      </c>
    </row>
    <row r="11" customFormat="false" ht="15" hidden="false" customHeight="true" outlineLevel="0" collapsed="false">
      <c r="B11" s="9" t="s">
        <v>120</v>
      </c>
      <c r="C11" s="36" t="n">
        <v>0.0053</v>
      </c>
      <c r="D11" s="36" t="n">
        <v>0.003</v>
      </c>
      <c r="E11" s="36" t="n">
        <v>0.0062</v>
      </c>
    </row>
    <row r="12" customFormat="false" ht="15" hidden="false" customHeight="true" outlineLevel="0" collapsed="false">
      <c r="B12" s="9" t="s">
        <v>121</v>
      </c>
      <c r="C12" s="36" t="n">
        <v>0.0048</v>
      </c>
      <c r="D12" s="36" t="n">
        <v>0.0025</v>
      </c>
      <c r="E12" s="36" t="n">
        <v>0.0069</v>
      </c>
    </row>
    <row r="13" customFormat="false" ht="15" hidden="false" customHeight="true" outlineLevel="0" collapsed="false">
      <c r="B13" s="9" t="s">
        <v>122</v>
      </c>
      <c r="C13" s="36" t="n">
        <v>0.0075</v>
      </c>
      <c r="D13" s="36" t="n">
        <v>0.0025</v>
      </c>
      <c r="E13" s="36" t="n">
        <v>0.0099</v>
      </c>
    </row>
    <row r="14" customFormat="false" ht="15" hidden="false" customHeight="true" outlineLevel="0" collapsed="false">
      <c r="B14" s="9" t="s">
        <v>123</v>
      </c>
      <c r="C14" s="36" t="n">
        <v>0.0061</v>
      </c>
      <c r="D14" s="36" t="n">
        <v>0.003</v>
      </c>
      <c r="E14" s="36" t="n">
        <v>0.0104</v>
      </c>
    </row>
    <row r="15" customFormat="false" ht="15" hidden="false" customHeight="true" outlineLevel="0" collapsed="false">
      <c r="B15" s="9" t="s">
        <v>124</v>
      </c>
      <c r="C15" s="36" t="n">
        <v>0.0082</v>
      </c>
      <c r="D15" s="36" t="n">
        <v>0.0036</v>
      </c>
      <c r="E15" s="36" t="n">
        <v>0.0125</v>
      </c>
    </row>
    <row r="16" customFormat="false" ht="15" hidden="false" customHeight="true" outlineLevel="0" collapsed="false">
      <c r="B16" s="9" t="s">
        <v>125</v>
      </c>
      <c r="C16" s="36" t="n">
        <v>0.0092</v>
      </c>
      <c r="D16" s="36" t="n">
        <v>0.0036</v>
      </c>
      <c r="E16" s="36" t="n">
        <v>0.0136</v>
      </c>
    </row>
    <row r="17" customFormat="false" ht="15" hidden="false" customHeight="true" outlineLevel="0" collapsed="false">
      <c r="B17" s="9" t="s">
        <v>126</v>
      </c>
      <c r="C17" s="36" t="n">
        <v>0.0084</v>
      </c>
      <c r="D17" s="36" t="n">
        <v>0.0052</v>
      </c>
      <c r="E17" s="36" t="n">
        <v>0.0159</v>
      </c>
    </row>
    <row r="19" customFormat="false" ht="19.5" hidden="false" customHeight="true" outlineLevel="0" collapsed="false">
      <c r="A19" s="17" t="s">
        <v>167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</row>
    <row r="21" customFormat="false" ht="15" hidden="false" customHeight="true" outlineLevel="0" collapsed="false">
      <c r="A21" s="28" t="s">
        <v>153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</row>
    <row r="22" customFormat="false" ht="15" hidden="false" customHeight="true" outlineLevel="0" collapsed="false">
      <c r="B22" s="28" t="s">
        <v>136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N22" s="28" t="s">
        <v>137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Z22" s="28" t="s">
        <v>138</v>
      </c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L22" s="34" t="s">
        <v>139</v>
      </c>
      <c r="AM22" s="34"/>
      <c r="AN22" s="34"/>
      <c r="AO22" s="34"/>
      <c r="AP22" s="34"/>
      <c r="AQ22" s="34"/>
      <c r="AR22" s="34"/>
      <c r="AS22" s="34"/>
      <c r="AT22" s="34"/>
      <c r="AU22" s="34"/>
      <c r="AV22" s="34"/>
    </row>
    <row r="23" customFormat="false" ht="15" hidden="false" customHeight="true" outlineLevel="0" collapsed="false">
      <c r="B23" s="18" t="s">
        <v>140</v>
      </c>
      <c r="C23" s="12" t="s">
        <v>141</v>
      </c>
      <c r="D23" s="12" t="s">
        <v>74</v>
      </c>
      <c r="E23" s="12" t="s">
        <v>75</v>
      </c>
      <c r="F23" s="12" t="s">
        <v>30</v>
      </c>
      <c r="G23" s="12" t="s">
        <v>76</v>
      </c>
      <c r="H23" s="12" t="s">
        <v>77</v>
      </c>
      <c r="I23" s="12" t="s">
        <v>78</v>
      </c>
      <c r="J23" s="12" t="s">
        <v>79</v>
      </c>
      <c r="K23" s="12" t="s">
        <v>80</v>
      </c>
      <c r="L23" s="12" t="s">
        <v>81</v>
      </c>
      <c r="N23" s="18" t="s">
        <v>140</v>
      </c>
      <c r="O23" s="12" t="s">
        <v>141</v>
      </c>
      <c r="P23" s="12" t="s">
        <v>74</v>
      </c>
      <c r="Q23" s="12" t="s">
        <v>75</v>
      </c>
      <c r="R23" s="12" t="s">
        <v>30</v>
      </c>
      <c r="S23" s="12" t="s">
        <v>76</v>
      </c>
      <c r="T23" s="12" t="s">
        <v>77</v>
      </c>
      <c r="U23" s="12" t="s">
        <v>78</v>
      </c>
      <c r="V23" s="12" t="s">
        <v>79</v>
      </c>
      <c r="W23" s="12" t="s">
        <v>80</v>
      </c>
      <c r="X23" s="12" t="s">
        <v>81</v>
      </c>
      <c r="Z23" s="18" t="s">
        <v>140</v>
      </c>
      <c r="AA23" s="12" t="s">
        <v>141</v>
      </c>
      <c r="AB23" s="12" t="s">
        <v>74</v>
      </c>
      <c r="AC23" s="12" t="s">
        <v>75</v>
      </c>
      <c r="AD23" s="12" t="s">
        <v>30</v>
      </c>
      <c r="AE23" s="12" t="s">
        <v>76</v>
      </c>
      <c r="AF23" s="12" t="s">
        <v>77</v>
      </c>
      <c r="AG23" s="12" t="s">
        <v>78</v>
      </c>
      <c r="AH23" s="12" t="s">
        <v>79</v>
      </c>
      <c r="AI23" s="12" t="s">
        <v>80</v>
      </c>
      <c r="AJ23" s="12" t="s">
        <v>81</v>
      </c>
      <c r="AL23" s="18" t="s">
        <v>140</v>
      </c>
      <c r="AM23" s="12" t="s">
        <v>141</v>
      </c>
      <c r="AN23" s="12" t="s">
        <v>74</v>
      </c>
      <c r="AO23" s="12" t="s">
        <v>75</v>
      </c>
      <c r="AP23" s="12" t="s">
        <v>30</v>
      </c>
      <c r="AQ23" s="12" t="s">
        <v>76</v>
      </c>
      <c r="AR23" s="12" t="s">
        <v>77</v>
      </c>
      <c r="AS23" s="12" t="s">
        <v>78</v>
      </c>
      <c r="AT23" s="12" t="s">
        <v>79</v>
      </c>
      <c r="AU23" s="12" t="s">
        <v>80</v>
      </c>
      <c r="AV23" s="12" t="s">
        <v>81</v>
      </c>
    </row>
    <row r="24" customFormat="false" ht="15" hidden="false" customHeight="true" outlineLevel="0" collapsed="false">
      <c r="B24" s="35" t="s">
        <v>141</v>
      </c>
      <c r="C24" s="24" t="n">
        <f aca="false">SABR!C7+$C$8*SABR!C40</f>
        <v>0.5509828</v>
      </c>
      <c r="D24" s="24" t="n">
        <f aca="false">SABR!D7+$C$8*SABR!D40</f>
        <v>0.5306504</v>
      </c>
      <c r="E24" s="24" t="n">
        <f aca="false">SABR!E7+$C$8*SABR!E40</f>
        <v>0.523676</v>
      </c>
      <c r="F24" s="24" t="n">
        <f aca="false">SABR!F7+$C$8*SABR!F40</f>
        <v>0.495152</v>
      </c>
      <c r="G24" s="24" t="n">
        <f aca="false">SABR!G7+$C$8*SABR!G40</f>
        <v>0.4875636</v>
      </c>
      <c r="H24" s="24" t="n">
        <f aca="false">SABR!H7+$C$8*SABR!H40</f>
        <v>0.4671836</v>
      </c>
      <c r="I24" s="24" t="n">
        <f aca="false">SABR!I7+$C$8*SABR!I40</f>
        <v>0.444252</v>
      </c>
      <c r="J24" s="24" t="n">
        <f aca="false">SABR!J7+$C$8*SABR!J40</f>
        <v>0.4363</v>
      </c>
      <c r="K24" s="24" t="n">
        <f aca="false">SABR!K7+$C$8*SABR!K40</f>
        <v>0.40992</v>
      </c>
      <c r="L24" s="24" t="n">
        <f aca="false">SABR!L7+$C$8*SABR!L40</f>
        <v>0.4009456</v>
      </c>
      <c r="N24" s="35" t="s">
        <v>141</v>
      </c>
      <c r="O24" s="24" t="n">
        <f aca="false">SABR!O7+$D$8*SABR!O40</f>
        <v>-0.3586</v>
      </c>
      <c r="P24" s="24" t="n">
        <f aca="false">SABR!P7+$D$8*SABR!P40</f>
        <v>-0.3387</v>
      </c>
      <c r="Q24" s="24" t="n">
        <f aca="false">SABR!Q7+$D$8*SABR!Q40</f>
        <v>-0.3126</v>
      </c>
      <c r="R24" s="24" t="n">
        <f aca="false">SABR!R7+$D$8*SABR!R40</f>
        <v>-0.2851</v>
      </c>
      <c r="S24" s="24" t="n">
        <f aca="false">SABR!S7+$D$8*SABR!S40</f>
        <v>-0.2797</v>
      </c>
      <c r="T24" s="24" t="n">
        <f aca="false">SABR!T7+$D$8*SABR!T40</f>
        <v>-0.2583</v>
      </c>
      <c r="U24" s="24" t="n">
        <f aca="false">SABR!U7+$D$8*SABR!U40</f>
        <v>-0.2308</v>
      </c>
      <c r="V24" s="24" t="n">
        <f aca="false">SABR!V7+$D$8*SABR!V40</f>
        <v>-0.2049</v>
      </c>
      <c r="W24" s="24" t="n">
        <f aca="false">SABR!W7+$D$8*SABR!W40</f>
        <v>-0.1929</v>
      </c>
      <c r="X24" s="24" t="n">
        <f aca="false">SABR!X7+$D$8*SABR!X40</f>
        <v>-0.1771</v>
      </c>
      <c r="Z24" s="35" t="s">
        <v>141</v>
      </c>
      <c r="AA24" s="24" t="n">
        <f aca="false">SABR!AA7+$E$8*SABR!AA40</f>
        <v>0.8595</v>
      </c>
      <c r="AB24" s="24" t="n">
        <f aca="false">SABR!AB7+$E$8*SABR!AB40</f>
        <v>0.8187</v>
      </c>
      <c r="AC24" s="24" t="n">
        <f aca="false">SABR!AC7+$E$8*SABR!AC40</f>
        <v>0.8127</v>
      </c>
      <c r="AD24" s="24" t="n">
        <f aca="false">SABR!AD7+$E$8*SABR!AD40</f>
        <v>0.7791</v>
      </c>
      <c r="AE24" s="24" t="n">
        <f aca="false">SABR!AE7+$E$8*SABR!AE40</f>
        <v>0.754</v>
      </c>
      <c r="AF24" s="24" t="n">
        <f aca="false">SABR!AF7+$E$8*SABR!AF40</f>
        <v>0.7312</v>
      </c>
      <c r="AG24" s="24" t="n">
        <f aca="false">SABR!AG7+$E$8*SABR!AG40</f>
        <v>0.7128</v>
      </c>
      <c r="AH24" s="24" t="n">
        <f aca="false">SABR!AH7+$E$8*SABR!AH40</f>
        <v>0.7008</v>
      </c>
      <c r="AI24" s="24" t="n">
        <f aca="false">SABR!AI7+$E$8*SABR!AI40</f>
        <v>0.6658</v>
      </c>
      <c r="AJ24" s="24" t="n">
        <f aca="false">SABR!AJ7+$E$8*SABR!AJ40</f>
        <v>0.6516</v>
      </c>
      <c r="AL24" s="35" t="s">
        <v>141</v>
      </c>
      <c r="AM24" s="37" t="n">
        <f aca="false">C24*(1+(((2-3*O24^2)/24*AA24^2)+(O24*AA24*C24/4))*0.0833333333333333)</f>
        <v>0.551314834661639</v>
      </c>
      <c r="AN24" s="37" t="n">
        <f aca="false">D24*(1+(((2-3*P24^2)/24*AB24^2)+(P24*AB24*D24/4))*0.0833333333333333)</f>
        <v>0.531068633519283</v>
      </c>
      <c r="AO24" s="37" t="n">
        <f aca="false">E24*(1+(((2-3*Q24^2)/24*AC24^2)+(Q24*AC24*E24/4))*0.0833333333333333)</f>
        <v>0.524274407024246</v>
      </c>
      <c r="AP24" s="37" t="n">
        <f aca="false">F24*(1+(((2-3*R24^2)/24*AD24^2)+(R24*AD24*F24/4))*0.0833333333333333)</f>
        <v>0.495850158638187</v>
      </c>
      <c r="AQ24" s="37" t="n">
        <f aca="false">G24*(1+(((2-3*S24^2)/24*AE24^2)+(S24*AE24*G24/4))*0.0833333333333333)</f>
        <v>0.488218185576265</v>
      </c>
      <c r="AR24" s="37" t="n">
        <f aca="false">H24*(1+(((2-3*T24^2)/24*AF24^2)+(T24*AF24*H24/4))*0.0833333333333333)</f>
        <v>0.46788579243255</v>
      </c>
      <c r="AS24" s="37" t="n">
        <f aca="false">I24*(1+(((2-3*U24^2)/24*AG24^2)+(U24*AG24*I24/4))*0.0833333333333333)</f>
        <v>0.445017807449418</v>
      </c>
      <c r="AT24" s="37" t="n">
        <f aca="false">J24*(1+(((2-3*V24^2)/24*AH24^2)+(V24*AH24*J24/4))*0.0833333333333333)</f>
        <v>0.437124854652729</v>
      </c>
      <c r="AU24" s="37" t="n">
        <f aca="false">K24*(1+(((2-3*W24^2)/24*AI24^2)+(W24*AI24*K24/4))*0.0833333333333333)</f>
        <v>0.41066185730711</v>
      </c>
      <c r="AV24" s="37" t="n">
        <f aca="false">L24*(1+(((2-3*X24^2)/24*AJ24^2)+(X24*AJ24*L24/4))*0.0833333333333333)</f>
        <v>0.401685684304471</v>
      </c>
    </row>
    <row r="25" customFormat="false" ht="15" hidden="false" customHeight="true" outlineLevel="0" collapsed="false">
      <c r="B25" s="35" t="s">
        <v>74</v>
      </c>
      <c r="C25" s="24" t="n">
        <f aca="false">SABR!C8+$C$8*SABR!C41</f>
        <v>0.5402972</v>
      </c>
      <c r="D25" s="24" t="n">
        <f aca="false">SABR!D8+$C$8*SABR!D41</f>
        <v>0.5180312</v>
      </c>
      <c r="E25" s="24" t="n">
        <f aca="false">SABR!E8+$C$8*SABR!E41</f>
        <v>0.5046876</v>
      </c>
      <c r="F25" s="24" t="n">
        <f aca="false">SABR!F8+$C$8*SABR!F41</f>
        <v>0.4779992</v>
      </c>
      <c r="G25" s="24" t="n">
        <f aca="false">SABR!G8+$C$8*SABR!G41</f>
        <v>0.4611648</v>
      </c>
      <c r="H25" s="24" t="n">
        <f aca="false">SABR!H8+$C$8*SABR!H41</f>
        <v>0.4470512</v>
      </c>
      <c r="I25" s="24" t="n">
        <f aca="false">SABR!I8+$C$8*SABR!I41</f>
        <v>0.4396748</v>
      </c>
      <c r="J25" s="24" t="n">
        <f aca="false">SABR!J8+$C$8*SABR!J41</f>
        <v>0.4176444</v>
      </c>
      <c r="K25" s="24" t="n">
        <f aca="false">SABR!K8+$C$8*SABR!K41</f>
        <v>0.3985876</v>
      </c>
      <c r="L25" s="24" t="n">
        <f aca="false">SABR!L8+$C$8*SABR!L41</f>
        <v>0.3870188</v>
      </c>
      <c r="N25" s="35" t="s">
        <v>74</v>
      </c>
      <c r="O25" s="24" t="n">
        <f aca="false">SABR!O8+$D$8*SABR!O41</f>
        <v>-0.3315</v>
      </c>
      <c r="P25" s="24" t="n">
        <f aca="false">SABR!P8+$D$8*SABR!P41</f>
        <v>-0.3151</v>
      </c>
      <c r="Q25" s="24" t="n">
        <f aca="false">SABR!Q8+$D$8*SABR!Q41</f>
        <v>-0.2858</v>
      </c>
      <c r="R25" s="24" t="n">
        <f aca="false">SABR!R8+$D$8*SABR!R41</f>
        <v>-0.2682</v>
      </c>
      <c r="S25" s="24" t="n">
        <f aca="false">SABR!S8+$D$8*SABR!S41</f>
        <v>-0.2579</v>
      </c>
      <c r="T25" s="24" t="n">
        <f aca="false">SABR!T8+$D$8*SABR!T41</f>
        <v>-0.2318</v>
      </c>
      <c r="U25" s="24" t="n">
        <f aca="false">SABR!U8+$D$8*SABR!U41</f>
        <v>-0.2134</v>
      </c>
      <c r="V25" s="24" t="n">
        <f aca="false">SABR!V8+$D$8*SABR!V41</f>
        <v>-0.1869</v>
      </c>
      <c r="W25" s="24" t="n">
        <f aca="false">SABR!W8+$D$8*SABR!W41</f>
        <v>-0.1704</v>
      </c>
      <c r="X25" s="24" t="n">
        <f aca="false">SABR!X8+$D$8*SABR!X41</f>
        <v>-0.1598</v>
      </c>
      <c r="Z25" s="35" t="s">
        <v>74</v>
      </c>
      <c r="AA25" s="24" t="n">
        <f aca="false">SABR!AA8+$E$8*SABR!AA41</f>
        <v>0.8374</v>
      </c>
      <c r="AB25" s="24" t="n">
        <f aca="false">SABR!AB8+$E$8*SABR!AB41</f>
        <v>0.7979</v>
      </c>
      <c r="AC25" s="24" t="n">
        <f aca="false">SABR!AC8+$E$8*SABR!AC41</f>
        <v>0.7817</v>
      </c>
      <c r="AD25" s="24" t="n">
        <f aca="false">SABR!AD8+$E$8*SABR!AD41</f>
        <v>0.7663</v>
      </c>
      <c r="AE25" s="24" t="n">
        <f aca="false">SABR!AE8+$E$8*SABR!AE41</f>
        <v>0.7319</v>
      </c>
      <c r="AF25" s="24" t="n">
        <f aca="false">SABR!AF8+$E$8*SABR!AF41</f>
        <v>0.7164</v>
      </c>
      <c r="AG25" s="24" t="n">
        <f aca="false">SABR!AG8+$E$8*SABR!AG41</f>
        <v>0.6852</v>
      </c>
      <c r="AH25" s="24" t="n">
        <f aca="false">SABR!AH8+$E$8*SABR!AH41</f>
        <v>0.6756</v>
      </c>
      <c r="AI25" s="24" t="n">
        <f aca="false">SABR!AI8+$E$8*SABR!AI41</f>
        <v>0.6553</v>
      </c>
      <c r="AJ25" s="24" t="n">
        <f aca="false">SABR!AJ8+$E$8*SABR!AJ41</f>
        <v>0.6292</v>
      </c>
      <c r="AL25" s="35" t="s">
        <v>74</v>
      </c>
      <c r="AM25" s="37" t="n">
        <f aca="false">C25*(1+(((2-3*O25^2)/24*AA25^2)+(O25*AA25*C25/4))*0.25)</f>
        <v>0.541824566985934</v>
      </c>
      <c r="AN25" s="37" t="n">
        <f aca="false">D25*(1+(((2-3*P25^2)/24*AB25^2)+(P25*AB25*D25/4))*0.25)</f>
        <v>0.51966192034091</v>
      </c>
      <c r="AO25" s="37" t="n">
        <f aca="false">E25*(1+(((2-3*Q25^2)/24*AC25^2)+(Q25*AC25*E25/4))*0.25)</f>
        <v>0.506768704379525</v>
      </c>
      <c r="AP25" s="37" t="n">
        <f aca="false">F25*(1+(((2-3*R25^2)/24*AD25^2)+(R25*AD25*F25/4))*0.25)</f>
        <v>0.480281042643454</v>
      </c>
      <c r="AQ25" s="37" t="n">
        <f aca="false">G25*(1+(((2-3*S25^2)/24*AE25^2)+(S25*AE25*G25/4))*0.25)</f>
        <v>0.463288939772925</v>
      </c>
      <c r="AR25" s="37" t="n">
        <f aca="false">H25*(1+(((2-3*T25^2)/24*AF25^2)+(T25*AF25*H25/4))*0.25)</f>
        <v>0.449371678040772</v>
      </c>
      <c r="AS25" s="37" t="n">
        <f aca="false">I25*(1+(((2-3*U25^2)/24*AG25^2)+(U25*AG25*I25/4))*0.25)</f>
        <v>0.441914923931763</v>
      </c>
      <c r="AT25" s="37" t="n">
        <f aca="false">J25*(1+(((2-3*V25^2)/24*AH25^2)+(V25*AH25*J25/4))*0.25)</f>
        <v>0.420031167293856</v>
      </c>
      <c r="AU25" s="37" t="n">
        <f aca="false">K25*(1+(((2-3*W25^2)/24*AI25^2)+(W25*AI25*K25/4))*0.25)</f>
        <v>0.400889381163997</v>
      </c>
      <c r="AV25" s="37" t="n">
        <f aca="false">L25*(1+(((2-3*X25^2)/24*AJ25^2)+(X25*AJ25*L25/4))*0.25)</f>
        <v>0.389147311337907</v>
      </c>
    </row>
    <row r="26" customFormat="false" ht="15" hidden="false" customHeight="true" outlineLevel="0" collapsed="false">
      <c r="B26" s="35" t="s">
        <v>75</v>
      </c>
      <c r="C26" s="24" t="n">
        <f aca="false">SABR!C9+$C$8*SABR!C42</f>
        <v>0.528092</v>
      </c>
      <c r="D26" s="24" t="n">
        <f aca="false">SABR!D9+$C$8*SABR!D42</f>
        <v>0.4999764</v>
      </c>
      <c r="E26" s="24" t="n">
        <f aca="false">SABR!E9+$C$8*SABR!E42</f>
        <v>0.490742</v>
      </c>
      <c r="F26" s="24" t="n">
        <f aca="false">SABR!F9+$C$8*SABR!F42</f>
        <v>0.4718144</v>
      </c>
      <c r="G26" s="24" t="n">
        <f aca="false">SABR!G9+$C$8*SABR!G42</f>
        <v>0.4546492</v>
      </c>
      <c r="H26" s="24" t="n">
        <f aca="false">SABR!H9+$C$8*SABR!H42</f>
        <v>0.4351992</v>
      </c>
      <c r="I26" s="24" t="n">
        <f aca="false">SABR!I9+$C$8*SABR!I42</f>
        <v>0.4258912</v>
      </c>
      <c r="J26" s="24" t="n">
        <f aca="false">SABR!J9+$C$8*SABR!J42</f>
        <v>0.4111344</v>
      </c>
      <c r="K26" s="24" t="n">
        <f aca="false">SABR!K9+$C$8*SABR!K42</f>
        <v>0.3848076</v>
      </c>
      <c r="L26" s="24" t="n">
        <f aca="false">SABR!L9+$C$8*SABR!L42</f>
        <v>0.3715688</v>
      </c>
      <c r="N26" s="35" t="s">
        <v>75</v>
      </c>
      <c r="O26" s="24" t="n">
        <f aca="false">SABR!O9+$D$8*SABR!O42</f>
        <v>-0.3199</v>
      </c>
      <c r="P26" s="24" t="n">
        <f aca="false">SABR!P9+$D$8*SABR!P42</f>
        <v>-0.2876</v>
      </c>
      <c r="Q26" s="24" t="n">
        <f aca="false">SABR!Q9+$D$8*SABR!Q42</f>
        <v>-0.2693</v>
      </c>
      <c r="R26" s="24" t="n">
        <f aca="false">SABR!R9+$D$8*SABR!R42</f>
        <v>-0.2429</v>
      </c>
      <c r="S26" s="24" t="n">
        <f aca="false">SABR!S9+$D$8*SABR!S42</f>
        <v>-0.2269</v>
      </c>
      <c r="T26" s="24" t="n">
        <f aca="false">SABR!T9+$D$8*SABR!T42</f>
        <v>-0.2182</v>
      </c>
      <c r="U26" s="24" t="n">
        <f aca="false">SABR!U9+$D$8*SABR!U42</f>
        <v>-0.1967</v>
      </c>
      <c r="V26" s="24" t="n">
        <f aca="false">SABR!V9+$D$8*SABR!V42</f>
        <v>-0.1716</v>
      </c>
      <c r="W26" s="24" t="n">
        <f aca="false">SABR!W9+$D$8*SABR!W42</f>
        <v>-0.1651</v>
      </c>
      <c r="X26" s="24" t="n">
        <f aca="false">SABR!X9+$D$8*SABR!X42</f>
        <v>-0.1369</v>
      </c>
      <c r="Z26" s="35" t="s">
        <v>75</v>
      </c>
      <c r="AA26" s="24" t="n">
        <f aca="false">SABR!AA9+$E$8*SABR!AA42</f>
        <v>0.7989</v>
      </c>
      <c r="AB26" s="24" t="n">
        <f aca="false">SABR!AB9+$E$8*SABR!AB42</f>
        <v>0.7757</v>
      </c>
      <c r="AC26" s="24" t="n">
        <f aca="false">SABR!AC9+$E$8*SABR!AC42</f>
        <v>0.7523</v>
      </c>
      <c r="AD26" s="24" t="n">
        <f aca="false">SABR!AD9+$E$8*SABR!AD42</f>
        <v>0.7443</v>
      </c>
      <c r="AE26" s="24" t="n">
        <f aca="false">SABR!AE9+$E$8*SABR!AE42</f>
        <v>0.7093</v>
      </c>
      <c r="AF26" s="24" t="n">
        <f aca="false">SABR!AF9+$E$8*SABR!AF42</f>
        <v>0.6894</v>
      </c>
      <c r="AG26" s="24" t="n">
        <f aca="false">SABR!AG9+$E$8*SABR!AG42</f>
        <v>0.67</v>
      </c>
      <c r="AH26" s="24" t="n">
        <f aca="false">SABR!AH9+$E$8*SABR!AH42</f>
        <v>0.6574</v>
      </c>
      <c r="AI26" s="24" t="n">
        <f aca="false">SABR!AI9+$E$8*SABR!AI42</f>
        <v>0.6194</v>
      </c>
      <c r="AJ26" s="24" t="n">
        <f aca="false">SABR!AJ9+$E$8*SABR!AJ42</f>
        <v>0.6045</v>
      </c>
      <c r="AL26" s="35" t="s">
        <v>75</v>
      </c>
      <c r="AM26" s="37" t="n">
        <f aca="false">C26*(1+(((2-3*O26^2)/24*AA26^2)+(O26*AA26*C26/4))*0.5)</f>
        <v>0.531070839320902</v>
      </c>
      <c r="AN26" s="37" t="n">
        <f aca="false">D26*(1+(((2-3*P26^2)/24*AB26^2)+(P26*AB26*D26/4))*0.5)</f>
        <v>0.503985267007472</v>
      </c>
      <c r="AO26" s="37" t="n">
        <f aca="false">E26*(1+(((2-3*Q26^2)/24*AC26^2)+(Q26*AC26*E26/4))*0.5)</f>
        <v>0.494956734217465</v>
      </c>
      <c r="AP26" s="37" t="n">
        <f aca="false">F26*(1+(((2-3*R26^2)/24*AD26^2)+(R26*AD26*F26/4))*0.5)</f>
        <v>0.476710576431628</v>
      </c>
      <c r="AQ26" s="37" t="n">
        <f aca="false">G26*(1+(((2-3*S26^2)/24*AE26^2)+(S26*AE26*G26/4))*0.5)</f>
        <v>0.459285483775487</v>
      </c>
      <c r="AR26" s="37" t="n">
        <f aca="false">H26*(1+(((2-3*T26^2)/24*AF26^2)+(T26*AF26*H26/4))*0.5)</f>
        <v>0.439640637508407</v>
      </c>
      <c r="AS26" s="37" t="n">
        <f aca="false">I26*(1+(((2-3*U26^2)/24*AG26^2)+(U26*AG26*I26/4))*0.5)</f>
        <v>0.430406785325006</v>
      </c>
      <c r="AT26" s="37" t="n">
        <f aca="false">J26*(1+(((2-3*V26^2)/24*AH26^2)+(V26*AH26*J26/4))*0.5)</f>
        <v>0.415827253392169</v>
      </c>
      <c r="AU26" s="37" t="n">
        <f aca="false">K26*(1+(((2-3*W26^2)/24*AI26^2)+(W26*AI26*K26/4))*0.5)</f>
        <v>0.388814651677992</v>
      </c>
      <c r="AV26" s="37" t="n">
        <f aca="false">L26*(1+(((2-3*X26^2)/24*AJ26^2)+(X26*AJ26*L26/4))*0.5)</f>
        <v>0.375639006525075</v>
      </c>
    </row>
    <row r="27" customFormat="false" ht="15" hidden="false" customHeight="true" outlineLevel="0" collapsed="false">
      <c r="B27" s="35" t="s">
        <v>30</v>
      </c>
      <c r="C27" s="24" t="n">
        <f aca="false">SABR!C10+$C$8*SABR!C43</f>
        <v>0.504654</v>
      </c>
      <c r="D27" s="24" t="n">
        <f aca="false">SABR!D10+$C$8*SABR!D43</f>
        <v>0.494444</v>
      </c>
      <c r="E27" s="24" t="n">
        <f aca="false">SABR!E10+$C$8*SABR!E43</f>
        <v>0.4763984</v>
      </c>
      <c r="F27" s="24" t="n">
        <f aca="false">SABR!F10+$C$8*SABR!F43</f>
        <v>0.46031</v>
      </c>
      <c r="G27" s="24" t="n">
        <f aca="false">SABR!G10+$C$8*SABR!G43</f>
        <v>0.4315516</v>
      </c>
      <c r="H27" s="24" t="n">
        <f aca="false">SABR!H10+$C$8*SABR!H43</f>
        <v>0.417422</v>
      </c>
      <c r="I27" s="24" t="n">
        <f aca="false">SABR!I10+$C$8*SABR!I43</f>
        <v>0.3993448</v>
      </c>
      <c r="J27" s="24" t="n">
        <f aca="false">SABR!J10+$C$8*SABR!J43</f>
        <v>0.3928872</v>
      </c>
      <c r="K27" s="24" t="n">
        <f aca="false">SABR!K10+$C$8*SABR!K43</f>
        <v>0.3775584</v>
      </c>
      <c r="L27" s="24" t="n">
        <f aca="false">SABR!L10+$C$8*SABR!L43</f>
        <v>0.3444028</v>
      </c>
      <c r="N27" s="35" t="s">
        <v>30</v>
      </c>
      <c r="O27" s="24" t="n">
        <f aca="false">SABR!O10+$D$8*SABR!O43</f>
        <v>-0.2981</v>
      </c>
      <c r="P27" s="24" t="n">
        <f aca="false">SABR!P10+$D$8*SABR!P43</f>
        <v>-0.2776</v>
      </c>
      <c r="Q27" s="24" t="n">
        <f aca="false">SABR!Q10+$D$8*SABR!Q43</f>
        <v>-0.2581</v>
      </c>
      <c r="R27" s="24" t="n">
        <f aca="false">SABR!R10+$D$8*SABR!R43</f>
        <v>-0.2336</v>
      </c>
      <c r="S27" s="24" t="n">
        <f aca="false">SABR!S10+$D$8*SABR!S43</f>
        <v>-0.2121</v>
      </c>
      <c r="T27" s="24" t="n">
        <f aca="false">SABR!T10+$D$8*SABR!T43</f>
        <v>-0.1992</v>
      </c>
      <c r="U27" s="24" t="n">
        <f aca="false">SABR!U10+$D$8*SABR!U43</f>
        <v>-0.1849</v>
      </c>
      <c r="V27" s="24" t="n">
        <f aca="false">SABR!V10+$D$8*SABR!V43</f>
        <v>-0.1572</v>
      </c>
      <c r="W27" s="24" t="n">
        <f aca="false">SABR!W10+$D$8*SABR!W43</f>
        <v>-0.1387</v>
      </c>
      <c r="X27" s="24" t="n">
        <f aca="false">SABR!X10+$D$8*SABR!X43</f>
        <v>-0.1153</v>
      </c>
      <c r="Z27" s="35" t="s">
        <v>30</v>
      </c>
      <c r="AA27" s="24" t="n">
        <f aca="false">SABR!AA10+$E$8*SABR!AA43</f>
        <v>0.7924</v>
      </c>
      <c r="AB27" s="24" t="n">
        <f aca="false">SABR!AB10+$E$8*SABR!AB43</f>
        <v>0.7649</v>
      </c>
      <c r="AC27" s="24" t="n">
        <f aca="false">SABR!AC10+$E$8*SABR!AC43</f>
        <v>0.7392</v>
      </c>
      <c r="AD27" s="24" t="n">
        <f aca="false">SABR!AD10+$E$8*SABR!AD43</f>
        <v>0.719</v>
      </c>
      <c r="AE27" s="24" t="n">
        <f aca="false">SABR!AE10+$E$8*SABR!AE43</f>
        <v>0.698</v>
      </c>
      <c r="AF27" s="24" t="n">
        <f aca="false">SABR!AF10+$E$8*SABR!AF43</f>
        <v>0.6633</v>
      </c>
      <c r="AG27" s="24" t="n">
        <f aca="false">SABR!AG10+$E$8*SABR!AG43</f>
        <v>0.658</v>
      </c>
      <c r="AH27" s="24" t="n">
        <f aca="false">SABR!AH10+$E$8*SABR!AH43</f>
        <v>0.6334</v>
      </c>
      <c r="AI27" s="24" t="n">
        <f aca="false">SABR!AI10+$E$8*SABR!AI43</f>
        <v>0.613</v>
      </c>
      <c r="AJ27" s="24" t="n">
        <f aca="false">SABR!AJ10+$E$8*SABR!AJ43</f>
        <v>0.5893</v>
      </c>
      <c r="AL27" s="35" t="s">
        <v>30</v>
      </c>
      <c r="AM27" s="37" t="n">
        <f aca="false">C27*(1+(((2-3*O27^2)/24*AA27^2)+(O27*AA27*C27/4))*1)</f>
        <v>0.512500620351553</v>
      </c>
      <c r="AN27" s="37" t="n">
        <f aca="false">D27*(1+(((2-3*P27^2)/24*AB27^2)+(P27*AB27*D27/4))*1)</f>
        <v>0.502786788726684</v>
      </c>
      <c r="AO27" s="37" t="n">
        <f aca="false">E27*(1+(((2-3*Q27^2)/24*AC27^2)+(Q27*AC27*E27/4))*1)</f>
        <v>0.485098396136696</v>
      </c>
      <c r="AP27" s="37" t="n">
        <f aca="false">F27*(1+(((2-3*R27^2)/24*AD27^2)+(R27*AD27*F27/4))*1)</f>
        <v>0.469620044804104</v>
      </c>
      <c r="AQ27" s="37" t="n">
        <f aca="false">G27*(1+(((2-3*S27^2)/24*AE27^2)+(S27*AE27*G27/4))*1)</f>
        <v>0.440997525709952</v>
      </c>
      <c r="AR27" s="37" t="n">
        <f aca="false">H27*(1+(((2-3*T27^2)/24*AF27^2)+(T27*AF27*H27/4))*1)</f>
        <v>0.426059801564105</v>
      </c>
      <c r="AS27" s="37" t="n">
        <f aca="false">I27*(1+(((2-3*U27^2)/24*AG27^2)+(U27*AG27*I27/4))*1)</f>
        <v>0.408163758738746</v>
      </c>
      <c r="AT27" s="37" t="n">
        <f aca="false">J27*(1+(((2-3*V27^2)/24*AH27^2)+(V27*AH27*J27/4))*1)</f>
        <v>0.401693250530639</v>
      </c>
      <c r="AU27" s="37" t="n">
        <f aca="false">K27*(1+(((2-3*W27^2)/24*AI27^2)+(W27*AI27*K27/4))*1)</f>
        <v>0.386010109343418</v>
      </c>
      <c r="AV27" s="37" t="n">
        <f aca="false">L27*(1+(((2-3*X27^2)/24*AJ27^2)+(X27*AJ27*L27/4))*1)</f>
        <v>0.352156075187909</v>
      </c>
    </row>
    <row r="28" customFormat="false" ht="15" hidden="false" customHeight="true" outlineLevel="0" collapsed="false">
      <c r="B28" s="35" t="s">
        <v>76</v>
      </c>
      <c r="C28" s="24" t="n">
        <f aca="false">SABR!C11+$C$8*SABR!C44</f>
        <v>0.4846832</v>
      </c>
      <c r="D28" s="24" t="n">
        <f aca="false">SABR!D11+$C$8*SABR!D44</f>
        <v>0.4678116</v>
      </c>
      <c r="E28" s="24" t="n">
        <f aca="false">SABR!E11+$C$8*SABR!E44</f>
        <v>0.4450148</v>
      </c>
      <c r="F28" s="24" t="n">
        <f aca="false">SABR!F11+$C$8*SABR!F44</f>
        <v>0.4387552</v>
      </c>
      <c r="G28" s="24" t="n">
        <f aca="false">SABR!G11+$C$8*SABR!G44</f>
        <v>0.4103024</v>
      </c>
      <c r="H28" s="24" t="n">
        <f aca="false">SABR!H11+$C$8*SABR!H44</f>
        <v>0.3935372</v>
      </c>
      <c r="I28" s="24" t="n">
        <f aca="false">SABR!I11+$C$8*SABR!I44</f>
        <v>0.3793956</v>
      </c>
      <c r="J28" s="24" t="n">
        <f aca="false">SABR!J11+$C$8*SABR!J44</f>
        <v>0.361594</v>
      </c>
      <c r="K28" s="24" t="n">
        <f aca="false">SABR!K11+$C$8*SABR!K44</f>
        <v>0.3482084</v>
      </c>
      <c r="L28" s="24" t="n">
        <f aca="false">SABR!L11+$C$8*SABR!L44</f>
        <v>0.3255648</v>
      </c>
      <c r="N28" s="35" t="s">
        <v>76</v>
      </c>
      <c r="O28" s="24" t="n">
        <f aca="false">SABR!O11+$D$8*SABR!O44</f>
        <v>-0.2822</v>
      </c>
      <c r="P28" s="24" t="n">
        <f aca="false">SABR!P11+$D$8*SABR!P44</f>
        <v>-0.2598</v>
      </c>
      <c r="Q28" s="24" t="n">
        <f aca="false">SABR!Q11+$D$8*SABR!Q44</f>
        <v>-0.2413</v>
      </c>
      <c r="R28" s="24" t="n">
        <f aca="false">SABR!R11+$D$8*SABR!R44</f>
        <v>-0.2166</v>
      </c>
      <c r="S28" s="24" t="n">
        <f aca="false">SABR!S11+$D$8*SABR!S44</f>
        <v>-0.2039</v>
      </c>
      <c r="T28" s="24" t="n">
        <f aca="false">SABR!T11+$D$8*SABR!T44</f>
        <v>-0.1675</v>
      </c>
      <c r="U28" s="24" t="n">
        <f aca="false">SABR!U11+$D$8*SABR!U44</f>
        <v>-0.1533</v>
      </c>
      <c r="V28" s="24" t="n">
        <f aca="false">SABR!V11+$D$8*SABR!V44</f>
        <v>-0.1431</v>
      </c>
      <c r="W28" s="24" t="n">
        <f aca="false">SABR!W11+$D$8*SABR!W44</f>
        <v>-0.1216</v>
      </c>
      <c r="X28" s="24" t="n">
        <f aca="false">SABR!X11+$D$8*SABR!X44</f>
        <v>-0.1003</v>
      </c>
      <c r="Z28" s="35" t="s">
        <v>76</v>
      </c>
      <c r="AA28" s="24" t="n">
        <f aca="false">SABR!AA11+$E$8*SABR!AA44</f>
        <v>0.7584</v>
      </c>
      <c r="AB28" s="24" t="n">
        <f aca="false">SABR!AB11+$E$8*SABR!AB44</f>
        <v>0.7313</v>
      </c>
      <c r="AC28" s="24" t="n">
        <f aca="false">SABR!AC11+$E$8*SABR!AC44</f>
        <v>0.7236</v>
      </c>
      <c r="AD28" s="24" t="n">
        <f aca="false">SABR!AD11+$E$8*SABR!AD44</f>
        <v>0.7043</v>
      </c>
      <c r="AE28" s="24" t="n">
        <f aca="false">SABR!AE11+$E$8*SABR!AE44</f>
        <v>0.6715</v>
      </c>
      <c r="AF28" s="24" t="n">
        <f aca="false">SABR!AF11+$E$8*SABR!AF44</f>
        <v>0.6497</v>
      </c>
      <c r="AG28" s="24" t="n">
        <f aca="false">SABR!AG11+$E$8*SABR!AG44</f>
        <v>0.6195</v>
      </c>
      <c r="AH28" s="24" t="n">
        <f aca="false">SABR!AH11+$E$8*SABR!AH44</f>
        <v>0.5976</v>
      </c>
      <c r="AI28" s="24" t="n">
        <f aca="false">SABR!AI11+$E$8*SABR!AI44</f>
        <v>0.5802</v>
      </c>
      <c r="AJ28" s="24" t="n">
        <f aca="false">SABR!AJ11+$E$8*SABR!AJ44</f>
        <v>0.5564</v>
      </c>
      <c r="AL28" s="35" t="s">
        <v>76</v>
      </c>
      <c r="AM28" s="37" t="n">
        <f aca="false">C28*(1+(((2-3*O28^2)/24*AA28^2)+(O28*AA28*C28/4))*2)</f>
        <v>0.500456973846356</v>
      </c>
      <c r="AN28" s="37" t="n">
        <f aca="false">D28*(1+(((2-3*P28^2)/24*AB28^2)+(P28*AB28*D28/4))*2)</f>
        <v>0.484497923500506</v>
      </c>
      <c r="AO28" s="37" t="n">
        <f aca="false">E28*(1+(((2-3*Q28^2)/24*AC28^2)+(Q28*AC28*E28/4))*2)</f>
        <v>0.463168568230567</v>
      </c>
      <c r="AP28" s="37" t="n">
        <f aca="false">F28*(1+(((2-3*R28^2)/24*AD28^2)+(R28*AD28*F28/4))*2)</f>
        <v>0.457792237560689</v>
      </c>
      <c r="AQ28" s="37" t="n">
        <f aca="false">G28*(1+(((2-3*S28^2)/24*AE28^2)+(S28*AE28*G28/4))*2)</f>
        <v>0.427689490378041</v>
      </c>
      <c r="AR28" s="37" t="n">
        <f aca="false">H28*(1+(((2-3*T28^2)/24*AF28^2)+(T28*AF28*H28/4))*2)</f>
        <v>0.411631128004849</v>
      </c>
      <c r="AS28" s="37" t="n">
        <f aca="false">I28*(1+(((2-3*U28^2)/24*AG28^2)+(U28*AG28*I28/4))*2)</f>
        <v>0.395972571361548</v>
      </c>
      <c r="AT28" s="37" t="n">
        <f aca="false">J28*(1+(((2-3*V28^2)/24*AH28^2)+(V28*AH28*J28/4))*2)</f>
        <v>0.376864675811401</v>
      </c>
      <c r="AU28" s="37" t="n">
        <f aca="false">K28*(1+(((2-3*W28^2)/24*AI28^2)+(W28*AI28*K28/4))*2)</f>
        <v>0.363034235248031</v>
      </c>
      <c r="AV28" s="37" t="n">
        <f aca="false">L28*(1+(((2-3*X28^2)/24*AJ28^2)+(X28*AJ28*L28/4))*2)</f>
        <v>0.339151869016446</v>
      </c>
    </row>
    <row r="29" customFormat="false" ht="15" hidden="false" customHeight="true" outlineLevel="0" collapsed="false">
      <c r="B29" s="35" t="s">
        <v>77</v>
      </c>
      <c r="C29" s="24" t="n">
        <f aca="false">SABR!C12+$C$8*SABR!C45</f>
        <v>0.4764984</v>
      </c>
      <c r="D29" s="24" t="n">
        <f aca="false">SABR!D12+$C$8*SABR!D45</f>
        <v>0.4462184</v>
      </c>
      <c r="E29" s="24" t="n">
        <f aca="false">SABR!E12+$C$8*SABR!E45</f>
        <v>0.4264824</v>
      </c>
      <c r="F29" s="24" t="n">
        <f aca="false">SABR!F12+$C$8*SABR!F45</f>
        <v>0.4282284</v>
      </c>
      <c r="G29" s="24" t="n">
        <f aca="false">SABR!G12+$C$8*SABR!G45</f>
        <v>0.4027644</v>
      </c>
      <c r="H29" s="24" t="n">
        <f aca="false">SABR!H12+$C$8*SABR!H45</f>
        <v>0.3782432</v>
      </c>
      <c r="I29" s="24" t="n">
        <f aca="false">SABR!I12+$C$8*SABR!I45</f>
        <v>0.3692668</v>
      </c>
      <c r="J29" s="24" t="n">
        <f aca="false">SABR!J12+$C$8*SABR!J45</f>
        <v>0.3419812</v>
      </c>
      <c r="K29" s="24" t="n">
        <f aca="false">SABR!K12+$C$8*SABR!K45</f>
        <v>0.3350368</v>
      </c>
      <c r="L29" s="24" t="n">
        <f aca="false">SABR!L12+$C$8*SABR!L45</f>
        <v>0.3272332</v>
      </c>
      <c r="N29" s="35" t="s">
        <v>77</v>
      </c>
      <c r="O29" s="24" t="n">
        <f aca="false">SABR!O12+$D$8*SABR!O45</f>
        <v>-0.2455</v>
      </c>
      <c r="P29" s="24" t="n">
        <f aca="false">SABR!P12+$D$8*SABR!P45</f>
        <v>-0.2294</v>
      </c>
      <c r="Q29" s="24" t="n">
        <f aca="false">SABR!Q12+$D$8*SABR!Q45</f>
        <v>-0.2187</v>
      </c>
      <c r="R29" s="24" t="n">
        <f aca="false">SABR!R12+$D$8*SABR!R45</f>
        <v>-0.1971</v>
      </c>
      <c r="S29" s="24" t="n">
        <f aca="false">SABR!S12+$D$8*SABR!S45</f>
        <v>-0.1817</v>
      </c>
      <c r="T29" s="24" t="n">
        <f aca="false">SABR!T12+$D$8*SABR!T45</f>
        <v>-0.1501</v>
      </c>
      <c r="U29" s="24" t="n">
        <f aca="false">SABR!U12+$D$8*SABR!U45</f>
        <v>-0.1355</v>
      </c>
      <c r="V29" s="24" t="n">
        <f aca="false">SABR!V12+$D$8*SABR!V45</f>
        <v>-0.1111</v>
      </c>
      <c r="W29" s="24" t="n">
        <f aca="false">SABR!W12+$D$8*SABR!W45</f>
        <v>-0.1006</v>
      </c>
      <c r="X29" s="24" t="n">
        <f aca="false">SABR!X12+$D$8*SABR!X45</f>
        <v>-0.0833</v>
      </c>
      <c r="Z29" s="35" t="s">
        <v>77</v>
      </c>
      <c r="AA29" s="24" t="n">
        <f aca="false">SABR!AA12+$E$8*SABR!AA45</f>
        <v>0.7451</v>
      </c>
      <c r="AB29" s="24" t="n">
        <f aca="false">SABR!AB12+$E$8*SABR!AB45</f>
        <v>0.7264</v>
      </c>
      <c r="AC29" s="24" t="n">
        <f aca="false">SABR!AC12+$E$8*SABR!AC45</f>
        <v>0.7015</v>
      </c>
      <c r="AD29" s="24" t="n">
        <f aca="false">SABR!AD12+$E$8*SABR!AD45</f>
        <v>0.6783</v>
      </c>
      <c r="AE29" s="24" t="n">
        <f aca="false">SABR!AE12+$E$8*SABR!AE45</f>
        <v>0.6564</v>
      </c>
      <c r="AF29" s="24" t="n">
        <f aca="false">SABR!AF12+$E$8*SABR!AF45</f>
        <v>0.6326</v>
      </c>
      <c r="AG29" s="24" t="n">
        <f aca="false">SABR!AG12+$E$8*SABR!AG45</f>
        <v>0.6001</v>
      </c>
      <c r="AH29" s="24" t="n">
        <f aca="false">SABR!AH12+$E$8*SABR!AH45</f>
        <v>0.5837</v>
      </c>
      <c r="AI29" s="24" t="n">
        <f aca="false">SABR!AI12+$E$8*SABR!AI45</f>
        <v>0.5582</v>
      </c>
      <c r="AJ29" s="24" t="n">
        <f aca="false">SABR!AJ12+$E$8*SABR!AJ45</f>
        <v>0.5295</v>
      </c>
      <c r="AL29" s="35" t="s">
        <v>77</v>
      </c>
      <c r="AM29" s="37" t="n">
        <f aca="false">C29*(1+(((2-3*O29^2)/24*AA29^2)+(O29*AA29*C29/4))*3)</f>
        <v>0.50550489499443</v>
      </c>
      <c r="AN29" s="37" t="n">
        <f aca="false">D29*(1+(((2-3*P29^2)/24*AB29^2)+(P29*AB29*D29/4))*3)</f>
        <v>0.475550252294621</v>
      </c>
      <c r="AO29" s="37" t="n">
        <f aca="false">E29*(1+(((2-3*Q29^2)/24*AC29^2)+(Q29*AC29*E29/4))*3)</f>
        <v>0.454257738905322</v>
      </c>
      <c r="AP29" s="37" t="n">
        <f aca="false">F29*(1+(((2-3*R29^2)/24*AD29^2)+(R29*AD29*F29/4))*3)</f>
        <v>0.456226707437774</v>
      </c>
      <c r="AQ29" s="37" t="n">
        <f aca="false">G29*(1+(((2-3*S29^2)/24*AE29^2)+(S29*AE29*G29/4))*3)</f>
        <v>0.429489142110335</v>
      </c>
      <c r="AR29" s="37" t="n">
        <f aca="false">H29*(1+(((2-3*T29^2)/24*AF29^2)+(T29*AF29*H29/4))*3)</f>
        <v>0.404617370490607</v>
      </c>
      <c r="AS29" s="37" t="n">
        <f aca="false">I29*(1+(((2-3*U29^2)/24*AG29^2)+(U29*AG29*I29/4))*3)</f>
        <v>0.393280495722981</v>
      </c>
      <c r="AT29" s="37" t="n">
        <f aca="false">J29*(1+(((2-3*V29^2)/24*AH29^2)+(V29*AH29*J29/4))*3)</f>
        <v>0.364882492480818</v>
      </c>
      <c r="AU29" s="37" t="n">
        <f aca="false">K29*(1+(((2-3*W29^2)/24*AI29^2)+(W29*AI29*K29/4))*3)</f>
        <v>0.35601138380004</v>
      </c>
      <c r="AV29" s="37" t="n">
        <f aca="false">L29*(1+(((2-3*X29^2)/24*AJ29^2)+(X29*AJ29*L29/4))*3)</f>
        <v>0.34638876844407</v>
      </c>
    </row>
    <row r="30" customFormat="false" ht="15" hidden="false" customHeight="true" outlineLevel="0" collapsed="false">
      <c r="B30" s="35" t="s">
        <v>78</v>
      </c>
      <c r="C30" s="24" t="n">
        <f aca="false">SABR!C13+$C$8*SABR!C46</f>
        <v>0.4435204</v>
      </c>
      <c r="D30" s="24" t="n">
        <f aca="false">SABR!D13+$C$8*SABR!D46</f>
        <v>0.431574</v>
      </c>
      <c r="E30" s="24" t="n">
        <f aca="false">SABR!E13+$C$8*SABR!E46</f>
        <v>0.4144088</v>
      </c>
      <c r="F30" s="24" t="n">
        <f aca="false">SABR!F13+$C$8*SABR!F46</f>
        <v>0.406084</v>
      </c>
      <c r="G30" s="24" t="n">
        <f aca="false">SABR!G13+$C$8*SABR!G46</f>
        <v>0.3944264</v>
      </c>
      <c r="H30" s="24" t="n">
        <f aca="false">SABR!H13+$C$8*SABR!H46</f>
        <v>0.3672352</v>
      </c>
      <c r="I30" s="24" t="n">
        <f aca="false">SABR!I13+$C$8*SABR!I46</f>
        <v>0.360086</v>
      </c>
      <c r="J30" s="24" t="n">
        <f aca="false">SABR!J13+$C$8*SABR!J46</f>
        <v>0.344318</v>
      </c>
      <c r="K30" s="24" t="n">
        <f aca="false">SABR!K13+$C$8*SABR!K46</f>
        <v>0.32671</v>
      </c>
      <c r="L30" s="24" t="n">
        <f aca="false">SABR!L13+$C$8*SABR!L46</f>
        <v>0.2980168</v>
      </c>
      <c r="N30" s="35" t="s">
        <v>78</v>
      </c>
      <c r="O30" s="24" t="n">
        <f aca="false">SABR!O13+$D$8*SABR!O46</f>
        <v>-0.2389</v>
      </c>
      <c r="P30" s="24" t="n">
        <f aca="false">SABR!P13+$D$8*SABR!P46</f>
        <v>-0.2194</v>
      </c>
      <c r="Q30" s="24" t="n">
        <f aca="false">SABR!Q13+$D$8*SABR!Q46</f>
        <v>-0.2005</v>
      </c>
      <c r="R30" s="24" t="n">
        <f aca="false">SABR!R13+$D$8*SABR!R46</f>
        <v>-0.1809</v>
      </c>
      <c r="S30" s="24" t="n">
        <f aca="false">SABR!S13+$D$8*SABR!S46</f>
        <v>-0.1531</v>
      </c>
      <c r="T30" s="24" t="n">
        <f aca="false">SABR!T13+$D$8*SABR!T46</f>
        <v>-0.1281</v>
      </c>
      <c r="U30" s="24" t="n">
        <f aca="false">SABR!U13+$D$8*SABR!U46</f>
        <v>-0.1099</v>
      </c>
      <c r="V30" s="24" t="n">
        <f aca="false">SABR!V13+$D$8*SABR!V46</f>
        <v>-0.0976</v>
      </c>
      <c r="W30" s="24" t="n">
        <f aca="false">SABR!W13+$D$8*SABR!W46</f>
        <v>-0.0747</v>
      </c>
      <c r="X30" s="24" t="n">
        <f aca="false">SABR!X13+$D$8*SABR!X46</f>
        <v>-0.0523</v>
      </c>
      <c r="Z30" s="35" t="s">
        <v>78</v>
      </c>
      <c r="AA30" s="24" t="n">
        <f aca="false">SABR!AA13+$E$8*SABR!AA46</f>
        <v>0.7084</v>
      </c>
      <c r="AB30" s="24" t="n">
        <f aca="false">SABR!AB13+$E$8*SABR!AB46</f>
        <v>0.6977</v>
      </c>
      <c r="AC30" s="24" t="n">
        <f aca="false">SABR!AC13+$E$8*SABR!AC46</f>
        <v>0.6804</v>
      </c>
      <c r="AD30" s="24" t="n">
        <f aca="false">SABR!AD13+$E$8*SABR!AD46</f>
        <v>0.6556</v>
      </c>
      <c r="AE30" s="24" t="n">
        <f aca="false">SABR!AE13+$E$8*SABR!AE46</f>
        <v>0.6328</v>
      </c>
      <c r="AF30" s="24" t="n">
        <f aca="false">SABR!AF13+$E$8*SABR!AF46</f>
        <v>0.6051</v>
      </c>
      <c r="AG30" s="24" t="n">
        <f aca="false">SABR!AG13+$E$8*SABR!AG46</f>
        <v>0.5769</v>
      </c>
      <c r="AH30" s="24" t="n">
        <f aca="false">SABR!AH13+$E$8*SABR!AH46</f>
        <v>0.5669</v>
      </c>
      <c r="AI30" s="24" t="n">
        <f aca="false">SABR!AI13+$E$8*SABR!AI46</f>
        <v>0.5355</v>
      </c>
      <c r="AJ30" s="24" t="n">
        <f aca="false">SABR!AJ13+$E$8*SABR!AJ46</f>
        <v>0.5227</v>
      </c>
      <c r="AL30" s="35" t="s">
        <v>78</v>
      </c>
      <c r="AM30" s="37" t="n">
        <f aca="false">C30*(1+(((2-3*O30^2)/24*AA30^2)+(O30*AA30*C30/4))*5)</f>
        <v>0.486706179477311</v>
      </c>
      <c r="AN30" s="37" t="n">
        <f aca="false">D30*(1+(((2-3*P30^2)/24*AB30^2)+(P30*AB30*D30/4))*5)</f>
        <v>0.477149494720452</v>
      </c>
      <c r="AO30" s="37" t="n">
        <f aca="false">E30*(1+(((2-3*Q30^2)/24*AC30^2)+(Q30*AC30*E30/4))*5)</f>
        <v>0.460240213358882</v>
      </c>
      <c r="AP30" s="37" t="n">
        <f aca="false">F30*(1+(((2-3*R30^2)/24*AD30^2)+(R30*AD30*F30/4))*5)</f>
        <v>0.450792294779494</v>
      </c>
      <c r="AQ30" s="37" t="n">
        <f aca="false">G30*(1+(((2-3*S30^2)/24*AE30^2)+(S30*AE30*G30/4))*5)</f>
        <v>0.439081824220255</v>
      </c>
      <c r="AR30" s="37" t="n">
        <f aca="false">H30*(1+(((2-3*T30^2)/24*AF30^2)+(T30*AF30*H30/4))*5)</f>
        <v>0.408814899417522</v>
      </c>
      <c r="AS30" s="37" t="n">
        <f aca="false">I30*(1+(((2-3*U30^2)/24*AG30^2)+(U30*AG30*I30/4))*5)</f>
        <v>0.398839392818521</v>
      </c>
      <c r="AT30" s="37" t="n">
        <f aca="false">J30*(1+(((2-3*V30^2)/24*AH30^2)+(V30*AH30*J30/4))*5)</f>
        <v>0.381566152414883</v>
      </c>
      <c r="AU30" s="37" t="n">
        <f aca="false">K30*(1+(((2-3*W30^2)/24*AI30^2)+(W30*AI30*K30/4))*5)</f>
        <v>0.360082475604333</v>
      </c>
      <c r="AV30" s="37" t="n">
        <f aca="false">L30*(1+(((2-3*X30^2)/24*AJ30^2)+(X30*AJ30*L30/4))*5)</f>
        <v>0.328768838425418</v>
      </c>
    </row>
    <row r="31" customFormat="false" ht="15" hidden="false" customHeight="true" outlineLevel="0" collapsed="false">
      <c r="B31" s="35" t="s">
        <v>79</v>
      </c>
      <c r="C31" s="24" t="n">
        <f aca="false">SABR!C14+$C$8*SABR!C47</f>
        <v>0.4454936</v>
      </c>
      <c r="D31" s="24" t="n">
        <f aca="false">SABR!D14+$C$8*SABR!D47</f>
        <v>0.4170556</v>
      </c>
      <c r="E31" s="24" t="n">
        <f aca="false">SABR!E14+$C$8*SABR!E47</f>
        <v>0.4002904</v>
      </c>
      <c r="F31" s="24" t="n">
        <f aca="false">SABR!F14+$C$8*SABR!F47</f>
        <v>0.3942572</v>
      </c>
      <c r="G31" s="24" t="n">
        <f aca="false">SABR!G14+$C$8*SABR!G47</f>
        <v>0.3729192</v>
      </c>
      <c r="H31" s="24" t="n">
        <f aca="false">SABR!H14+$C$8*SABR!H47</f>
        <v>0.3449176</v>
      </c>
      <c r="I31" s="24" t="n">
        <f aca="false">SABR!I14+$C$8*SABR!I47</f>
        <v>0.3270508</v>
      </c>
      <c r="J31" s="24" t="n">
        <f aca="false">SABR!J14+$C$8*SABR!J47</f>
        <v>0.3105932</v>
      </c>
      <c r="K31" s="24" t="n">
        <f aca="false">SABR!K14+$C$8*SABR!K47</f>
        <v>0.30887</v>
      </c>
      <c r="L31" s="24" t="n">
        <f aca="false">SABR!L14+$C$8*SABR!L47</f>
        <v>0.2900012</v>
      </c>
      <c r="N31" s="35" t="s">
        <v>79</v>
      </c>
      <c r="O31" s="24" t="n">
        <f aca="false">SABR!O14+$D$8*SABR!O47</f>
        <v>-0.221</v>
      </c>
      <c r="P31" s="24" t="n">
        <f aca="false">SABR!P14+$D$8*SABR!P47</f>
        <v>-0.1879</v>
      </c>
      <c r="Q31" s="24" t="n">
        <f aca="false">SABR!Q14+$D$8*SABR!Q47</f>
        <v>-0.1654</v>
      </c>
      <c r="R31" s="24" t="n">
        <f aca="false">SABR!R14+$D$8*SABR!R47</f>
        <v>-0.1524</v>
      </c>
      <c r="S31" s="24" t="n">
        <f aca="false">SABR!S14+$D$8*SABR!S47</f>
        <v>-0.1391</v>
      </c>
      <c r="T31" s="24" t="n">
        <f aca="false">SABR!T14+$D$8*SABR!T47</f>
        <v>-0.1157</v>
      </c>
      <c r="U31" s="24" t="n">
        <f aca="false">SABR!U14+$D$8*SABR!U47</f>
        <v>-0.1046</v>
      </c>
      <c r="V31" s="24" t="n">
        <f aca="false">SABR!V14+$D$8*SABR!V47</f>
        <v>-0.0875</v>
      </c>
      <c r="W31" s="24" t="n">
        <f aca="false">SABR!W14+$D$8*SABR!W47</f>
        <v>-0.0489</v>
      </c>
      <c r="X31" s="24" t="n">
        <f aca="false">SABR!X14+$D$8*SABR!X47</f>
        <v>-0.0359</v>
      </c>
      <c r="Z31" s="35" t="s">
        <v>79</v>
      </c>
      <c r="AA31" s="24" t="n">
        <f aca="false">SABR!AA14+$E$8*SABR!AA47</f>
        <v>0.695</v>
      </c>
      <c r="AB31" s="24" t="n">
        <f aca="false">SABR!AB14+$E$8*SABR!AB47</f>
        <v>0.6809</v>
      </c>
      <c r="AC31" s="24" t="n">
        <f aca="false">SABR!AC14+$E$8*SABR!AC47</f>
        <v>0.6487</v>
      </c>
      <c r="AD31" s="24" t="n">
        <f aca="false">SABR!AD14+$E$8*SABR!AD47</f>
        <v>0.6352</v>
      </c>
      <c r="AE31" s="24" t="n">
        <f aca="false">SABR!AE14+$E$8*SABR!AE47</f>
        <v>0.6121</v>
      </c>
      <c r="AF31" s="24" t="n">
        <f aca="false">SABR!AF14+$E$8*SABR!AF47</f>
        <v>0.5776</v>
      </c>
      <c r="AG31" s="24" t="n">
        <f aca="false">SABR!AG14+$E$8*SABR!AG47</f>
        <v>0.5561</v>
      </c>
      <c r="AH31" s="24" t="n">
        <f aca="false">SABR!AH14+$E$8*SABR!AH47</f>
        <v>0.5347</v>
      </c>
      <c r="AI31" s="24" t="n">
        <f aca="false">SABR!AI14+$E$8*SABR!AI47</f>
        <v>0.5115</v>
      </c>
      <c r="AJ31" s="24" t="n">
        <f aca="false">SABR!AJ14+$E$8*SABR!AJ47</f>
        <v>0.4962</v>
      </c>
      <c r="AL31" s="35" t="s">
        <v>79</v>
      </c>
      <c r="AM31" s="37" t="n">
        <f aca="false">C31*(1+(((2-3*O31^2)/24*AA31^2)+(O31*AA31*C31/4))*10)</f>
        <v>0.535468864106854</v>
      </c>
      <c r="AN31" s="37" t="n">
        <f aca="false">D31*(1+(((2-3*P31^2)/24*AB31^2)+(P31*AB31*D31/4))*10)</f>
        <v>0.514019549709409</v>
      </c>
      <c r="AO31" s="37" t="n">
        <f aca="false">E31*(1+(((2-3*Q31^2)/24*AC31^2)+(Q31*AC31*E31/4))*10)</f>
        <v>0.491922182917064</v>
      </c>
      <c r="AP31" s="37" t="n">
        <f aca="false">F31*(1+(((2-3*R31^2)/24*AD31^2)+(R31*AD31*F31/4))*10)</f>
        <v>0.484583098027139</v>
      </c>
      <c r="AQ31" s="37" t="n">
        <f aca="false">G31*(1+(((2-3*S31^2)/24*AE31^2)+(S31*AE31*G31/4))*10)</f>
        <v>0.456371644316817</v>
      </c>
      <c r="AR31" s="37" t="n">
        <f aca="false">H31*(1+(((2-3*T31^2)/24*AF31^2)+(T31*AF31*H31/4))*10)</f>
        <v>0.419009330176684</v>
      </c>
      <c r="AS31" s="37" t="n">
        <f aca="false">I31*(1+(((2-3*U31^2)/24*AG31^2)+(U31*AG31*I31/4))*10)</f>
        <v>0.394396063309444</v>
      </c>
      <c r="AT31" s="37" t="n">
        <f aca="false">J31*(1+(((2-3*V31^2)/24*AH31^2)+(V31*AH31*J31/4))*10)</f>
        <v>0.372459790229086</v>
      </c>
      <c r="AU31" s="37" t="n">
        <f aca="false">K31*(1+(((2-3*W31^2)/24*AI31^2)+(W31*AI31*K31/4))*10)</f>
        <v>0.370004929923682</v>
      </c>
      <c r="AV31" s="37" t="n">
        <f aca="false">L31*(1+(((2-3*X31^2)/24*AJ31^2)+(X31*AJ31*L31/4))*10)</f>
        <v>0.34564290273101</v>
      </c>
    </row>
    <row r="32" customFormat="false" ht="15" hidden="false" customHeight="true" outlineLevel="0" collapsed="false">
      <c r="B32" s="35" t="s">
        <v>80</v>
      </c>
      <c r="C32" s="24" t="n">
        <f aca="false">SABR!C15+$C$8*SABR!C48</f>
        <v>0.414322</v>
      </c>
      <c r="D32" s="24" t="n">
        <f aca="false">SABR!D15+$C$8*SABR!D48</f>
        <v>0.4005588</v>
      </c>
      <c r="E32" s="24" t="n">
        <f aca="false">SABR!E15+$C$8*SABR!E48</f>
        <v>0.3779992</v>
      </c>
      <c r="F32" s="24" t="n">
        <f aca="false">SABR!F15+$C$8*SABR!F48</f>
        <v>0.3766808</v>
      </c>
      <c r="G32" s="24" t="n">
        <f aca="false">SABR!G15+$C$8*SABR!G48</f>
        <v>0.3485056</v>
      </c>
      <c r="H32" s="24" t="n">
        <f aca="false">SABR!H15+$C$8*SABR!H48</f>
        <v>0.3337796</v>
      </c>
      <c r="I32" s="24" t="n">
        <f aca="false">SABR!I15+$C$8*SABR!I48</f>
        <v>0.3193164</v>
      </c>
      <c r="J32" s="24" t="n">
        <f aca="false">SABR!J15+$C$8*SABR!J48</f>
        <v>0.3088168</v>
      </c>
      <c r="K32" s="24" t="n">
        <f aca="false">SABR!K15+$C$8*SABR!K48</f>
        <v>0.282134</v>
      </c>
      <c r="L32" s="24" t="n">
        <f aca="false">SABR!L15+$C$8*SABR!L48</f>
        <v>0.27542</v>
      </c>
      <c r="N32" s="35" t="s">
        <v>80</v>
      </c>
      <c r="O32" s="24" t="n">
        <f aca="false">SABR!O15+$D$8*SABR!O48</f>
        <v>-0.1944</v>
      </c>
      <c r="P32" s="24" t="n">
        <f aca="false">SABR!P15+$D$8*SABR!P48</f>
        <v>-0.1744</v>
      </c>
      <c r="Q32" s="24" t="n">
        <f aca="false">SABR!Q15+$D$8*SABR!Q48</f>
        <v>-0.1551</v>
      </c>
      <c r="R32" s="24" t="n">
        <f aca="false">SABR!R15+$D$8*SABR!R48</f>
        <v>-0.1457</v>
      </c>
      <c r="S32" s="24" t="n">
        <f aca="false">SABR!S15+$D$8*SABR!S48</f>
        <v>-0.1179</v>
      </c>
      <c r="T32" s="24" t="n">
        <f aca="false">SABR!T15+$D$8*SABR!T48</f>
        <v>-0.1036</v>
      </c>
      <c r="U32" s="24" t="n">
        <f aca="false">SABR!U15+$D$8*SABR!U48</f>
        <v>-0.0877</v>
      </c>
      <c r="V32" s="24" t="n">
        <f aca="false">SABR!V15+$D$8*SABR!V48</f>
        <v>-0.0523</v>
      </c>
      <c r="W32" s="24" t="n">
        <f aca="false">SABR!W15+$D$8*SABR!W48</f>
        <v>-0.0454</v>
      </c>
      <c r="X32" s="24" t="n">
        <f aca="false">SABR!X15+$D$8*SABR!X48</f>
        <v>-0.02</v>
      </c>
      <c r="Z32" s="35" t="s">
        <v>80</v>
      </c>
      <c r="AA32" s="24" t="n">
        <f aca="false">SABR!AA15+$E$8*SABR!AA48</f>
        <v>0.6767</v>
      </c>
      <c r="AB32" s="24" t="n">
        <f aca="false">SABR!AB15+$E$8*SABR!AB48</f>
        <v>0.6511</v>
      </c>
      <c r="AC32" s="24" t="n">
        <f aca="false">SABR!AC15+$E$8*SABR!AC48</f>
        <v>0.6243</v>
      </c>
      <c r="AD32" s="24" t="n">
        <f aca="false">SABR!AD15+$E$8*SABR!AD48</f>
        <v>0.6059</v>
      </c>
      <c r="AE32" s="24" t="n">
        <f aca="false">SABR!AE15+$E$8*SABR!AE48</f>
        <v>0.5844</v>
      </c>
      <c r="AF32" s="24" t="n">
        <f aca="false">SABR!AF15+$E$8*SABR!AF48</f>
        <v>0.5668</v>
      </c>
      <c r="AG32" s="24" t="n">
        <f aca="false">SABR!AG15+$E$8*SABR!AG48</f>
        <v>0.531</v>
      </c>
      <c r="AH32" s="24" t="n">
        <f aca="false">SABR!AH15+$E$8*SABR!AH48</f>
        <v>0.5179</v>
      </c>
      <c r="AI32" s="24" t="n">
        <f aca="false">SABR!AI15+$E$8*SABR!AI48</f>
        <v>0.4894</v>
      </c>
      <c r="AJ32" s="24" t="n">
        <f aca="false">SABR!AJ15+$E$8*SABR!AJ48</f>
        <v>0.4678</v>
      </c>
      <c r="AL32" s="35" t="s">
        <v>80</v>
      </c>
      <c r="AM32" s="37" t="n">
        <f aca="false">C32*(1+(((2-3*O32^2)/24*AA32^2)+(O32*AA32*C32/4))*20)</f>
        <v>0.599697826941796</v>
      </c>
      <c r="AN32" s="37" t="n">
        <f aca="false">D32*(1+(((2-3*P32^2)/24*AB32^2)+(P32*AB32*D32/4))*20)</f>
        <v>0.579566934259939</v>
      </c>
      <c r="AO32" s="37" t="n">
        <f aca="false">E32*(1+(((2-3*Q32^2)/24*AC32^2)+(Q32*AC32*E32/4))*20)</f>
        <v>0.545505106031865</v>
      </c>
      <c r="AP32" s="37" t="n">
        <f aca="false">F32*(1+(((2-3*R32^2)/24*AD32^2)+(R32*AD32*F32/4))*20)</f>
        <v>0.537187719190503</v>
      </c>
      <c r="AQ32" s="37" t="n">
        <f aca="false">G32*(1+(((2-3*S32^2)/24*AE32^2)+(S32*AE32*G32/4))*20)</f>
        <v>0.500898668410095</v>
      </c>
      <c r="AR32" s="37" t="n">
        <f aca="false">H32*(1+(((2-3*T32^2)/24*AF32^2)+(T32*AF32*H32/4))*20)</f>
        <v>0.476910413366036</v>
      </c>
      <c r="AS32" s="37" t="n">
        <f aca="false">I32*(1+(((2-3*U32^2)/24*AG32^2)+(U32*AG32*I32/4))*20)</f>
        <v>0.443901730343306</v>
      </c>
      <c r="AT32" s="37" t="n">
        <f aca="false">J32*(1+(((2-3*V32^2)/24*AH32^2)+(V32*AH32*J32/4))*20)</f>
        <v>0.433386253338724</v>
      </c>
      <c r="AU32" s="37" t="n">
        <f aca="false">K32*(1+(((2-3*W32^2)/24*AI32^2)+(W32*AI32*K32/4))*20)</f>
        <v>0.385567073868514</v>
      </c>
      <c r="AV32" s="37" t="n">
        <f aca="false">L32*(1+(((2-3*X32^2)/24*AJ32^2)+(X32*AJ32*L32/4))*20)</f>
        <v>0.372264580146869</v>
      </c>
    </row>
    <row r="33" customFormat="false" ht="15" hidden="false" customHeight="true" outlineLevel="0" collapsed="false">
      <c r="B33" s="35" t="s">
        <v>81</v>
      </c>
      <c r="C33" s="24" t="n">
        <f aca="false">SABR!C16+$C$8*SABR!C49</f>
        <v>0.4075336</v>
      </c>
      <c r="D33" s="24" t="n">
        <f aca="false">SABR!D16+$C$8*SABR!D49</f>
        <v>0.3855384</v>
      </c>
      <c r="E33" s="24" t="n">
        <f aca="false">SABR!E16+$C$8*SABR!E49</f>
        <v>0.3695632</v>
      </c>
      <c r="F33" s="24" t="n">
        <f aca="false">SABR!F16+$C$8*SABR!F49</f>
        <v>0.3566896</v>
      </c>
      <c r="G33" s="24" t="n">
        <f aca="false">SABR!G16+$C$8*SABR!G49</f>
        <v>0.342762</v>
      </c>
      <c r="H33" s="24" t="n">
        <f aca="false">SABR!H16+$C$8*SABR!H49</f>
        <v>0.3165052</v>
      </c>
      <c r="I33" s="24" t="n">
        <f aca="false">SABR!I16+$C$8*SABR!I49</f>
        <v>0.3030168</v>
      </c>
      <c r="J33" s="24" t="n">
        <f aca="false">SABR!J16+$C$8*SABR!J49</f>
        <v>0.28382</v>
      </c>
      <c r="K33" s="24" t="n">
        <f aca="false">SABR!K16+$C$8*SABR!K49</f>
        <v>0.26732</v>
      </c>
      <c r="L33" s="24" t="n">
        <f aca="false">SABR!L16+$C$8*SABR!L49</f>
        <v>0.25432</v>
      </c>
      <c r="N33" s="35" t="s">
        <v>81</v>
      </c>
      <c r="O33" s="24" t="n">
        <f aca="false">SABR!O16+$D$8*SABR!O49</f>
        <v>-0.176</v>
      </c>
      <c r="P33" s="24" t="n">
        <f aca="false">SABR!P16+$D$8*SABR!P49</f>
        <v>-0.1549</v>
      </c>
      <c r="Q33" s="24" t="n">
        <f aca="false">SABR!Q16+$D$8*SABR!Q49</f>
        <v>-0.1366</v>
      </c>
      <c r="R33" s="24" t="n">
        <f aca="false">SABR!R16+$D$8*SABR!R49</f>
        <v>-0.1078</v>
      </c>
      <c r="S33" s="24" t="n">
        <f aca="false">SABR!S16+$D$8*SABR!S49</f>
        <v>-0.0932</v>
      </c>
      <c r="T33" s="24" t="n">
        <f aca="false">SABR!T16+$D$8*SABR!T49</f>
        <v>-0.0702</v>
      </c>
      <c r="U33" s="24" t="n">
        <f aca="false">SABR!U16+$D$8*SABR!U49</f>
        <v>-0.0495</v>
      </c>
      <c r="V33" s="24" t="n">
        <f aca="false">SABR!V16+$D$8*SABR!V49</f>
        <v>-0.0437</v>
      </c>
      <c r="W33" s="24" t="n">
        <f aca="false">SABR!W16+$D$8*SABR!W49</f>
        <v>-0.0183</v>
      </c>
      <c r="X33" s="24" t="n">
        <f aca="false">SABR!X16+$D$8*SABR!X49</f>
        <v>0.0089</v>
      </c>
      <c r="Z33" s="35" t="s">
        <v>81</v>
      </c>
      <c r="AA33" s="24" t="n">
        <f aca="false">SABR!AA16+$E$8*SABR!AA49</f>
        <v>0.6568</v>
      </c>
      <c r="AB33" s="24" t="n">
        <f aca="false">SABR!AB16+$E$8*SABR!AB49</f>
        <v>0.6205</v>
      </c>
      <c r="AC33" s="24" t="n">
        <f aca="false">SABR!AC16+$E$8*SABR!AC49</f>
        <v>0.598</v>
      </c>
      <c r="AD33" s="24" t="n">
        <f aca="false">SABR!AD16+$E$8*SABR!AD49</f>
        <v>0.5822</v>
      </c>
      <c r="AE33" s="24" t="n">
        <f aca="false">SABR!AE16+$E$8*SABR!AE49</f>
        <v>0.5526</v>
      </c>
      <c r="AF33" s="24" t="n">
        <f aca="false">SABR!AF16+$E$8*SABR!AF49</f>
        <v>0.5337</v>
      </c>
      <c r="AG33" s="24" t="n">
        <f aca="false">SABR!AG16+$E$8*SABR!AG49</f>
        <v>0.5081</v>
      </c>
      <c r="AH33" s="24" t="n">
        <f aca="false">SABR!AH16+$E$8*SABR!AH49</f>
        <v>0.4978</v>
      </c>
      <c r="AI33" s="24" t="n">
        <f aca="false">SABR!AI16+$E$8*SABR!AI49</f>
        <v>0.4779</v>
      </c>
      <c r="AJ33" s="24" t="n">
        <f aca="false">SABR!AJ16+$E$8*SABR!AJ49</f>
        <v>0.4579</v>
      </c>
      <c r="AL33" s="35" t="s">
        <v>81</v>
      </c>
      <c r="AM33" s="37" t="n">
        <f aca="false">C33*(1+(((2-3*O33^2)/24*AA33^2)+(O33*AA33*C33/4))*30)</f>
        <v>0.682632605156806</v>
      </c>
      <c r="AN33" s="37" t="n">
        <f aca="false">D33*(1+(((2-3*P33^2)/24*AB33^2)+(P33*AB33*D33/4))*30)</f>
        <v>0.636132952806693</v>
      </c>
      <c r="AO33" s="37" t="n">
        <f aca="false">E33*(1+(((2-3*Q33^2)/24*AC33^2)+(Q33*AC33*E33/4))*30)</f>
        <v>0.607034898541128</v>
      </c>
      <c r="AP33" s="37" t="n">
        <f aca="false">F33*(1+(((2-3*R33^2)/24*AD33^2)+(R33*AD33*F33/4))*30)</f>
        <v>0.59378976979509</v>
      </c>
      <c r="AQ33" s="37" t="n">
        <f aca="false">G33*(1+(((2-3*S33^2)/24*AE33^2)+(S33*AE33*G33/4))*30)</f>
        <v>0.555641976776011</v>
      </c>
      <c r="AR33" s="37" t="n">
        <f aca="false">H33*(1+(((2-3*T33^2)/24*AF33^2)+(T33*AF33*H33/4))*30)</f>
        <v>0.512070489540964</v>
      </c>
      <c r="AS33" s="37" t="n">
        <f aca="false">I33*(1+(((2-3*U33^2)/24*AG33^2)+(U33*AG33*I33/4))*30)</f>
        <v>0.480549247448033</v>
      </c>
      <c r="AT33" s="37" t="n">
        <f aca="false">J33*(1+(((2-3*V33^2)/24*AH33^2)+(V33*AH33*J33/4))*30)</f>
        <v>0.446003583832479</v>
      </c>
      <c r="AU33" s="37" t="n">
        <f aca="false">K33*(1+(((2-3*W33^2)/24*AI33^2)+(W33*AI33*K33/4))*30)</f>
        <v>0.415188114933054</v>
      </c>
      <c r="AV33" s="37" t="n">
        <f aca="false">L33*(1+(((2-3*X33^2)/24*AJ33^2)+(X33*AJ33*L33/4))*30)</f>
        <v>0.389590771081313</v>
      </c>
    </row>
    <row r="35" customFormat="false" ht="15" hidden="false" customHeight="true" outlineLevel="0" collapsed="false">
      <c r="A35" s="28" t="s">
        <v>154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</row>
    <row r="36" customFormat="false" ht="15" hidden="false" customHeight="true" outlineLevel="0" collapsed="false">
      <c r="B36" s="28" t="s">
        <v>136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N36" s="28" t="s">
        <v>137</v>
      </c>
      <c r="O36" s="28"/>
      <c r="P36" s="28"/>
      <c r="Q36" s="28"/>
      <c r="R36" s="28"/>
      <c r="S36" s="28"/>
      <c r="T36" s="28"/>
      <c r="U36" s="28"/>
      <c r="V36" s="28"/>
      <c r="W36" s="28"/>
      <c r="X36" s="28"/>
      <c r="Z36" s="28" t="s">
        <v>138</v>
      </c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L36" s="34" t="s">
        <v>139</v>
      </c>
      <c r="AM36" s="34"/>
      <c r="AN36" s="34"/>
      <c r="AO36" s="34"/>
      <c r="AP36" s="34"/>
      <c r="AQ36" s="34"/>
      <c r="AR36" s="34"/>
      <c r="AS36" s="34"/>
      <c r="AT36" s="34"/>
      <c r="AU36" s="34"/>
      <c r="AV36" s="34"/>
    </row>
    <row r="37" customFormat="false" ht="15" hidden="false" customHeight="true" outlineLevel="0" collapsed="false">
      <c r="B37" s="18" t="s">
        <v>140</v>
      </c>
      <c r="C37" s="12" t="s">
        <v>141</v>
      </c>
      <c r="D37" s="12" t="s">
        <v>74</v>
      </c>
      <c r="E37" s="12" t="s">
        <v>75</v>
      </c>
      <c r="F37" s="12" t="s">
        <v>30</v>
      </c>
      <c r="G37" s="12" t="s">
        <v>76</v>
      </c>
      <c r="H37" s="12" t="s">
        <v>77</v>
      </c>
      <c r="I37" s="12" t="s">
        <v>78</v>
      </c>
      <c r="J37" s="12" t="s">
        <v>79</v>
      </c>
      <c r="K37" s="12" t="s">
        <v>80</v>
      </c>
      <c r="L37" s="12" t="s">
        <v>81</v>
      </c>
      <c r="N37" s="18" t="s">
        <v>140</v>
      </c>
      <c r="O37" s="12" t="s">
        <v>141</v>
      </c>
      <c r="P37" s="12" t="s">
        <v>74</v>
      </c>
      <c r="Q37" s="12" t="s">
        <v>75</v>
      </c>
      <c r="R37" s="12" t="s">
        <v>30</v>
      </c>
      <c r="S37" s="12" t="s">
        <v>76</v>
      </c>
      <c r="T37" s="12" t="s">
        <v>77</v>
      </c>
      <c r="U37" s="12" t="s">
        <v>78</v>
      </c>
      <c r="V37" s="12" t="s">
        <v>79</v>
      </c>
      <c r="W37" s="12" t="s">
        <v>80</v>
      </c>
      <c r="X37" s="12" t="s">
        <v>81</v>
      </c>
      <c r="Z37" s="18" t="s">
        <v>140</v>
      </c>
      <c r="AA37" s="12" t="s">
        <v>141</v>
      </c>
      <c r="AB37" s="12" t="s">
        <v>74</v>
      </c>
      <c r="AC37" s="12" t="s">
        <v>75</v>
      </c>
      <c r="AD37" s="12" t="s">
        <v>30</v>
      </c>
      <c r="AE37" s="12" t="s">
        <v>76</v>
      </c>
      <c r="AF37" s="12" t="s">
        <v>77</v>
      </c>
      <c r="AG37" s="12" t="s">
        <v>78</v>
      </c>
      <c r="AH37" s="12" t="s">
        <v>79</v>
      </c>
      <c r="AI37" s="12" t="s">
        <v>80</v>
      </c>
      <c r="AJ37" s="12" t="s">
        <v>81</v>
      </c>
      <c r="AL37" s="18" t="s">
        <v>140</v>
      </c>
      <c r="AM37" s="12" t="s">
        <v>141</v>
      </c>
      <c r="AN37" s="12" t="s">
        <v>74</v>
      </c>
      <c r="AO37" s="12" t="s">
        <v>75</v>
      </c>
      <c r="AP37" s="12" t="s">
        <v>30</v>
      </c>
      <c r="AQ37" s="12" t="s">
        <v>76</v>
      </c>
      <c r="AR37" s="12" t="s">
        <v>77</v>
      </c>
      <c r="AS37" s="12" t="s">
        <v>78</v>
      </c>
      <c r="AT37" s="12" t="s">
        <v>79</v>
      </c>
      <c r="AU37" s="12" t="s">
        <v>80</v>
      </c>
      <c r="AV37" s="12" t="s">
        <v>81</v>
      </c>
    </row>
    <row r="38" customFormat="false" ht="15" hidden="false" customHeight="true" outlineLevel="0" collapsed="false">
      <c r="B38" s="35" t="s">
        <v>141</v>
      </c>
      <c r="C38" s="24" t="n">
        <f aca="false">SABR!C7+$C$9*SABR!C40</f>
        <v>0.5505025</v>
      </c>
      <c r="D38" s="24" t="n">
        <f aca="false">SABR!D7+$C$9*SABR!D40</f>
        <v>0.530195</v>
      </c>
      <c r="E38" s="24" t="n">
        <f aca="false">SABR!E7+$C$9*SABR!E40</f>
        <v>0.52325</v>
      </c>
      <c r="F38" s="24" t="n">
        <f aca="false">SABR!F7+$C$9*SABR!F40</f>
        <v>0.49475</v>
      </c>
      <c r="G38" s="24" t="n">
        <f aca="false">SABR!G7+$C$9*SABR!G40</f>
        <v>0.4871925</v>
      </c>
      <c r="H38" s="24" t="n">
        <f aca="false">SABR!H7+$C$9*SABR!H40</f>
        <v>0.4668425</v>
      </c>
      <c r="I38" s="24" t="n">
        <f aca="false">SABR!I7+$C$9*SABR!I40</f>
        <v>0.443925</v>
      </c>
      <c r="J38" s="24" t="n">
        <f aca="false">SABR!J7+$C$9*SABR!J40</f>
        <v>0.436</v>
      </c>
      <c r="K38" s="24" t="n">
        <f aca="false">SABR!K7+$C$9*SABR!K40</f>
        <v>0.40965</v>
      </c>
      <c r="L38" s="24" t="n">
        <f aca="false">SABR!L7+$C$9*SABR!L40</f>
        <v>0.400705</v>
      </c>
      <c r="N38" s="35" t="s">
        <v>141</v>
      </c>
      <c r="O38" s="24" t="n">
        <f aca="false">SABR!O7+$D$9*SABR!O40</f>
        <v>-0.3586</v>
      </c>
      <c r="P38" s="24" t="n">
        <f aca="false">SABR!P7+$D$9*SABR!P40</f>
        <v>-0.3387</v>
      </c>
      <c r="Q38" s="24" t="n">
        <f aca="false">SABR!Q7+$D$9*SABR!Q40</f>
        <v>-0.3126</v>
      </c>
      <c r="R38" s="24" t="n">
        <f aca="false">SABR!R7+$D$9*SABR!R40</f>
        <v>-0.2851</v>
      </c>
      <c r="S38" s="24" t="n">
        <f aca="false">SABR!S7+$D$9*SABR!S40</f>
        <v>-0.2797</v>
      </c>
      <c r="T38" s="24" t="n">
        <f aca="false">SABR!T7+$D$9*SABR!T40</f>
        <v>-0.2583</v>
      </c>
      <c r="U38" s="24" t="n">
        <f aca="false">SABR!U7+$D$9*SABR!U40</f>
        <v>-0.2308</v>
      </c>
      <c r="V38" s="24" t="n">
        <f aca="false">SABR!V7+$D$9*SABR!V40</f>
        <v>-0.2049</v>
      </c>
      <c r="W38" s="24" t="n">
        <f aca="false">SABR!W7+$D$9*SABR!W40</f>
        <v>-0.1929</v>
      </c>
      <c r="X38" s="24" t="n">
        <f aca="false">SABR!X7+$D$9*SABR!X40</f>
        <v>-0.1771</v>
      </c>
      <c r="Z38" s="35" t="s">
        <v>141</v>
      </c>
      <c r="AA38" s="24" t="n">
        <f aca="false">SABR!AA7+$E$9*SABR!AA40</f>
        <v>0.8595</v>
      </c>
      <c r="AB38" s="24" t="n">
        <f aca="false">SABR!AB7+$E$9*SABR!AB40</f>
        <v>0.8187</v>
      </c>
      <c r="AC38" s="24" t="n">
        <f aca="false">SABR!AC7+$E$9*SABR!AC40</f>
        <v>0.8127</v>
      </c>
      <c r="AD38" s="24" t="n">
        <f aca="false">SABR!AD7+$E$9*SABR!AD40</f>
        <v>0.7791</v>
      </c>
      <c r="AE38" s="24" t="n">
        <f aca="false">SABR!AE7+$E$9*SABR!AE40</f>
        <v>0.754</v>
      </c>
      <c r="AF38" s="24" t="n">
        <f aca="false">SABR!AF7+$E$9*SABR!AF40</f>
        <v>0.7312</v>
      </c>
      <c r="AG38" s="24" t="n">
        <f aca="false">SABR!AG7+$E$9*SABR!AG40</f>
        <v>0.7128</v>
      </c>
      <c r="AH38" s="24" t="n">
        <f aca="false">SABR!AH7+$E$9*SABR!AH40</f>
        <v>0.7008</v>
      </c>
      <c r="AI38" s="24" t="n">
        <f aca="false">SABR!AI7+$E$9*SABR!AI40</f>
        <v>0.6658</v>
      </c>
      <c r="AJ38" s="24" t="n">
        <f aca="false">SABR!AJ7+$E$9*SABR!AJ40</f>
        <v>0.6516</v>
      </c>
      <c r="AL38" s="35" t="s">
        <v>141</v>
      </c>
      <c r="AM38" s="37" t="n">
        <f aca="false">C38*(1+(((2-3*O38^2)/24*AA38^2)+(O38*AA38*C38/4))*0.0833333333333333)</f>
        <v>0.550835943023128</v>
      </c>
      <c r="AN38" s="37" t="n">
        <f aca="false">D38*(1+(((2-3*P38^2)/24*AB38^2)+(P38*AB38*D38/4))*0.0833333333333333)</f>
        <v>0.530614269444235</v>
      </c>
      <c r="AO38" s="37" t="n">
        <f aca="false">E38*(1+(((2-3*Q38^2)/24*AC38^2)+(Q38*AC38*E38/4))*0.0833333333333333)</f>
        <v>0.523849100000643</v>
      </c>
      <c r="AP38" s="37" t="n">
        <f aca="false">F38*(1+(((2-3*R38^2)/24*AD38^2)+(R38*AD38*F38/4))*0.0833333333333333)</f>
        <v>0.495448512189804</v>
      </c>
      <c r="AQ38" s="37" t="n">
        <f aca="false">G38*(1+(((2-3*S38^2)/24*AE38^2)+(S38*AE38*G38/4))*0.0833333333333333)</f>
        <v>0.48784738170465</v>
      </c>
      <c r="AR38" s="37" t="n">
        <f aca="false">H38*(1+(((2-3*T38^2)/24*AF38^2)+(T38*AF38*H38/4))*0.0833333333333333)</f>
        <v>0.467544806320629</v>
      </c>
      <c r="AS38" s="37" t="n">
        <f aca="false">I38*(1+(((2-3*U38^2)/24*AG38^2)+(U38*AG38*I38/4))*0.0833333333333333)</f>
        <v>0.444690741292902</v>
      </c>
      <c r="AT38" s="37" t="n">
        <f aca="false">J38*(1+(((2-3*V38^2)/24*AH38^2)+(V38*AH38*J38/4))*0.0833333333333333)</f>
        <v>0.436824678775875</v>
      </c>
      <c r="AU38" s="37" t="n">
        <f aca="false">K38*(1+(((2-3*W38^2)/24*AI38^2)+(W38*AI38*K38/4))*0.0833333333333333)</f>
        <v>0.410391664616928</v>
      </c>
      <c r="AV38" s="37" t="n">
        <f aca="false">L38*(1+(((2-3*X38^2)/24*AJ38^2)+(X38*AJ38*L38/4))*0.0833333333333333)</f>
        <v>0.401444871975147</v>
      </c>
    </row>
    <row r="39" customFormat="false" ht="15" hidden="false" customHeight="true" outlineLevel="0" collapsed="false">
      <c r="B39" s="35" t="s">
        <v>74</v>
      </c>
      <c r="C39" s="24" t="n">
        <f aca="false">SABR!C8+$C$9*SABR!C41</f>
        <v>0.5398475</v>
      </c>
      <c r="D39" s="24" t="n">
        <f aca="false">SABR!D8+$C$9*SABR!D41</f>
        <v>0.51761</v>
      </c>
      <c r="E39" s="24" t="n">
        <f aca="false">SABR!E8+$C$9*SABR!E41</f>
        <v>0.5042925</v>
      </c>
      <c r="F39" s="24" t="n">
        <f aca="false">SABR!F8+$C$9*SABR!F41</f>
        <v>0.477635</v>
      </c>
      <c r="G39" s="24" t="n">
        <f aca="false">SABR!G8+$C$9*SABR!G41</f>
        <v>0.460815</v>
      </c>
      <c r="H39" s="24" t="n">
        <f aca="false">SABR!H8+$C$9*SABR!H41</f>
        <v>0.446735</v>
      </c>
      <c r="I39" s="24" t="n">
        <f aca="false">SABR!I8+$C$9*SABR!I41</f>
        <v>0.4393775</v>
      </c>
      <c r="J39" s="24" t="n">
        <f aca="false">SABR!J8+$C$9*SABR!J41</f>
        <v>0.4173825</v>
      </c>
      <c r="K39" s="24" t="n">
        <f aca="false">SABR!K8+$C$9*SABR!K41</f>
        <v>0.3983425</v>
      </c>
      <c r="L39" s="24" t="n">
        <f aca="false">SABR!L8+$C$9*SABR!L41</f>
        <v>0.3868025</v>
      </c>
      <c r="N39" s="35" t="s">
        <v>74</v>
      </c>
      <c r="O39" s="24" t="n">
        <f aca="false">SABR!O8+$D$9*SABR!O41</f>
        <v>-0.3315</v>
      </c>
      <c r="P39" s="24" t="n">
        <f aca="false">SABR!P8+$D$9*SABR!P41</f>
        <v>-0.3151</v>
      </c>
      <c r="Q39" s="24" t="n">
        <f aca="false">SABR!Q8+$D$9*SABR!Q41</f>
        <v>-0.2858</v>
      </c>
      <c r="R39" s="24" t="n">
        <f aca="false">SABR!R8+$D$9*SABR!R41</f>
        <v>-0.2682</v>
      </c>
      <c r="S39" s="24" t="n">
        <f aca="false">SABR!S8+$D$9*SABR!S41</f>
        <v>-0.2579</v>
      </c>
      <c r="T39" s="24" t="n">
        <f aca="false">SABR!T8+$D$9*SABR!T41</f>
        <v>-0.2318</v>
      </c>
      <c r="U39" s="24" t="n">
        <f aca="false">SABR!U8+$D$9*SABR!U41</f>
        <v>-0.2134</v>
      </c>
      <c r="V39" s="24" t="n">
        <f aca="false">SABR!V8+$D$9*SABR!V41</f>
        <v>-0.1869</v>
      </c>
      <c r="W39" s="24" t="n">
        <f aca="false">SABR!W8+$D$9*SABR!W41</f>
        <v>-0.1704</v>
      </c>
      <c r="X39" s="24" t="n">
        <f aca="false">SABR!X8+$D$9*SABR!X41</f>
        <v>-0.1598</v>
      </c>
      <c r="Z39" s="35" t="s">
        <v>74</v>
      </c>
      <c r="AA39" s="24" t="n">
        <f aca="false">SABR!AA8+$E$9*SABR!AA41</f>
        <v>0.8374</v>
      </c>
      <c r="AB39" s="24" t="n">
        <f aca="false">SABR!AB8+$E$9*SABR!AB41</f>
        <v>0.7979</v>
      </c>
      <c r="AC39" s="24" t="n">
        <f aca="false">SABR!AC8+$E$9*SABR!AC41</f>
        <v>0.7817</v>
      </c>
      <c r="AD39" s="24" t="n">
        <f aca="false">SABR!AD8+$E$9*SABR!AD41</f>
        <v>0.7663</v>
      </c>
      <c r="AE39" s="24" t="n">
        <f aca="false">SABR!AE8+$E$9*SABR!AE41</f>
        <v>0.7319</v>
      </c>
      <c r="AF39" s="24" t="n">
        <f aca="false">SABR!AF8+$E$9*SABR!AF41</f>
        <v>0.7164</v>
      </c>
      <c r="AG39" s="24" t="n">
        <f aca="false">SABR!AG8+$E$9*SABR!AG41</f>
        <v>0.6852</v>
      </c>
      <c r="AH39" s="24" t="n">
        <f aca="false">SABR!AH8+$E$9*SABR!AH41</f>
        <v>0.6756</v>
      </c>
      <c r="AI39" s="24" t="n">
        <f aca="false">SABR!AI8+$E$9*SABR!AI41</f>
        <v>0.6553</v>
      </c>
      <c r="AJ39" s="24" t="n">
        <f aca="false">SABR!AJ8+$E$9*SABR!AJ41</f>
        <v>0.6292</v>
      </c>
      <c r="AL39" s="35" t="s">
        <v>74</v>
      </c>
      <c r="AM39" s="37" t="n">
        <f aca="false">C39*(1+(((2-3*O39^2)/24*AA39^2)+(O39*AA39*C39/4))*0.25)</f>
        <v>0.541377807748934</v>
      </c>
      <c r="AN39" s="37" t="n">
        <f aca="false">D39*(1+(((2-3*P39^2)/24*AB39^2)+(P39*AB39*D39/4))*0.25)</f>
        <v>0.51924282028391</v>
      </c>
      <c r="AO39" s="37" t="n">
        <f aca="false">E39*(1+(((2-3*Q39^2)/24*AC39^2)+(Q39*AC39*E39/4))*0.25)</f>
        <v>0.506374757259652</v>
      </c>
      <c r="AP39" s="37" t="n">
        <f aca="false">F39*(1+(((2-3*R39^2)/24*AD39^2)+(R39*AD39*F39/4))*0.25)</f>
        <v>0.47991733851405</v>
      </c>
      <c r="AQ39" s="37" t="n">
        <f aca="false">G39*(1+(((2-3*S39^2)/24*AE39^2)+(S39*AE39*G39/4))*0.25)</f>
        <v>0.462939430228292</v>
      </c>
      <c r="AR39" s="37" t="n">
        <f aca="false">H39*(1+(((2-3*T39^2)/24*AF39^2)+(T39*AF39*H39/4))*0.25)</f>
        <v>0.4490553028539</v>
      </c>
      <c r="AS39" s="37" t="n">
        <f aca="false">I39*(1+(((2-3*U39^2)/24*AG39^2)+(U39*AG39*I39/4))*0.25)</f>
        <v>0.441617302981808</v>
      </c>
      <c r="AT39" s="37" t="n">
        <f aca="false">J39*(1+(((2-3*V39^2)/24*AH39^2)+(V39*AH39*J39/4))*0.25)</f>
        <v>0.419768633257479</v>
      </c>
      <c r="AU39" s="37" t="n">
        <f aca="false">K39*(1+(((2-3*W39^2)/24*AI39^2)+(W39*AI39*K39/4))*0.25)</f>
        <v>0.40064354713031</v>
      </c>
      <c r="AV39" s="37" t="n">
        <f aca="false">L39*(1+(((2-3*X39^2)/24*AJ39^2)+(X39*AJ39*L39/4))*0.25)</f>
        <v>0.388930347503906</v>
      </c>
    </row>
    <row r="40" customFormat="false" ht="15" hidden="false" customHeight="true" outlineLevel="0" collapsed="false">
      <c r="B40" s="35" t="s">
        <v>75</v>
      </c>
      <c r="C40" s="24" t="n">
        <f aca="false">SABR!C9+$C$9*SABR!C42</f>
        <v>0.527675</v>
      </c>
      <c r="D40" s="24" t="n">
        <f aca="false">SABR!D9+$C$9*SABR!D42</f>
        <v>0.4995825</v>
      </c>
      <c r="E40" s="24" t="n">
        <f aca="false">SABR!E9+$C$9*SABR!E42</f>
        <v>0.4903625</v>
      </c>
      <c r="F40" s="24" t="n">
        <f aca="false">SABR!F9+$C$9*SABR!F42</f>
        <v>0.47147</v>
      </c>
      <c r="G40" s="24" t="n">
        <f aca="false">SABR!G9+$C$9*SABR!G42</f>
        <v>0.4543225</v>
      </c>
      <c r="H40" s="24" t="n">
        <f aca="false">SABR!H9+$C$9*SABR!H42</f>
        <v>0.43491</v>
      </c>
      <c r="I40" s="24" t="n">
        <f aca="false">SABR!I9+$C$9*SABR!I42</f>
        <v>0.425635</v>
      </c>
      <c r="J40" s="24" t="n">
        <f aca="false">SABR!J9+$C$9*SABR!J42</f>
        <v>0.410895</v>
      </c>
      <c r="K40" s="24" t="n">
        <f aca="false">SABR!K9+$C$9*SABR!K42</f>
        <v>0.3845925</v>
      </c>
      <c r="L40" s="24" t="n">
        <f aca="false">SABR!L9+$C$9*SABR!L42</f>
        <v>0.37139</v>
      </c>
      <c r="N40" s="35" t="s">
        <v>75</v>
      </c>
      <c r="O40" s="24" t="n">
        <f aca="false">SABR!O9+$D$9*SABR!O42</f>
        <v>-0.3199</v>
      </c>
      <c r="P40" s="24" t="n">
        <f aca="false">SABR!P9+$D$9*SABR!P42</f>
        <v>-0.2876</v>
      </c>
      <c r="Q40" s="24" t="n">
        <f aca="false">SABR!Q9+$D$9*SABR!Q42</f>
        <v>-0.2693</v>
      </c>
      <c r="R40" s="24" t="n">
        <f aca="false">SABR!R9+$D$9*SABR!R42</f>
        <v>-0.2429</v>
      </c>
      <c r="S40" s="24" t="n">
        <f aca="false">SABR!S9+$D$9*SABR!S42</f>
        <v>-0.2269</v>
      </c>
      <c r="T40" s="24" t="n">
        <f aca="false">SABR!T9+$D$9*SABR!T42</f>
        <v>-0.2182</v>
      </c>
      <c r="U40" s="24" t="n">
        <f aca="false">SABR!U9+$D$9*SABR!U42</f>
        <v>-0.1967</v>
      </c>
      <c r="V40" s="24" t="n">
        <f aca="false">SABR!V9+$D$9*SABR!V42</f>
        <v>-0.1716</v>
      </c>
      <c r="W40" s="24" t="n">
        <f aca="false">SABR!W9+$D$9*SABR!W42</f>
        <v>-0.1651</v>
      </c>
      <c r="X40" s="24" t="n">
        <f aca="false">SABR!X9+$D$9*SABR!X42</f>
        <v>-0.1369</v>
      </c>
      <c r="Z40" s="35" t="s">
        <v>75</v>
      </c>
      <c r="AA40" s="24" t="n">
        <f aca="false">SABR!AA9+$E$9*SABR!AA42</f>
        <v>0.7989</v>
      </c>
      <c r="AB40" s="24" t="n">
        <f aca="false">SABR!AB9+$E$9*SABR!AB42</f>
        <v>0.7757</v>
      </c>
      <c r="AC40" s="24" t="n">
        <f aca="false">SABR!AC9+$E$9*SABR!AC42</f>
        <v>0.7523</v>
      </c>
      <c r="AD40" s="24" t="n">
        <f aca="false">SABR!AD9+$E$9*SABR!AD42</f>
        <v>0.7443</v>
      </c>
      <c r="AE40" s="24" t="n">
        <f aca="false">SABR!AE9+$E$9*SABR!AE42</f>
        <v>0.7093</v>
      </c>
      <c r="AF40" s="24" t="n">
        <f aca="false">SABR!AF9+$E$9*SABR!AF42</f>
        <v>0.6894</v>
      </c>
      <c r="AG40" s="24" t="n">
        <f aca="false">SABR!AG9+$E$9*SABR!AG42</f>
        <v>0.67</v>
      </c>
      <c r="AH40" s="24" t="n">
        <f aca="false">SABR!AH9+$E$9*SABR!AH42</f>
        <v>0.6574</v>
      </c>
      <c r="AI40" s="24" t="n">
        <f aca="false">SABR!AI9+$E$9*SABR!AI42</f>
        <v>0.6194</v>
      </c>
      <c r="AJ40" s="24" t="n">
        <f aca="false">SABR!AJ9+$E$9*SABR!AJ42</f>
        <v>0.6045</v>
      </c>
      <c r="AL40" s="35" t="s">
        <v>75</v>
      </c>
      <c r="AM40" s="37" t="n">
        <f aca="false">C40*(1+(((2-3*O40^2)/24*AA40^2)+(O40*AA40*C40/4))*0.5)</f>
        <v>0.530658516540739</v>
      </c>
      <c r="AN40" s="37" t="n">
        <f aca="false">D40*(1+(((2-3*P40^2)/24*AB40^2)+(P40*AB40*D40/4))*0.5)</f>
        <v>0.503593696316392</v>
      </c>
      <c r="AO40" s="37" t="n">
        <f aca="false">E40*(1+(((2-3*Q40^2)/24*AC40^2)+(Q40*AC40*E40/4))*0.5)</f>
        <v>0.494578687548189</v>
      </c>
      <c r="AP40" s="37" t="n">
        <f aca="false">F40*(1+(((2-3*R40^2)/24*AD40^2)+(R40*AD40*F40/4))*0.5)</f>
        <v>0.47636627194223</v>
      </c>
      <c r="AQ40" s="37" t="n">
        <f aca="false">G40*(1+(((2-3*S40^2)/24*AE40^2)+(S40*AE40*G40/4))*0.5)</f>
        <v>0.458958438239833</v>
      </c>
      <c r="AR40" s="37" t="n">
        <f aca="false">H40*(1+(((2-3*T40^2)/24*AF40^2)+(T40*AF40*H40/4))*0.5)</f>
        <v>0.439350851083809</v>
      </c>
      <c r="AS40" s="37" t="n">
        <f aca="false">I40*(1+(((2-3*U40^2)/24*AG40^2)+(U40*AG40*I40/4))*0.5)</f>
        <v>0.430149665330767</v>
      </c>
      <c r="AT40" s="37" t="n">
        <f aca="false">J40*(1+(((2-3*V40^2)/24*AH40^2)+(V40*AH40*J40/4))*0.5)</f>
        <v>0.415586507897788</v>
      </c>
      <c r="AU40" s="37" t="n">
        <f aca="false">K40*(1+(((2-3*W40^2)/24*AI40^2)+(W40*AI40*K40/4))*0.5)</f>
        <v>0.388598369287204</v>
      </c>
      <c r="AV40" s="37" t="n">
        <f aca="false">L40*(1+(((2-3*X40^2)/24*AJ40^2)+(X40*AJ40*L40/4))*0.5)</f>
        <v>0.375458934851814</v>
      </c>
    </row>
    <row r="41" customFormat="false" ht="15" hidden="false" customHeight="true" outlineLevel="0" collapsed="false">
      <c r="B41" s="35" t="s">
        <v>30</v>
      </c>
      <c r="C41" s="24" t="n">
        <f aca="false">SABR!C10+$C$9*SABR!C43</f>
        <v>0.5042625</v>
      </c>
      <c r="D41" s="24" t="n">
        <f aca="false">SABR!D10+$C$9*SABR!D43</f>
        <v>0.494075</v>
      </c>
      <c r="E41" s="24" t="n">
        <f aca="false">SABR!E10+$C$9*SABR!E43</f>
        <v>0.476045</v>
      </c>
      <c r="F41" s="24" t="n">
        <f aca="false">SABR!F10+$C$9*SABR!F43</f>
        <v>0.4599875</v>
      </c>
      <c r="G41" s="24" t="n">
        <f aca="false">SABR!G10+$C$9*SABR!G43</f>
        <v>0.4312675</v>
      </c>
      <c r="H41" s="24" t="n">
        <f aca="false">SABR!H10+$C$9*SABR!H43</f>
        <v>0.4171625</v>
      </c>
      <c r="I41" s="24" t="n">
        <f aca="false">SABR!I10+$C$9*SABR!I43</f>
        <v>0.399115</v>
      </c>
      <c r="J41" s="24" t="n">
        <f aca="false">SABR!J10+$C$9*SABR!J43</f>
        <v>0.392685</v>
      </c>
      <c r="K41" s="24" t="n">
        <f aca="false">SABR!K10+$C$9*SABR!K43</f>
        <v>0.37737</v>
      </c>
      <c r="L41" s="24" t="n">
        <f aca="false">SABR!L10+$C$9*SABR!L43</f>
        <v>0.3442525</v>
      </c>
      <c r="N41" s="35" t="s">
        <v>30</v>
      </c>
      <c r="O41" s="24" t="n">
        <f aca="false">SABR!O10+$D$9*SABR!O43</f>
        <v>-0.2981</v>
      </c>
      <c r="P41" s="24" t="n">
        <f aca="false">SABR!P10+$D$9*SABR!P43</f>
        <v>-0.2776</v>
      </c>
      <c r="Q41" s="24" t="n">
        <f aca="false">SABR!Q10+$D$9*SABR!Q43</f>
        <v>-0.2581</v>
      </c>
      <c r="R41" s="24" t="n">
        <f aca="false">SABR!R10+$D$9*SABR!R43</f>
        <v>-0.2336</v>
      </c>
      <c r="S41" s="24" t="n">
        <f aca="false">SABR!S10+$D$9*SABR!S43</f>
        <v>-0.2121</v>
      </c>
      <c r="T41" s="24" t="n">
        <f aca="false">SABR!T10+$D$9*SABR!T43</f>
        <v>-0.1992</v>
      </c>
      <c r="U41" s="24" t="n">
        <f aca="false">SABR!U10+$D$9*SABR!U43</f>
        <v>-0.1849</v>
      </c>
      <c r="V41" s="24" t="n">
        <f aca="false">SABR!V10+$D$9*SABR!V43</f>
        <v>-0.1572</v>
      </c>
      <c r="W41" s="24" t="n">
        <f aca="false">SABR!W10+$D$9*SABR!W43</f>
        <v>-0.1387</v>
      </c>
      <c r="X41" s="24" t="n">
        <f aca="false">SABR!X10+$D$9*SABR!X43</f>
        <v>-0.1153</v>
      </c>
      <c r="Z41" s="35" t="s">
        <v>30</v>
      </c>
      <c r="AA41" s="24" t="n">
        <f aca="false">SABR!AA10+$E$9*SABR!AA43</f>
        <v>0.7924</v>
      </c>
      <c r="AB41" s="24" t="n">
        <f aca="false">SABR!AB10+$E$9*SABR!AB43</f>
        <v>0.7649</v>
      </c>
      <c r="AC41" s="24" t="n">
        <f aca="false">SABR!AC10+$E$9*SABR!AC43</f>
        <v>0.7392</v>
      </c>
      <c r="AD41" s="24" t="n">
        <f aca="false">SABR!AD10+$E$9*SABR!AD43</f>
        <v>0.719</v>
      </c>
      <c r="AE41" s="24" t="n">
        <f aca="false">SABR!AE10+$E$9*SABR!AE43</f>
        <v>0.698</v>
      </c>
      <c r="AF41" s="24" t="n">
        <f aca="false">SABR!AF10+$E$9*SABR!AF43</f>
        <v>0.6633</v>
      </c>
      <c r="AG41" s="24" t="n">
        <f aca="false">SABR!AG10+$E$9*SABR!AG43</f>
        <v>0.658</v>
      </c>
      <c r="AH41" s="24" t="n">
        <f aca="false">SABR!AH10+$E$9*SABR!AH43</f>
        <v>0.6334</v>
      </c>
      <c r="AI41" s="24" t="n">
        <f aca="false">SABR!AI10+$E$9*SABR!AI43</f>
        <v>0.613</v>
      </c>
      <c r="AJ41" s="24" t="n">
        <f aca="false">SABR!AJ10+$E$9*SABR!AJ43</f>
        <v>0.5893</v>
      </c>
      <c r="AL41" s="35" t="s">
        <v>30</v>
      </c>
      <c r="AM41" s="37" t="n">
        <f aca="false">C41*(1+(((2-3*O41^2)/24*AA41^2)+(O41*AA41*C41/4))*1)</f>
        <v>0.512114691398859</v>
      </c>
      <c r="AN41" s="37" t="n">
        <f aca="false">D41*(1+(((2-3*P41^2)/24*AB41^2)+(P41*AB41*D41/4))*1)</f>
        <v>0.502421240513541</v>
      </c>
      <c r="AO41" s="37" t="n">
        <f aca="false">E41*(1+(((2-3*Q41^2)/24*AC41^2)+(Q41*AC41*E41/4))*1)</f>
        <v>0.484746566590911</v>
      </c>
      <c r="AP41" s="37" t="n">
        <f aca="false">F41*(1+(((2-3*R41^2)/24*AD41^2)+(R41*AD41*F41/4))*1)</f>
        <v>0.469297251036786</v>
      </c>
      <c r="AQ41" s="37" t="n">
        <f aca="false">G41*(1+(((2-3*S41^2)/24*AE41^2)+(S41*AE41*G41/4))*1)</f>
        <v>0.440711742004799</v>
      </c>
      <c r="AR41" s="37" t="n">
        <f aca="false">H41*(1+(((2-3*T41^2)/24*AF41^2)+(T41*AF41*H41/4))*1)</f>
        <v>0.425798507547817</v>
      </c>
      <c r="AS41" s="37" t="n">
        <f aca="false">I41*(1+(((2-3*U41^2)/24*AG41^2)+(U41*AG41*I41/4))*1)</f>
        <v>0.407931673591933</v>
      </c>
      <c r="AT41" s="37" t="n">
        <f aca="false">J41*(1+(((2-3*V41^2)/24*AH41^2)+(V41*AH41*J41/4))*1)</f>
        <v>0.401488494979835</v>
      </c>
      <c r="AU41" s="37" t="n">
        <f aca="false">K41*(1+(((2-3*W41^2)/24*AI41^2)+(W41*AI41*K41/4))*1)</f>
        <v>0.38581900318858</v>
      </c>
      <c r="AV41" s="37" t="n">
        <f aca="false">L41*(1+(((2-3*X41^2)/24*AJ41^2)+(X41*AJ41*L41/4))*1)</f>
        <v>0.352003270504487</v>
      </c>
    </row>
    <row r="42" customFormat="false" ht="15" hidden="false" customHeight="true" outlineLevel="0" collapsed="false">
      <c r="B42" s="35" t="s">
        <v>76</v>
      </c>
      <c r="C42" s="24" t="n">
        <f aca="false">SABR!C11+$C$9*SABR!C44</f>
        <v>0.48431</v>
      </c>
      <c r="D42" s="24" t="n">
        <f aca="false">SABR!D11+$C$9*SABR!D44</f>
        <v>0.4674675</v>
      </c>
      <c r="E42" s="24" t="n">
        <f aca="false">SABR!E11+$C$9*SABR!E44</f>
        <v>0.4447025</v>
      </c>
      <c r="F42" s="24" t="n">
        <f aca="false">SABR!F11+$C$9*SABR!F44</f>
        <v>0.43846</v>
      </c>
      <c r="G42" s="24" t="n">
        <f aca="false">SABR!G11+$C$9*SABR!G44</f>
        <v>0.410045</v>
      </c>
      <c r="H42" s="24" t="n">
        <f aca="false">SABR!H11+$C$9*SABR!H44</f>
        <v>0.3932975</v>
      </c>
      <c r="I42" s="24" t="n">
        <f aca="false">SABR!I11+$C$9*SABR!I44</f>
        <v>0.3791925</v>
      </c>
      <c r="J42" s="24" t="n">
        <f aca="false">SABR!J11+$C$9*SABR!J44</f>
        <v>0.3614125</v>
      </c>
      <c r="K42" s="24" t="n">
        <f aca="false">SABR!K11+$C$9*SABR!K44</f>
        <v>0.3480575</v>
      </c>
      <c r="L42" s="24" t="n">
        <f aca="false">SABR!L11+$C$9*SABR!L44</f>
        <v>0.32544</v>
      </c>
      <c r="N42" s="35" t="s">
        <v>76</v>
      </c>
      <c r="O42" s="24" t="n">
        <f aca="false">SABR!O11+$D$9*SABR!O44</f>
        <v>-0.2822</v>
      </c>
      <c r="P42" s="24" t="n">
        <f aca="false">SABR!P11+$D$9*SABR!P44</f>
        <v>-0.2598</v>
      </c>
      <c r="Q42" s="24" t="n">
        <f aca="false">SABR!Q11+$D$9*SABR!Q44</f>
        <v>-0.2413</v>
      </c>
      <c r="R42" s="24" t="n">
        <f aca="false">SABR!R11+$D$9*SABR!R44</f>
        <v>-0.2166</v>
      </c>
      <c r="S42" s="24" t="n">
        <f aca="false">SABR!S11+$D$9*SABR!S44</f>
        <v>-0.2039</v>
      </c>
      <c r="T42" s="24" t="n">
        <f aca="false">SABR!T11+$D$9*SABR!T44</f>
        <v>-0.1675</v>
      </c>
      <c r="U42" s="24" t="n">
        <f aca="false">SABR!U11+$D$9*SABR!U44</f>
        <v>-0.1533</v>
      </c>
      <c r="V42" s="24" t="n">
        <f aca="false">SABR!V11+$D$9*SABR!V44</f>
        <v>-0.1431</v>
      </c>
      <c r="W42" s="24" t="n">
        <f aca="false">SABR!W11+$D$9*SABR!W44</f>
        <v>-0.1216</v>
      </c>
      <c r="X42" s="24" t="n">
        <f aca="false">SABR!X11+$D$9*SABR!X44</f>
        <v>-0.1003</v>
      </c>
      <c r="Z42" s="35" t="s">
        <v>76</v>
      </c>
      <c r="AA42" s="24" t="n">
        <f aca="false">SABR!AA11+$E$9*SABR!AA44</f>
        <v>0.7584</v>
      </c>
      <c r="AB42" s="24" t="n">
        <f aca="false">SABR!AB11+$E$9*SABR!AB44</f>
        <v>0.7313</v>
      </c>
      <c r="AC42" s="24" t="n">
        <f aca="false">SABR!AC11+$E$9*SABR!AC44</f>
        <v>0.7236</v>
      </c>
      <c r="AD42" s="24" t="n">
        <f aca="false">SABR!AD11+$E$9*SABR!AD44</f>
        <v>0.7043</v>
      </c>
      <c r="AE42" s="24" t="n">
        <f aca="false">SABR!AE11+$E$9*SABR!AE44</f>
        <v>0.6715</v>
      </c>
      <c r="AF42" s="24" t="n">
        <f aca="false">SABR!AF11+$E$9*SABR!AF44</f>
        <v>0.6497</v>
      </c>
      <c r="AG42" s="24" t="n">
        <f aca="false">SABR!AG11+$E$9*SABR!AG44</f>
        <v>0.6195</v>
      </c>
      <c r="AH42" s="24" t="n">
        <f aca="false">SABR!AH11+$E$9*SABR!AH44</f>
        <v>0.5976</v>
      </c>
      <c r="AI42" s="24" t="n">
        <f aca="false">SABR!AI11+$E$9*SABR!AI44</f>
        <v>0.5802</v>
      </c>
      <c r="AJ42" s="24" t="n">
        <f aca="false">SABR!AJ11+$E$9*SABR!AJ44</f>
        <v>0.5564</v>
      </c>
      <c r="AL42" s="35" t="s">
        <v>76</v>
      </c>
      <c r="AM42" s="37" t="n">
        <f aca="false">C42*(1+(((2-3*O42^2)/24*AA42^2)+(O42*AA42*C42/4))*2)</f>
        <v>0.500090969749312</v>
      </c>
      <c r="AN42" s="37" t="n">
        <f aca="false">D42*(1+(((2-3*P42^2)/24*AB42^2)+(P42*AB42*D42/4))*2)</f>
        <v>0.484156830447759</v>
      </c>
      <c r="AO42" s="37" t="n">
        <f aca="false">E42*(1+(((2-3*Q42^2)/24*AC42^2)+(Q42*AC42*E42/4))*2)</f>
        <v>0.462855652981079</v>
      </c>
      <c r="AP42" s="37" t="n">
        <f aca="false">F42*(1+(((2-3*R42^2)/24*AD42^2)+(R42*AD42*F42/4))*2)</f>
        <v>0.457494101824402</v>
      </c>
      <c r="AQ42" s="37" t="n">
        <f aca="false">G42*(1+(((2-3*S42^2)/24*AE42^2)+(S42*AE42*G42/4))*2)</f>
        <v>0.427428408312871</v>
      </c>
      <c r="AR42" s="37" t="n">
        <f aca="false">H42*(1+(((2-3*T42^2)/24*AF42^2)+(T42*AF42*H42/4))*2)</f>
        <v>0.411385536794794</v>
      </c>
      <c r="AS42" s="37" t="n">
        <f aca="false">I42*(1+(((2-3*U42^2)/24*AG42^2)+(U42*AG42*I42/4))*2)</f>
        <v>0.395764254276756</v>
      </c>
      <c r="AT42" s="37" t="n">
        <f aca="false">J42*(1+(((2-3*V42^2)/24*AH42^2)+(V42*AH42*J42/4))*2)</f>
        <v>0.376678315572616</v>
      </c>
      <c r="AU42" s="37" t="n">
        <f aca="false">K42*(1+(((2-3*W42^2)/24*AI42^2)+(W42*AI42*K42/4))*2)</f>
        <v>0.362878763076834</v>
      </c>
      <c r="AV42" s="37" t="n">
        <f aca="false">L42*(1+(((2-3*X42^2)/24*AJ42^2)+(X42*AJ42*L42/4))*2)</f>
        <v>0.339022993929884</v>
      </c>
    </row>
    <row r="43" customFormat="false" ht="15" hidden="false" customHeight="true" outlineLevel="0" collapsed="false">
      <c r="B43" s="35" t="s">
        <v>77</v>
      </c>
      <c r="C43" s="24" t="n">
        <f aca="false">SABR!C12+$C$9*SABR!C45</f>
        <v>0.476145</v>
      </c>
      <c r="D43" s="24" t="n">
        <f aca="false">SABR!D12+$C$9*SABR!D45</f>
        <v>0.445895</v>
      </c>
      <c r="E43" s="24" t="n">
        <f aca="false">SABR!E12+$C$9*SABR!E45</f>
        <v>0.426195</v>
      </c>
      <c r="F43" s="24" t="n">
        <f aca="false">SABR!F12+$C$9*SABR!F45</f>
        <v>0.4279575</v>
      </c>
      <c r="G43" s="24" t="n">
        <f aca="false">SABR!G12+$C$9*SABR!G45</f>
        <v>0.4025325</v>
      </c>
      <c r="H43" s="24" t="n">
        <f aca="false">SABR!H12+$C$9*SABR!H45</f>
        <v>0.378035</v>
      </c>
      <c r="I43" s="24" t="n">
        <f aca="false">SABR!I12+$C$9*SABR!I45</f>
        <v>0.3690775</v>
      </c>
      <c r="J43" s="24" t="n">
        <f aca="false">SABR!J12+$C$9*SABR!J45</f>
        <v>0.3418225</v>
      </c>
      <c r="K43" s="24" t="n">
        <f aca="false">SABR!K12+$C$9*SABR!K45</f>
        <v>0.334915</v>
      </c>
      <c r="L43" s="24" t="n">
        <f aca="false">SABR!L12+$C$9*SABR!L45</f>
        <v>0.3271225</v>
      </c>
      <c r="N43" s="35" t="s">
        <v>77</v>
      </c>
      <c r="O43" s="24" t="n">
        <f aca="false">SABR!O12+$D$9*SABR!O45</f>
        <v>-0.2455</v>
      </c>
      <c r="P43" s="24" t="n">
        <f aca="false">SABR!P12+$D$9*SABR!P45</f>
        <v>-0.2294</v>
      </c>
      <c r="Q43" s="24" t="n">
        <f aca="false">SABR!Q12+$D$9*SABR!Q45</f>
        <v>-0.2187</v>
      </c>
      <c r="R43" s="24" t="n">
        <f aca="false">SABR!R12+$D$9*SABR!R45</f>
        <v>-0.1971</v>
      </c>
      <c r="S43" s="24" t="n">
        <f aca="false">SABR!S12+$D$9*SABR!S45</f>
        <v>-0.1817</v>
      </c>
      <c r="T43" s="24" t="n">
        <f aca="false">SABR!T12+$D$9*SABR!T45</f>
        <v>-0.1501</v>
      </c>
      <c r="U43" s="24" t="n">
        <f aca="false">SABR!U12+$D$9*SABR!U45</f>
        <v>-0.1355</v>
      </c>
      <c r="V43" s="24" t="n">
        <f aca="false">SABR!V12+$D$9*SABR!V45</f>
        <v>-0.1111</v>
      </c>
      <c r="W43" s="24" t="n">
        <f aca="false">SABR!W12+$D$9*SABR!W45</f>
        <v>-0.1006</v>
      </c>
      <c r="X43" s="24" t="n">
        <f aca="false">SABR!X12+$D$9*SABR!X45</f>
        <v>-0.0833</v>
      </c>
      <c r="Z43" s="35" t="s">
        <v>77</v>
      </c>
      <c r="AA43" s="24" t="n">
        <f aca="false">SABR!AA12+$E$9*SABR!AA45</f>
        <v>0.7451</v>
      </c>
      <c r="AB43" s="24" t="n">
        <f aca="false">SABR!AB12+$E$9*SABR!AB45</f>
        <v>0.7264</v>
      </c>
      <c r="AC43" s="24" t="n">
        <f aca="false">SABR!AC12+$E$9*SABR!AC45</f>
        <v>0.7015</v>
      </c>
      <c r="AD43" s="24" t="n">
        <f aca="false">SABR!AD12+$E$9*SABR!AD45</f>
        <v>0.6783</v>
      </c>
      <c r="AE43" s="24" t="n">
        <f aca="false">SABR!AE12+$E$9*SABR!AE45</f>
        <v>0.6564</v>
      </c>
      <c r="AF43" s="24" t="n">
        <f aca="false">SABR!AF12+$E$9*SABR!AF45</f>
        <v>0.6326</v>
      </c>
      <c r="AG43" s="24" t="n">
        <f aca="false">SABR!AG12+$E$9*SABR!AG45</f>
        <v>0.6001</v>
      </c>
      <c r="AH43" s="24" t="n">
        <f aca="false">SABR!AH12+$E$9*SABR!AH45</f>
        <v>0.5837</v>
      </c>
      <c r="AI43" s="24" t="n">
        <f aca="false">SABR!AI12+$E$9*SABR!AI45</f>
        <v>0.5582</v>
      </c>
      <c r="AJ43" s="24" t="n">
        <f aca="false">SABR!AJ12+$E$9*SABR!AJ45</f>
        <v>0.5295</v>
      </c>
      <c r="AL43" s="35" t="s">
        <v>77</v>
      </c>
      <c r="AM43" s="37" t="n">
        <f aca="false">C43*(1+(((2-3*O43^2)/24*AA43^2)+(O43*AA43*C43/4))*3)</f>
        <v>0.505153067196419</v>
      </c>
      <c r="AN43" s="37" t="n">
        <f aca="false">D43*(1+(((2-3*P43^2)/24*AB43^2)+(P43*AB43*D43/4))*3)</f>
        <v>0.475223615829384</v>
      </c>
      <c r="AO43" s="37" t="n">
        <f aca="false">E43*(1+(((2-3*Q43^2)/24*AC43^2)+(Q43*AC43*E43/4))*3)</f>
        <v>0.453965715480618</v>
      </c>
      <c r="AP43" s="37" t="n">
        <f aca="false">F43*(1+(((2-3*R43^2)/24*AD43^2)+(R43*AD43*F43/4))*3)</f>
        <v>0.455949720166733</v>
      </c>
      <c r="AQ43" s="37" t="n">
        <f aca="false">G43*(1+(((2-3*S43^2)/24*AE43^2)+(S43*AE43*G43/4))*3)</f>
        <v>0.429250204782662</v>
      </c>
      <c r="AR43" s="37" t="n">
        <f aca="false">H43*(1+(((2-3*T43^2)/24*AF43^2)+(T43*AF43*H43/4))*3)</f>
        <v>0.40440025821187</v>
      </c>
      <c r="AS43" s="37" t="n">
        <f aca="false">I43*(1+(((2-3*U43^2)/24*AG43^2)+(U43*AG43*I43/4))*3)</f>
        <v>0.39308314621461</v>
      </c>
      <c r="AT43" s="37" t="n">
        <f aca="false">J43*(1+(((2-3*V43^2)/24*AH43^2)+(V43*AH43*J43/4))*3)</f>
        <v>0.364715803305195</v>
      </c>
      <c r="AU43" s="37" t="n">
        <f aca="false">K43*(1+(((2-3*W43^2)/24*AI43^2)+(W43*AI43*K43/4))*3)</f>
        <v>0.355883676685534</v>
      </c>
      <c r="AV43" s="37" t="n">
        <f aca="false">L43*(1+(((2-3*X43^2)/24*AJ43^2)+(X43*AJ43*L43/4))*3)</f>
        <v>0.346272786217145</v>
      </c>
    </row>
    <row r="44" customFormat="false" ht="15" hidden="false" customHeight="true" outlineLevel="0" collapsed="false">
      <c r="B44" s="35" t="s">
        <v>78</v>
      </c>
      <c r="C44" s="24" t="n">
        <f aca="false">SABR!C13+$C$9*SABR!C46</f>
        <v>0.4432075</v>
      </c>
      <c r="D44" s="24" t="n">
        <f aca="false">SABR!D13+$C$9*SABR!D46</f>
        <v>0.4312875</v>
      </c>
      <c r="E44" s="24" t="n">
        <f aca="false">SABR!E13+$C$9*SABR!E46</f>
        <v>0.41414</v>
      </c>
      <c r="F44" s="24" t="n">
        <f aca="false">SABR!F13+$C$9*SABR!F46</f>
        <v>0.40585</v>
      </c>
      <c r="G44" s="24" t="n">
        <f aca="false">SABR!G13+$C$9*SABR!G46</f>
        <v>0.39422</v>
      </c>
      <c r="H44" s="24" t="n">
        <f aca="false">SABR!H13+$C$9*SABR!H46</f>
        <v>0.36706</v>
      </c>
      <c r="I44" s="24" t="n">
        <f aca="false">SABR!I13+$C$9*SABR!I46</f>
        <v>0.3599375</v>
      </c>
      <c r="J44" s="24" t="n">
        <f aca="false">SABR!J13+$C$9*SABR!J46</f>
        <v>0.3441875</v>
      </c>
      <c r="K44" s="24" t="n">
        <f aca="false">SABR!K13+$C$9*SABR!K46</f>
        <v>0.3266125</v>
      </c>
      <c r="L44" s="24" t="n">
        <f aca="false">SABR!L13+$C$9*SABR!L46</f>
        <v>0.29794</v>
      </c>
      <c r="N44" s="35" t="s">
        <v>78</v>
      </c>
      <c r="O44" s="24" t="n">
        <f aca="false">SABR!O13+$D$9*SABR!O46</f>
        <v>-0.2389</v>
      </c>
      <c r="P44" s="24" t="n">
        <f aca="false">SABR!P13+$D$9*SABR!P46</f>
        <v>-0.2194</v>
      </c>
      <c r="Q44" s="24" t="n">
        <f aca="false">SABR!Q13+$D$9*SABR!Q46</f>
        <v>-0.2005</v>
      </c>
      <c r="R44" s="24" t="n">
        <f aca="false">SABR!R13+$D$9*SABR!R46</f>
        <v>-0.1809</v>
      </c>
      <c r="S44" s="24" t="n">
        <f aca="false">SABR!S13+$D$9*SABR!S46</f>
        <v>-0.1531</v>
      </c>
      <c r="T44" s="24" t="n">
        <f aca="false">SABR!T13+$D$9*SABR!T46</f>
        <v>-0.1281</v>
      </c>
      <c r="U44" s="24" t="n">
        <f aca="false">SABR!U13+$D$9*SABR!U46</f>
        <v>-0.1099</v>
      </c>
      <c r="V44" s="24" t="n">
        <f aca="false">SABR!V13+$D$9*SABR!V46</f>
        <v>-0.0976</v>
      </c>
      <c r="W44" s="24" t="n">
        <f aca="false">SABR!W13+$D$9*SABR!W46</f>
        <v>-0.0747</v>
      </c>
      <c r="X44" s="24" t="n">
        <f aca="false">SABR!X13+$D$9*SABR!X46</f>
        <v>-0.0523</v>
      </c>
      <c r="Z44" s="35" t="s">
        <v>78</v>
      </c>
      <c r="AA44" s="24" t="n">
        <f aca="false">SABR!AA13+$E$9*SABR!AA46</f>
        <v>0.7084</v>
      </c>
      <c r="AB44" s="24" t="n">
        <f aca="false">SABR!AB13+$E$9*SABR!AB46</f>
        <v>0.6977</v>
      </c>
      <c r="AC44" s="24" t="n">
        <f aca="false">SABR!AC13+$E$9*SABR!AC46</f>
        <v>0.6804</v>
      </c>
      <c r="AD44" s="24" t="n">
        <f aca="false">SABR!AD13+$E$9*SABR!AD46</f>
        <v>0.6556</v>
      </c>
      <c r="AE44" s="24" t="n">
        <f aca="false">SABR!AE13+$E$9*SABR!AE46</f>
        <v>0.6328</v>
      </c>
      <c r="AF44" s="24" t="n">
        <f aca="false">SABR!AF13+$E$9*SABR!AF46</f>
        <v>0.6051</v>
      </c>
      <c r="AG44" s="24" t="n">
        <f aca="false">SABR!AG13+$E$9*SABR!AG46</f>
        <v>0.5769</v>
      </c>
      <c r="AH44" s="24" t="n">
        <f aca="false">SABR!AH13+$E$9*SABR!AH46</f>
        <v>0.5669</v>
      </c>
      <c r="AI44" s="24" t="n">
        <f aca="false">SABR!AI13+$E$9*SABR!AI46</f>
        <v>0.5355</v>
      </c>
      <c r="AJ44" s="24" t="n">
        <f aca="false">SABR!AJ13+$E$9*SABR!AJ46</f>
        <v>0.5227</v>
      </c>
      <c r="AL44" s="35" t="s">
        <v>78</v>
      </c>
      <c r="AM44" s="37" t="n">
        <f aca="false">C44*(1+(((2-3*O44^2)/24*AA44^2)+(O44*AA44*C44/4))*5)</f>
        <v>0.486392149377919</v>
      </c>
      <c r="AN44" s="37" t="n">
        <f aca="false">D44*(1+(((2-3*P44^2)/24*AB44^2)+(P44*AB44*D44/4))*5)</f>
        <v>0.476856382703216</v>
      </c>
      <c r="AO44" s="37" t="n">
        <f aca="false">E44*(1+(((2-3*Q44^2)/24*AC44^2)+(Q44*AC44*E44/4))*5)</f>
        <v>0.459960668518535</v>
      </c>
      <c r="AP44" s="37" t="n">
        <f aca="false">F44*(1+(((2-3*R44^2)/24*AD44^2)+(R44*AD44*F44/4))*5)</f>
        <v>0.450546611181497</v>
      </c>
      <c r="AQ44" s="37" t="n">
        <f aca="false">G44*(1+(((2-3*S44^2)/24*AE44^2)+(S44*AE44*G44/4))*5)</f>
        <v>0.43886191012989</v>
      </c>
      <c r="AR44" s="37" t="n">
        <f aca="false">H44*(1+(((2-3*T44^2)/24*AF44^2)+(T44*AF44*H44/4))*5)</f>
        <v>0.408626093634762</v>
      </c>
      <c r="AS44" s="37" t="n">
        <f aca="false">I44*(1+(((2-3*U44^2)/24*AG44^2)+(U44*AG44*I44/4))*5)</f>
        <v>0.398679146918882</v>
      </c>
      <c r="AT44" s="37" t="n">
        <f aca="false">J44*(1+(((2-3*V44^2)/24*AH44^2)+(V44*AH44*J44/4))*5)</f>
        <v>0.381424641492698</v>
      </c>
      <c r="AU44" s="37" t="n">
        <f aca="false">K44*(1+(((2-3*W44^2)/24*AI44^2)+(W44*AI44*K44/4))*5)</f>
        <v>0.359976608572687</v>
      </c>
      <c r="AV44" s="37" t="n">
        <f aca="false">L44*(1+(((2-3*X44^2)/24*AJ44^2)+(X44*AJ44*L44/4))*5)</f>
        <v>0.328684895420079</v>
      </c>
    </row>
    <row r="45" customFormat="false" ht="15" hidden="false" customHeight="true" outlineLevel="0" collapsed="false">
      <c r="B45" s="35" t="s">
        <v>79</v>
      </c>
      <c r="C45" s="24" t="n">
        <f aca="false">SABR!C14+$C$9*SABR!C47</f>
        <v>0.445205</v>
      </c>
      <c r="D45" s="24" t="n">
        <f aca="false">SABR!D14+$C$9*SABR!D47</f>
        <v>0.4167925</v>
      </c>
      <c r="E45" s="24" t="n">
        <f aca="false">SABR!E14+$C$9*SABR!E47</f>
        <v>0.400045</v>
      </c>
      <c r="F45" s="24" t="n">
        <f aca="false">SABR!F14+$C$9*SABR!F47</f>
        <v>0.3940475</v>
      </c>
      <c r="G45" s="24" t="n">
        <f aca="false">SABR!G14+$C$9*SABR!G47</f>
        <v>0.372735</v>
      </c>
      <c r="H45" s="24" t="n">
        <f aca="false">SABR!H14+$C$9*SABR!H47</f>
        <v>0.344755</v>
      </c>
      <c r="I45" s="24" t="n">
        <f aca="false">SABR!I14+$C$9*SABR!I47</f>
        <v>0.3269275</v>
      </c>
      <c r="J45" s="24" t="n">
        <f aca="false">SABR!J14+$C$9*SABR!J47</f>
        <v>0.3104975</v>
      </c>
      <c r="K45" s="24" t="n">
        <f aca="false">SABR!K14+$C$9*SABR!K47</f>
        <v>0.3087875</v>
      </c>
      <c r="L45" s="24" t="n">
        <f aca="false">SABR!L14+$C$9*SABR!L47</f>
        <v>0.2899475</v>
      </c>
      <c r="N45" s="35" t="s">
        <v>79</v>
      </c>
      <c r="O45" s="24" t="n">
        <f aca="false">SABR!O14+$D$9*SABR!O47</f>
        <v>-0.221</v>
      </c>
      <c r="P45" s="24" t="n">
        <f aca="false">SABR!P14+$D$9*SABR!P47</f>
        <v>-0.1879</v>
      </c>
      <c r="Q45" s="24" t="n">
        <f aca="false">SABR!Q14+$D$9*SABR!Q47</f>
        <v>-0.1654</v>
      </c>
      <c r="R45" s="24" t="n">
        <f aca="false">SABR!R14+$D$9*SABR!R47</f>
        <v>-0.1524</v>
      </c>
      <c r="S45" s="24" t="n">
        <f aca="false">SABR!S14+$D$9*SABR!S47</f>
        <v>-0.1391</v>
      </c>
      <c r="T45" s="24" t="n">
        <f aca="false">SABR!T14+$D$9*SABR!T47</f>
        <v>-0.1157</v>
      </c>
      <c r="U45" s="24" t="n">
        <f aca="false">SABR!U14+$D$9*SABR!U47</f>
        <v>-0.1046</v>
      </c>
      <c r="V45" s="24" t="n">
        <f aca="false">SABR!V14+$D$9*SABR!V47</f>
        <v>-0.0875</v>
      </c>
      <c r="W45" s="24" t="n">
        <f aca="false">SABR!W14+$D$9*SABR!W47</f>
        <v>-0.0489</v>
      </c>
      <c r="X45" s="24" t="n">
        <f aca="false">SABR!X14+$D$9*SABR!X47</f>
        <v>-0.0359</v>
      </c>
      <c r="Z45" s="35" t="s">
        <v>79</v>
      </c>
      <c r="AA45" s="24" t="n">
        <f aca="false">SABR!AA14+$E$9*SABR!AA47</f>
        <v>0.695</v>
      </c>
      <c r="AB45" s="24" t="n">
        <f aca="false">SABR!AB14+$E$9*SABR!AB47</f>
        <v>0.6809</v>
      </c>
      <c r="AC45" s="24" t="n">
        <f aca="false">SABR!AC14+$E$9*SABR!AC47</f>
        <v>0.6487</v>
      </c>
      <c r="AD45" s="24" t="n">
        <f aca="false">SABR!AD14+$E$9*SABR!AD47</f>
        <v>0.6352</v>
      </c>
      <c r="AE45" s="24" t="n">
        <f aca="false">SABR!AE14+$E$9*SABR!AE47</f>
        <v>0.6121</v>
      </c>
      <c r="AF45" s="24" t="n">
        <f aca="false">SABR!AF14+$E$9*SABR!AF47</f>
        <v>0.5776</v>
      </c>
      <c r="AG45" s="24" t="n">
        <f aca="false">SABR!AG14+$E$9*SABR!AG47</f>
        <v>0.5561</v>
      </c>
      <c r="AH45" s="24" t="n">
        <f aca="false">SABR!AH14+$E$9*SABR!AH47</f>
        <v>0.5347</v>
      </c>
      <c r="AI45" s="24" t="n">
        <f aca="false">SABR!AI14+$E$9*SABR!AI47</f>
        <v>0.5115</v>
      </c>
      <c r="AJ45" s="24" t="n">
        <f aca="false">SABR!AJ14+$E$9*SABR!AJ47</f>
        <v>0.4962</v>
      </c>
      <c r="AL45" s="35" t="s">
        <v>79</v>
      </c>
      <c r="AM45" s="37" t="n">
        <f aca="false">C45*(1+(((2-3*O45^2)/24*AA45^2)+(O45*AA45*C45/4))*10)</f>
        <v>0.535171313343904</v>
      </c>
      <c r="AN45" s="37" t="n">
        <f aca="false">D45*(1+(((2-3*P45^2)/24*AB45^2)+(P45*AB45*D45/4))*10)</f>
        <v>0.513730354341104</v>
      </c>
      <c r="AO45" s="37" t="n">
        <f aca="false">E45*(1+(((2-3*Q45^2)/24*AC45^2)+(Q45*AC45*E45/4))*10)</f>
        <v>0.491646940751761</v>
      </c>
      <c r="AP45" s="37" t="n">
        <f aca="false">F45*(1+(((2-3*R45^2)/24*AD45^2)+(R45*AD45*F45/4))*10)</f>
        <v>0.484345352731789</v>
      </c>
      <c r="AQ45" s="37" t="n">
        <f aca="false">G45*(1+(((2-3*S45^2)/24*AE45^2)+(S45*AE45*G45/4))*10)</f>
        <v>0.456160838095273</v>
      </c>
      <c r="AR45" s="37" t="n">
        <f aca="false">H45*(1+(((2-3*T45^2)/24*AF45^2)+(T45*AF45*H45/4))*10)</f>
        <v>0.418821167594935</v>
      </c>
      <c r="AS45" s="37" t="n">
        <f aca="false">I45*(1+(((2-3*U45^2)/24*AG45^2)+(U45*AG45*I45/4))*10)</f>
        <v>0.394253235674182</v>
      </c>
      <c r="AT45" s="37" t="n">
        <f aca="false">J45*(1+(((2-3*V45^2)/24*AH45^2)+(V45*AH45*J45/4))*10)</f>
        <v>0.372348503478698</v>
      </c>
      <c r="AU45" s="37" t="n">
        <f aca="false">K45*(1+(((2-3*W45^2)/24*AI45^2)+(W45*AI45*K45/4))*10)</f>
        <v>0.369907693593089</v>
      </c>
      <c r="AV45" s="37" t="n">
        <f aca="false">L45*(1+(((2-3*X45^2)/24*AJ45^2)+(X45*AJ45*L45/4))*10)</f>
        <v>0.345579592866893</v>
      </c>
    </row>
    <row r="46" customFormat="false" ht="15" hidden="false" customHeight="true" outlineLevel="0" collapsed="false">
      <c r="B46" s="35" t="s">
        <v>80</v>
      </c>
      <c r="C46" s="24" t="n">
        <f aca="false">SABR!C15+$C$9*SABR!C48</f>
        <v>0.4140625</v>
      </c>
      <c r="D46" s="24" t="n">
        <f aca="false">SABR!D15+$C$9*SABR!D48</f>
        <v>0.4003275</v>
      </c>
      <c r="E46" s="24" t="n">
        <f aca="false">SABR!E15+$C$9*SABR!E48</f>
        <v>0.377785</v>
      </c>
      <c r="F46" s="24" t="n">
        <f aca="false">SABR!F15+$C$9*SABR!F48</f>
        <v>0.37649</v>
      </c>
      <c r="G46" s="24" t="n">
        <f aca="false">SABR!G15+$C$9*SABR!G48</f>
        <v>0.348355</v>
      </c>
      <c r="H46" s="24" t="n">
        <f aca="false">SABR!H15+$C$9*SABR!H48</f>
        <v>0.3336425</v>
      </c>
      <c r="I46" s="24" t="n">
        <f aca="false">SABR!I15+$C$9*SABR!I48</f>
        <v>0.3192075</v>
      </c>
      <c r="J46" s="24" t="n">
        <f aca="false">SABR!J15+$C$9*SABR!J48</f>
        <v>0.30874</v>
      </c>
      <c r="K46" s="24" t="n">
        <f aca="false">SABR!K15+$C$9*SABR!K48</f>
        <v>0.2820875</v>
      </c>
      <c r="L46" s="24" t="n">
        <f aca="false">SABR!L15+$C$9*SABR!L48</f>
        <v>0.275375</v>
      </c>
      <c r="N46" s="35" t="s">
        <v>80</v>
      </c>
      <c r="O46" s="24" t="n">
        <f aca="false">SABR!O15+$D$9*SABR!O48</f>
        <v>-0.1944</v>
      </c>
      <c r="P46" s="24" t="n">
        <f aca="false">SABR!P15+$D$9*SABR!P48</f>
        <v>-0.1744</v>
      </c>
      <c r="Q46" s="24" t="n">
        <f aca="false">SABR!Q15+$D$9*SABR!Q48</f>
        <v>-0.1551</v>
      </c>
      <c r="R46" s="24" t="n">
        <f aca="false">SABR!R15+$D$9*SABR!R48</f>
        <v>-0.1457</v>
      </c>
      <c r="S46" s="24" t="n">
        <f aca="false">SABR!S15+$D$9*SABR!S48</f>
        <v>-0.1179</v>
      </c>
      <c r="T46" s="24" t="n">
        <f aca="false">SABR!T15+$D$9*SABR!T48</f>
        <v>-0.1036</v>
      </c>
      <c r="U46" s="24" t="n">
        <f aca="false">SABR!U15+$D$9*SABR!U48</f>
        <v>-0.0877</v>
      </c>
      <c r="V46" s="24" t="n">
        <f aca="false">SABR!V15+$D$9*SABR!V48</f>
        <v>-0.0523</v>
      </c>
      <c r="W46" s="24" t="n">
        <f aca="false">SABR!W15+$D$9*SABR!W48</f>
        <v>-0.0454</v>
      </c>
      <c r="X46" s="24" t="n">
        <f aca="false">SABR!X15+$D$9*SABR!X48</f>
        <v>-0.02</v>
      </c>
      <c r="Z46" s="35" t="s">
        <v>80</v>
      </c>
      <c r="AA46" s="24" t="n">
        <f aca="false">SABR!AA15+$E$9*SABR!AA48</f>
        <v>0.6767</v>
      </c>
      <c r="AB46" s="24" t="n">
        <f aca="false">SABR!AB15+$E$9*SABR!AB48</f>
        <v>0.6511</v>
      </c>
      <c r="AC46" s="24" t="n">
        <f aca="false">SABR!AC15+$E$9*SABR!AC48</f>
        <v>0.6243</v>
      </c>
      <c r="AD46" s="24" t="n">
        <f aca="false">SABR!AD15+$E$9*SABR!AD48</f>
        <v>0.6059</v>
      </c>
      <c r="AE46" s="24" t="n">
        <f aca="false">SABR!AE15+$E$9*SABR!AE48</f>
        <v>0.5844</v>
      </c>
      <c r="AF46" s="24" t="n">
        <f aca="false">SABR!AF15+$E$9*SABR!AF48</f>
        <v>0.5668</v>
      </c>
      <c r="AG46" s="24" t="n">
        <f aca="false">SABR!AG15+$E$9*SABR!AG48</f>
        <v>0.531</v>
      </c>
      <c r="AH46" s="24" t="n">
        <f aca="false">SABR!AH15+$E$9*SABR!AH48</f>
        <v>0.5179</v>
      </c>
      <c r="AI46" s="24" t="n">
        <f aca="false">SABR!AI15+$E$9*SABR!AI48</f>
        <v>0.4894</v>
      </c>
      <c r="AJ46" s="24" t="n">
        <f aca="false">SABR!AJ15+$E$9*SABR!AJ48</f>
        <v>0.4678</v>
      </c>
      <c r="AL46" s="35" t="s">
        <v>80</v>
      </c>
      <c r="AM46" s="37" t="n">
        <f aca="false">C46*(1+(((2-3*O46^2)/24*AA46^2)+(O46*AA46*C46/4))*20)</f>
        <v>0.599392896509905</v>
      </c>
      <c r="AN46" s="37" t="n">
        <f aca="false">D46*(1+(((2-3*P46^2)/24*AB46^2)+(P46*AB46*D46/4))*20)</f>
        <v>0.579284839299441</v>
      </c>
      <c r="AO46" s="37" t="n">
        <f aca="false">E46*(1+(((2-3*Q46^2)/24*AC46^2)+(Q46*AC46*E46/4))*20)</f>
        <v>0.545235163551607</v>
      </c>
      <c r="AP46" s="37" t="n">
        <f aca="false">F46*(1+(((2-3*R46^2)/24*AD46^2)+(R46*AD46*F46/4))*20)</f>
        <v>0.536947325197851</v>
      </c>
      <c r="AQ46" s="37" t="n">
        <f aca="false">G46*(1+(((2-3*S46^2)/24*AE46^2)+(S46*AE46*G46/4))*20)</f>
        <v>0.500700288122121</v>
      </c>
      <c r="AR46" s="37" t="n">
        <f aca="false">H46*(1+(((2-3*T46^2)/24*AF46^2)+(T46*AF46*H46/4))*20)</f>
        <v>0.476727952446413</v>
      </c>
      <c r="AS46" s="37" t="n">
        <f aca="false">I46*(1+(((2-3*U46^2)/24*AG46^2)+(U46*AG46*I46/4))*20)</f>
        <v>0.4437584356667</v>
      </c>
      <c r="AT46" s="37" t="n">
        <f aca="false">J46*(1+(((2-3*V46^2)/24*AH46^2)+(V46*AH46*J46/4))*20)</f>
        <v>0.433281685252492</v>
      </c>
      <c r="AU46" s="37" t="n">
        <f aca="false">K46*(1+(((2-3*W46^2)/24*AI46^2)+(W46*AI46*K46/4))*20)</f>
        <v>0.385504983740372</v>
      </c>
      <c r="AV46" s="37" t="n">
        <f aca="false">L46*(1+(((2-3*X46^2)/24*AJ46^2)+(X46*AJ46*L46/4))*20)</f>
        <v>0.372204336710081</v>
      </c>
    </row>
    <row r="47" customFormat="false" ht="15" hidden="false" customHeight="true" outlineLevel="0" collapsed="false">
      <c r="B47" s="35" t="s">
        <v>81</v>
      </c>
      <c r="C47" s="24" t="n">
        <f aca="false">SABR!C16+$C$9*SABR!C49</f>
        <v>0.407305</v>
      </c>
      <c r="D47" s="24" t="n">
        <f aca="false">SABR!D16+$C$9*SABR!D49</f>
        <v>0.38532</v>
      </c>
      <c r="E47" s="24" t="n">
        <f aca="false">SABR!E16+$C$9*SABR!E49</f>
        <v>0.369385</v>
      </c>
      <c r="F47" s="24" t="n">
        <f aca="false">SABR!F16+$C$9*SABR!F49</f>
        <v>0.35653</v>
      </c>
      <c r="G47" s="24" t="n">
        <f aca="false">SABR!G16+$C$9*SABR!G49</f>
        <v>0.3426375</v>
      </c>
      <c r="H47" s="24" t="n">
        <f aca="false">SABR!H16+$C$9*SABR!H49</f>
        <v>0.3163975</v>
      </c>
      <c r="I47" s="24" t="n">
        <f aca="false">SABR!I16+$C$9*SABR!I49</f>
        <v>0.30294</v>
      </c>
      <c r="J47" s="24" t="n">
        <f aca="false">SABR!J16+$C$9*SABR!J49</f>
        <v>0.283775</v>
      </c>
      <c r="K47" s="24" t="n">
        <f aca="false">SABR!K16+$C$9*SABR!K49</f>
        <v>0.267275</v>
      </c>
      <c r="L47" s="24" t="n">
        <f aca="false">SABR!L16+$C$9*SABR!L49</f>
        <v>0.254275</v>
      </c>
      <c r="N47" s="35" t="s">
        <v>81</v>
      </c>
      <c r="O47" s="24" t="n">
        <f aca="false">SABR!O16+$D$9*SABR!O49</f>
        <v>-0.176</v>
      </c>
      <c r="P47" s="24" t="n">
        <f aca="false">SABR!P16+$D$9*SABR!P49</f>
        <v>-0.1549</v>
      </c>
      <c r="Q47" s="24" t="n">
        <f aca="false">SABR!Q16+$D$9*SABR!Q49</f>
        <v>-0.1366</v>
      </c>
      <c r="R47" s="24" t="n">
        <f aca="false">SABR!R16+$D$9*SABR!R49</f>
        <v>-0.1078</v>
      </c>
      <c r="S47" s="24" t="n">
        <f aca="false">SABR!S16+$D$9*SABR!S49</f>
        <v>-0.0932</v>
      </c>
      <c r="T47" s="24" t="n">
        <f aca="false">SABR!T16+$D$9*SABR!T49</f>
        <v>-0.0702</v>
      </c>
      <c r="U47" s="24" t="n">
        <f aca="false">SABR!U16+$D$9*SABR!U49</f>
        <v>-0.0495</v>
      </c>
      <c r="V47" s="24" t="n">
        <f aca="false">SABR!V16+$D$9*SABR!V49</f>
        <v>-0.0437</v>
      </c>
      <c r="W47" s="24" t="n">
        <f aca="false">SABR!W16+$D$9*SABR!W49</f>
        <v>-0.0183</v>
      </c>
      <c r="X47" s="24" t="n">
        <f aca="false">SABR!X16+$D$9*SABR!X49</f>
        <v>0.0089</v>
      </c>
      <c r="Z47" s="35" t="s">
        <v>81</v>
      </c>
      <c r="AA47" s="24" t="n">
        <f aca="false">SABR!AA16+$E$9*SABR!AA49</f>
        <v>0.6568</v>
      </c>
      <c r="AB47" s="24" t="n">
        <f aca="false">SABR!AB16+$E$9*SABR!AB49</f>
        <v>0.6205</v>
      </c>
      <c r="AC47" s="24" t="n">
        <f aca="false">SABR!AC16+$E$9*SABR!AC49</f>
        <v>0.598</v>
      </c>
      <c r="AD47" s="24" t="n">
        <f aca="false">SABR!AD16+$E$9*SABR!AD49</f>
        <v>0.5822</v>
      </c>
      <c r="AE47" s="24" t="n">
        <f aca="false">SABR!AE16+$E$9*SABR!AE49</f>
        <v>0.5526</v>
      </c>
      <c r="AF47" s="24" t="n">
        <f aca="false">SABR!AF16+$E$9*SABR!AF49</f>
        <v>0.5337</v>
      </c>
      <c r="AG47" s="24" t="n">
        <f aca="false">SABR!AG16+$E$9*SABR!AG49</f>
        <v>0.5081</v>
      </c>
      <c r="AH47" s="24" t="n">
        <f aca="false">SABR!AH16+$E$9*SABR!AH49</f>
        <v>0.4978</v>
      </c>
      <c r="AI47" s="24" t="n">
        <f aca="false">SABR!AI16+$E$9*SABR!AI49</f>
        <v>0.4779</v>
      </c>
      <c r="AJ47" s="24" t="n">
        <f aca="false">SABR!AJ16+$E$9*SABR!AJ49</f>
        <v>0.4579</v>
      </c>
      <c r="AL47" s="35" t="s">
        <v>81</v>
      </c>
      <c r="AM47" s="37" t="n">
        <f aca="false">C47*(1+(((2-3*O47^2)/24*AA47^2)+(O47*AA47*C47/4))*30)</f>
        <v>0.682330416470389</v>
      </c>
      <c r="AN47" s="37" t="n">
        <f aca="false">D47*(1+(((2-3*P47^2)/24*AB47^2)+(P47*AB47*D47/4))*30)</f>
        <v>0.635833259535871</v>
      </c>
      <c r="AO47" s="37" t="n">
        <f aca="false">E47*(1+(((2-3*Q47^2)/24*AC47^2)+(Q47*AC47*E47/4))*30)</f>
        <v>0.606782519245577</v>
      </c>
      <c r="AP47" s="37" t="n">
        <f aca="false">F47*(1+(((2-3*R47^2)/24*AD47^2)+(R47*AD47*F47/4))*30)</f>
        <v>0.593550864185257</v>
      </c>
      <c r="AQ47" s="37" t="n">
        <f aca="false">G47*(1+(((2-3*S47^2)/24*AE47^2)+(S47*AE47*G47/4))*30)</f>
        <v>0.555456630814359</v>
      </c>
      <c r="AR47" s="37" t="n">
        <f aca="false">H47*(1+(((2-3*T47^2)/24*AF47^2)+(T47*AF47*H47/4))*30)</f>
        <v>0.511905817947073</v>
      </c>
      <c r="AS47" s="37" t="n">
        <f aca="false">I47*(1+(((2-3*U47^2)/24*AG47^2)+(U47*AG47*I47/4))*30)</f>
        <v>0.480431840295322</v>
      </c>
      <c r="AT47" s="37" t="n">
        <f aca="false">J47*(1+(((2-3*V47^2)/24*AH47^2)+(V47*AH47*J47/4))*30)</f>
        <v>0.445934952887094</v>
      </c>
      <c r="AU47" s="37" t="n">
        <f aca="false">K47*(1+(((2-3*W47^2)/24*AI47^2)+(W47*AI47*K47/4))*30)</f>
        <v>0.415119012070344</v>
      </c>
      <c r="AV47" s="37" t="n">
        <f aca="false">L47*(1+(((2-3*X47^2)/24*AJ47^2)+(X47*AJ47*L47/4))*30)</f>
        <v>0.389521486207541</v>
      </c>
    </row>
    <row r="49" customFormat="false" ht="15" hidden="false" customHeight="true" outlineLevel="0" collapsed="false">
      <c r="A49" s="28" t="s">
        <v>155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</row>
    <row r="50" customFormat="false" ht="15" hidden="false" customHeight="true" outlineLevel="0" collapsed="false">
      <c r="B50" s="28" t="s">
        <v>136</v>
      </c>
      <c r="C50" s="28"/>
      <c r="D50" s="28"/>
      <c r="E50" s="28"/>
      <c r="F50" s="28"/>
      <c r="G50" s="28"/>
      <c r="H50" s="28"/>
      <c r="I50" s="28"/>
      <c r="J50" s="28"/>
      <c r="K50" s="28"/>
      <c r="L50" s="28"/>
      <c r="N50" s="28" t="s">
        <v>137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Z50" s="28" t="s">
        <v>138</v>
      </c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L50" s="34" t="s">
        <v>139</v>
      </c>
      <c r="AM50" s="34"/>
      <c r="AN50" s="34"/>
      <c r="AO50" s="34"/>
      <c r="AP50" s="34"/>
      <c r="AQ50" s="34"/>
      <c r="AR50" s="34"/>
      <c r="AS50" s="34"/>
      <c r="AT50" s="34"/>
      <c r="AU50" s="34"/>
      <c r="AV50" s="34"/>
    </row>
    <row r="51" customFormat="false" ht="15" hidden="false" customHeight="true" outlineLevel="0" collapsed="false">
      <c r="B51" s="18" t="s">
        <v>140</v>
      </c>
      <c r="C51" s="12" t="s">
        <v>141</v>
      </c>
      <c r="D51" s="12" t="s">
        <v>74</v>
      </c>
      <c r="E51" s="12" t="s">
        <v>75</v>
      </c>
      <c r="F51" s="12" t="s">
        <v>30</v>
      </c>
      <c r="G51" s="12" t="s">
        <v>76</v>
      </c>
      <c r="H51" s="12" t="s">
        <v>77</v>
      </c>
      <c r="I51" s="12" t="s">
        <v>78</v>
      </c>
      <c r="J51" s="12" t="s">
        <v>79</v>
      </c>
      <c r="K51" s="12" t="s">
        <v>80</v>
      </c>
      <c r="L51" s="12" t="s">
        <v>81</v>
      </c>
      <c r="N51" s="18" t="s">
        <v>140</v>
      </c>
      <c r="O51" s="12" t="s">
        <v>141</v>
      </c>
      <c r="P51" s="12" t="s">
        <v>74</v>
      </c>
      <c r="Q51" s="12" t="s">
        <v>75</v>
      </c>
      <c r="R51" s="12" t="s">
        <v>30</v>
      </c>
      <c r="S51" s="12" t="s">
        <v>76</v>
      </c>
      <c r="T51" s="12" t="s">
        <v>77</v>
      </c>
      <c r="U51" s="12" t="s">
        <v>78</v>
      </c>
      <c r="V51" s="12" t="s">
        <v>79</v>
      </c>
      <c r="W51" s="12" t="s">
        <v>80</v>
      </c>
      <c r="X51" s="12" t="s">
        <v>81</v>
      </c>
      <c r="Z51" s="18" t="s">
        <v>140</v>
      </c>
      <c r="AA51" s="12" t="s">
        <v>141</v>
      </c>
      <c r="AB51" s="12" t="s">
        <v>74</v>
      </c>
      <c r="AC51" s="12" t="s">
        <v>75</v>
      </c>
      <c r="AD51" s="12" t="s">
        <v>30</v>
      </c>
      <c r="AE51" s="12" t="s">
        <v>76</v>
      </c>
      <c r="AF51" s="12" t="s">
        <v>77</v>
      </c>
      <c r="AG51" s="12" t="s">
        <v>78</v>
      </c>
      <c r="AH51" s="12" t="s">
        <v>79</v>
      </c>
      <c r="AI51" s="12" t="s">
        <v>80</v>
      </c>
      <c r="AJ51" s="12" t="s">
        <v>81</v>
      </c>
      <c r="AL51" s="18" t="s">
        <v>140</v>
      </c>
      <c r="AM51" s="12" t="s">
        <v>141</v>
      </c>
      <c r="AN51" s="12" t="s">
        <v>74</v>
      </c>
      <c r="AO51" s="12" t="s">
        <v>75</v>
      </c>
      <c r="AP51" s="12" t="s">
        <v>30</v>
      </c>
      <c r="AQ51" s="12" t="s">
        <v>76</v>
      </c>
      <c r="AR51" s="12" t="s">
        <v>77</v>
      </c>
      <c r="AS51" s="12" t="s">
        <v>78</v>
      </c>
      <c r="AT51" s="12" t="s">
        <v>79</v>
      </c>
      <c r="AU51" s="12" t="s">
        <v>80</v>
      </c>
      <c r="AV51" s="12" t="s">
        <v>81</v>
      </c>
    </row>
    <row r="52" customFormat="false" ht="15" hidden="false" customHeight="true" outlineLevel="0" collapsed="false">
      <c r="B52" s="35" t="s">
        <v>141</v>
      </c>
      <c r="C52" s="24" t="n">
        <f aca="false">SABR!C7+$C$10*SABR!C40</f>
        <v>0.5516232</v>
      </c>
      <c r="D52" s="24" t="n">
        <f aca="false">SABR!D7+$C$10*SABR!D40</f>
        <v>0.5312576</v>
      </c>
      <c r="E52" s="24" t="n">
        <f aca="false">SABR!E7+$C$10*SABR!E40</f>
        <v>0.524244</v>
      </c>
      <c r="F52" s="24" t="n">
        <f aca="false">SABR!F7+$C$10*SABR!F40</f>
        <v>0.495688</v>
      </c>
      <c r="G52" s="24" t="n">
        <f aca="false">SABR!G7+$C$10*SABR!G40</f>
        <v>0.4880584</v>
      </c>
      <c r="H52" s="24" t="n">
        <f aca="false">SABR!H7+$C$10*SABR!H40</f>
        <v>0.4676384</v>
      </c>
      <c r="I52" s="24" t="n">
        <f aca="false">SABR!I7+$C$10*SABR!I40</f>
        <v>0.444688</v>
      </c>
      <c r="J52" s="24" t="n">
        <f aca="false">SABR!J7+$C$10*SABR!J40</f>
        <v>0.4367</v>
      </c>
      <c r="K52" s="24" t="n">
        <f aca="false">SABR!K7+$C$10*SABR!K40</f>
        <v>0.41028</v>
      </c>
      <c r="L52" s="24" t="n">
        <f aca="false">SABR!L7+$C$10*SABR!L40</f>
        <v>0.4012664</v>
      </c>
      <c r="N52" s="35" t="s">
        <v>141</v>
      </c>
      <c r="O52" s="24" t="n">
        <f aca="false">SABR!O7+$D$10*SABR!O40</f>
        <v>-0.3586</v>
      </c>
      <c r="P52" s="24" t="n">
        <f aca="false">SABR!P7+$D$10*SABR!P40</f>
        <v>-0.3387</v>
      </c>
      <c r="Q52" s="24" t="n">
        <f aca="false">SABR!Q7+$D$10*SABR!Q40</f>
        <v>-0.3126</v>
      </c>
      <c r="R52" s="24" t="n">
        <f aca="false">SABR!R7+$D$10*SABR!R40</f>
        <v>-0.2851</v>
      </c>
      <c r="S52" s="24" t="n">
        <f aca="false">SABR!S7+$D$10*SABR!S40</f>
        <v>-0.2797</v>
      </c>
      <c r="T52" s="24" t="n">
        <f aca="false">SABR!T7+$D$10*SABR!T40</f>
        <v>-0.2583</v>
      </c>
      <c r="U52" s="24" t="n">
        <f aca="false">SABR!U7+$D$10*SABR!U40</f>
        <v>-0.2308</v>
      </c>
      <c r="V52" s="24" t="n">
        <f aca="false">SABR!V7+$D$10*SABR!V40</f>
        <v>-0.2049</v>
      </c>
      <c r="W52" s="24" t="n">
        <f aca="false">SABR!W7+$D$10*SABR!W40</f>
        <v>-0.1929</v>
      </c>
      <c r="X52" s="24" t="n">
        <f aca="false">SABR!X7+$D$10*SABR!X40</f>
        <v>-0.1771</v>
      </c>
      <c r="Z52" s="35" t="s">
        <v>141</v>
      </c>
      <c r="AA52" s="24" t="n">
        <f aca="false">SABR!AA7+$E$10*SABR!AA40</f>
        <v>0.8595</v>
      </c>
      <c r="AB52" s="24" t="n">
        <f aca="false">SABR!AB7+$E$10*SABR!AB40</f>
        <v>0.8187</v>
      </c>
      <c r="AC52" s="24" t="n">
        <f aca="false">SABR!AC7+$E$10*SABR!AC40</f>
        <v>0.8127</v>
      </c>
      <c r="AD52" s="24" t="n">
        <f aca="false">SABR!AD7+$E$10*SABR!AD40</f>
        <v>0.7791</v>
      </c>
      <c r="AE52" s="24" t="n">
        <f aca="false">SABR!AE7+$E$10*SABR!AE40</f>
        <v>0.754</v>
      </c>
      <c r="AF52" s="24" t="n">
        <f aca="false">SABR!AF7+$E$10*SABR!AF40</f>
        <v>0.7312</v>
      </c>
      <c r="AG52" s="24" t="n">
        <f aca="false">SABR!AG7+$E$10*SABR!AG40</f>
        <v>0.7128</v>
      </c>
      <c r="AH52" s="24" t="n">
        <f aca="false">SABR!AH7+$E$10*SABR!AH40</f>
        <v>0.7008</v>
      </c>
      <c r="AI52" s="24" t="n">
        <f aca="false">SABR!AI7+$E$10*SABR!AI40</f>
        <v>0.6658</v>
      </c>
      <c r="AJ52" s="24" t="n">
        <f aca="false">SABR!AJ7+$E$10*SABR!AJ40</f>
        <v>0.6516</v>
      </c>
      <c r="AL52" s="35" t="s">
        <v>141</v>
      </c>
      <c r="AM52" s="37" t="n">
        <f aca="false">C52*(1+(((2-3*O52^2)/24*AA52^2)+(O52*AA52*C52/4))*0.0833333333333333)</f>
        <v>0.551953352237861</v>
      </c>
      <c r="AN52" s="37" t="n">
        <f aca="false">D52*(1+(((2-3*P52^2)/24*AB52^2)+(P52*AB52*D52/4))*0.0833333333333333)</f>
        <v>0.531674448558663</v>
      </c>
      <c r="AO52" s="37" t="n">
        <f aca="false">E52*(1+(((2-3*Q52^2)/24*AC52^2)+(Q52*AC52*E52/4))*0.0833333333333333)</f>
        <v>0.524841480067495</v>
      </c>
      <c r="AP52" s="37" t="n">
        <f aca="false">F52*(1+(((2-3*R52^2)/24*AD52^2)+(R52*AD52*F52/4))*0.0833333333333333)</f>
        <v>0.496385684909458</v>
      </c>
      <c r="AQ52" s="37" t="n">
        <f aca="false">G52*(1+(((2-3*S52^2)/24*AE52^2)+(S52*AE52*G52/4))*0.0833333333333333)</f>
        <v>0.488712588855985</v>
      </c>
      <c r="AR52" s="37" t="n">
        <f aca="false">H52*(1+(((2-3*T52^2)/24*AF52^2)+(T52*AF52*H52/4))*0.0833333333333333)</f>
        <v>0.468340439157487</v>
      </c>
      <c r="AS52" s="37" t="n">
        <f aca="false">I52*(1+(((2-3*U52^2)/24*AG52^2)+(U52*AG52*I52/4))*0.0833333333333333)</f>
        <v>0.445453894517927</v>
      </c>
      <c r="AT52" s="37" t="n">
        <f aca="false">J52*(1+(((2-3*V52^2)/24*AH52^2)+(V52*AH52*J52/4))*0.0833333333333333)</f>
        <v>0.43752508831757</v>
      </c>
      <c r="AU52" s="37" t="n">
        <f aca="false">K52*(1+(((2-3*W52^2)/24*AI52^2)+(W52*AI52*K52/4))*0.0833333333333333)</f>
        <v>0.411022113620508</v>
      </c>
      <c r="AV52" s="37" t="n">
        <f aca="false">L52*(1+(((2-3*X52^2)/24*AJ52^2)+(X52*AJ52*L52/4))*0.0833333333333333)</f>
        <v>0.402006766977258</v>
      </c>
    </row>
    <row r="53" customFormat="false" ht="15" hidden="false" customHeight="true" outlineLevel="0" collapsed="false">
      <c r="B53" s="35" t="s">
        <v>74</v>
      </c>
      <c r="C53" s="24" t="n">
        <f aca="false">SABR!C8+$C$10*SABR!C41</f>
        <v>0.5408968</v>
      </c>
      <c r="D53" s="24" t="n">
        <f aca="false">SABR!D8+$C$10*SABR!D41</f>
        <v>0.5185928</v>
      </c>
      <c r="E53" s="24" t="n">
        <f aca="false">SABR!E8+$C$10*SABR!E41</f>
        <v>0.5052144</v>
      </c>
      <c r="F53" s="24" t="n">
        <f aca="false">SABR!F8+$C$10*SABR!F41</f>
        <v>0.4784848</v>
      </c>
      <c r="G53" s="24" t="n">
        <f aca="false">SABR!G8+$C$10*SABR!G41</f>
        <v>0.4616312</v>
      </c>
      <c r="H53" s="24" t="n">
        <f aca="false">SABR!H8+$C$10*SABR!H41</f>
        <v>0.4474728</v>
      </c>
      <c r="I53" s="24" t="n">
        <f aca="false">SABR!I8+$C$10*SABR!I41</f>
        <v>0.4400712</v>
      </c>
      <c r="J53" s="24" t="n">
        <f aca="false">SABR!J8+$C$10*SABR!J41</f>
        <v>0.4179936</v>
      </c>
      <c r="K53" s="24" t="n">
        <f aca="false">SABR!K8+$C$10*SABR!K41</f>
        <v>0.3989144</v>
      </c>
      <c r="L53" s="24" t="n">
        <f aca="false">SABR!L8+$C$10*SABR!L41</f>
        <v>0.3873072</v>
      </c>
      <c r="N53" s="35" t="s">
        <v>74</v>
      </c>
      <c r="O53" s="24" t="n">
        <f aca="false">SABR!O8+$D$10*SABR!O41</f>
        <v>-0.3315</v>
      </c>
      <c r="P53" s="24" t="n">
        <f aca="false">SABR!P8+$D$10*SABR!P41</f>
        <v>-0.3151</v>
      </c>
      <c r="Q53" s="24" t="n">
        <f aca="false">SABR!Q8+$D$10*SABR!Q41</f>
        <v>-0.2858</v>
      </c>
      <c r="R53" s="24" t="n">
        <f aca="false">SABR!R8+$D$10*SABR!R41</f>
        <v>-0.2682</v>
      </c>
      <c r="S53" s="24" t="n">
        <f aca="false">SABR!S8+$D$10*SABR!S41</f>
        <v>-0.2579</v>
      </c>
      <c r="T53" s="24" t="n">
        <f aca="false">SABR!T8+$D$10*SABR!T41</f>
        <v>-0.2318</v>
      </c>
      <c r="U53" s="24" t="n">
        <f aca="false">SABR!U8+$D$10*SABR!U41</f>
        <v>-0.2134</v>
      </c>
      <c r="V53" s="24" t="n">
        <f aca="false">SABR!V8+$D$10*SABR!V41</f>
        <v>-0.1869</v>
      </c>
      <c r="W53" s="24" t="n">
        <f aca="false">SABR!W8+$D$10*SABR!W41</f>
        <v>-0.1704</v>
      </c>
      <c r="X53" s="24" t="n">
        <f aca="false">SABR!X8+$D$10*SABR!X41</f>
        <v>-0.1598</v>
      </c>
      <c r="Z53" s="35" t="s">
        <v>74</v>
      </c>
      <c r="AA53" s="24" t="n">
        <f aca="false">SABR!AA8+$E$10*SABR!AA41</f>
        <v>0.8374</v>
      </c>
      <c r="AB53" s="24" t="n">
        <f aca="false">SABR!AB8+$E$10*SABR!AB41</f>
        <v>0.7979</v>
      </c>
      <c r="AC53" s="24" t="n">
        <f aca="false">SABR!AC8+$E$10*SABR!AC41</f>
        <v>0.7817</v>
      </c>
      <c r="AD53" s="24" t="n">
        <f aca="false">SABR!AD8+$E$10*SABR!AD41</f>
        <v>0.7663</v>
      </c>
      <c r="AE53" s="24" t="n">
        <f aca="false">SABR!AE8+$E$10*SABR!AE41</f>
        <v>0.7319</v>
      </c>
      <c r="AF53" s="24" t="n">
        <f aca="false">SABR!AF8+$E$10*SABR!AF41</f>
        <v>0.7164</v>
      </c>
      <c r="AG53" s="24" t="n">
        <f aca="false">SABR!AG8+$E$10*SABR!AG41</f>
        <v>0.6852</v>
      </c>
      <c r="AH53" s="24" t="n">
        <f aca="false">SABR!AH8+$E$10*SABR!AH41</f>
        <v>0.6756</v>
      </c>
      <c r="AI53" s="24" t="n">
        <f aca="false">SABR!AI8+$E$10*SABR!AI41</f>
        <v>0.6553</v>
      </c>
      <c r="AJ53" s="24" t="n">
        <f aca="false">SABR!AJ8+$E$10*SABR!AJ41</f>
        <v>0.6292</v>
      </c>
      <c r="AL53" s="35" t="s">
        <v>74</v>
      </c>
      <c r="AM53" s="37" t="n">
        <f aca="false">C53*(1+(((2-3*O53^2)/24*AA53^2)+(O53*AA53*C53/4))*0.25)</f>
        <v>0.542420235052746</v>
      </c>
      <c r="AN53" s="37" t="n">
        <f aca="false">D53*(1+(((2-3*P53^2)/24*AB53^2)+(P53*AB53*D53/4))*0.25)</f>
        <v>0.520220711743916</v>
      </c>
      <c r="AO53" s="37" t="n">
        <f aca="false">E53*(1+(((2-3*Q53^2)/24*AC53^2)+(Q53*AC53*E53/4))*0.25)</f>
        <v>0.507293960424738</v>
      </c>
      <c r="AP53" s="37" t="n">
        <f aca="false">F53*(1+(((2-3*R53^2)/24*AD53^2)+(R53*AD53*F53/4))*0.25)</f>
        <v>0.480765976181963</v>
      </c>
      <c r="AQ53" s="37" t="n">
        <f aca="false">G53*(1+(((2-3*S53^2)/24*AE53^2)+(S53*AE53*G53/4))*0.25)</f>
        <v>0.463754948008151</v>
      </c>
      <c r="AR53" s="37" t="n">
        <f aca="false">H53*(1+(((2-3*T53^2)/24*AF53^2)+(T53*AF53*H53/4))*0.25)</f>
        <v>0.449793508394861</v>
      </c>
      <c r="AS53" s="37" t="n">
        <f aca="false">I53*(1+(((2-3*U53^2)/24*AG53^2)+(U53*AG53*I53/4))*0.25)</f>
        <v>0.442311749352011</v>
      </c>
      <c r="AT53" s="37" t="n">
        <f aca="false">J53*(1+(((2-3*V53^2)/24*AH53^2)+(V53*AH53*J53/4))*0.25)</f>
        <v>0.420381210991602</v>
      </c>
      <c r="AU53" s="37" t="n">
        <f aca="false">K53*(1+(((2-3*W53^2)/24*AI53^2)+(W53*AI53*K53/4))*0.25)</f>
        <v>0.401217158571237</v>
      </c>
      <c r="AV53" s="37" t="n">
        <f aca="false">L53*(1+(((2-3*X53^2)/24*AJ53^2)+(X53*AJ53*L53/4))*0.25)</f>
        <v>0.389436595535217</v>
      </c>
    </row>
    <row r="54" customFormat="false" ht="15" hidden="false" customHeight="true" outlineLevel="0" collapsed="false">
      <c r="B54" s="35" t="s">
        <v>75</v>
      </c>
      <c r="C54" s="24" t="n">
        <f aca="false">SABR!C9+$C$10*SABR!C42</f>
        <v>0.528648</v>
      </c>
      <c r="D54" s="24" t="n">
        <f aca="false">SABR!D9+$C$10*SABR!D42</f>
        <v>0.5005016</v>
      </c>
      <c r="E54" s="24" t="n">
        <f aca="false">SABR!E9+$C$10*SABR!E42</f>
        <v>0.491248</v>
      </c>
      <c r="F54" s="24" t="n">
        <f aca="false">SABR!F9+$C$10*SABR!F42</f>
        <v>0.4722736</v>
      </c>
      <c r="G54" s="24" t="n">
        <f aca="false">SABR!G9+$C$10*SABR!G42</f>
        <v>0.4550848</v>
      </c>
      <c r="H54" s="24" t="n">
        <f aca="false">SABR!H9+$C$10*SABR!H42</f>
        <v>0.4355848</v>
      </c>
      <c r="I54" s="24" t="n">
        <f aca="false">SABR!I9+$C$10*SABR!I42</f>
        <v>0.4262328</v>
      </c>
      <c r="J54" s="24" t="n">
        <f aca="false">SABR!J9+$C$10*SABR!J42</f>
        <v>0.4114536</v>
      </c>
      <c r="K54" s="24" t="n">
        <f aca="false">SABR!K9+$C$10*SABR!K42</f>
        <v>0.3850944</v>
      </c>
      <c r="L54" s="24" t="n">
        <f aca="false">SABR!L9+$C$10*SABR!L42</f>
        <v>0.3718072</v>
      </c>
      <c r="N54" s="35" t="s">
        <v>75</v>
      </c>
      <c r="O54" s="24" t="n">
        <f aca="false">SABR!O9+$D$10*SABR!O42</f>
        <v>-0.3199</v>
      </c>
      <c r="P54" s="24" t="n">
        <f aca="false">SABR!P9+$D$10*SABR!P42</f>
        <v>-0.2876</v>
      </c>
      <c r="Q54" s="24" t="n">
        <f aca="false">SABR!Q9+$D$10*SABR!Q42</f>
        <v>-0.2693</v>
      </c>
      <c r="R54" s="24" t="n">
        <f aca="false">SABR!R9+$D$10*SABR!R42</f>
        <v>-0.2429</v>
      </c>
      <c r="S54" s="24" t="n">
        <f aca="false">SABR!S9+$D$10*SABR!S42</f>
        <v>-0.2269</v>
      </c>
      <c r="T54" s="24" t="n">
        <f aca="false">SABR!T9+$D$10*SABR!T42</f>
        <v>-0.2182</v>
      </c>
      <c r="U54" s="24" t="n">
        <f aca="false">SABR!U9+$D$10*SABR!U42</f>
        <v>-0.1967</v>
      </c>
      <c r="V54" s="24" t="n">
        <f aca="false">SABR!V9+$D$10*SABR!V42</f>
        <v>-0.1716</v>
      </c>
      <c r="W54" s="24" t="n">
        <f aca="false">SABR!W9+$D$10*SABR!W42</f>
        <v>-0.1651</v>
      </c>
      <c r="X54" s="24" t="n">
        <f aca="false">SABR!X9+$D$10*SABR!X42</f>
        <v>-0.1369</v>
      </c>
      <c r="Z54" s="35" t="s">
        <v>75</v>
      </c>
      <c r="AA54" s="24" t="n">
        <f aca="false">SABR!AA9+$E$10*SABR!AA42</f>
        <v>0.7989</v>
      </c>
      <c r="AB54" s="24" t="n">
        <f aca="false">SABR!AB9+$E$10*SABR!AB42</f>
        <v>0.7757</v>
      </c>
      <c r="AC54" s="24" t="n">
        <f aca="false">SABR!AC9+$E$10*SABR!AC42</f>
        <v>0.7523</v>
      </c>
      <c r="AD54" s="24" t="n">
        <f aca="false">SABR!AD9+$E$10*SABR!AD42</f>
        <v>0.7443</v>
      </c>
      <c r="AE54" s="24" t="n">
        <f aca="false">SABR!AE9+$E$10*SABR!AE42</f>
        <v>0.7093</v>
      </c>
      <c r="AF54" s="24" t="n">
        <f aca="false">SABR!AF9+$E$10*SABR!AF42</f>
        <v>0.6894</v>
      </c>
      <c r="AG54" s="24" t="n">
        <f aca="false">SABR!AG9+$E$10*SABR!AG42</f>
        <v>0.67</v>
      </c>
      <c r="AH54" s="24" t="n">
        <f aca="false">SABR!AH9+$E$10*SABR!AH42</f>
        <v>0.6574</v>
      </c>
      <c r="AI54" s="24" t="n">
        <f aca="false">SABR!AI9+$E$10*SABR!AI42</f>
        <v>0.6194</v>
      </c>
      <c r="AJ54" s="24" t="n">
        <f aca="false">SABR!AJ9+$E$10*SABR!AJ42</f>
        <v>0.6045</v>
      </c>
      <c r="AL54" s="35" t="s">
        <v>75</v>
      </c>
      <c r="AM54" s="37" t="n">
        <f aca="false">C54*(1+(((2-3*O54^2)/24*AA54^2)+(O54*AA54*C54/4))*0.5)</f>
        <v>0.531620585745375</v>
      </c>
      <c r="AN54" s="37" t="n">
        <f aca="false">D54*(1+(((2-3*P54^2)/24*AB54^2)+(P54*AB54*D54/4))*0.5)</f>
        <v>0.504507347801156</v>
      </c>
      <c r="AO54" s="37" t="n">
        <f aca="false">E54*(1+(((2-3*Q54^2)/24*AC54^2)+(Q54*AC54*E54/4))*0.5)</f>
        <v>0.495460785096286</v>
      </c>
      <c r="AP54" s="37" t="n">
        <f aca="false">F54*(1+(((2-3*R54^2)/24*AD54^2)+(R54*AD54*F54/4))*0.5)</f>
        <v>0.477169640744901</v>
      </c>
      <c r="AQ54" s="37" t="n">
        <f aca="false">G54*(1+(((2-3*S54^2)/24*AE54^2)+(S54*AE54*G54/4))*0.5)</f>
        <v>0.45972153780951</v>
      </c>
      <c r="AR54" s="37" t="n">
        <f aca="false">H54*(1+(((2-3*T54^2)/24*AF54^2)+(T54*AF54*H54/4))*0.5)</f>
        <v>0.440027014515175</v>
      </c>
      <c r="AS54" s="37" t="n">
        <f aca="false">I54*(1+(((2-3*U54^2)/24*AG54^2)+(U54*AG54*I54/4))*0.5)</f>
        <v>0.430749608619937</v>
      </c>
      <c r="AT54" s="37" t="n">
        <f aca="false">J54*(1+(((2-3*V54^2)/24*AH54^2)+(V54*AH54*J54/4))*0.5)</f>
        <v>0.416148244870355</v>
      </c>
      <c r="AU54" s="37" t="n">
        <f aca="false">K54*(1+(((2-3*W54^2)/24*AI54^2)+(W54*AI54*K54/4))*0.5)</f>
        <v>0.389103026359016</v>
      </c>
      <c r="AV54" s="37" t="n">
        <f aca="false">L54*(1+(((2-3*X54^2)/24*AJ54^2)+(X54*AJ54*L54/4))*0.5)</f>
        <v>0.375879101060554</v>
      </c>
    </row>
    <row r="55" customFormat="false" ht="15" hidden="false" customHeight="true" outlineLevel="0" collapsed="false">
      <c r="B55" s="35" t="s">
        <v>30</v>
      </c>
      <c r="C55" s="24" t="n">
        <f aca="false">SABR!C10+$C$10*SABR!C43</f>
        <v>0.505176</v>
      </c>
      <c r="D55" s="24" t="n">
        <f aca="false">SABR!D10+$C$10*SABR!D43</f>
        <v>0.494936</v>
      </c>
      <c r="E55" s="24" t="n">
        <f aca="false">SABR!E10+$C$10*SABR!E43</f>
        <v>0.4768696</v>
      </c>
      <c r="F55" s="24" t="n">
        <f aca="false">SABR!F10+$C$10*SABR!F43</f>
        <v>0.46074</v>
      </c>
      <c r="G55" s="24" t="n">
        <f aca="false">SABR!G10+$C$10*SABR!G43</f>
        <v>0.4319304</v>
      </c>
      <c r="H55" s="24" t="n">
        <f aca="false">SABR!H10+$C$10*SABR!H43</f>
        <v>0.417768</v>
      </c>
      <c r="I55" s="24" t="n">
        <f aca="false">SABR!I10+$C$10*SABR!I43</f>
        <v>0.3996512</v>
      </c>
      <c r="J55" s="24" t="n">
        <f aca="false">SABR!J10+$C$10*SABR!J43</f>
        <v>0.3931568</v>
      </c>
      <c r="K55" s="24" t="n">
        <f aca="false">SABR!K10+$C$10*SABR!K43</f>
        <v>0.3778096</v>
      </c>
      <c r="L55" s="24" t="n">
        <f aca="false">SABR!L10+$C$10*SABR!L43</f>
        <v>0.3446032</v>
      </c>
      <c r="N55" s="35" t="s">
        <v>30</v>
      </c>
      <c r="O55" s="24" t="n">
        <f aca="false">SABR!O10+$D$10*SABR!O43</f>
        <v>-0.2981</v>
      </c>
      <c r="P55" s="24" t="n">
        <f aca="false">SABR!P10+$D$10*SABR!P43</f>
        <v>-0.2776</v>
      </c>
      <c r="Q55" s="24" t="n">
        <f aca="false">SABR!Q10+$D$10*SABR!Q43</f>
        <v>-0.2581</v>
      </c>
      <c r="R55" s="24" t="n">
        <f aca="false">SABR!R10+$D$10*SABR!R43</f>
        <v>-0.2336</v>
      </c>
      <c r="S55" s="24" t="n">
        <f aca="false">SABR!S10+$D$10*SABR!S43</f>
        <v>-0.2121</v>
      </c>
      <c r="T55" s="24" t="n">
        <f aca="false">SABR!T10+$D$10*SABR!T43</f>
        <v>-0.1992</v>
      </c>
      <c r="U55" s="24" t="n">
        <f aca="false">SABR!U10+$D$10*SABR!U43</f>
        <v>-0.1849</v>
      </c>
      <c r="V55" s="24" t="n">
        <f aca="false">SABR!V10+$D$10*SABR!V43</f>
        <v>-0.1572</v>
      </c>
      <c r="W55" s="24" t="n">
        <f aca="false">SABR!W10+$D$10*SABR!W43</f>
        <v>-0.1387</v>
      </c>
      <c r="X55" s="24" t="n">
        <f aca="false">SABR!X10+$D$10*SABR!X43</f>
        <v>-0.1153</v>
      </c>
      <c r="Z55" s="35" t="s">
        <v>30</v>
      </c>
      <c r="AA55" s="24" t="n">
        <f aca="false">SABR!AA10+$E$10*SABR!AA43</f>
        <v>0.7924</v>
      </c>
      <c r="AB55" s="24" t="n">
        <f aca="false">SABR!AB10+$E$10*SABR!AB43</f>
        <v>0.7649</v>
      </c>
      <c r="AC55" s="24" t="n">
        <f aca="false">SABR!AC10+$E$10*SABR!AC43</f>
        <v>0.7392</v>
      </c>
      <c r="AD55" s="24" t="n">
        <f aca="false">SABR!AD10+$E$10*SABR!AD43</f>
        <v>0.719</v>
      </c>
      <c r="AE55" s="24" t="n">
        <f aca="false">SABR!AE10+$E$10*SABR!AE43</f>
        <v>0.698</v>
      </c>
      <c r="AF55" s="24" t="n">
        <f aca="false">SABR!AF10+$E$10*SABR!AF43</f>
        <v>0.6633</v>
      </c>
      <c r="AG55" s="24" t="n">
        <f aca="false">SABR!AG10+$E$10*SABR!AG43</f>
        <v>0.658</v>
      </c>
      <c r="AH55" s="24" t="n">
        <f aca="false">SABR!AH10+$E$10*SABR!AH43</f>
        <v>0.6334</v>
      </c>
      <c r="AI55" s="24" t="n">
        <f aca="false">SABR!AI10+$E$10*SABR!AI43</f>
        <v>0.613</v>
      </c>
      <c r="AJ55" s="24" t="n">
        <f aca="false">SABR!AJ10+$E$10*SABR!AJ43</f>
        <v>0.5893</v>
      </c>
      <c r="AL55" s="35" t="s">
        <v>30</v>
      </c>
      <c r="AM55" s="37" t="n">
        <f aca="false">C55*(1+(((2-3*O55^2)/24*AA55^2)+(O55*AA55*C55/4))*1)</f>
        <v>0.513015164128943</v>
      </c>
      <c r="AN55" s="37" t="n">
        <f aca="false">D55*(1+(((2-3*P55^2)/24*AB55^2)+(P55*AB55*D55/4))*1)</f>
        <v>0.503274163857164</v>
      </c>
      <c r="AO55" s="37" t="n">
        <f aca="false">E55*(1+(((2-3*Q55^2)/24*AC55^2)+(Q55*AC55*E55/4))*1)</f>
        <v>0.485567483665047</v>
      </c>
      <c r="AP55" s="37" t="n">
        <f aca="false">F55*(1+(((2-3*R55^2)/24*AD55^2)+(R55*AD55*F55/4))*1)</f>
        <v>0.470050422907076</v>
      </c>
      <c r="AQ55" s="37" t="n">
        <f aca="false">G55*(1+(((2-3*S55^2)/24*AE55^2)+(S55*AE55*G55/4))*1)</f>
        <v>0.441378561356339</v>
      </c>
      <c r="AR55" s="37" t="n">
        <f aca="false">H55*(1+(((2-3*T55^2)/24*AF55^2)+(T55*AF55*H55/4))*1)</f>
        <v>0.426408186665449</v>
      </c>
      <c r="AS55" s="37" t="n">
        <f aca="false">I55*(1+(((2-3*U55^2)/24*AG55^2)+(U55*AG55*I55/4))*1)</f>
        <v>0.408473200604058</v>
      </c>
      <c r="AT55" s="37" t="n">
        <f aca="false">J55*(1+(((2-3*V55^2)/24*AH55^2)+(V55*AH55*J55/4))*1)</f>
        <v>0.401966254765439</v>
      </c>
      <c r="AU55" s="37" t="n">
        <f aca="false">K55*(1+(((2-3*W55^2)/24*AI55^2)+(W55*AI55*K55/4))*1)</f>
        <v>0.386264915202645</v>
      </c>
      <c r="AV55" s="37" t="n">
        <f aca="false">L55*(1+(((2-3*X55^2)/24*AJ55^2)+(X55*AJ55*L55/4))*1)</f>
        <v>0.352359813571984</v>
      </c>
    </row>
    <row r="56" customFormat="false" ht="15" hidden="false" customHeight="true" outlineLevel="0" collapsed="false">
      <c r="B56" s="35" t="s">
        <v>76</v>
      </c>
      <c r="C56" s="24" t="n">
        <f aca="false">SABR!C11+$C$10*SABR!C44</f>
        <v>0.4851808</v>
      </c>
      <c r="D56" s="24" t="n">
        <f aca="false">SABR!D11+$C$10*SABR!D44</f>
        <v>0.4682704</v>
      </c>
      <c r="E56" s="24" t="n">
        <f aca="false">SABR!E11+$C$10*SABR!E44</f>
        <v>0.4454312</v>
      </c>
      <c r="F56" s="24" t="n">
        <f aca="false">SABR!F11+$C$10*SABR!F44</f>
        <v>0.4391488</v>
      </c>
      <c r="G56" s="24" t="n">
        <f aca="false">SABR!G11+$C$10*SABR!G44</f>
        <v>0.4106456</v>
      </c>
      <c r="H56" s="24" t="n">
        <f aca="false">SABR!H11+$C$10*SABR!H44</f>
        <v>0.3938568</v>
      </c>
      <c r="I56" s="24" t="n">
        <f aca="false">SABR!I11+$C$10*SABR!I44</f>
        <v>0.3796664</v>
      </c>
      <c r="J56" s="24" t="n">
        <f aca="false">SABR!J11+$C$10*SABR!J44</f>
        <v>0.361836</v>
      </c>
      <c r="K56" s="24" t="n">
        <f aca="false">SABR!K11+$C$10*SABR!K44</f>
        <v>0.3484096</v>
      </c>
      <c r="L56" s="24" t="n">
        <f aca="false">SABR!L11+$C$10*SABR!L44</f>
        <v>0.3257312</v>
      </c>
      <c r="N56" s="35" t="s">
        <v>76</v>
      </c>
      <c r="O56" s="24" t="n">
        <f aca="false">SABR!O11+$D$10*SABR!O44</f>
        <v>-0.2822</v>
      </c>
      <c r="P56" s="24" t="n">
        <f aca="false">SABR!P11+$D$10*SABR!P44</f>
        <v>-0.2598</v>
      </c>
      <c r="Q56" s="24" t="n">
        <f aca="false">SABR!Q11+$D$10*SABR!Q44</f>
        <v>-0.2413</v>
      </c>
      <c r="R56" s="24" t="n">
        <f aca="false">SABR!R11+$D$10*SABR!R44</f>
        <v>-0.2166</v>
      </c>
      <c r="S56" s="24" t="n">
        <f aca="false">SABR!S11+$D$10*SABR!S44</f>
        <v>-0.2039</v>
      </c>
      <c r="T56" s="24" t="n">
        <f aca="false">SABR!T11+$D$10*SABR!T44</f>
        <v>-0.1675</v>
      </c>
      <c r="U56" s="24" t="n">
        <f aca="false">SABR!U11+$D$10*SABR!U44</f>
        <v>-0.1533</v>
      </c>
      <c r="V56" s="24" t="n">
        <f aca="false">SABR!V11+$D$10*SABR!V44</f>
        <v>-0.1431</v>
      </c>
      <c r="W56" s="24" t="n">
        <f aca="false">SABR!W11+$D$10*SABR!W44</f>
        <v>-0.1216</v>
      </c>
      <c r="X56" s="24" t="n">
        <f aca="false">SABR!X11+$D$10*SABR!X44</f>
        <v>-0.1003</v>
      </c>
      <c r="Z56" s="35" t="s">
        <v>76</v>
      </c>
      <c r="AA56" s="24" t="n">
        <f aca="false">SABR!AA11+$E$10*SABR!AA44</f>
        <v>0.7584</v>
      </c>
      <c r="AB56" s="24" t="n">
        <f aca="false">SABR!AB11+$E$10*SABR!AB44</f>
        <v>0.7313</v>
      </c>
      <c r="AC56" s="24" t="n">
        <f aca="false">SABR!AC11+$E$10*SABR!AC44</f>
        <v>0.7236</v>
      </c>
      <c r="AD56" s="24" t="n">
        <f aca="false">SABR!AD11+$E$10*SABR!AD44</f>
        <v>0.7043</v>
      </c>
      <c r="AE56" s="24" t="n">
        <f aca="false">SABR!AE11+$E$10*SABR!AE44</f>
        <v>0.6715</v>
      </c>
      <c r="AF56" s="24" t="n">
        <f aca="false">SABR!AF11+$E$10*SABR!AF44</f>
        <v>0.6497</v>
      </c>
      <c r="AG56" s="24" t="n">
        <f aca="false">SABR!AG11+$E$10*SABR!AG44</f>
        <v>0.6195</v>
      </c>
      <c r="AH56" s="24" t="n">
        <f aca="false">SABR!AH11+$E$10*SABR!AH44</f>
        <v>0.5976</v>
      </c>
      <c r="AI56" s="24" t="n">
        <f aca="false">SABR!AI11+$E$10*SABR!AI44</f>
        <v>0.5802</v>
      </c>
      <c r="AJ56" s="24" t="n">
        <f aca="false">SABR!AJ11+$E$10*SABR!AJ44</f>
        <v>0.5564</v>
      </c>
      <c r="AL56" s="35" t="s">
        <v>76</v>
      </c>
      <c r="AM56" s="37" t="n">
        <f aca="false">C56*(1+(((2-3*O56^2)/24*AA56^2)+(O56*AA56*C56/4))*2)</f>
        <v>0.500944932940466</v>
      </c>
      <c r="AN56" s="37" t="n">
        <f aca="false">D56*(1+(((2-3*P56^2)/24*AB56^2)+(P56*AB56*D56/4))*2)</f>
        <v>0.484952679243825</v>
      </c>
      <c r="AO56" s="37" t="n">
        <f aca="false">E56*(1+(((2-3*Q56^2)/24*AC56^2)+(Q56*AC56*E56/4))*2)</f>
        <v>0.463585762073011</v>
      </c>
      <c r="AP56" s="37" t="n">
        <f aca="false">F56*(1+(((2-3*R56^2)/24*AD56^2)+(R56*AD56*F56/4))*2)</f>
        <v>0.458189731196509</v>
      </c>
      <c r="AQ56" s="37" t="n">
        <f aca="false">G56*(1+(((2-3*S56^2)/24*AE56^2)+(S56*AE56*G56/4))*2)</f>
        <v>0.428037585687006</v>
      </c>
      <c r="AR56" s="37" t="n">
        <f aca="false">H56*(1+(((2-3*T56^2)/24*AF56^2)+(T56*AF56*H56/4))*2)</f>
        <v>0.411958573225255</v>
      </c>
      <c r="AS56" s="37" t="n">
        <f aca="false">I56*(1+(((2-3*U56^2)/24*AG56^2)+(U56*AG56*I56/4))*2)</f>
        <v>0.396250321380794</v>
      </c>
      <c r="AT56" s="37" t="n">
        <f aca="false">J56*(1+(((2-3*V56^2)/24*AH56^2)+(V56*AH56*J56/4))*2)</f>
        <v>0.377113151747613</v>
      </c>
      <c r="AU56" s="37" t="n">
        <f aca="false">K56*(1+(((2-3*W56^2)/24*AI56^2)+(W56*AI56*K56/4))*2)</f>
        <v>0.363241528977242</v>
      </c>
      <c r="AV56" s="37" t="n">
        <f aca="false">L56*(1+(((2-3*X56^2)/24*AJ56^2)+(X56*AJ56*L56/4))*2)</f>
        <v>0.339323701113113</v>
      </c>
    </row>
    <row r="57" customFormat="false" ht="15" hidden="false" customHeight="true" outlineLevel="0" collapsed="false">
      <c r="B57" s="35" t="s">
        <v>77</v>
      </c>
      <c r="C57" s="24" t="n">
        <f aca="false">SABR!C12+$C$10*SABR!C45</f>
        <v>0.4769696</v>
      </c>
      <c r="D57" s="24" t="n">
        <f aca="false">SABR!D12+$C$10*SABR!D45</f>
        <v>0.4466496</v>
      </c>
      <c r="E57" s="24" t="n">
        <f aca="false">SABR!E12+$C$10*SABR!E45</f>
        <v>0.4268656</v>
      </c>
      <c r="F57" s="24" t="n">
        <f aca="false">SABR!F12+$C$10*SABR!F45</f>
        <v>0.4285896</v>
      </c>
      <c r="G57" s="24" t="n">
        <f aca="false">SABR!G12+$C$10*SABR!G45</f>
        <v>0.4030736</v>
      </c>
      <c r="H57" s="24" t="n">
        <f aca="false">SABR!H12+$C$10*SABR!H45</f>
        <v>0.3785208</v>
      </c>
      <c r="I57" s="24" t="n">
        <f aca="false">SABR!I12+$C$10*SABR!I45</f>
        <v>0.3695192</v>
      </c>
      <c r="J57" s="24" t="n">
        <f aca="false">SABR!J12+$C$10*SABR!J45</f>
        <v>0.3421928</v>
      </c>
      <c r="K57" s="24" t="n">
        <f aca="false">SABR!K12+$C$10*SABR!K45</f>
        <v>0.3351992</v>
      </c>
      <c r="L57" s="24" t="n">
        <f aca="false">SABR!L12+$C$10*SABR!L45</f>
        <v>0.3273808</v>
      </c>
      <c r="N57" s="35" t="s">
        <v>77</v>
      </c>
      <c r="O57" s="24" t="n">
        <f aca="false">SABR!O12+$D$10*SABR!O45</f>
        <v>-0.2455</v>
      </c>
      <c r="P57" s="24" t="n">
        <f aca="false">SABR!P12+$D$10*SABR!P45</f>
        <v>-0.2294</v>
      </c>
      <c r="Q57" s="24" t="n">
        <f aca="false">SABR!Q12+$D$10*SABR!Q45</f>
        <v>-0.2187</v>
      </c>
      <c r="R57" s="24" t="n">
        <f aca="false">SABR!R12+$D$10*SABR!R45</f>
        <v>-0.1971</v>
      </c>
      <c r="S57" s="24" t="n">
        <f aca="false">SABR!S12+$D$10*SABR!S45</f>
        <v>-0.1817</v>
      </c>
      <c r="T57" s="24" t="n">
        <f aca="false">SABR!T12+$D$10*SABR!T45</f>
        <v>-0.1501</v>
      </c>
      <c r="U57" s="24" t="n">
        <f aca="false">SABR!U12+$D$10*SABR!U45</f>
        <v>-0.1355</v>
      </c>
      <c r="V57" s="24" t="n">
        <f aca="false">SABR!V12+$D$10*SABR!V45</f>
        <v>-0.1111</v>
      </c>
      <c r="W57" s="24" t="n">
        <f aca="false">SABR!W12+$D$10*SABR!W45</f>
        <v>-0.1006</v>
      </c>
      <c r="X57" s="24" t="n">
        <f aca="false">SABR!X12+$D$10*SABR!X45</f>
        <v>-0.0833</v>
      </c>
      <c r="Z57" s="35" t="s">
        <v>77</v>
      </c>
      <c r="AA57" s="24" t="n">
        <f aca="false">SABR!AA12+$E$10*SABR!AA45</f>
        <v>0.7451</v>
      </c>
      <c r="AB57" s="24" t="n">
        <f aca="false">SABR!AB12+$E$10*SABR!AB45</f>
        <v>0.7264</v>
      </c>
      <c r="AC57" s="24" t="n">
        <f aca="false">SABR!AC12+$E$10*SABR!AC45</f>
        <v>0.7015</v>
      </c>
      <c r="AD57" s="24" t="n">
        <f aca="false">SABR!AD12+$E$10*SABR!AD45</f>
        <v>0.6783</v>
      </c>
      <c r="AE57" s="24" t="n">
        <f aca="false">SABR!AE12+$E$10*SABR!AE45</f>
        <v>0.6564</v>
      </c>
      <c r="AF57" s="24" t="n">
        <f aca="false">SABR!AF12+$E$10*SABR!AF45</f>
        <v>0.6326</v>
      </c>
      <c r="AG57" s="24" t="n">
        <f aca="false">SABR!AG12+$E$10*SABR!AG45</f>
        <v>0.6001</v>
      </c>
      <c r="AH57" s="24" t="n">
        <f aca="false">SABR!AH12+$E$10*SABR!AH45</f>
        <v>0.5837</v>
      </c>
      <c r="AI57" s="24" t="n">
        <f aca="false">SABR!AI12+$E$10*SABR!AI45</f>
        <v>0.5582</v>
      </c>
      <c r="AJ57" s="24" t="n">
        <f aca="false">SABR!AJ12+$E$10*SABR!AJ45</f>
        <v>0.5295</v>
      </c>
      <c r="AL57" s="35" t="s">
        <v>77</v>
      </c>
      <c r="AM57" s="37" t="n">
        <f aca="false">C57*(1+(((2-3*O57^2)/24*AA57^2)+(O57*AA57*C57/4))*3)</f>
        <v>0.505973945419131</v>
      </c>
      <c r="AN57" s="37" t="n">
        <f aca="false">D57*(1+(((2-3*P57^2)/24*AB57^2)+(P57*AB57*D57/4))*3)</f>
        <v>0.475985726916108</v>
      </c>
      <c r="AO57" s="37" t="n">
        <f aca="false">E57*(1+(((2-3*Q57^2)/24*AC57^2)+(Q57*AC57*E57/4))*3)</f>
        <v>0.454647073903266</v>
      </c>
      <c r="AP57" s="37" t="n">
        <f aca="false">F57*(1+(((2-3*R57^2)/24*AD57^2)+(R57*AD57*F57/4))*3)</f>
        <v>0.456596000906135</v>
      </c>
      <c r="AQ57" s="37" t="n">
        <f aca="false">G57*(1+(((2-3*S57^2)/24*AE57^2)+(S57*AE57*G57/4))*3)</f>
        <v>0.429807710248035</v>
      </c>
      <c r="AR57" s="37" t="n">
        <f aca="false">H57*(1+(((2-3*T57^2)/24*AF57^2)+(T57*AF57*H57/4))*3)</f>
        <v>0.404906843925011</v>
      </c>
      <c r="AS57" s="37" t="n">
        <f aca="false">I57*(1+(((2-3*U57^2)/24*AG57^2)+(U57*AG57*I57/4))*3)</f>
        <v>0.393543621601872</v>
      </c>
      <c r="AT57" s="37" t="n">
        <f aca="false">J57*(1+(((2-3*V57^2)/24*AH57^2)+(V57*AH57*J57/4))*3)</f>
        <v>0.365104740904023</v>
      </c>
      <c r="AU57" s="37" t="n">
        <f aca="false">K57*(1+(((2-3*W57^2)/24*AI57^2)+(W57*AI57*K57/4))*3)</f>
        <v>0.356181658008881</v>
      </c>
      <c r="AV57" s="37" t="n">
        <f aca="false">L57*(1+(((2-3*X57^2)/24*AJ57^2)+(X57*AJ57*L57/4))*3)</f>
        <v>0.346543410152105</v>
      </c>
    </row>
    <row r="58" customFormat="false" ht="15" hidden="false" customHeight="true" outlineLevel="0" collapsed="false">
      <c r="B58" s="35" t="s">
        <v>78</v>
      </c>
      <c r="C58" s="24" t="n">
        <f aca="false">SABR!C13+$C$10*SABR!C46</f>
        <v>0.4439376</v>
      </c>
      <c r="D58" s="24" t="n">
        <f aca="false">SABR!D13+$C$10*SABR!D46</f>
        <v>0.431956</v>
      </c>
      <c r="E58" s="24" t="n">
        <f aca="false">SABR!E13+$C$10*SABR!E46</f>
        <v>0.4147672</v>
      </c>
      <c r="F58" s="24" t="n">
        <f aca="false">SABR!F13+$C$10*SABR!F46</f>
        <v>0.406396</v>
      </c>
      <c r="G58" s="24" t="n">
        <f aca="false">SABR!G13+$C$10*SABR!G46</f>
        <v>0.3947016</v>
      </c>
      <c r="H58" s="24" t="n">
        <f aca="false">SABR!H13+$C$10*SABR!H46</f>
        <v>0.3674688</v>
      </c>
      <c r="I58" s="24" t="n">
        <f aca="false">SABR!I13+$C$10*SABR!I46</f>
        <v>0.360284</v>
      </c>
      <c r="J58" s="24" t="n">
        <f aca="false">SABR!J13+$C$10*SABR!J46</f>
        <v>0.344492</v>
      </c>
      <c r="K58" s="24" t="n">
        <f aca="false">SABR!K13+$C$10*SABR!K46</f>
        <v>0.32684</v>
      </c>
      <c r="L58" s="24" t="n">
        <f aca="false">SABR!L13+$C$10*SABR!L46</f>
        <v>0.2981192</v>
      </c>
      <c r="N58" s="35" t="s">
        <v>78</v>
      </c>
      <c r="O58" s="24" t="n">
        <f aca="false">SABR!O13+$D$10*SABR!O46</f>
        <v>-0.2389</v>
      </c>
      <c r="P58" s="24" t="n">
        <f aca="false">SABR!P13+$D$10*SABR!P46</f>
        <v>-0.2194</v>
      </c>
      <c r="Q58" s="24" t="n">
        <f aca="false">SABR!Q13+$D$10*SABR!Q46</f>
        <v>-0.2005</v>
      </c>
      <c r="R58" s="24" t="n">
        <f aca="false">SABR!R13+$D$10*SABR!R46</f>
        <v>-0.1809</v>
      </c>
      <c r="S58" s="24" t="n">
        <f aca="false">SABR!S13+$D$10*SABR!S46</f>
        <v>-0.1531</v>
      </c>
      <c r="T58" s="24" t="n">
        <f aca="false">SABR!T13+$D$10*SABR!T46</f>
        <v>-0.1281</v>
      </c>
      <c r="U58" s="24" t="n">
        <f aca="false">SABR!U13+$D$10*SABR!U46</f>
        <v>-0.1099</v>
      </c>
      <c r="V58" s="24" t="n">
        <f aca="false">SABR!V13+$D$10*SABR!V46</f>
        <v>-0.0976</v>
      </c>
      <c r="W58" s="24" t="n">
        <f aca="false">SABR!W13+$D$10*SABR!W46</f>
        <v>-0.0747</v>
      </c>
      <c r="X58" s="24" t="n">
        <f aca="false">SABR!X13+$D$10*SABR!X46</f>
        <v>-0.0523</v>
      </c>
      <c r="Z58" s="35" t="s">
        <v>78</v>
      </c>
      <c r="AA58" s="24" t="n">
        <f aca="false">SABR!AA13+$E$10*SABR!AA46</f>
        <v>0.7084</v>
      </c>
      <c r="AB58" s="24" t="n">
        <f aca="false">SABR!AB13+$E$10*SABR!AB46</f>
        <v>0.6977</v>
      </c>
      <c r="AC58" s="24" t="n">
        <f aca="false">SABR!AC13+$E$10*SABR!AC46</f>
        <v>0.6804</v>
      </c>
      <c r="AD58" s="24" t="n">
        <f aca="false">SABR!AD13+$E$10*SABR!AD46</f>
        <v>0.6556</v>
      </c>
      <c r="AE58" s="24" t="n">
        <f aca="false">SABR!AE13+$E$10*SABR!AE46</f>
        <v>0.6328</v>
      </c>
      <c r="AF58" s="24" t="n">
        <f aca="false">SABR!AF13+$E$10*SABR!AF46</f>
        <v>0.6051</v>
      </c>
      <c r="AG58" s="24" t="n">
        <f aca="false">SABR!AG13+$E$10*SABR!AG46</f>
        <v>0.5769</v>
      </c>
      <c r="AH58" s="24" t="n">
        <f aca="false">SABR!AH13+$E$10*SABR!AH46</f>
        <v>0.5669</v>
      </c>
      <c r="AI58" s="24" t="n">
        <f aca="false">SABR!AI13+$E$10*SABR!AI46</f>
        <v>0.5355</v>
      </c>
      <c r="AJ58" s="24" t="n">
        <f aca="false">SABR!AJ13+$E$10*SABR!AJ46</f>
        <v>0.5227</v>
      </c>
      <c r="AL58" s="35" t="s">
        <v>78</v>
      </c>
      <c r="AM58" s="37" t="n">
        <f aca="false">C58*(1+(((2-3*O58^2)/24*AA58^2)+(O58*AA58*C58/4))*5)</f>
        <v>0.487124821840087</v>
      </c>
      <c r="AN58" s="37" t="n">
        <f aca="false">D58*(1+(((2-3*P58^2)/24*AB58^2)+(P58*AB58*D58/4))*5)</f>
        <v>0.477540261880432</v>
      </c>
      <c r="AO58" s="37" t="n">
        <f aca="false">E58*(1+(((2-3*Q58^2)/24*AC58^2)+(Q58*AC58*E58/4))*5)</f>
        <v>0.460612901480567</v>
      </c>
      <c r="AP58" s="37" t="n">
        <f aca="false">F58*(1+(((2-3*R58^2)/24*AD58^2)+(R58*AD58*F58/4))*5)</f>
        <v>0.451119847655891</v>
      </c>
      <c r="AQ58" s="37" t="n">
        <f aca="false">G58*(1+(((2-3*S58^2)/24*AE58^2)+(S58*AE58*G58/4))*5)</f>
        <v>0.439375026956983</v>
      </c>
      <c r="AR58" s="37" t="n">
        <f aca="false">H58*(1+(((2-3*T58^2)/24*AF58^2)+(T58*AF58*H58/4))*5)</f>
        <v>0.409066631208469</v>
      </c>
      <c r="AS58" s="37" t="n">
        <f aca="false">I58*(1+(((2-3*U58^2)/24*AG58^2)+(U58*AG58*I58/4))*5)</f>
        <v>0.399053048580823</v>
      </c>
      <c r="AT58" s="37" t="n">
        <f aca="false">J58*(1+(((2-3*V58^2)/24*AH58^2)+(V58*AH58*J58/4))*5)</f>
        <v>0.381754829980064</v>
      </c>
      <c r="AU58" s="37" t="n">
        <f aca="false">K58*(1+(((2-3*W58^2)/24*AI58^2)+(W58*AI58*K58/4))*5)</f>
        <v>0.360223630167709</v>
      </c>
      <c r="AV58" s="37" t="n">
        <f aca="false">L58*(1+(((2-3*X58^2)/24*AJ58^2)+(X58*AJ58*L58/4))*5)</f>
        <v>0.328880761805487</v>
      </c>
    </row>
    <row r="59" customFormat="false" ht="15" hidden="false" customHeight="true" outlineLevel="0" collapsed="false">
      <c r="B59" s="35" t="s">
        <v>79</v>
      </c>
      <c r="C59" s="24" t="n">
        <f aca="false">SABR!C14+$C$10*SABR!C47</f>
        <v>0.4458784</v>
      </c>
      <c r="D59" s="24" t="n">
        <f aca="false">SABR!D14+$C$10*SABR!D47</f>
        <v>0.4174064</v>
      </c>
      <c r="E59" s="24" t="n">
        <f aca="false">SABR!E14+$C$10*SABR!E47</f>
        <v>0.4006176</v>
      </c>
      <c r="F59" s="24" t="n">
        <f aca="false">SABR!F14+$C$10*SABR!F47</f>
        <v>0.3945368</v>
      </c>
      <c r="G59" s="24" t="n">
        <f aca="false">SABR!G14+$C$10*SABR!G47</f>
        <v>0.3731648</v>
      </c>
      <c r="H59" s="24" t="n">
        <f aca="false">SABR!H14+$C$10*SABR!H47</f>
        <v>0.3451344</v>
      </c>
      <c r="I59" s="24" t="n">
        <f aca="false">SABR!I14+$C$10*SABR!I47</f>
        <v>0.3272152</v>
      </c>
      <c r="J59" s="24" t="n">
        <f aca="false">SABR!J14+$C$10*SABR!J47</f>
        <v>0.3107208</v>
      </c>
      <c r="K59" s="24" t="n">
        <f aca="false">SABR!K14+$C$10*SABR!K47</f>
        <v>0.30898</v>
      </c>
      <c r="L59" s="24" t="n">
        <f aca="false">SABR!L14+$C$10*SABR!L47</f>
        <v>0.2900728</v>
      </c>
      <c r="N59" s="35" t="s">
        <v>79</v>
      </c>
      <c r="O59" s="24" t="n">
        <f aca="false">SABR!O14+$D$10*SABR!O47</f>
        <v>-0.221</v>
      </c>
      <c r="P59" s="24" t="n">
        <f aca="false">SABR!P14+$D$10*SABR!P47</f>
        <v>-0.1879</v>
      </c>
      <c r="Q59" s="24" t="n">
        <f aca="false">SABR!Q14+$D$10*SABR!Q47</f>
        <v>-0.1654</v>
      </c>
      <c r="R59" s="24" t="n">
        <f aca="false">SABR!R14+$D$10*SABR!R47</f>
        <v>-0.1524</v>
      </c>
      <c r="S59" s="24" t="n">
        <f aca="false">SABR!S14+$D$10*SABR!S47</f>
        <v>-0.1391</v>
      </c>
      <c r="T59" s="24" t="n">
        <f aca="false">SABR!T14+$D$10*SABR!T47</f>
        <v>-0.1157</v>
      </c>
      <c r="U59" s="24" t="n">
        <f aca="false">SABR!U14+$D$10*SABR!U47</f>
        <v>-0.1046</v>
      </c>
      <c r="V59" s="24" t="n">
        <f aca="false">SABR!V14+$D$10*SABR!V47</f>
        <v>-0.0875</v>
      </c>
      <c r="W59" s="24" t="n">
        <f aca="false">SABR!W14+$D$10*SABR!W47</f>
        <v>-0.0489</v>
      </c>
      <c r="X59" s="24" t="n">
        <f aca="false">SABR!X14+$D$10*SABR!X47</f>
        <v>-0.0359</v>
      </c>
      <c r="Z59" s="35" t="s">
        <v>79</v>
      </c>
      <c r="AA59" s="24" t="n">
        <f aca="false">SABR!AA14+$E$10*SABR!AA47</f>
        <v>0.695</v>
      </c>
      <c r="AB59" s="24" t="n">
        <f aca="false">SABR!AB14+$E$10*SABR!AB47</f>
        <v>0.6809</v>
      </c>
      <c r="AC59" s="24" t="n">
        <f aca="false">SABR!AC14+$E$10*SABR!AC47</f>
        <v>0.6487</v>
      </c>
      <c r="AD59" s="24" t="n">
        <f aca="false">SABR!AD14+$E$10*SABR!AD47</f>
        <v>0.6352</v>
      </c>
      <c r="AE59" s="24" t="n">
        <f aca="false">SABR!AE14+$E$10*SABR!AE47</f>
        <v>0.6121</v>
      </c>
      <c r="AF59" s="24" t="n">
        <f aca="false">SABR!AF14+$E$10*SABR!AF47</f>
        <v>0.5776</v>
      </c>
      <c r="AG59" s="24" t="n">
        <f aca="false">SABR!AG14+$E$10*SABR!AG47</f>
        <v>0.5561</v>
      </c>
      <c r="AH59" s="24" t="n">
        <f aca="false">SABR!AH14+$E$10*SABR!AH47</f>
        <v>0.5347</v>
      </c>
      <c r="AI59" s="24" t="n">
        <f aca="false">SABR!AI14+$E$10*SABR!AI47</f>
        <v>0.5115</v>
      </c>
      <c r="AJ59" s="24" t="n">
        <f aca="false">SABR!AJ14+$E$10*SABR!AJ47</f>
        <v>0.4962</v>
      </c>
      <c r="AL59" s="35" t="s">
        <v>79</v>
      </c>
      <c r="AM59" s="37" t="n">
        <f aca="false">C59*(1+(((2-3*O59^2)/24*AA59^2)+(O59*AA59*C59/4))*10)</f>
        <v>0.535865498956954</v>
      </c>
      <c r="AN59" s="37" t="n">
        <f aca="false">D59*(1+(((2-3*P59^2)/24*AB59^2)+(P59*AB59*D59/4))*10)</f>
        <v>0.514405074651562</v>
      </c>
      <c r="AO59" s="37" t="n">
        <f aca="false">E59*(1+(((2-3*Q59^2)/24*AC59^2)+(Q59*AC59*E59/4))*10)</f>
        <v>0.492289122215248</v>
      </c>
      <c r="AP59" s="37" t="n">
        <f aca="false">F59*(1+(((2-3*R59^2)/24*AD59^2)+(R59*AD59*F59/4))*10)</f>
        <v>0.484900058645136</v>
      </c>
      <c r="AQ59" s="37" t="n">
        <f aca="false">G59*(1+(((2-3*S59^2)/24*AE59^2)+(S59*AE59*G59/4))*10)</f>
        <v>0.456652696809848</v>
      </c>
      <c r="AR59" s="37" t="n">
        <f aca="false">H59*(1+(((2-3*T59^2)/24*AF59^2)+(T59*AF59*H59/4))*10)</f>
        <v>0.419260199876788</v>
      </c>
      <c r="AS59" s="37" t="n">
        <f aca="false">I59*(1+(((2-3*U59^2)/24*AG59^2)+(U59*AG59*I59/4))*10)</f>
        <v>0.394586493278394</v>
      </c>
      <c r="AT59" s="37" t="n">
        <f aca="false">J59*(1+(((2-3*V59^2)/24*AH59^2)+(V59*AH59*J59/4))*10)</f>
        <v>0.372608169230226</v>
      </c>
      <c r="AU59" s="37" t="n">
        <f aca="false">K59*(1+(((2-3*W59^2)/24*AI59^2)+(W59*AI59*K59/4))*10)</f>
        <v>0.370134577040382</v>
      </c>
      <c r="AV59" s="37" t="n">
        <f aca="false">L59*(1+(((2-3*X59^2)/24*AJ59^2)+(X59*AJ59*L59/4))*10)</f>
        <v>0.345727315483631</v>
      </c>
    </row>
    <row r="60" customFormat="false" ht="15" hidden="false" customHeight="true" outlineLevel="0" collapsed="false">
      <c r="B60" s="35" t="s">
        <v>80</v>
      </c>
      <c r="C60" s="24" t="n">
        <f aca="false">SABR!C15+$C$10*SABR!C48</f>
        <v>0.414668</v>
      </c>
      <c r="D60" s="24" t="n">
        <f aca="false">SABR!D15+$C$10*SABR!D48</f>
        <v>0.4008672</v>
      </c>
      <c r="E60" s="24" t="n">
        <f aca="false">SABR!E15+$C$10*SABR!E48</f>
        <v>0.3782848</v>
      </c>
      <c r="F60" s="24" t="n">
        <f aca="false">SABR!F15+$C$10*SABR!F48</f>
        <v>0.3769352</v>
      </c>
      <c r="G60" s="24" t="n">
        <f aca="false">SABR!G15+$C$10*SABR!G48</f>
        <v>0.3487064</v>
      </c>
      <c r="H60" s="24" t="n">
        <f aca="false">SABR!H15+$C$10*SABR!H48</f>
        <v>0.3339624</v>
      </c>
      <c r="I60" s="24" t="n">
        <f aca="false">SABR!I15+$C$10*SABR!I48</f>
        <v>0.3194616</v>
      </c>
      <c r="J60" s="24" t="n">
        <f aca="false">SABR!J15+$C$10*SABR!J48</f>
        <v>0.3089192</v>
      </c>
      <c r="K60" s="24" t="n">
        <f aca="false">SABR!K15+$C$10*SABR!K48</f>
        <v>0.282196</v>
      </c>
      <c r="L60" s="24" t="n">
        <f aca="false">SABR!L15+$C$10*SABR!L48</f>
        <v>0.27548</v>
      </c>
      <c r="N60" s="35" t="s">
        <v>80</v>
      </c>
      <c r="O60" s="24" t="n">
        <f aca="false">SABR!O15+$D$10*SABR!O48</f>
        <v>-0.1944</v>
      </c>
      <c r="P60" s="24" t="n">
        <f aca="false">SABR!P15+$D$10*SABR!P48</f>
        <v>-0.1744</v>
      </c>
      <c r="Q60" s="24" t="n">
        <f aca="false">SABR!Q15+$D$10*SABR!Q48</f>
        <v>-0.1551</v>
      </c>
      <c r="R60" s="24" t="n">
        <f aca="false">SABR!R15+$D$10*SABR!R48</f>
        <v>-0.1457</v>
      </c>
      <c r="S60" s="24" t="n">
        <f aca="false">SABR!S15+$D$10*SABR!S48</f>
        <v>-0.1179</v>
      </c>
      <c r="T60" s="24" t="n">
        <f aca="false">SABR!T15+$D$10*SABR!T48</f>
        <v>-0.1036</v>
      </c>
      <c r="U60" s="24" t="n">
        <f aca="false">SABR!U15+$D$10*SABR!U48</f>
        <v>-0.0877</v>
      </c>
      <c r="V60" s="24" t="n">
        <f aca="false">SABR!V15+$D$10*SABR!V48</f>
        <v>-0.0523</v>
      </c>
      <c r="W60" s="24" t="n">
        <f aca="false">SABR!W15+$D$10*SABR!W48</f>
        <v>-0.0454</v>
      </c>
      <c r="X60" s="24" t="n">
        <f aca="false">SABR!X15+$D$10*SABR!X48</f>
        <v>-0.02</v>
      </c>
      <c r="Z60" s="35" t="s">
        <v>80</v>
      </c>
      <c r="AA60" s="24" t="n">
        <f aca="false">SABR!AA15+$E$10*SABR!AA48</f>
        <v>0.6767</v>
      </c>
      <c r="AB60" s="24" t="n">
        <f aca="false">SABR!AB15+$E$10*SABR!AB48</f>
        <v>0.6511</v>
      </c>
      <c r="AC60" s="24" t="n">
        <f aca="false">SABR!AC15+$E$10*SABR!AC48</f>
        <v>0.6243</v>
      </c>
      <c r="AD60" s="24" t="n">
        <f aca="false">SABR!AD15+$E$10*SABR!AD48</f>
        <v>0.6059</v>
      </c>
      <c r="AE60" s="24" t="n">
        <f aca="false">SABR!AE15+$E$10*SABR!AE48</f>
        <v>0.5844</v>
      </c>
      <c r="AF60" s="24" t="n">
        <f aca="false">SABR!AF15+$E$10*SABR!AF48</f>
        <v>0.5668</v>
      </c>
      <c r="AG60" s="24" t="n">
        <f aca="false">SABR!AG15+$E$10*SABR!AG48</f>
        <v>0.531</v>
      </c>
      <c r="AH60" s="24" t="n">
        <f aca="false">SABR!AH15+$E$10*SABR!AH48</f>
        <v>0.5179</v>
      </c>
      <c r="AI60" s="24" t="n">
        <f aca="false">SABR!AI15+$E$10*SABR!AI48</f>
        <v>0.4894</v>
      </c>
      <c r="AJ60" s="24" t="n">
        <f aca="false">SABR!AJ15+$E$10*SABR!AJ48</f>
        <v>0.4678</v>
      </c>
      <c r="AL60" s="35" t="s">
        <v>80</v>
      </c>
      <c r="AM60" s="37" t="n">
        <f aca="false">C60*(1+(((2-3*O60^2)/24*AA60^2)+(O60*AA60*C60/4))*20)</f>
        <v>0.600104263049882</v>
      </c>
      <c r="AN60" s="37" t="n">
        <f aca="false">D60*(1+(((2-3*P60^2)/24*AB60^2)+(P60*AB60*D60/4))*20)</f>
        <v>0.579942966374119</v>
      </c>
      <c r="AO60" s="37" t="n">
        <f aca="false">E60*(1+(((2-3*Q60^2)/24*AC60^2)+(Q60*AC60*E60/4))*20)</f>
        <v>0.545864960230673</v>
      </c>
      <c r="AP60" s="37" t="n">
        <f aca="false">F60*(1+(((2-3*R60^2)/24*AD60^2)+(R60*AD60*F60/4))*20)</f>
        <v>0.53750819452178</v>
      </c>
      <c r="AQ60" s="37" t="n">
        <f aca="false">G60*(1+(((2-3*S60^2)/24*AE60^2)+(S60*AE60*G60/4))*20)</f>
        <v>0.501163151152153</v>
      </c>
      <c r="AR60" s="37" t="n">
        <f aca="false">H60*(1+(((2-3*T60^2)/24*AF60^2)+(T60*AF60*H60/4))*20)</f>
        <v>0.477153677423001</v>
      </c>
      <c r="AS60" s="37" t="n">
        <f aca="false">I60*(1+(((2-3*U60^2)/24*AG60^2)+(U60*AG60*I60/4))*20)</f>
        <v>0.444092781321278</v>
      </c>
      <c r="AT60" s="37" t="n">
        <f aca="false">J60*(1+(((2-3*V60^2)/24*AH60^2)+(V60*AH60*J60/4))*20)</f>
        <v>0.433525674968532</v>
      </c>
      <c r="AU60" s="37" t="n">
        <f aca="false">K60*(1+(((2-3*W60^2)/24*AI60^2)+(W60*AI60*K60/4))*20)</f>
        <v>0.385649859958709</v>
      </c>
      <c r="AV60" s="37" t="n">
        <f aca="false">L60*(1+(((2-3*X60^2)/24*AJ60^2)+(X60*AJ60*L60/4))*20)</f>
        <v>0.372344904434538</v>
      </c>
    </row>
    <row r="61" customFormat="false" ht="15" hidden="false" customHeight="true" outlineLevel="0" collapsed="false">
      <c r="B61" s="35" t="s">
        <v>81</v>
      </c>
      <c r="C61" s="24" t="n">
        <f aca="false">SABR!C16+$C$10*SABR!C49</f>
        <v>0.4078384</v>
      </c>
      <c r="D61" s="24" t="n">
        <f aca="false">SABR!D16+$C$10*SABR!D49</f>
        <v>0.3858296</v>
      </c>
      <c r="E61" s="24" t="n">
        <f aca="false">SABR!E16+$C$10*SABR!E49</f>
        <v>0.3698008</v>
      </c>
      <c r="F61" s="24" t="n">
        <f aca="false">SABR!F16+$C$10*SABR!F49</f>
        <v>0.3569024</v>
      </c>
      <c r="G61" s="24" t="n">
        <f aca="false">SABR!G16+$C$10*SABR!G49</f>
        <v>0.342928</v>
      </c>
      <c r="H61" s="24" t="n">
        <f aca="false">SABR!H16+$C$10*SABR!H49</f>
        <v>0.3166488</v>
      </c>
      <c r="I61" s="24" t="n">
        <f aca="false">SABR!I16+$C$10*SABR!I49</f>
        <v>0.3031192</v>
      </c>
      <c r="J61" s="24" t="n">
        <f aca="false">SABR!J16+$C$10*SABR!J49</f>
        <v>0.28388</v>
      </c>
      <c r="K61" s="24" t="n">
        <f aca="false">SABR!K16+$C$10*SABR!K49</f>
        <v>0.26738</v>
      </c>
      <c r="L61" s="24" t="n">
        <f aca="false">SABR!L16+$C$10*SABR!L49</f>
        <v>0.25438</v>
      </c>
      <c r="N61" s="35" t="s">
        <v>81</v>
      </c>
      <c r="O61" s="24" t="n">
        <f aca="false">SABR!O16+$D$10*SABR!O49</f>
        <v>-0.176</v>
      </c>
      <c r="P61" s="24" t="n">
        <f aca="false">SABR!P16+$D$10*SABR!P49</f>
        <v>-0.1549</v>
      </c>
      <c r="Q61" s="24" t="n">
        <f aca="false">SABR!Q16+$D$10*SABR!Q49</f>
        <v>-0.1366</v>
      </c>
      <c r="R61" s="24" t="n">
        <f aca="false">SABR!R16+$D$10*SABR!R49</f>
        <v>-0.1078</v>
      </c>
      <c r="S61" s="24" t="n">
        <f aca="false">SABR!S16+$D$10*SABR!S49</f>
        <v>-0.0932</v>
      </c>
      <c r="T61" s="24" t="n">
        <f aca="false">SABR!T16+$D$10*SABR!T49</f>
        <v>-0.0702</v>
      </c>
      <c r="U61" s="24" t="n">
        <f aca="false">SABR!U16+$D$10*SABR!U49</f>
        <v>-0.0495</v>
      </c>
      <c r="V61" s="24" t="n">
        <f aca="false">SABR!V16+$D$10*SABR!V49</f>
        <v>-0.0437</v>
      </c>
      <c r="W61" s="24" t="n">
        <f aca="false">SABR!W16+$D$10*SABR!W49</f>
        <v>-0.0183</v>
      </c>
      <c r="X61" s="24" t="n">
        <f aca="false">SABR!X16+$D$10*SABR!X49</f>
        <v>0.0089</v>
      </c>
      <c r="Z61" s="35" t="s">
        <v>81</v>
      </c>
      <c r="AA61" s="24" t="n">
        <f aca="false">SABR!AA16+$E$10*SABR!AA49</f>
        <v>0.6568</v>
      </c>
      <c r="AB61" s="24" t="n">
        <f aca="false">SABR!AB16+$E$10*SABR!AB49</f>
        <v>0.6205</v>
      </c>
      <c r="AC61" s="24" t="n">
        <f aca="false">SABR!AC16+$E$10*SABR!AC49</f>
        <v>0.598</v>
      </c>
      <c r="AD61" s="24" t="n">
        <f aca="false">SABR!AD16+$E$10*SABR!AD49</f>
        <v>0.5822</v>
      </c>
      <c r="AE61" s="24" t="n">
        <f aca="false">SABR!AE16+$E$10*SABR!AE49</f>
        <v>0.5526</v>
      </c>
      <c r="AF61" s="24" t="n">
        <f aca="false">SABR!AF16+$E$10*SABR!AF49</f>
        <v>0.5337</v>
      </c>
      <c r="AG61" s="24" t="n">
        <f aca="false">SABR!AG16+$E$10*SABR!AG49</f>
        <v>0.5081</v>
      </c>
      <c r="AH61" s="24" t="n">
        <f aca="false">SABR!AH16+$E$10*SABR!AH49</f>
        <v>0.4978</v>
      </c>
      <c r="AI61" s="24" t="n">
        <f aca="false">SABR!AI16+$E$10*SABR!AI49</f>
        <v>0.4779</v>
      </c>
      <c r="AJ61" s="24" t="n">
        <f aca="false">SABR!AJ16+$E$10*SABR!AJ49</f>
        <v>0.4579</v>
      </c>
      <c r="AL61" s="35" t="s">
        <v>81</v>
      </c>
      <c r="AM61" s="37" t="n">
        <f aca="false">C61*(1+(((2-3*O61^2)/24*AA61^2)+(O61*AA61*C61/4))*30)</f>
        <v>0.683035382452125</v>
      </c>
      <c r="AN61" s="37" t="n">
        <f aca="false">D61*(1+(((2-3*P61^2)/24*AB61^2)+(P61*AB61*D61/4))*30)</f>
        <v>0.63653243686119</v>
      </c>
      <c r="AO61" s="37" t="n">
        <f aca="false">E61*(1+(((2-3*Q61^2)/24*AC61^2)+(Q61*AC61*E61/4))*30)</f>
        <v>0.607371343742237</v>
      </c>
      <c r="AP61" s="37" t="n">
        <f aca="false">F61*(1+(((2-3*R61^2)/24*AD61^2)+(R61*AD61*F61/4))*30)</f>
        <v>0.594108273306081</v>
      </c>
      <c r="AQ61" s="37" t="n">
        <f aca="false">G61*(1+(((2-3*S61^2)/24*AE61^2)+(S61*AE61*G61/4))*30)</f>
        <v>0.555889086097908</v>
      </c>
      <c r="AR61" s="37" t="n">
        <f aca="false">H61*(1+(((2-3*T61^2)/24*AF61^2)+(T61*AF61*H61/4))*30)</f>
        <v>0.512290041526047</v>
      </c>
      <c r="AS61" s="37" t="n">
        <f aca="false">I61*(1+(((2-3*U61^2)/24*AG61^2)+(U61*AG61*I61/4))*30)</f>
        <v>0.480705786856899</v>
      </c>
      <c r="AT61" s="37" t="n">
        <f aca="false">J61*(1+(((2-3*V61^2)/24*AH61^2)+(V61*AH61*J61/4))*30)</f>
        <v>0.446095090731788</v>
      </c>
      <c r="AU61" s="37" t="n">
        <f aca="false">K61*(1+(((2-3*W61^2)/24*AI61^2)+(W61*AI61*K61/4))*30)</f>
        <v>0.415280251670104</v>
      </c>
      <c r="AV61" s="37" t="n">
        <f aca="false">L61*(1+(((2-3*X61^2)/24*AJ61^2)+(X61*AJ61*L61/4))*30)</f>
        <v>0.389683151105567</v>
      </c>
    </row>
    <row r="63" customFormat="false" ht="15" hidden="false" customHeight="true" outlineLevel="0" collapsed="false">
      <c r="A63" s="28" t="s">
        <v>156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</row>
    <row r="64" customFormat="false" ht="15" hidden="false" customHeight="true" outlineLevel="0" collapsed="false">
      <c r="B64" s="28" t="s">
        <v>136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N64" s="28" t="s">
        <v>137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Z64" s="28" t="s">
        <v>138</v>
      </c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L64" s="34" t="s">
        <v>139</v>
      </c>
      <c r="AM64" s="34"/>
      <c r="AN64" s="34"/>
      <c r="AO64" s="34"/>
      <c r="AP64" s="34"/>
      <c r="AQ64" s="34"/>
      <c r="AR64" s="34"/>
      <c r="AS64" s="34"/>
      <c r="AT64" s="34"/>
      <c r="AU64" s="34"/>
      <c r="AV64" s="34"/>
    </row>
    <row r="65" customFormat="false" ht="15" hidden="false" customHeight="true" outlineLevel="0" collapsed="false">
      <c r="B65" s="18" t="s">
        <v>140</v>
      </c>
      <c r="C65" s="12" t="s">
        <v>141</v>
      </c>
      <c r="D65" s="12" t="s">
        <v>74</v>
      </c>
      <c r="E65" s="12" t="s">
        <v>75</v>
      </c>
      <c r="F65" s="12" t="s">
        <v>30</v>
      </c>
      <c r="G65" s="12" t="s">
        <v>76</v>
      </c>
      <c r="H65" s="12" t="s">
        <v>77</v>
      </c>
      <c r="I65" s="12" t="s">
        <v>78</v>
      </c>
      <c r="J65" s="12" t="s">
        <v>79</v>
      </c>
      <c r="K65" s="12" t="s">
        <v>80</v>
      </c>
      <c r="L65" s="12" t="s">
        <v>81</v>
      </c>
      <c r="N65" s="18" t="s">
        <v>140</v>
      </c>
      <c r="O65" s="12" t="s">
        <v>141</v>
      </c>
      <c r="P65" s="12" t="s">
        <v>74</v>
      </c>
      <c r="Q65" s="12" t="s">
        <v>75</v>
      </c>
      <c r="R65" s="12" t="s">
        <v>30</v>
      </c>
      <c r="S65" s="12" t="s">
        <v>76</v>
      </c>
      <c r="T65" s="12" t="s">
        <v>77</v>
      </c>
      <c r="U65" s="12" t="s">
        <v>78</v>
      </c>
      <c r="V65" s="12" t="s">
        <v>79</v>
      </c>
      <c r="W65" s="12" t="s">
        <v>80</v>
      </c>
      <c r="X65" s="12" t="s">
        <v>81</v>
      </c>
      <c r="Z65" s="18" t="s">
        <v>140</v>
      </c>
      <c r="AA65" s="12" t="s">
        <v>141</v>
      </c>
      <c r="AB65" s="12" t="s">
        <v>74</v>
      </c>
      <c r="AC65" s="12" t="s">
        <v>75</v>
      </c>
      <c r="AD65" s="12" t="s">
        <v>30</v>
      </c>
      <c r="AE65" s="12" t="s">
        <v>76</v>
      </c>
      <c r="AF65" s="12" t="s">
        <v>77</v>
      </c>
      <c r="AG65" s="12" t="s">
        <v>78</v>
      </c>
      <c r="AH65" s="12" t="s">
        <v>79</v>
      </c>
      <c r="AI65" s="12" t="s">
        <v>80</v>
      </c>
      <c r="AJ65" s="12" t="s">
        <v>81</v>
      </c>
      <c r="AL65" s="18" t="s">
        <v>140</v>
      </c>
      <c r="AM65" s="12" t="s">
        <v>141</v>
      </c>
      <c r="AN65" s="12" t="s">
        <v>74</v>
      </c>
      <c r="AO65" s="12" t="s">
        <v>75</v>
      </c>
      <c r="AP65" s="12" t="s">
        <v>30</v>
      </c>
      <c r="AQ65" s="12" t="s">
        <v>76</v>
      </c>
      <c r="AR65" s="12" t="s">
        <v>77</v>
      </c>
      <c r="AS65" s="12" t="s">
        <v>78</v>
      </c>
      <c r="AT65" s="12" t="s">
        <v>79</v>
      </c>
      <c r="AU65" s="12" t="s">
        <v>80</v>
      </c>
      <c r="AV65" s="12" t="s">
        <v>81</v>
      </c>
    </row>
    <row r="66" customFormat="false" ht="15" hidden="false" customHeight="true" outlineLevel="0" collapsed="false">
      <c r="B66" s="35" t="s">
        <v>141</v>
      </c>
      <c r="C66" s="24" t="n">
        <f aca="false">SABR!C7+$C$11*SABR!C40</f>
        <v>0.5549853</v>
      </c>
      <c r="D66" s="24" t="n">
        <f aca="false">SABR!D7+$C$11*SABR!D40</f>
        <v>0.5344454</v>
      </c>
      <c r="E66" s="24" t="n">
        <f aca="false">SABR!E7+$C$11*SABR!E40</f>
        <v>0.527226</v>
      </c>
      <c r="F66" s="24" t="n">
        <f aca="false">SABR!F7+$C$11*SABR!F40</f>
        <v>0.498502</v>
      </c>
      <c r="G66" s="24" t="n">
        <f aca="false">SABR!G7+$C$11*SABR!G40</f>
        <v>0.4906561</v>
      </c>
      <c r="H66" s="24" t="n">
        <f aca="false">SABR!H7+$C$11*SABR!H40</f>
        <v>0.4700261</v>
      </c>
      <c r="I66" s="24" t="n">
        <f aca="false">SABR!I7+$C$11*SABR!I40</f>
        <v>0.446977</v>
      </c>
      <c r="J66" s="24" t="n">
        <f aca="false">SABR!J7+$C$11*SABR!J40</f>
        <v>0.4388</v>
      </c>
      <c r="K66" s="24" t="n">
        <f aca="false">SABR!K7+$C$11*SABR!K40</f>
        <v>0.41217</v>
      </c>
      <c r="L66" s="24" t="n">
        <f aca="false">SABR!L7+$C$11*SABR!L40</f>
        <v>0.4029506</v>
      </c>
      <c r="N66" s="35" t="s">
        <v>141</v>
      </c>
      <c r="O66" s="24" t="n">
        <f aca="false">SABR!O7+$D$11*SABR!O40</f>
        <v>-0.3586</v>
      </c>
      <c r="P66" s="24" t="n">
        <f aca="false">SABR!P7+$D$11*SABR!P40</f>
        <v>-0.3387</v>
      </c>
      <c r="Q66" s="24" t="n">
        <f aca="false">SABR!Q7+$D$11*SABR!Q40</f>
        <v>-0.3126</v>
      </c>
      <c r="R66" s="24" t="n">
        <f aca="false">SABR!R7+$D$11*SABR!R40</f>
        <v>-0.2851</v>
      </c>
      <c r="S66" s="24" t="n">
        <f aca="false">SABR!S7+$D$11*SABR!S40</f>
        <v>-0.2797</v>
      </c>
      <c r="T66" s="24" t="n">
        <f aca="false">SABR!T7+$D$11*SABR!T40</f>
        <v>-0.2583</v>
      </c>
      <c r="U66" s="24" t="n">
        <f aca="false">SABR!U7+$D$11*SABR!U40</f>
        <v>-0.2308</v>
      </c>
      <c r="V66" s="24" t="n">
        <f aca="false">SABR!V7+$D$11*SABR!V40</f>
        <v>-0.2049</v>
      </c>
      <c r="W66" s="24" t="n">
        <f aca="false">SABR!W7+$D$11*SABR!W40</f>
        <v>-0.1929</v>
      </c>
      <c r="X66" s="24" t="n">
        <f aca="false">SABR!X7+$D$11*SABR!X40</f>
        <v>-0.1771</v>
      </c>
      <c r="Z66" s="35" t="s">
        <v>141</v>
      </c>
      <c r="AA66" s="24" t="n">
        <f aca="false">SABR!AA7+$E$11*SABR!AA40</f>
        <v>0.8595</v>
      </c>
      <c r="AB66" s="24" t="n">
        <f aca="false">SABR!AB7+$E$11*SABR!AB40</f>
        <v>0.8187</v>
      </c>
      <c r="AC66" s="24" t="n">
        <f aca="false">SABR!AC7+$E$11*SABR!AC40</f>
        <v>0.8127</v>
      </c>
      <c r="AD66" s="24" t="n">
        <f aca="false">SABR!AD7+$E$11*SABR!AD40</f>
        <v>0.7791</v>
      </c>
      <c r="AE66" s="24" t="n">
        <f aca="false">SABR!AE7+$E$11*SABR!AE40</f>
        <v>0.754</v>
      </c>
      <c r="AF66" s="24" t="n">
        <f aca="false">SABR!AF7+$E$11*SABR!AF40</f>
        <v>0.7312</v>
      </c>
      <c r="AG66" s="24" t="n">
        <f aca="false">SABR!AG7+$E$11*SABR!AG40</f>
        <v>0.7128</v>
      </c>
      <c r="AH66" s="24" t="n">
        <f aca="false">SABR!AH7+$E$11*SABR!AH40</f>
        <v>0.7008</v>
      </c>
      <c r="AI66" s="24" t="n">
        <f aca="false">SABR!AI7+$E$11*SABR!AI40</f>
        <v>0.6658</v>
      </c>
      <c r="AJ66" s="24" t="n">
        <f aca="false">SABR!AJ7+$E$11*SABR!AJ40</f>
        <v>0.6516</v>
      </c>
      <c r="AL66" s="35" t="s">
        <v>141</v>
      </c>
      <c r="AM66" s="37" t="n">
        <f aca="false">C66*(1+(((2-3*O66^2)/24*AA66^2)+(O66*AA66*C66/4))*0.0833333333333333)</f>
        <v>0.555305483104445</v>
      </c>
      <c r="AN66" s="37" t="n">
        <f aca="false">D66*(1+(((2-3*P66^2)/24*AB66^2)+(P66*AB66*D66/4))*0.0833333333333333)</f>
        <v>0.534854907627568</v>
      </c>
      <c r="AO66" s="37" t="n">
        <f aca="false">E66*(1+(((2-3*Q66^2)/24*AC66^2)+(Q66*AC66*E66/4))*0.0833333333333333)</f>
        <v>0.527818557515411</v>
      </c>
      <c r="AP66" s="37" t="n">
        <f aca="false">F66*(1+(((2-3*R66^2)/24*AD66^2)+(R66*AD66*F66/4))*0.0833333333333333)</f>
        <v>0.499197154210374</v>
      </c>
      <c r="AQ66" s="37" t="n">
        <f aca="false">G66*(1+(((2-3*S66^2)/24*AE66^2)+(S66*AE66*G66/4))*0.0833333333333333)</f>
        <v>0.491308170778854</v>
      </c>
      <c r="AR66" s="37" t="n">
        <f aca="false">H66*(1+(((2-3*T66^2)/24*AF66^2)+(T66*AF66*H66/4))*0.0833333333333333)</f>
        <v>0.470727307757977</v>
      </c>
      <c r="AS66" s="37" t="n">
        <f aca="false">I66*(1+(((2-3*U66^2)/24*AG66^2)+(U66*AG66*I66/4))*0.0833333333333333)</f>
        <v>0.44774333024923</v>
      </c>
      <c r="AT66" s="37" t="n">
        <f aca="false">J66*(1+(((2-3*V66^2)/24*AH66^2)+(V66*AH66*J66/4))*0.0833333333333333)</f>
        <v>0.4396262993524</v>
      </c>
      <c r="AU66" s="37" t="n">
        <f aca="false">K66*(1+(((2-3*W66^2)/24*AI66^2)+(W66*AI66*K66/4))*0.0833333333333333)</f>
        <v>0.412913447887503</v>
      </c>
      <c r="AV66" s="37" t="n">
        <f aca="false">L66*(1+(((2-3*X66^2)/24*AJ66^2)+(X66*AJ66*L66/4))*0.0833333333333333)</f>
        <v>0.403692442891064</v>
      </c>
    </row>
    <row r="67" customFormat="false" ht="15" hidden="false" customHeight="true" outlineLevel="0" collapsed="false">
      <c r="B67" s="35" t="s">
        <v>74</v>
      </c>
      <c r="C67" s="24" t="n">
        <f aca="false">SABR!C8+$C$11*SABR!C41</f>
        <v>0.5440447</v>
      </c>
      <c r="D67" s="24" t="n">
        <f aca="false">SABR!D8+$C$11*SABR!D41</f>
        <v>0.5215412</v>
      </c>
      <c r="E67" s="24" t="n">
        <f aca="false">SABR!E8+$C$11*SABR!E41</f>
        <v>0.5079801</v>
      </c>
      <c r="F67" s="24" t="n">
        <f aca="false">SABR!F8+$C$11*SABR!F41</f>
        <v>0.4810342</v>
      </c>
      <c r="G67" s="24" t="n">
        <f aca="false">SABR!G8+$C$11*SABR!G41</f>
        <v>0.4640798</v>
      </c>
      <c r="H67" s="24" t="n">
        <f aca="false">SABR!H8+$C$11*SABR!H41</f>
        <v>0.4496862</v>
      </c>
      <c r="I67" s="24" t="n">
        <f aca="false">SABR!I8+$C$11*SABR!I41</f>
        <v>0.4421523</v>
      </c>
      <c r="J67" s="24" t="n">
        <f aca="false">SABR!J8+$C$11*SABR!J41</f>
        <v>0.4198269</v>
      </c>
      <c r="K67" s="24" t="n">
        <f aca="false">SABR!K8+$C$11*SABR!K41</f>
        <v>0.4006301</v>
      </c>
      <c r="L67" s="24" t="n">
        <f aca="false">SABR!L8+$C$11*SABR!L41</f>
        <v>0.3888213</v>
      </c>
      <c r="N67" s="35" t="s">
        <v>74</v>
      </c>
      <c r="O67" s="24" t="n">
        <f aca="false">SABR!O8+$D$11*SABR!O41</f>
        <v>-0.3315</v>
      </c>
      <c r="P67" s="24" t="n">
        <f aca="false">SABR!P8+$D$11*SABR!P41</f>
        <v>-0.3151</v>
      </c>
      <c r="Q67" s="24" t="n">
        <f aca="false">SABR!Q8+$D$11*SABR!Q41</f>
        <v>-0.2858</v>
      </c>
      <c r="R67" s="24" t="n">
        <f aca="false">SABR!R8+$D$11*SABR!R41</f>
        <v>-0.2682</v>
      </c>
      <c r="S67" s="24" t="n">
        <f aca="false">SABR!S8+$D$11*SABR!S41</f>
        <v>-0.2579</v>
      </c>
      <c r="T67" s="24" t="n">
        <f aca="false">SABR!T8+$D$11*SABR!T41</f>
        <v>-0.2318</v>
      </c>
      <c r="U67" s="24" t="n">
        <f aca="false">SABR!U8+$D$11*SABR!U41</f>
        <v>-0.2134</v>
      </c>
      <c r="V67" s="24" t="n">
        <f aca="false">SABR!V8+$D$11*SABR!V41</f>
        <v>-0.1869</v>
      </c>
      <c r="W67" s="24" t="n">
        <f aca="false">SABR!W8+$D$11*SABR!W41</f>
        <v>-0.1704</v>
      </c>
      <c r="X67" s="24" t="n">
        <f aca="false">SABR!X8+$D$11*SABR!X41</f>
        <v>-0.1598</v>
      </c>
      <c r="Z67" s="35" t="s">
        <v>74</v>
      </c>
      <c r="AA67" s="24" t="n">
        <f aca="false">SABR!AA8+$E$11*SABR!AA41</f>
        <v>0.8374</v>
      </c>
      <c r="AB67" s="24" t="n">
        <f aca="false">SABR!AB8+$E$11*SABR!AB41</f>
        <v>0.7979</v>
      </c>
      <c r="AC67" s="24" t="n">
        <f aca="false">SABR!AC8+$E$11*SABR!AC41</f>
        <v>0.7817</v>
      </c>
      <c r="AD67" s="24" t="n">
        <f aca="false">SABR!AD8+$E$11*SABR!AD41</f>
        <v>0.7663</v>
      </c>
      <c r="AE67" s="24" t="n">
        <f aca="false">SABR!AE8+$E$11*SABR!AE41</f>
        <v>0.7319</v>
      </c>
      <c r="AF67" s="24" t="n">
        <f aca="false">SABR!AF8+$E$11*SABR!AF41</f>
        <v>0.7164</v>
      </c>
      <c r="AG67" s="24" t="n">
        <f aca="false">SABR!AG8+$E$11*SABR!AG41</f>
        <v>0.6852</v>
      </c>
      <c r="AH67" s="24" t="n">
        <f aca="false">SABR!AH8+$E$11*SABR!AH41</f>
        <v>0.6756</v>
      </c>
      <c r="AI67" s="24" t="n">
        <f aca="false">SABR!AI8+$E$11*SABR!AI41</f>
        <v>0.6553</v>
      </c>
      <c r="AJ67" s="24" t="n">
        <f aca="false">SABR!AJ8+$E$11*SABR!AJ41</f>
        <v>0.6292</v>
      </c>
      <c r="AL67" s="35" t="s">
        <v>74</v>
      </c>
      <c r="AM67" s="37" t="n">
        <f aca="false">C67*(1+(((2-3*O67^2)/24*AA67^2)+(O67*AA67*C67/4))*0.25)</f>
        <v>0.545547287731203</v>
      </c>
      <c r="AN67" s="37" t="n">
        <f aca="false">D67*(1+(((2-3*P67^2)/24*AB67^2)+(P67*AB67*D67/4))*0.25)</f>
        <v>0.523154203991024</v>
      </c>
      <c r="AO67" s="37" t="n">
        <f aca="false">E67*(1+(((2-3*Q67^2)/24*AC67^2)+(Q67*AC67*E67/4))*0.25)</f>
        <v>0.510051427513034</v>
      </c>
      <c r="AP67" s="37" t="n">
        <f aca="false">F67*(1+(((2-3*R67^2)/24*AD67^2)+(R67*AD67*F67/4))*0.25)</f>
        <v>0.483311777871054</v>
      </c>
      <c r="AQ67" s="37" t="n">
        <f aca="false">G67*(1+(((2-3*S67^2)/24*AE67^2)+(S67*AE67*G67/4))*0.25)</f>
        <v>0.466201407037773</v>
      </c>
      <c r="AR67" s="37" t="n">
        <f aca="false">H67*(1+(((2-3*T67^2)/24*AF67^2)+(T67*AF67*H67/4))*0.25)</f>
        <v>0.452008057221198</v>
      </c>
      <c r="AS67" s="37" t="n">
        <f aca="false">I67*(1+(((2-3*U67^2)/24*AG67^2)+(U67*AG67*I67/4))*0.25)</f>
        <v>0.444395035689055</v>
      </c>
      <c r="AT67" s="37" t="n">
        <f aca="false">J67*(1+(((2-3*V67^2)/24*AH67^2)+(V67*AH67*J67/4))*0.25)</f>
        <v>0.422218908828067</v>
      </c>
      <c r="AU67" s="37" t="n">
        <f aca="false">K67*(1+(((2-3*W67^2)/24*AI67^2)+(W67*AI67*K67/4))*0.25)</f>
        <v>0.402937965502808</v>
      </c>
      <c r="AV67" s="37" t="n">
        <f aca="false">L67*(1+(((2-3*X67^2)/24*AJ67^2)+(X67*AJ67*L67/4))*0.25)</f>
        <v>0.390955320420651</v>
      </c>
    </row>
    <row r="68" customFormat="false" ht="15" hidden="false" customHeight="true" outlineLevel="0" collapsed="false">
      <c r="B68" s="35" t="s">
        <v>75</v>
      </c>
      <c r="C68" s="24" t="n">
        <f aca="false">SABR!C9+$C$11*SABR!C42</f>
        <v>0.531567</v>
      </c>
      <c r="D68" s="24" t="n">
        <f aca="false">SABR!D9+$C$11*SABR!D42</f>
        <v>0.5032589</v>
      </c>
      <c r="E68" s="24" t="n">
        <f aca="false">SABR!E9+$C$11*SABR!E42</f>
        <v>0.4939045</v>
      </c>
      <c r="F68" s="24" t="n">
        <f aca="false">SABR!F9+$C$11*SABR!F42</f>
        <v>0.4746844</v>
      </c>
      <c r="G68" s="24" t="n">
        <f aca="false">SABR!G9+$C$11*SABR!G42</f>
        <v>0.4573717</v>
      </c>
      <c r="H68" s="24" t="n">
        <f aca="false">SABR!H9+$C$11*SABR!H42</f>
        <v>0.4376092</v>
      </c>
      <c r="I68" s="24" t="n">
        <f aca="false">SABR!I9+$C$11*SABR!I42</f>
        <v>0.4280262</v>
      </c>
      <c r="J68" s="24" t="n">
        <f aca="false">SABR!J9+$C$11*SABR!J42</f>
        <v>0.4131294</v>
      </c>
      <c r="K68" s="24" t="n">
        <f aca="false">SABR!K9+$C$11*SABR!K42</f>
        <v>0.3866001</v>
      </c>
      <c r="L68" s="24" t="n">
        <f aca="false">SABR!L9+$C$11*SABR!L42</f>
        <v>0.3730588</v>
      </c>
      <c r="N68" s="35" t="s">
        <v>75</v>
      </c>
      <c r="O68" s="24" t="n">
        <f aca="false">SABR!O9+$D$11*SABR!O42</f>
        <v>-0.3199</v>
      </c>
      <c r="P68" s="24" t="n">
        <f aca="false">SABR!P9+$D$11*SABR!P42</f>
        <v>-0.2876</v>
      </c>
      <c r="Q68" s="24" t="n">
        <f aca="false">SABR!Q9+$D$11*SABR!Q42</f>
        <v>-0.2693</v>
      </c>
      <c r="R68" s="24" t="n">
        <f aca="false">SABR!R9+$D$11*SABR!R42</f>
        <v>-0.2429</v>
      </c>
      <c r="S68" s="24" t="n">
        <f aca="false">SABR!S9+$D$11*SABR!S42</f>
        <v>-0.2269</v>
      </c>
      <c r="T68" s="24" t="n">
        <f aca="false">SABR!T9+$D$11*SABR!T42</f>
        <v>-0.2182</v>
      </c>
      <c r="U68" s="24" t="n">
        <f aca="false">SABR!U9+$D$11*SABR!U42</f>
        <v>-0.1967</v>
      </c>
      <c r="V68" s="24" t="n">
        <f aca="false">SABR!V9+$D$11*SABR!V42</f>
        <v>-0.1716</v>
      </c>
      <c r="W68" s="24" t="n">
        <f aca="false">SABR!W9+$D$11*SABR!W42</f>
        <v>-0.1651</v>
      </c>
      <c r="X68" s="24" t="n">
        <f aca="false">SABR!X9+$D$11*SABR!X42</f>
        <v>-0.1369</v>
      </c>
      <c r="Z68" s="35" t="s">
        <v>75</v>
      </c>
      <c r="AA68" s="24" t="n">
        <f aca="false">SABR!AA9+$E$11*SABR!AA42</f>
        <v>0.7989</v>
      </c>
      <c r="AB68" s="24" t="n">
        <f aca="false">SABR!AB9+$E$11*SABR!AB42</f>
        <v>0.7757</v>
      </c>
      <c r="AC68" s="24" t="n">
        <f aca="false">SABR!AC9+$E$11*SABR!AC42</f>
        <v>0.7523</v>
      </c>
      <c r="AD68" s="24" t="n">
        <f aca="false">SABR!AD9+$E$11*SABR!AD42</f>
        <v>0.7443</v>
      </c>
      <c r="AE68" s="24" t="n">
        <f aca="false">SABR!AE9+$E$11*SABR!AE42</f>
        <v>0.7093</v>
      </c>
      <c r="AF68" s="24" t="n">
        <f aca="false">SABR!AF9+$E$11*SABR!AF42</f>
        <v>0.6894</v>
      </c>
      <c r="AG68" s="24" t="n">
        <f aca="false">SABR!AG9+$E$11*SABR!AG42</f>
        <v>0.67</v>
      </c>
      <c r="AH68" s="24" t="n">
        <f aca="false">SABR!AH9+$E$11*SABR!AH42</f>
        <v>0.6574</v>
      </c>
      <c r="AI68" s="24" t="n">
        <f aca="false">SABR!AI9+$E$11*SABR!AI42</f>
        <v>0.6194</v>
      </c>
      <c r="AJ68" s="24" t="n">
        <f aca="false">SABR!AJ9+$E$11*SABR!AJ42</f>
        <v>0.6045</v>
      </c>
      <c r="AL68" s="35" t="s">
        <v>75</v>
      </c>
      <c r="AM68" s="37" t="n">
        <f aca="false">C68*(1+(((2-3*O68^2)/24*AA68^2)+(O68*AA68*C68/4))*0.5)</f>
        <v>0.534506430428669</v>
      </c>
      <c r="AN68" s="37" t="n">
        <f aca="false">D68*(1+(((2-3*P68^2)/24*AB68^2)+(P68*AB68*D68/4))*0.5)</f>
        <v>0.507248019572594</v>
      </c>
      <c r="AO68" s="37" t="n">
        <f aca="false">E68*(1+(((2-3*Q68^2)/24*AC68^2)+(Q68*AC68*E68/4))*0.5)</f>
        <v>0.498106839456069</v>
      </c>
      <c r="AP68" s="37" t="n">
        <f aca="false">F68*(1+(((2-3*R68^2)/24*AD68^2)+(R68*AD68*F68/4))*0.5)</f>
        <v>0.479579572028516</v>
      </c>
      <c r="AQ68" s="37" t="n">
        <f aca="false">G68*(1+(((2-3*S68^2)/24*AE68^2)+(S68*AE68*G68/4))*0.5)</f>
        <v>0.462010696234731</v>
      </c>
      <c r="AR68" s="37" t="n">
        <f aca="false">H68*(1+(((2-3*T68^2)/24*AF68^2)+(T68*AF68*H68/4))*0.5)</f>
        <v>0.442055402062678</v>
      </c>
      <c r="AS68" s="37" t="n">
        <f aca="false">I68*(1+(((2-3*U68^2)/24*AG68^2)+(U68*AG68*I68/4))*0.5)</f>
        <v>0.432549367842315</v>
      </c>
      <c r="AT68" s="37" t="n">
        <f aca="false">J68*(1+(((2-3*V68^2)/24*AH68^2)+(V68*AH68*J68/4))*0.5)</f>
        <v>0.417833402987306</v>
      </c>
      <c r="AU68" s="37" t="n">
        <f aca="false">K68*(1+(((2-3*W68^2)/24*AI68^2)+(W68*AI68*K68/4))*0.5)</f>
        <v>0.390616958933847</v>
      </c>
      <c r="AV68" s="37" t="n">
        <f aca="false">L68*(1+(((2-3*X68^2)/24*AJ68^2)+(X68*AJ68*L68/4))*0.5)</f>
        <v>0.377139578080513</v>
      </c>
    </row>
    <row r="69" customFormat="false" ht="15" hidden="false" customHeight="true" outlineLevel="0" collapsed="false">
      <c r="B69" s="35" t="s">
        <v>30</v>
      </c>
      <c r="C69" s="24" t="n">
        <f aca="false">SABR!C10+$C$11*SABR!C43</f>
        <v>0.5079165</v>
      </c>
      <c r="D69" s="24" t="n">
        <f aca="false">SABR!D10+$C$11*SABR!D43</f>
        <v>0.497519</v>
      </c>
      <c r="E69" s="24" t="n">
        <f aca="false">SABR!E10+$C$11*SABR!E43</f>
        <v>0.4793434</v>
      </c>
      <c r="F69" s="24" t="n">
        <f aca="false">SABR!F10+$C$11*SABR!F43</f>
        <v>0.4629975</v>
      </c>
      <c r="G69" s="24" t="n">
        <f aca="false">SABR!G10+$C$11*SABR!G43</f>
        <v>0.4339191</v>
      </c>
      <c r="H69" s="24" t="n">
        <f aca="false">SABR!H10+$C$11*SABR!H43</f>
        <v>0.4195845</v>
      </c>
      <c r="I69" s="24" t="n">
        <f aca="false">SABR!I10+$C$11*SABR!I43</f>
        <v>0.4012598</v>
      </c>
      <c r="J69" s="24" t="n">
        <f aca="false">SABR!J10+$C$11*SABR!J43</f>
        <v>0.3945722</v>
      </c>
      <c r="K69" s="24" t="n">
        <f aca="false">SABR!K10+$C$11*SABR!K43</f>
        <v>0.3791284</v>
      </c>
      <c r="L69" s="24" t="n">
        <f aca="false">SABR!L10+$C$11*SABR!L43</f>
        <v>0.3456553</v>
      </c>
      <c r="N69" s="35" t="s">
        <v>30</v>
      </c>
      <c r="O69" s="24" t="n">
        <f aca="false">SABR!O10+$D$11*SABR!O43</f>
        <v>-0.2981</v>
      </c>
      <c r="P69" s="24" t="n">
        <f aca="false">SABR!P10+$D$11*SABR!P43</f>
        <v>-0.2776</v>
      </c>
      <c r="Q69" s="24" t="n">
        <f aca="false">SABR!Q10+$D$11*SABR!Q43</f>
        <v>-0.2581</v>
      </c>
      <c r="R69" s="24" t="n">
        <f aca="false">SABR!R10+$D$11*SABR!R43</f>
        <v>-0.2336</v>
      </c>
      <c r="S69" s="24" t="n">
        <f aca="false">SABR!S10+$D$11*SABR!S43</f>
        <v>-0.2121</v>
      </c>
      <c r="T69" s="24" t="n">
        <f aca="false">SABR!T10+$D$11*SABR!T43</f>
        <v>-0.1992</v>
      </c>
      <c r="U69" s="24" t="n">
        <f aca="false">SABR!U10+$D$11*SABR!U43</f>
        <v>-0.1849</v>
      </c>
      <c r="V69" s="24" t="n">
        <f aca="false">SABR!V10+$D$11*SABR!V43</f>
        <v>-0.1572</v>
      </c>
      <c r="W69" s="24" t="n">
        <f aca="false">SABR!W10+$D$11*SABR!W43</f>
        <v>-0.1387</v>
      </c>
      <c r="X69" s="24" t="n">
        <f aca="false">SABR!X10+$D$11*SABR!X43</f>
        <v>-0.1153</v>
      </c>
      <c r="Z69" s="35" t="s">
        <v>30</v>
      </c>
      <c r="AA69" s="24" t="n">
        <f aca="false">SABR!AA10+$E$11*SABR!AA43</f>
        <v>0.7924</v>
      </c>
      <c r="AB69" s="24" t="n">
        <f aca="false">SABR!AB10+$E$11*SABR!AB43</f>
        <v>0.7649</v>
      </c>
      <c r="AC69" s="24" t="n">
        <f aca="false">SABR!AC10+$E$11*SABR!AC43</f>
        <v>0.7392</v>
      </c>
      <c r="AD69" s="24" t="n">
        <f aca="false">SABR!AD10+$E$11*SABR!AD43</f>
        <v>0.719</v>
      </c>
      <c r="AE69" s="24" t="n">
        <f aca="false">SABR!AE10+$E$11*SABR!AE43</f>
        <v>0.698</v>
      </c>
      <c r="AF69" s="24" t="n">
        <f aca="false">SABR!AF10+$E$11*SABR!AF43</f>
        <v>0.6633</v>
      </c>
      <c r="AG69" s="24" t="n">
        <f aca="false">SABR!AG10+$E$11*SABR!AG43</f>
        <v>0.658</v>
      </c>
      <c r="AH69" s="24" t="n">
        <f aca="false">SABR!AH10+$E$11*SABR!AH43</f>
        <v>0.6334</v>
      </c>
      <c r="AI69" s="24" t="n">
        <f aca="false">SABR!AI10+$E$11*SABR!AI43</f>
        <v>0.613</v>
      </c>
      <c r="AJ69" s="24" t="n">
        <f aca="false">SABR!AJ10+$E$11*SABR!AJ43</f>
        <v>0.5893</v>
      </c>
      <c r="AL69" s="35" t="s">
        <v>30</v>
      </c>
      <c r="AM69" s="37" t="n">
        <f aca="false">C69*(1+(((2-3*O69^2)/24*AA69^2)+(O69*AA69*C69/4))*1)</f>
        <v>0.515715990968923</v>
      </c>
      <c r="AN69" s="37" t="n">
        <f aca="false">D69*(1+(((2-3*P69^2)/24*AB69^2)+(P69*AB69*D69/4))*1)</f>
        <v>0.505832461660091</v>
      </c>
      <c r="AO69" s="37" t="n">
        <f aca="false">E69*(1+(((2-3*Q69^2)/24*AC69^2)+(Q69*AC69*E69/4))*1)</f>
        <v>0.488029845700855</v>
      </c>
      <c r="AP69" s="37" t="n">
        <f aca="false">F69*(1+(((2-3*R69^2)/24*AD69^2)+(R69*AD69*F69/4))*1)</f>
        <v>0.472309653195463</v>
      </c>
      <c r="AQ69" s="37" t="n">
        <f aca="false">G69*(1+(((2-3*S69^2)/24*AE69^2)+(S69*AE69*G69/4))*1)</f>
        <v>0.443378824240817</v>
      </c>
      <c r="AR69" s="37" t="n">
        <f aca="false">H69*(1+(((2-3*T69^2)/24*AF69^2)+(T69*AF69*H69/4))*1)</f>
        <v>0.428237078690482</v>
      </c>
      <c r="AS69" s="37" t="n">
        <f aca="false">I69*(1+(((2-3*U69^2)/24*AG69^2)+(U69*AG69*I69/4))*1)</f>
        <v>0.410097676701249</v>
      </c>
      <c r="AT69" s="37" t="n">
        <f aca="false">J69*(1+(((2-3*V69^2)/24*AH69^2)+(V69*AH69*J69/4))*1)</f>
        <v>0.403399467630506</v>
      </c>
      <c r="AU69" s="37" t="n">
        <f aca="false">K69*(1+(((2-3*W69^2)/24*AI69^2)+(W69*AI69*K69/4))*1)</f>
        <v>0.387602601953168</v>
      </c>
      <c r="AV69" s="37" t="n">
        <f aca="false">L69*(1+(((2-3*X69^2)/24*AJ69^2)+(X69*AJ69*L69/4))*1)</f>
        <v>0.353429417704235</v>
      </c>
    </row>
    <row r="70" customFormat="false" ht="15" hidden="false" customHeight="true" outlineLevel="0" collapsed="false">
      <c r="B70" s="35" t="s">
        <v>76</v>
      </c>
      <c r="C70" s="24" t="n">
        <f aca="false">SABR!C11+$C$11*SABR!C44</f>
        <v>0.4877932</v>
      </c>
      <c r="D70" s="24" t="n">
        <f aca="false">SABR!D11+$C$11*SABR!D44</f>
        <v>0.4706791</v>
      </c>
      <c r="E70" s="24" t="n">
        <f aca="false">SABR!E11+$C$11*SABR!E44</f>
        <v>0.4476173</v>
      </c>
      <c r="F70" s="24" t="n">
        <f aca="false">SABR!F11+$C$11*SABR!F44</f>
        <v>0.4412152</v>
      </c>
      <c r="G70" s="24" t="n">
        <f aca="false">SABR!G11+$C$11*SABR!G44</f>
        <v>0.4124474</v>
      </c>
      <c r="H70" s="24" t="n">
        <f aca="false">SABR!H11+$C$11*SABR!H44</f>
        <v>0.3955347</v>
      </c>
      <c r="I70" s="24" t="n">
        <f aca="false">SABR!I11+$C$11*SABR!I44</f>
        <v>0.3810881</v>
      </c>
      <c r="J70" s="24" t="n">
        <f aca="false">SABR!J11+$C$11*SABR!J44</f>
        <v>0.3631065</v>
      </c>
      <c r="K70" s="24" t="n">
        <f aca="false">SABR!K11+$C$11*SABR!K44</f>
        <v>0.3494659</v>
      </c>
      <c r="L70" s="24" t="n">
        <f aca="false">SABR!L11+$C$11*SABR!L44</f>
        <v>0.3266048</v>
      </c>
      <c r="N70" s="35" t="s">
        <v>76</v>
      </c>
      <c r="O70" s="24" t="n">
        <f aca="false">SABR!O11+$D$11*SABR!O44</f>
        <v>-0.2822</v>
      </c>
      <c r="P70" s="24" t="n">
        <f aca="false">SABR!P11+$D$11*SABR!P44</f>
        <v>-0.2598</v>
      </c>
      <c r="Q70" s="24" t="n">
        <f aca="false">SABR!Q11+$D$11*SABR!Q44</f>
        <v>-0.2413</v>
      </c>
      <c r="R70" s="24" t="n">
        <f aca="false">SABR!R11+$D$11*SABR!R44</f>
        <v>-0.2166</v>
      </c>
      <c r="S70" s="24" t="n">
        <f aca="false">SABR!S11+$D$11*SABR!S44</f>
        <v>-0.2039</v>
      </c>
      <c r="T70" s="24" t="n">
        <f aca="false">SABR!T11+$D$11*SABR!T44</f>
        <v>-0.1675</v>
      </c>
      <c r="U70" s="24" t="n">
        <f aca="false">SABR!U11+$D$11*SABR!U44</f>
        <v>-0.1533</v>
      </c>
      <c r="V70" s="24" t="n">
        <f aca="false">SABR!V11+$D$11*SABR!V44</f>
        <v>-0.1431</v>
      </c>
      <c r="W70" s="24" t="n">
        <f aca="false">SABR!W11+$D$11*SABR!W44</f>
        <v>-0.1216</v>
      </c>
      <c r="X70" s="24" t="n">
        <f aca="false">SABR!X11+$D$11*SABR!X44</f>
        <v>-0.1003</v>
      </c>
      <c r="Z70" s="35" t="s">
        <v>76</v>
      </c>
      <c r="AA70" s="24" t="n">
        <f aca="false">SABR!AA11+$E$11*SABR!AA44</f>
        <v>0.7584</v>
      </c>
      <c r="AB70" s="24" t="n">
        <f aca="false">SABR!AB11+$E$11*SABR!AB44</f>
        <v>0.7313</v>
      </c>
      <c r="AC70" s="24" t="n">
        <f aca="false">SABR!AC11+$E$11*SABR!AC44</f>
        <v>0.7236</v>
      </c>
      <c r="AD70" s="24" t="n">
        <f aca="false">SABR!AD11+$E$11*SABR!AD44</f>
        <v>0.7043</v>
      </c>
      <c r="AE70" s="24" t="n">
        <f aca="false">SABR!AE11+$E$11*SABR!AE44</f>
        <v>0.6715</v>
      </c>
      <c r="AF70" s="24" t="n">
        <f aca="false">SABR!AF11+$E$11*SABR!AF44</f>
        <v>0.6497</v>
      </c>
      <c r="AG70" s="24" t="n">
        <f aca="false">SABR!AG11+$E$11*SABR!AG44</f>
        <v>0.6195</v>
      </c>
      <c r="AH70" s="24" t="n">
        <f aca="false">SABR!AH11+$E$11*SABR!AH44</f>
        <v>0.5976</v>
      </c>
      <c r="AI70" s="24" t="n">
        <f aca="false">SABR!AI11+$E$11*SABR!AI44</f>
        <v>0.5802</v>
      </c>
      <c r="AJ70" s="24" t="n">
        <f aca="false">SABR!AJ11+$E$11*SABR!AJ44</f>
        <v>0.5564</v>
      </c>
      <c r="AL70" s="35" t="s">
        <v>76</v>
      </c>
      <c r="AM70" s="37" t="n">
        <f aca="false">C70*(1+(((2-3*O70^2)/24*AA70^2)+(O70*AA70*C70/4))*2)</f>
        <v>0.503505848773</v>
      </c>
      <c r="AN70" s="37" t="n">
        <f aca="false">D70*(1+(((2-3*P70^2)/24*AB70^2)+(P70*AB70*D70/4))*2)</f>
        <v>0.487339490764784</v>
      </c>
      <c r="AO70" s="37" t="n">
        <f aca="false">E70*(1+(((2-3*Q70^2)/24*AC70^2)+(Q70*AC70*E70/4))*2)</f>
        <v>0.465775533054431</v>
      </c>
      <c r="AP70" s="37" t="n">
        <f aca="false">F70*(1+(((2-3*R70^2)/24*AD70^2)+(R70*AD70*F70/4))*2)</f>
        <v>0.460276185048991</v>
      </c>
      <c r="AQ70" s="37" t="n">
        <f aca="false">G70*(1+(((2-3*S70^2)/24*AE70^2)+(S70*AE70*G70/4))*2)</f>
        <v>0.42986482147291</v>
      </c>
      <c r="AR70" s="37" t="n">
        <f aca="false">H70*(1+(((2-3*T70^2)/24*AF70^2)+(T70*AF70*H70/4))*2)</f>
        <v>0.41367747826358</v>
      </c>
      <c r="AS70" s="37" t="n">
        <f aca="false">I70*(1+(((2-3*U70^2)/24*AG70^2)+(U70*AG70*I70/4))*2)</f>
        <v>0.397708394722918</v>
      </c>
      <c r="AT70" s="37" t="n">
        <f aca="false">J70*(1+(((2-3*V70^2)/24*AH70^2)+(V70*AH70*J70/4))*2)</f>
        <v>0.378417568247078</v>
      </c>
      <c r="AU70" s="37" t="n">
        <f aca="false">K70*(1+(((2-3*W70^2)/24*AI70^2)+(W70*AI70*K70/4))*2)</f>
        <v>0.364329774198374</v>
      </c>
      <c r="AV70" s="37" t="n">
        <f aca="false">L70*(1+(((2-3*X70^2)/24*AJ70^2)+(X70*AJ70*L70/4))*2)</f>
        <v>0.340225794269095</v>
      </c>
    </row>
    <row r="71" customFormat="false" ht="15" hidden="false" customHeight="true" outlineLevel="0" collapsed="false">
      <c r="B71" s="35" t="s">
        <v>77</v>
      </c>
      <c r="C71" s="24" t="n">
        <f aca="false">SABR!C12+$C$11*SABR!C45</f>
        <v>0.4794434</v>
      </c>
      <c r="D71" s="24" t="n">
        <f aca="false">SABR!D12+$C$11*SABR!D45</f>
        <v>0.4489134</v>
      </c>
      <c r="E71" s="24" t="n">
        <f aca="false">SABR!E12+$C$11*SABR!E45</f>
        <v>0.4288774</v>
      </c>
      <c r="F71" s="24" t="n">
        <f aca="false">SABR!F12+$C$11*SABR!F45</f>
        <v>0.4304859</v>
      </c>
      <c r="G71" s="24" t="n">
        <f aca="false">SABR!G12+$C$11*SABR!G45</f>
        <v>0.4046969</v>
      </c>
      <c r="H71" s="24" t="n">
        <f aca="false">SABR!H12+$C$11*SABR!H45</f>
        <v>0.3799782</v>
      </c>
      <c r="I71" s="24" t="n">
        <f aca="false">SABR!I12+$C$11*SABR!I45</f>
        <v>0.3708443</v>
      </c>
      <c r="J71" s="24" t="n">
        <f aca="false">SABR!J12+$C$11*SABR!J45</f>
        <v>0.3433037</v>
      </c>
      <c r="K71" s="24" t="n">
        <f aca="false">SABR!K12+$C$11*SABR!K45</f>
        <v>0.3360518</v>
      </c>
      <c r="L71" s="24" t="n">
        <f aca="false">SABR!L12+$C$11*SABR!L45</f>
        <v>0.3281557</v>
      </c>
      <c r="N71" s="35" t="s">
        <v>77</v>
      </c>
      <c r="O71" s="24" t="n">
        <f aca="false">SABR!O12+$D$11*SABR!O45</f>
        <v>-0.2455</v>
      </c>
      <c r="P71" s="24" t="n">
        <f aca="false">SABR!P12+$D$11*SABR!P45</f>
        <v>-0.2294</v>
      </c>
      <c r="Q71" s="24" t="n">
        <f aca="false">SABR!Q12+$D$11*SABR!Q45</f>
        <v>-0.2187</v>
      </c>
      <c r="R71" s="24" t="n">
        <f aca="false">SABR!R12+$D$11*SABR!R45</f>
        <v>-0.1971</v>
      </c>
      <c r="S71" s="24" t="n">
        <f aca="false">SABR!S12+$D$11*SABR!S45</f>
        <v>-0.1817</v>
      </c>
      <c r="T71" s="24" t="n">
        <f aca="false">SABR!T12+$D$11*SABR!T45</f>
        <v>-0.1501</v>
      </c>
      <c r="U71" s="24" t="n">
        <f aca="false">SABR!U12+$D$11*SABR!U45</f>
        <v>-0.1355</v>
      </c>
      <c r="V71" s="24" t="n">
        <f aca="false">SABR!V12+$D$11*SABR!V45</f>
        <v>-0.1111</v>
      </c>
      <c r="W71" s="24" t="n">
        <f aca="false">SABR!W12+$D$11*SABR!W45</f>
        <v>-0.1006</v>
      </c>
      <c r="X71" s="24" t="n">
        <f aca="false">SABR!X12+$D$11*SABR!X45</f>
        <v>-0.0833</v>
      </c>
      <c r="Z71" s="35" t="s">
        <v>77</v>
      </c>
      <c r="AA71" s="24" t="n">
        <f aca="false">SABR!AA12+$E$11*SABR!AA45</f>
        <v>0.7451</v>
      </c>
      <c r="AB71" s="24" t="n">
        <f aca="false">SABR!AB12+$E$11*SABR!AB45</f>
        <v>0.7264</v>
      </c>
      <c r="AC71" s="24" t="n">
        <f aca="false">SABR!AC12+$E$11*SABR!AC45</f>
        <v>0.7015</v>
      </c>
      <c r="AD71" s="24" t="n">
        <f aca="false">SABR!AD12+$E$11*SABR!AD45</f>
        <v>0.6783</v>
      </c>
      <c r="AE71" s="24" t="n">
        <f aca="false">SABR!AE12+$E$11*SABR!AE45</f>
        <v>0.6564</v>
      </c>
      <c r="AF71" s="24" t="n">
        <f aca="false">SABR!AF12+$E$11*SABR!AF45</f>
        <v>0.6326</v>
      </c>
      <c r="AG71" s="24" t="n">
        <f aca="false">SABR!AG12+$E$11*SABR!AG45</f>
        <v>0.6001</v>
      </c>
      <c r="AH71" s="24" t="n">
        <f aca="false">SABR!AH12+$E$11*SABR!AH45</f>
        <v>0.5837</v>
      </c>
      <c r="AI71" s="24" t="n">
        <f aca="false">SABR!AI12+$E$11*SABR!AI45</f>
        <v>0.5582</v>
      </c>
      <c r="AJ71" s="24" t="n">
        <f aca="false">SABR!AJ12+$E$11*SABR!AJ45</f>
        <v>0.5295</v>
      </c>
      <c r="AL71" s="35" t="s">
        <v>77</v>
      </c>
      <c r="AM71" s="37" t="n">
        <f aca="false">C71*(1+(((2-3*O71^2)/24*AA71^2)+(O71*AA71*C71/4))*3)</f>
        <v>0.508435460661679</v>
      </c>
      <c r="AN71" s="37" t="n">
        <f aca="false">D71*(1+(((2-3*P71^2)/24*AB71^2)+(P71*AB71*D71/4))*3)</f>
        <v>0.478271206200881</v>
      </c>
      <c r="AO71" s="37" t="n">
        <f aca="false">E71*(1+(((2-3*Q71^2)/24*AC71^2)+(Q71*AC71*E71/4))*3)</f>
        <v>0.456690528236316</v>
      </c>
      <c r="AP71" s="37" t="n">
        <f aca="false">F71*(1+(((2-3*R71^2)/24*AD71^2)+(R71*AD71*F71/4))*3)</f>
        <v>0.458534362370754</v>
      </c>
      <c r="AQ71" s="37" t="n">
        <f aca="false">G71*(1+(((2-3*S71^2)/24*AE71^2)+(S71*AE71*G71/4))*3)</f>
        <v>0.431479912361019</v>
      </c>
      <c r="AR71" s="37" t="n">
        <f aca="false">H71*(1+(((2-3*T71^2)/24*AF71^2)+(T71*AF71*H71/4))*3)</f>
        <v>0.406426399382307</v>
      </c>
      <c r="AS71" s="37" t="n">
        <f aca="false">I71*(1+(((2-3*U71^2)/24*AG71^2)+(U71*AG71*I71/4))*3)</f>
        <v>0.394924904986008</v>
      </c>
      <c r="AT71" s="37" t="n">
        <f aca="false">J71*(1+(((2-3*V71^2)/24*AH71^2)+(V71*AH71*J71/4))*3)</f>
        <v>0.366271473670348</v>
      </c>
      <c r="AU71" s="37" t="n">
        <f aca="false">K71*(1+(((2-3*W71^2)/24*AI71^2)+(W71*AI71*K71/4))*3)</f>
        <v>0.357075561158407</v>
      </c>
      <c r="AV71" s="37" t="n">
        <f aca="false">L71*(1+(((2-3*X71^2)/24*AJ71^2)+(X71*AJ71*L71/4))*3)</f>
        <v>0.347355255471842</v>
      </c>
    </row>
    <row r="72" customFormat="false" ht="15" hidden="false" customHeight="true" outlineLevel="0" collapsed="false">
      <c r="B72" s="35" t="s">
        <v>78</v>
      </c>
      <c r="C72" s="24" t="n">
        <f aca="false">SABR!C13+$C$11*SABR!C46</f>
        <v>0.4461279</v>
      </c>
      <c r="D72" s="24" t="n">
        <f aca="false">SABR!D13+$C$11*SABR!D46</f>
        <v>0.4339615</v>
      </c>
      <c r="E72" s="24" t="n">
        <f aca="false">SABR!E13+$C$11*SABR!E46</f>
        <v>0.4166488</v>
      </c>
      <c r="F72" s="24" t="n">
        <f aca="false">SABR!F13+$C$11*SABR!F46</f>
        <v>0.408034</v>
      </c>
      <c r="G72" s="24" t="n">
        <f aca="false">SABR!G13+$C$11*SABR!G46</f>
        <v>0.3961464</v>
      </c>
      <c r="H72" s="24" t="n">
        <f aca="false">SABR!H13+$C$11*SABR!H46</f>
        <v>0.3686952</v>
      </c>
      <c r="I72" s="24" t="n">
        <f aca="false">SABR!I13+$C$11*SABR!I46</f>
        <v>0.3613235</v>
      </c>
      <c r="J72" s="24" t="n">
        <f aca="false">SABR!J13+$C$11*SABR!J46</f>
        <v>0.3454055</v>
      </c>
      <c r="K72" s="24" t="n">
        <f aca="false">SABR!K13+$C$11*SABR!K46</f>
        <v>0.3275225</v>
      </c>
      <c r="L72" s="24" t="n">
        <f aca="false">SABR!L13+$C$11*SABR!L46</f>
        <v>0.2986568</v>
      </c>
      <c r="N72" s="35" t="s">
        <v>78</v>
      </c>
      <c r="O72" s="24" t="n">
        <f aca="false">SABR!O13+$D$11*SABR!O46</f>
        <v>-0.2389</v>
      </c>
      <c r="P72" s="24" t="n">
        <f aca="false">SABR!P13+$D$11*SABR!P46</f>
        <v>-0.2194</v>
      </c>
      <c r="Q72" s="24" t="n">
        <f aca="false">SABR!Q13+$D$11*SABR!Q46</f>
        <v>-0.2005</v>
      </c>
      <c r="R72" s="24" t="n">
        <f aca="false">SABR!R13+$D$11*SABR!R46</f>
        <v>-0.1809</v>
      </c>
      <c r="S72" s="24" t="n">
        <f aca="false">SABR!S13+$D$11*SABR!S46</f>
        <v>-0.1531</v>
      </c>
      <c r="T72" s="24" t="n">
        <f aca="false">SABR!T13+$D$11*SABR!T46</f>
        <v>-0.1281</v>
      </c>
      <c r="U72" s="24" t="n">
        <f aca="false">SABR!U13+$D$11*SABR!U46</f>
        <v>-0.1099</v>
      </c>
      <c r="V72" s="24" t="n">
        <f aca="false">SABR!V13+$D$11*SABR!V46</f>
        <v>-0.0976</v>
      </c>
      <c r="W72" s="24" t="n">
        <f aca="false">SABR!W13+$D$11*SABR!W46</f>
        <v>-0.0747</v>
      </c>
      <c r="X72" s="24" t="n">
        <f aca="false">SABR!X13+$D$11*SABR!X46</f>
        <v>-0.0523</v>
      </c>
      <c r="Z72" s="35" t="s">
        <v>78</v>
      </c>
      <c r="AA72" s="24" t="n">
        <f aca="false">SABR!AA13+$E$11*SABR!AA46</f>
        <v>0.7084</v>
      </c>
      <c r="AB72" s="24" t="n">
        <f aca="false">SABR!AB13+$E$11*SABR!AB46</f>
        <v>0.6977</v>
      </c>
      <c r="AC72" s="24" t="n">
        <f aca="false">SABR!AC13+$E$11*SABR!AC46</f>
        <v>0.6804</v>
      </c>
      <c r="AD72" s="24" t="n">
        <f aca="false">SABR!AD13+$E$11*SABR!AD46</f>
        <v>0.6556</v>
      </c>
      <c r="AE72" s="24" t="n">
        <f aca="false">SABR!AE13+$E$11*SABR!AE46</f>
        <v>0.6328</v>
      </c>
      <c r="AF72" s="24" t="n">
        <f aca="false">SABR!AF13+$E$11*SABR!AF46</f>
        <v>0.6051</v>
      </c>
      <c r="AG72" s="24" t="n">
        <f aca="false">SABR!AG13+$E$11*SABR!AG46</f>
        <v>0.5769</v>
      </c>
      <c r="AH72" s="24" t="n">
        <f aca="false">SABR!AH13+$E$11*SABR!AH46</f>
        <v>0.5669</v>
      </c>
      <c r="AI72" s="24" t="n">
        <f aca="false">SABR!AI13+$E$11*SABR!AI46</f>
        <v>0.5355</v>
      </c>
      <c r="AJ72" s="24" t="n">
        <f aca="false">SABR!AJ13+$E$11*SABR!AJ46</f>
        <v>0.5227</v>
      </c>
      <c r="AL72" s="35" t="s">
        <v>78</v>
      </c>
      <c r="AM72" s="37" t="n">
        <f aca="false">C72*(1+(((2-3*O72^2)/24*AA72^2)+(O72*AA72*C72/4))*5)</f>
        <v>0.489321486061895</v>
      </c>
      <c r="AN72" s="37" t="n">
        <f aca="false">D72*(1+(((2-3*P72^2)/24*AB72^2)+(P72*AB72*D72/4))*5)</f>
        <v>0.479590873289064</v>
      </c>
      <c r="AO72" s="37" t="n">
        <f aca="false">E72*(1+(((2-3*Q72^2)/24*AC72^2)+(Q72*AC72*E72/4))*5)</f>
        <v>0.462568795392317</v>
      </c>
      <c r="AP72" s="37" t="n">
        <f aca="false">F72*(1+(((2-3*R72^2)/24*AD72^2)+(R72*AD72*F72/4))*5)</f>
        <v>0.452839026739475</v>
      </c>
      <c r="AQ72" s="37" t="n">
        <f aca="false">G72*(1+(((2-3*S72^2)/24*AE72^2)+(S72*AE72*G72/4))*5)</f>
        <v>0.440914040379302</v>
      </c>
      <c r="AR72" s="37" t="n">
        <f aca="false">H72*(1+(((2-3*T72^2)/24*AF72^2)+(T72*AF72*H72/4))*5)</f>
        <v>0.410388049622201</v>
      </c>
      <c r="AS72" s="37" t="n">
        <f aca="false">I72*(1+(((2-3*U72^2)/24*AG72^2)+(U72*AG72*I72/4))*5)</f>
        <v>0.400174639385088</v>
      </c>
      <c r="AT72" s="37" t="n">
        <f aca="false">J72*(1+(((2-3*V72^2)/24*AH72^2)+(V72*AH72*J72/4))*5)</f>
        <v>0.382745318489769</v>
      </c>
      <c r="AU72" s="37" t="n">
        <f aca="false">K72*(1+(((2-3*W72^2)/24*AI72^2)+(W72*AI72*K72/4))*5)</f>
        <v>0.36096466389759</v>
      </c>
      <c r="AV72" s="37" t="n">
        <f aca="false">L72*(1+(((2-3*X72^2)/24*AJ72^2)+(X72*AJ72*L72/4))*5)</f>
        <v>0.329468347793661</v>
      </c>
    </row>
    <row r="73" customFormat="false" ht="15" hidden="false" customHeight="true" outlineLevel="0" collapsed="false">
      <c r="B73" s="35" t="s">
        <v>79</v>
      </c>
      <c r="C73" s="24" t="n">
        <f aca="false">SABR!C14+$C$11*SABR!C47</f>
        <v>0.4478986</v>
      </c>
      <c r="D73" s="24" t="n">
        <f aca="false">SABR!D14+$C$11*SABR!D47</f>
        <v>0.4192481</v>
      </c>
      <c r="E73" s="24" t="n">
        <f aca="false">SABR!E14+$C$11*SABR!E47</f>
        <v>0.4023354</v>
      </c>
      <c r="F73" s="24" t="n">
        <f aca="false">SABR!F14+$C$11*SABR!F47</f>
        <v>0.3960047</v>
      </c>
      <c r="G73" s="24" t="n">
        <f aca="false">SABR!G14+$C$11*SABR!G47</f>
        <v>0.3744542</v>
      </c>
      <c r="H73" s="24" t="n">
        <f aca="false">SABR!H14+$C$11*SABR!H47</f>
        <v>0.3462726</v>
      </c>
      <c r="I73" s="24" t="n">
        <f aca="false">SABR!I14+$C$11*SABR!I47</f>
        <v>0.3280783</v>
      </c>
      <c r="J73" s="24" t="n">
        <f aca="false">SABR!J14+$C$11*SABR!J47</f>
        <v>0.3113907</v>
      </c>
      <c r="K73" s="24" t="n">
        <f aca="false">SABR!K14+$C$11*SABR!K47</f>
        <v>0.3095575</v>
      </c>
      <c r="L73" s="24" t="n">
        <f aca="false">SABR!L14+$C$11*SABR!L47</f>
        <v>0.2904487</v>
      </c>
      <c r="N73" s="35" t="s">
        <v>79</v>
      </c>
      <c r="O73" s="24" t="n">
        <f aca="false">SABR!O14+$D$11*SABR!O47</f>
        <v>-0.221</v>
      </c>
      <c r="P73" s="24" t="n">
        <f aca="false">SABR!P14+$D$11*SABR!P47</f>
        <v>-0.1879</v>
      </c>
      <c r="Q73" s="24" t="n">
        <f aca="false">SABR!Q14+$D$11*SABR!Q47</f>
        <v>-0.1654</v>
      </c>
      <c r="R73" s="24" t="n">
        <f aca="false">SABR!R14+$D$11*SABR!R47</f>
        <v>-0.1524</v>
      </c>
      <c r="S73" s="24" t="n">
        <f aca="false">SABR!S14+$D$11*SABR!S47</f>
        <v>-0.1391</v>
      </c>
      <c r="T73" s="24" t="n">
        <f aca="false">SABR!T14+$D$11*SABR!T47</f>
        <v>-0.1157</v>
      </c>
      <c r="U73" s="24" t="n">
        <f aca="false">SABR!U14+$D$11*SABR!U47</f>
        <v>-0.1046</v>
      </c>
      <c r="V73" s="24" t="n">
        <f aca="false">SABR!V14+$D$11*SABR!V47</f>
        <v>-0.0875</v>
      </c>
      <c r="W73" s="24" t="n">
        <f aca="false">SABR!W14+$D$11*SABR!W47</f>
        <v>-0.0489</v>
      </c>
      <c r="X73" s="24" t="n">
        <f aca="false">SABR!X14+$D$11*SABR!X47</f>
        <v>-0.0359</v>
      </c>
      <c r="Z73" s="35" t="s">
        <v>79</v>
      </c>
      <c r="AA73" s="24" t="n">
        <f aca="false">SABR!AA14+$E$11*SABR!AA47</f>
        <v>0.695</v>
      </c>
      <c r="AB73" s="24" t="n">
        <f aca="false">SABR!AB14+$E$11*SABR!AB47</f>
        <v>0.6809</v>
      </c>
      <c r="AC73" s="24" t="n">
        <f aca="false">SABR!AC14+$E$11*SABR!AC47</f>
        <v>0.6487</v>
      </c>
      <c r="AD73" s="24" t="n">
        <f aca="false">SABR!AD14+$E$11*SABR!AD47</f>
        <v>0.6352</v>
      </c>
      <c r="AE73" s="24" t="n">
        <f aca="false">SABR!AE14+$E$11*SABR!AE47</f>
        <v>0.6121</v>
      </c>
      <c r="AF73" s="24" t="n">
        <f aca="false">SABR!AF14+$E$11*SABR!AF47</f>
        <v>0.5776</v>
      </c>
      <c r="AG73" s="24" t="n">
        <f aca="false">SABR!AG14+$E$11*SABR!AG47</f>
        <v>0.5561</v>
      </c>
      <c r="AH73" s="24" t="n">
        <f aca="false">SABR!AH14+$E$11*SABR!AH47</f>
        <v>0.5347</v>
      </c>
      <c r="AI73" s="24" t="n">
        <f aca="false">SABR!AI14+$E$11*SABR!AI47</f>
        <v>0.5115</v>
      </c>
      <c r="AJ73" s="24" t="n">
        <f aca="false">SABR!AJ14+$E$11*SABR!AJ47</f>
        <v>0.4962</v>
      </c>
      <c r="AL73" s="35" t="s">
        <v>79</v>
      </c>
      <c r="AM73" s="37" t="n">
        <f aca="false">C73*(1+(((2-3*O73^2)/24*AA73^2)+(O73*AA73*C73/4))*10)</f>
        <v>0.537945966285604</v>
      </c>
      <c r="AN73" s="37" t="n">
        <f aca="false">D73*(1+(((2-3*P73^2)/24*AB73^2)+(P73*AB73*D73/4))*10)</f>
        <v>0.51642778905563</v>
      </c>
      <c r="AO73" s="37" t="n">
        <f aca="false">E73*(1+(((2-3*Q73^2)/24*AC73^2)+(Q73*AC73*E73/4))*10)</f>
        <v>0.494214611239108</v>
      </c>
      <c r="AP73" s="37" t="n">
        <f aca="false">F73*(1+(((2-3*R73^2)/24*AD73^2)+(R73*AD73*F73/4))*10)</f>
        <v>0.486563481093319</v>
      </c>
      <c r="AQ73" s="37" t="n">
        <f aca="false">G73*(1+(((2-3*S73^2)/24*AE73^2)+(S73*AE73*G73/4))*10)</f>
        <v>0.458127801103976</v>
      </c>
      <c r="AR73" s="37" t="n">
        <f aca="false">H73*(1+(((2-3*T73^2)/24*AF73^2)+(T73*AF73*H73/4))*10)</f>
        <v>0.420577008135553</v>
      </c>
      <c r="AS73" s="37" t="n">
        <f aca="false">I73*(1+(((2-3*U73^2)/24*AG73^2)+(U73*AG73*I73/4))*10)</f>
        <v>0.39558612165167</v>
      </c>
      <c r="AT73" s="37" t="n">
        <f aca="false">J73*(1+(((2-3*V73^2)/24*AH73^2)+(V73*AH73*J73/4))*10)</f>
        <v>0.373387096497878</v>
      </c>
      <c r="AU73" s="37" t="n">
        <f aca="false">K73*(1+(((2-3*W73^2)/24*AI73^2)+(W73*AI73*K73/4))*10)</f>
        <v>0.370815199576344</v>
      </c>
      <c r="AV73" s="37" t="n">
        <f aca="false">L73*(1+(((2-3*X73^2)/24*AJ73^2)+(X73*AJ73*L73/4))*10)</f>
        <v>0.3461704749436</v>
      </c>
    </row>
    <row r="74" customFormat="false" ht="15" hidden="false" customHeight="true" outlineLevel="0" collapsed="false">
      <c r="B74" s="35" t="s">
        <v>80</v>
      </c>
      <c r="C74" s="24" t="n">
        <f aca="false">SABR!C15+$C$11*SABR!C48</f>
        <v>0.4164845</v>
      </c>
      <c r="D74" s="24" t="n">
        <f aca="false">SABR!D15+$C$11*SABR!D48</f>
        <v>0.4024863</v>
      </c>
      <c r="E74" s="24" t="n">
        <f aca="false">SABR!E15+$C$11*SABR!E48</f>
        <v>0.3797842</v>
      </c>
      <c r="F74" s="24" t="n">
        <f aca="false">SABR!F15+$C$11*SABR!F48</f>
        <v>0.3782708</v>
      </c>
      <c r="G74" s="24" t="n">
        <f aca="false">SABR!G15+$C$11*SABR!G48</f>
        <v>0.3497606</v>
      </c>
      <c r="H74" s="24" t="n">
        <f aca="false">SABR!H15+$C$11*SABR!H48</f>
        <v>0.3349221</v>
      </c>
      <c r="I74" s="24" t="n">
        <f aca="false">SABR!I15+$C$11*SABR!I48</f>
        <v>0.3202239</v>
      </c>
      <c r="J74" s="24" t="n">
        <f aca="false">SABR!J15+$C$11*SABR!J48</f>
        <v>0.3094568</v>
      </c>
      <c r="K74" s="24" t="n">
        <f aca="false">SABR!K15+$C$11*SABR!K48</f>
        <v>0.2825215</v>
      </c>
      <c r="L74" s="24" t="n">
        <f aca="false">SABR!L15+$C$11*SABR!L48</f>
        <v>0.275795</v>
      </c>
      <c r="N74" s="35" t="s">
        <v>80</v>
      </c>
      <c r="O74" s="24" t="n">
        <f aca="false">SABR!O15+$D$11*SABR!O48</f>
        <v>-0.1944</v>
      </c>
      <c r="P74" s="24" t="n">
        <f aca="false">SABR!P15+$D$11*SABR!P48</f>
        <v>-0.1744</v>
      </c>
      <c r="Q74" s="24" t="n">
        <f aca="false">SABR!Q15+$D$11*SABR!Q48</f>
        <v>-0.1551</v>
      </c>
      <c r="R74" s="24" t="n">
        <f aca="false">SABR!R15+$D$11*SABR!R48</f>
        <v>-0.1457</v>
      </c>
      <c r="S74" s="24" t="n">
        <f aca="false">SABR!S15+$D$11*SABR!S48</f>
        <v>-0.1179</v>
      </c>
      <c r="T74" s="24" t="n">
        <f aca="false">SABR!T15+$D$11*SABR!T48</f>
        <v>-0.1036</v>
      </c>
      <c r="U74" s="24" t="n">
        <f aca="false">SABR!U15+$D$11*SABR!U48</f>
        <v>-0.0877</v>
      </c>
      <c r="V74" s="24" t="n">
        <f aca="false">SABR!V15+$D$11*SABR!V48</f>
        <v>-0.0523</v>
      </c>
      <c r="W74" s="24" t="n">
        <f aca="false">SABR!W15+$D$11*SABR!W48</f>
        <v>-0.0454</v>
      </c>
      <c r="X74" s="24" t="n">
        <f aca="false">SABR!X15+$D$11*SABR!X48</f>
        <v>-0.02</v>
      </c>
      <c r="Z74" s="35" t="s">
        <v>80</v>
      </c>
      <c r="AA74" s="24" t="n">
        <f aca="false">SABR!AA15+$E$11*SABR!AA48</f>
        <v>0.6767</v>
      </c>
      <c r="AB74" s="24" t="n">
        <f aca="false">SABR!AB15+$E$11*SABR!AB48</f>
        <v>0.6511</v>
      </c>
      <c r="AC74" s="24" t="n">
        <f aca="false">SABR!AC15+$E$11*SABR!AC48</f>
        <v>0.6243</v>
      </c>
      <c r="AD74" s="24" t="n">
        <f aca="false">SABR!AD15+$E$11*SABR!AD48</f>
        <v>0.6059</v>
      </c>
      <c r="AE74" s="24" t="n">
        <f aca="false">SABR!AE15+$E$11*SABR!AE48</f>
        <v>0.5844</v>
      </c>
      <c r="AF74" s="24" t="n">
        <f aca="false">SABR!AF15+$E$11*SABR!AF48</f>
        <v>0.5668</v>
      </c>
      <c r="AG74" s="24" t="n">
        <f aca="false">SABR!AG15+$E$11*SABR!AG48</f>
        <v>0.531</v>
      </c>
      <c r="AH74" s="24" t="n">
        <f aca="false">SABR!AH15+$E$11*SABR!AH48</f>
        <v>0.5179</v>
      </c>
      <c r="AI74" s="24" t="n">
        <f aca="false">SABR!AI15+$E$11*SABR!AI48</f>
        <v>0.4894</v>
      </c>
      <c r="AJ74" s="24" t="n">
        <f aca="false">SABR!AJ15+$E$11*SABR!AJ48</f>
        <v>0.4678</v>
      </c>
      <c r="AL74" s="35" t="s">
        <v>80</v>
      </c>
      <c r="AM74" s="37" t="n">
        <f aca="false">C74*(1+(((2-3*O74^2)/24*AA74^2)+(O74*AA74*C74/4))*20)</f>
        <v>0.602235468846692</v>
      </c>
      <c r="AN74" s="37" t="n">
        <f aca="false">D74*(1+(((2-3*P74^2)/24*AB74^2)+(P74*AB74*D74/4))*20)</f>
        <v>0.581915363101995</v>
      </c>
      <c r="AO74" s="37" t="n">
        <f aca="false">E74*(1+(((2-3*Q74^2)/24*AC74^2)+(Q74*AC74*E74/4))*20)</f>
        <v>0.547752898995637</v>
      </c>
      <c r="AP74" s="37" t="n">
        <f aca="false">F74*(1+(((2-3*R74^2)/24*AD74^2)+(R74*AD74*F74/4))*20)</f>
        <v>0.539189752656107</v>
      </c>
      <c r="AQ74" s="37" t="n">
        <f aca="false">G74*(1+(((2-3*S74^2)/24*AE74^2)+(S74*AE74*G74/4))*20)</f>
        <v>0.502551229762198</v>
      </c>
      <c r="AR74" s="37" t="n">
        <f aca="false">H74*(1+(((2-3*T74^2)/24*AF74^2)+(T74*AF74*H74/4))*20)</f>
        <v>0.478430491799587</v>
      </c>
      <c r="AS74" s="37" t="n">
        <f aca="false">I74*(1+(((2-3*U74^2)/24*AG74^2)+(U74*AG74*I74/4))*20)</f>
        <v>0.445095637877468</v>
      </c>
      <c r="AT74" s="37" t="n">
        <f aca="false">J74*(1+(((2-3*V74^2)/24*AH74^2)+(V74*AH74*J74/4))*20)</f>
        <v>0.434257591928147</v>
      </c>
      <c r="AU74" s="37" t="n">
        <f aca="false">K74*(1+(((2-3*W74^2)/24*AI74^2)+(W74*AI74*K74/4))*20)</f>
        <v>0.386084472919832</v>
      </c>
      <c r="AV74" s="37" t="n">
        <f aca="false">L74*(1+(((2-3*X74^2)/24*AJ74^2)+(X74*AJ74*L74/4))*20)</f>
        <v>0.372766601418916</v>
      </c>
    </row>
    <row r="75" customFormat="false" ht="15" hidden="false" customHeight="true" outlineLevel="0" collapsed="false">
      <c r="B75" s="35" t="s">
        <v>81</v>
      </c>
      <c r="C75" s="24" t="n">
        <f aca="false">SABR!C16+$C$11*SABR!C49</f>
        <v>0.4094386</v>
      </c>
      <c r="D75" s="24" t="n">
        <f aca="false">SABR!D16+$C$11*SABR!D49</f>
        <v>0.3873584</v>
      </c>
      <c r="E75" s="24" t="n">
        <f aca="false">SABR!E16+$C$11*SABR!E49</f>
        <v>0.3710482</v>
      </c>
      <c r="F75" s="24" t="n">
        <f aca="false">SABR!F16+$C$11*SABR!F49</f>
        <v>0.3580196</v>
      </c>
      <c r="G75" s="24" t="n">
        <f aca="false">SABR!G16+$C$11*SABR!G49</f>
        <v>0.3437995</v>
      </c>
      <c r="H75" s="24" t="n">
        <f aca="false">SABR!H16+$C$11*SABR!H49</f>
        <v>0.3174027</v>
      </c>
      <c r="I75" s="24" t="n">
        <f aca="false">SABR!I16+$C$11*SABR!I49</f>
        <v>0.3036568</v>
      </c>
      <c r="J75" s="24" t="n">
        <f aca="false">SABR!J16+$C$11*SABR!J49</f>
        <v>0.284195</v>
      </c>
      <c r="K75" s="24" t="n">
        <f aca="false">SABR!K16+$C$11*SABR!K49</f>
        <v>0.267695</v>
      </c>
      <c r="L75" s="24" t="n">
        <f aca="false">SABR!L16+$C$11*SABR!L49</f>
        <v>0.254695</v>
      </c>
      <c r="N75" s="35" t="s">
        <v>81</v>
      </c>
      <c r="O75" s="24" t="n">
        <f aca="false">SABR!O16+$D$11*SABR!O49</f>
        <v>-0.176</v>
      </c>
      <c r="P75" s="24" t="n">
        <f aca="false">SABR!P16+$D$11*SABR!P49</f>
        <v>-0.1549</v>
      </c>
      <c r="Q75" s="24" t="n">
        <f aca="false">SABR!Q16+$D$11*SABR!Q49</f>
        <v>-0.1366</v>
      </c>
      <c r="R75" s="24" t="n">
        <f aca="false">SABR!R16+$D$11*SABR!R49</f>
        <v>-0.1078</v>
      </c>
      <c r="S75" s="24" t="n">
        <f aca="false">SABR!S16+$D$11*SABR!S49</f>
        <v>-0.0932</v>
      </c>
      <c r="T75" s="24" t="n">
        <f aca="false">SABR!T16+$D$11*SABR!T49</f>
        <v>-0.0702</v>
      </c>
      <c r="U75" s="24" t="n">
        <f aca="false">SABR!U16+$D$11*SABR!U49</f>
        <v>-0.0495</v>
      </c>
      <c r="V75" s="24" t="n">
        <f aca="false">SABR!V16+$D$11*SABR!V49</f>
        <v>-0.0437</v>
      </c>
      <c r="W75" s="24" t="n">
        <f aca="false">SABR!W16+$D$11*SABR!W49</f>
        <v>-0.0183</v>
      </c>
      <c r="X75" s="24" t="n">
        <f aca="false">SABR!X16+$D$11*SABR!X49</f>
        <v>0.0089</v>
      </c>
      <c r="Z75" s="35" t="s">
        <v>81</v>
      </c>
      <c r="AA75" s="24" t="n">
        <f aca="false">SABR!AA16+$E$11*SABR!AA49</f>
        <v>0.6568</v>
      </c>
      <c r="AB75" s="24" t="n">
        <f aca="false">SABR!AB16+$E$11*SABR!AB49</f>
        <v>0.6205</v>
      </c>
      <c r="AC75" s="24" t="n">
        <f aca="false">SABR!AC16+$E$11*SABR!AC49</f>
        <v>0.598</v>
      </c>
      <c r="AD75" s="24" t="n">
        <f aca="false">SABR!AD16+$E$11*SABR!AD49</f>
        <v>0.5822</v>
      </c>
      <c r="AE75" s="24" t="n">
        <f aca="false">SABR!AE16+$E$11*SABR!AE49</f>
        <v>0.5526</v>
      </c>
      <c r="AF75" s="24" t="n">
        <f aca="false">SABR!AF16+$E$11*SABR!AF49</f>
        <v>0.5337</v>
      </c>
      <c r="AG75" s="24" t="n">
        <f aca="false">SABR!AG16+$E$11*SABR!AG49</f>
        <v>0.5081</v>
      </c>
      <c r="AH75" s="24" t="n">
        <f aca="false">SABR!AH16+$E$11*SABR!AH49</f>
        <v>0.4978</v>
      </c>
      <c r="AI75" s="24" t="n">
        <f aca="false">SABR!AI16+$E$11*SABR!AI49</f>
        <v>0.4779</v>
      </c>
      <c r="AJ75" s="24" t="n">
        <f aca="false">SABR!AJ16+$E$11*SABR!AJ49</f>
        <v>0.4579</v>
      </c>
      <c r="AL75" s="35" t="s">
        <v>81</v>
      </c>
      <c r="AM75" s="37" t="n">
        <f aca="false">C75*(1+(((2-3*O75^2)/24*AA75^2)+(O75*AA75*C75/4))*30)</f>
        <v>0.685147320379386</v>
      </c>
      <c r="AN75" s="37" t="n">
        <f aca="false">D75*(1+(((2-3*P75^2)/24*AB75^2)+(P75*AB75*D75/4))*30)</f>
        <v>0.638627722398554</v>
      </c>
      <c r="AO75" s="37" t="n">
        <f aca="false">E75*(1+(((2-3*Q75^2)/24*AC75^2)+(Q75*AC75*E75/4))*30)</f>
        <v>0.609136546180086</v>
      </c>
      <c r="AP75" s="37" t="n">
        <f aca="false">F75*(1+(((2-3*R75^2)/24*AD75^2)+(R75*AD75*F75/4))*30)</f>
        <v>0.595779717324022</v>
      </c>
      <c r="AQ75" s="37" t="n">
        <f aca="false">G75*(1+(((2-3*S75^2)/24*AE75^2)+(S75*AE75*G75/4))*30)</f>
        <v>0.557186060782127</v>
      </c>
      <c r="AR75" s="37" t="n">
        <f aca="false">H75*(1+(((2-3*T75^2)/24*AF75^2)+(T75*AF75*H75/4))*30)</f>
        <v>0.513442499320738</v>
      </c>
      <c r="AS75" s="37" t="n">
        <f aca="false">I75*(1+(((2-3*U75^2)/24*AG75^2)+(U75*AG75*I75/4))*30)</f>
        <v>0.481527553851923</v>
      </c>
      <c r="AT75" s="37" t="n">
        <f aca="false">J75*(1+(((2-3*V75^2)/24*AH75^2)+(V75*AH75*J75/4))*30)</f>
        <v>0.446575482680603</v>
      </c>
      <c r="AU75" s="37" t="n">
        <f aca="false">K75*(1+(((2-3*W75^2)/24*AI75^2)+(W75*AI75*K75/4))*30)</f>
        <v>0.415763961791592</v>
      </c>
      <c r="AV75" s="37" t="n">
        <f aca="false">L75*(1+(((2-3*X75^2)/24*AJ75^2)+(X75*AJ75*L75/4))*30)</f>
        <v>0.390168149843374</v>
      </c>
    </row>
    <row r="77" customFormat="false" ht="15" hidden="false" customHeight="true" outlineLevel="0" collapsed="false">
      <c r="A77" s="28" t="s">
        <v>157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</row>
    <row r="78" customFormat="false" ht="15" hidden="false" customHeight="true" outlineLevel="0" collapsed="false">
      <c r="B78" s="28" t="s">
        <v>136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N78" s="28" t="s">
        <v>137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Z78" s="28" t="s">
        <v>138</v>
      </c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L78" s="34" t="s">
        <v>139</v>
      </c>
      <c r="AM78" s="34"/>
      <c r="AN78" s="34"/>
      <c r="AO78" s="34"/>
      <c r="AP78" s="34"/>
      <c r="AQ78" s="34"/>
      <c r="AR78" s="34"/>
      <c r="AS78" s="34"/>
      <c r="AT78" s="34"/>
      <c r="AU78" s="34"/>
      <c r="AV78" s="34"/>
    </row>
    <row r="79" customFormat="false" ht="15" hidden="false" customHeight="true" outlineLevel="0" collapsed="false">
      <c r="B79" s="18" t="s">
        <v>140</v>
      </c>
      <c r="C79" s="12" t="s">
        <v>141</v>
      </c>
      <c r="D79" s="12" t="s">
        <v>74</v>
      </c>
      <c r="E79" s="12" t="s">
        <v>75</v>
      </c>
      <c r="F79" s="12" t="s">
        <v>30</v>
      </c>
      <c r="G79" s="12" t="s">
        <v>76</v>
      </c>
      <c r="H79" s="12" t="s">
        <v>77</v>
      </c>
      <c r="I79" s="12" t="s">
        <v>78</v>
      </c>
      <c r="J79" s="12" t="s">
        <v>79</v>
      </c>
      <c r="K79" s="12" t="s">
        <v>80</v>
      </c>
      <c r="L79" s="12" t="s">
        <v>81</v>
      </c>
      <c r="N79" s="18" t="s">
        <v>140</v>
      </c>
      <c r="O79" s="12" t="s">
        <v>141</v>
      </c>
      <c r="P79" s="12" t="s">
        <v>74</v>
      </c>
      <c r="Q79" s="12" t="s">
        <v>75</v>
      </c>
      <c r="R79" s="12" t="s">
        <v>30</v>
      </c>
      <c r="S79" s="12" t="s">
        <v>76</v>
      </c>
      <c r="T79" s="12" t="s">
        <v>77</v>
      </c>
      <c r="U79" s="12" t="s">
        <v>78</v>
      </c>
      <c r="V79" s="12" t="s">
        <v>79</v>
      </c>
      <c r="W79" s="12" t="s">
        <v>80</v>
      </c>
      <c r="X79" s="12" t="s">
        <v>81</v>
      </c>
      <c r="Z79" s="18" t="s">
        <v>140</v>
      </c>
      <c r="AA79" s="12" t="s">
        <v>141</v>
      </c>
      <c r="AB79" s="12" t="s">
        <v>74</v>
      </c>
      <c r="AC79" s="12" t="s">
        <v>75</v>
      </c>
      <c r="AD79" s="12" t="s">
        <v>30</v>
      </c>
      <c r="AE79" s="12" t="s">
        <v>76</v>
      </c>
      <c r="AF79" s="12" t="s">
        <v>77</v>
      </c>
      <c r="AG79" s="12" t="s">
        <v>78</v>
      </c>
      <c r="AH79" s="12" t="s">
        <v>79</v>
      </c>
      <c r="AI79" s="12" t="s">
        <v>80</v>
      </c>
      <c r="AJ79" s="12" t="s">
        <v>81</v>
      </c>
      <c r="AL79" s="18" t="s">
        <v>140</v>
      </c>
      <c r="AM79" s="12" t="s">
        <v>141</v>
      </c>
      <c r="AN79" s="12" t="s">
        <v>74</v>
      </c>
      <c r="AO79" s="12" t="s">
        <v>75</v>
      </c>
      <c r="AP79" s="12" t="s">
        <v>30</v>
      </c>
      <c r="AQ79" s="12" t="s">
        <v>76</v>
      </c>
      <c r="AR79" s="12" t="s">
        <v>77</v>
      </c>
      <c r="AS79" s="12" t="s">
        <v>78</v>
      </c>
      <c r="AT79" s="12" t="s">
        <v>79</v>
      </c>
      <c r="AU79" s="12" t="s">
        <v>80</v>
      </c>
      <c r="AV79" s="12" t="s">
        <v>81</v>
      </c>
    </row>
    <row r="80" customFormat="false" ht="15" hidden="false" customHeight="true" outlineLevel="0" collapsed="false">
      <c r="B80" s="35" t="s">
        <v>141</v>
      </c>
      <c r="C80" s="24" t="n">
        <f aca="false">SABR!C7+$C$12*SABR!C40</f>
        <v>0.5541848</v>
      </c>
      <c r="D80" s="24" t="n">
        <f aca="false">SABR!D7+$C$12*SABR!D40</f>
        <v>0.5336864</v>
      </c>
      <c r="E80" s="24" t="n">
        <f aca="false">SABR!E7+$C$12*SABR!E40</f>
        <v>0.526516</v>
      </c>
      <c r="F80" s="24" t="n">
        <f aca="false">SABR!F7+$C$12*SABR!F40</f>
        <v>0.497832</v>
      </c>
      <c r="G80" s="24" t="n">
        <f aca="false">SABR!G7+$C$12*SABR!G40</f>
        <v>0.4900376</v>
      </c>
      <c r="H80" s="24" t="n">
        <f aca="false">SABR!H7+$C$12*SABR!H40</f>
        <v>0.4694576</v>
      </c>
      <c r="I80" s="24" t="n">
        <f aca="false">SABR!I7+$C$12*SABR!I40</f>
        <v>0.446432</v>
      </c>
      <c r="J80" s="24" t="n">
        <f aca="false">SABR!J7+$C$12*SABR!J40</f>
        <v>0.4383</v>
      </c>
      <c r="K80" s="24" t="n">
        <f aca="false">SABR!K7+$C$12*SABR!K40</f>
        <v>0.41172</v>
      </c>
      <c r="L80" s="24" t="n">
        <f aca="false">SABR!L7+$C$12*SABR!L40</f>
        <v>0.4025496</v>
      </c>
      <c r="N80" s="35" t="s">
        <v>141</v>
      </c>
      <c r="O80" s="24" t="n">
        <f aca="false">SABR!O7+$D$12*SABR!O40</f>
        <v>-0.3586</v>
      </c>
      <c r="P80" s="24" t="n">
        <f aca="false">SABR!P7+$D$12*SABR!P40</f>
        <v>-0.3387</v>
      </c>
      <c r="Q80" s="24" t="n">
        <f aca="false">SABR!Q7+$D$12*SABR!Q40</f>
        <v>-0.3126</v>
      </c>
      <c r="R80" s="24" t="n">
        <f aca="false">SABR!R7+$D$12*SABR!R40</f>
        <v>-0.2851</v>
      </c>
      <c r="S80" s="24" t="n">
        <f aca="false">SABR!S7+$D$12*SABR!S40</f>
        <v>-0.2797</v>
      </c>
      <c r="T80" s="24" t="n">
        <f aca="false">SABR!T7+$D$12*SABR!T40</f>
        <v>-0.2583</v>
      </c>
      <c r="U80" s="24" t="n">
        <f aca="false">SABR!U7+$D$12*SABR!U40</f>
        <v>-0.2308</v>
      </c>
      <c r="V80" s="24" t="n">
        <f aca="false">SABR!V7+$D$12*SABR!V40</f>
        <v>-0.2049</v>
      </c>
      <c r="W80" s="24" t="n">
        <f aca="false">SABR!W7+$D$12*SABR!W40</f>
        <v>-0.1929</v>
      </c>
      <c r="X80" s="24" t="n">
        <f aca="false">SABR!X7+$D$12*SABR!X40</f>
        <v>-0.1771</v>
      </c>
      <c r="Z80" s="35" t="s">
        <v>141</v>
      </c>
      <c r="AA80" s="24" t="n">
        <f aca="false">SABR!AA7+$E$12*SABR!AA40</f>
        <v>0.8595</v>
      </c>
      <c r="AB80" s="24" t="n">
        <f aca="false">SABR!AB7+$E$12*SABR!AB40</f>
        <v>0.8187</v>
      </c>
      <c r="AC80" s="24" t="n">
        <f aca="false">SABR!AC7+$E$12*SABR!AC40</f>
        <v>0.8127</v>
      </c>
      <c r="AD80" s="24" t="n">
        <f aca="false">SABR!AD7+$E$12*SABR!AD40</f>
        <v>0.7791</v>
      </c>
      <c r="AE80" s="24" t="n">
        <f aca="false">SABR!AE7+$E$12*SABR!AE40</f>
        <v>0.754</v>
      </c>
      <c r="AF80" s="24" t="n">
        <f aca="false">SABR!AF7+$E$12*SABR!AF40</f>
        <v>0.7312</v>
      </c>
      <c r="AG80" s="24" t="n">
        <f aca="false">SABR!AG7+$E$12*SABR!AG40</f>
        <v>0.7128</v>
      </c>
      <c r="AH80" s="24" t="n">
        <f aca="false">SABR!AH7+$E$12*SABR!AH40</f>
        <v>0.7008</v>
      </c>
      <c r="AI80" s="24" t="n">
        <f aca="false">SABR!AI7+$E$12*SABR!AI40</f>
        <v>0.6658</v>
      </c>
      <c r="AJ80" s="24" t="n">
        <f aca="false">SABR!AJ7+$E$12*SABR!AJ40</f>
        <v>0.6516</v>
      </c>
      <c r="AL80" s="35" t="s">
        <v>141</v>
      </c>
      <c r="AM80" s="37" t="n">
        <f aca="false">C80*(1+(((2-3*O80^2)/24*AA80^2)+(O80*AA80*C80/4))*0.0833333333333333)</f>
        <v>0.554507369874662</v>
      </c>
      <c r="AN80" s="37" t="n">
        <f aca="false">D80*(1+(((2-3*P80^2)/24*AB80^2)+(P80*AB80*D80/4))*0.0833333333333333)</f>
        <v>0.53409766611788</v>
      </c>
      <c r="AO80" s="37" t="n">
        <f aca="false">E80*(1+(((2-3*Q80^2)/24*AC80^2)+(Q80*AC80*E80/4))*0.0833333333333333)</f>
        <v>0.527109738089396</v>
      </c>
      <c r="AP80" s="37" t="n">
        <f aca="false">F80*(1+(((2-3*R80^2)/24*AD80^2)+(R80*AD80*F80/4))*0.0833333333333333)</f>
        <v>0.498527763405129</v>
      </c>
      <c r="AQ80" s="37" t="n">
        <f aca="false">G80*(1+(((2-3*S80^2)/24*AE80^2)+(S80*AE80*G80/4))*0.0833333333333333)</f>
        <v>0.490690180461319</v>
      </c>
      <c r="AR80" s="37" t="n">
        <f aca="false">H80*(1+(((2-3*T80^2)/24*AF80^2)+(T80*AF80*H80/4))*0.0833333333333333)</f>
        <v>0.47015900977964</v>
      </c>
      <c r="AS80" s="37" t="n">
        <f aca="false">I80*(1+(((2-3*U80^2)/24*AG80^2)+(U80*AG80*I80/4))*0.0833333333333333)</f>
        <v>0.447198229761338</v>
      </c>
      <c r="AT80" s="37" t="n">
        <f aca="false">J80*(1+(((2-3*V80^2)/24*AH80^2)+(V80*AH80*J80/4))*0.0833333333333333)</f>
        <v>0.439126013404005</v>
      </c>
      <c r="AU80" s="37" t="n">
        <f aca="false">K80*(1+(((2-3*W80^2)/24*AI80^2)+(W80*AI80*K80/4))*0.0833333333333333)</f>
        <v>0.412463131938728</v>
      </c>
      <c r="AV80" s="37" t="n">
        <f aca="false">L80*(1+(((2-3*X80^2)/24*AJ80^2)+(X80*AJ80*L80/4))*0.0833333333333333)</f>
        <v>0.403291092720093</v>
      </c>
    </row>
    <row r="81" customFormat="false" ht="15" hidden="false" customHeight="true" outlineLevel="0" collapsed="false">
      <c r="B81" s="35" t="s">
        <v>74</v>
      </c>
      <c r="C81" s="24" t="n">
        <f aca="false">SABR!C8+$C$12*SABR!C41</f>
        <v>0.5432952</v>
      </c>
      <c r="D81" s="24" t="n">
        <f aca="false">SABR!D8+$C$12*SABR!D41</f>
        <v>0.5208392</v>
      </c>
      <c r="E81" s="24" t="n">
        <f aca="false">SABR!E8+$C$12*SABR!E41</f>
        <v>0.5073216</v>
      </c>
      <c r="F81" s="24" t="n">
        <f aca="false">SABR!F8+$C$12*SABR!F41</f>
        <v>0.4804272</v>
      </c>
      <c r="G81" s="24" t="n">
        <f aca="false">SABR!G8+$C$12*SABR!G41</f>
        <v>0.4634968</v>
      </c>
      <c r="H81" s="24" t="n">
        <f aca="false">SABR!H8+$C$12*SABR!H41</f>
        <v>0.4491592</v>
      </c>
      <c r="I81" s="24" t="n">
        <f aca="false">SABR!I8+$C$12*SABR!I41</f>
        <v>0.4416568</v>
      </c>
      <c r="J81" s="24" t="n">
        <f aca="false">SABR!J8+$C$12*SABR!J41</f>
        <v>0.4193904</v>
      </c>
      <c r="K81" s="24" t="n">
        <f aca="false">SABR!K8+$C$12*SABR!K41</f>
        <v>0.4002216</v>
      </c>
      <c r="L81" s="24" t="n">
        <f aca="false">SABR!L8+$C$12*SABR!L41</f>
        <v>0.3884608</v>
      </c>
      <c r="N81" s="35" t="s">
        <v>74</v>
      </c>
      <c r="O81" s="24" t="n">
        <f aca="false">SABR!O8+$D$12*SABR!O41</f>
        <v>-0.3315</v>
      </c>
      <c r="P81" s="24" t="n">
        <f aca="false">SABR!P8+$D$12*SABR!P41</f>
        <v>-0.3151</v>
      </c>
      <c r="Q81" s="24" t="n">
        <f aca="false">SABR!Q8+$D$12*SABR!Q41</f>
        <v>-0.2858</v>
      </c>
      <c r="R81" s="24" t="n">
        <f aca="false">SABR!R8+$D$12*SABR!R41</f>
        <v>-0.2682</v>
      </c>
      <c r="S81" s="24" t="n">
        <f aca="false">SABR!S8+$D$12*SABR!S41</f>
        <v>-0.2579</v>
      </c>
      <c r="T81" s="24" t="n">
        <f aca="false">SABR!T8+$D$12*SABR!T41</f>
        <v>-0.2318</v>
      </c>
      <c r="U81" s="24" t="n">
        <f aca="false">SABR!U8+$D$12*SABR!U41</f>
        <v>-0.2134</v>
      </c>
      <c r="V81" s="24" t="n">
        <f aca="false">SABR!V8+$D$12*SABR!V41</f>
        <v>-0.1869</v>
      </c>
      <c r="W81" s="24" t="n">
        <f aca="false">SABR!W8+$D$12*SABR!W41</f>
        <v>-0.1704</v>
      </c>
      <c r="X81" s="24" t="n">
        <f aca="false">SABR!X8+$D$12*SABR!X41</f>
        <v>-0.1598</v>
      </c>
      <c r="Z81" s="35" t="s">
        <v>74</v>
      </c>
      <c r="AA81" s="24" t="n">
        <f aca="false">SABR!AA8+$E$12*SABR!AA41</f>
        <v>0.8374</v>
      </c>
      <c r="AB81" s="24" t="n">
        <f aca="false">SABR!AB8+$E$12*SABR!AB41</f>
        <v>0.7979</v>
      </c>
      <c r="AC81" s="24" t="n">
        <f aca="false">SABR!AC8+$E$12*SABR!AC41</f>
        <v>0.7817</v>
      </c>
      <c r="AD81" s="24" t="n">
        <f aca="false">SABR!AD8+$E$12*SABR!AD41</f>
        <v>0.7663</v>
      </c>
      <c r="AE81" s="24" t="n">
        <f aca="false">SABR!AE8+$E$12*SABR!AE41</f>
        <v>0.7319</v>
      </c>
      <c r="AF81" s="24" t="n">
        <f aca="false">SABR!AF8+$E$12*SABR!AF41</f>
        <v>0.7164</v>
      </c>
      <c r="AG81" s="24" t="n">
        <f aca="false">SABR!AG8+$E$12*SABR!AG41</f>
        <v>0.6852</v>
      </c>
      <c r="AH81" s="24" t="n">
        <f aca="false">SABR!AH8+$E$12*SABR!AH41</f>
        <v>0.6756</v>
      </c>
      <c r="AI81" s="24" t="n">
        <f aca="false">SABR!AI8+$E$12*SABR!AI41</f>
        <v>0.6553</v>
      </c>
      <c r="AJ81" s="24" t="n">
        <f aca="false">SABR!AJ8+$E$12*SABR!AJ41</f>
        <v>0.6292</v>
      </c>
      <c r="AL81" s="35" t="s">
        <v>74</v>
      </c>
      <c r="AM81" s="37" t="n">
        <f aca="false">C81*(1+(((2-3*O81^2)/24*AA81^2)+(O81*AA81*C81/4))*0.25)</f>
        <v>0.54480278256735</v>
      </c>
      <c r="AN81" s="37" t="n">
        <f aca="false">D81*(1+(((2-3*P81^2)/24*AB81^2)+(P81*AB81*D81/4))*0.25)</f>
        <v>0.522455778235986</v>
      </c>
      <c r="AO81" s="37" t="n">
        <f aca="false">E81*(1+(((2-3*Q81^2)/24*AC81^2)+(Q81*AC81*E81/4))*0.25)</f>
        <v>0.509394907105203</v>
      </c>
      <c r="AP81" s="37" t="n">
        <f aca="false">F81*(1+(((2-3*R81^2)/24*AD81^2)+(R81*AD81*F81/4))*0.25)</f>
        <v>0.482705649756596</v>
      </c>
      <c r="AQ81" s="37" t="n">
        <f aca="false">G81*(1+(((2-3*S81^2)/24*AE81^2)+(S81*AE81*G81/4))*0.25)</f>
        <v>0.465618929623911</v>
      </c>
      <c r="AR81" s="37" t="n">
        <f aca="false">H81*(1+(((2-3*T81^2)/24*AF81^2)+(T81*AF81*H81/4))*0.25)</f>
        <v>0.451480792915138</v>
      </c>
      <c r="AS81" s="37" t="n">
        <f aca="false">I81*(1+(((2-3*U81^2)/24*AG81^2)+(U81*AG81*I81/4))*0.25)</f>
        <v>0.443899022312693</v>
      </c>
      <c r="AT81" s="37" t="n">
        <f aca="false">J81*(1+(((2-3*V81^2)/24*AH81^2)+(V81*AH81*J81/4))*0.25)</f>
        <v>0.421781366535834</v>
      </c>
      <c r="AU81" s="37" t="n">
        <f aca="false">K81*(1+(((2-3*W81^2)/24*AI81^2)+(W81*AI81*K81/4))*0.25)</f>
        <v>0.402528253293415</v>
      </c>
      <c r="AV81" s="37" t="n">
        <f aca="false">L81*(1+(((2-3*X81^2)/24*AJ81^2)+(X81*AJ81*L81/4))*0.25)</f>
        <v>0.390593721870853</v>
      </c>
    </row>
    <row r="82" customFormat="false" ht="15" hidden="false" customHeight="true" outlineLevel="0" collapsed="false">
      <c r="B82" s="35" t="s">
        <v>75</v>
      </c>
      <c r="C82" s="24" t="n">
        <f aca="false">SABR!C9+$C$12*SABR!C42</f>
        <v>0.530872</v>
      </c>
      <c r="D82" s="24" t="n">
        <f aca="false">SABR!D9+$C$12*SABR!D42</f>
        <v>0.5026024</v>
      </c>
      <c r="E82" s="24" t="n">
        <f aca="false">SABR!E9+$C$12*SABR!E42</f>
        <v>0.493272</v>
      </c>
      <c r="F82" s="24" t="n">
        <f aca="false">SABR!F9+$C$12*SABR!F42</f>
        <v>0.4741104</v>
      </c>
      <c r="G82" s="24" t="n">
        <f aca="false">SABR!G9+$C$12*SABR!G42</f>
        <v>0.4568272</v>
      </c>
      <c r="H82" s="24" t="n">
        <f aca="false">SABR!H9+$C$12*SABR!H42</f>
        <v>0.4371272</v>
      </c>
      <c r="I82" s="24" t="n">
        <f aca="false">SABR!I9+$C$12*SABR!I42</f>
        <v>0.4275992</v>
      </c>
      <c r="J82" s="24" t="n">
        <f aca="false">SABR!J9+$C$12*SABR!J42</f>
        <v>0.4127304</v>
      </c>
      <c r="K82" s="24" t="n">
        <f aca="false">SABR!K9+$C$12*SABR!K42</f>
        <v>0.3862416</v>
      </c>
      <c r="L82" s="24" t="n">
        <f aca="false">SABR!L9+$C$12*SABR!L42</f>
        <v>0.3727608</v>
      </c>
      <c r="N82" s="35" t="s">
        <v>75</v>
      </c>
      <c r="O82" s="24" t="n">
        <f aca="false">SABR!O9+$D$12*SABR!O42</f>
        <v>-0.3199</v>
      </c>
      <c r="P82" s="24" t="n">
        <f aca="false">SABR!P9+$D$12*SABR!P42</f>
        <v>-0.2876</v>
      </c>
      <c r="Q82" s="24" t="n">
        <f aca="false">SABR!Q9+$D$12*SABR!Q42</f>
        <v>-0.2693</v>
      </c>
      <c r="R82" s="24" t="n">
        <f aca="false">SABR!R9+$D$12*SABR!R42</f>
        <v>-0.2429</v>
      </c>
      <c r="S82" s="24" t="n">
        <f aca="false">SABR!S9+$D$12*SABR!S42</f>
        <v>-0.2269</v>
      </c>
      <c r="T82" s="24" t="n">
        <f aca="false">SABR!T9+$D$12*SABR!T42</f>
        <v>-0.2182</v>
      </c>
      <c r="U82" s="24" t="n">
        <f aca="false">SABR!U9+$D$12*SABR!U42</f>
        <v>-0.1967</v>
      </c>
      <c r="V82" s="24" t="n">
        <f aca="false">SABR!V9+$D$12*SABR!V42</f>
        <v>-0.1716</v>
      </c>
      <c r="W82" s="24" t="n">
        <f aca="false">SABR!W9+$D$12*SABR!W42</f>
        <v>-0.1651</v>
      </c>
      <c r="X82" s="24" t="n">
        <f aca="false">SABR!X9+$D$12*SABR!X42</f>
        <v>-0.1369</v>
      </c>
      <c r="Z82" s="35" t="s">
        <v>75</v>
      </c>
      <c r="AA82" s="24" t="n">
        <f aca="false">SABR!AA9+$E$12*SABR!AA42</f>
        <v>0.7989</v>
      </c>
      <c r="AB82" s="24" t="n">
        <f aca="false">SABR!AB9+$E$12*SABR!AB42</f>
        <v>0.7757</v>
      </c>
      <c r="AC82" s="24" t="n">
        <f aca="false">SABR!AC9+$E$12*SABR!AC42</f>
        <v>0.7523</v>
      </c>
      <c r="AD82" s="24" t="n">
        <f aca="false">SABR!AD9+$E$12*SABR!AD42</f>
        <v>0.7443</v>
      </c>
      <c r="AE82" s="24" t="n">
        <f aca="false">SABR!AE9+$E$12*SABR!AE42</f>
        <v>0.7093</v>
      </c>
      <c r="AF82" s="24" t="n">
        <f aca="false">SABR!AF9+$E$12*SABR!AF42</f>
        <v>0.6894</v>
      </c>
      <c r="AG82" s="24" t="n">
        <f aca="false">SABR!AG9+$E$12*SABR!AG42</f>
        <v>0.67</v>
      </c>
      <c r="AH82" s="24" t="n">
        <f aca="false">SABR!AH9+$E$12*SABR!AH42</f>
        <v>0.6574</v>
      </c>
      <c r="AI82" s="24" t="n">
        <f aca="false">SABR!AI9+$E$12*SABR!AI42</f>
        <v>0.6194</v>
      </c>
      <c r="AJ82" s="24" t="n">
        <f aca="false">SABR!AJ9+$E$12*SABR!AJ42</f>
        <v>0.6045</v>
      </c>
      <c r="AL82" s="35" t="s">
        <v>75</v>
      </c>
      <c r="AM82" s="37" t="n">
        <f aca="false">C82*(1+(((2-3*O82^2)/24*AA82^2)+(O82*AA82*C82/4))*0.5)</f>
        <v>0.533819373930008</v>
      </c>
      <c r="AN82" s="37" t="n">
        <f aca="false">D82*(1+(((2-3*P82^2)/24*AB82^2)+(P82*AB82*D82/4))*0.5)</f>
        <v>0.506595517134884</v>
      </c>
      <c r="AO82" s="37" t="n">
        <f aca="false">E82*(1+(((2-3*Q82^2)/24*AC82^2)+(Q82*AC82*E82/4))*0.5)</f>
        <v>0.497476858932924</v>
      </c>
      <c r="AP82" s="37" t="n">
        <f aca="false">F82*(1+(((2-3*R82^2)/24*AD82^2)+(R82*AD82*F82/4))*0.5)</f>
        <v>0.479005802692199</v>
      </c>
      <c r="AQ82" s="37" t="n">
        <f aca="false">G82*(1+(((2-3*S82^2)/24*AE82^2)+(S82*AE82*G82/4))*0.5)</f>
        <v>0.461465677600673</v>
      </c>
      <c r="AR82" s="37" t="n">
        <f aca="false">H82*(1+(((2-3*T82^2)/24*AF82^2)+(T82*AF82*H82/4))*0.5)</f>
        <v>0.441572466625735</v>
      </c>
      <c r="AS82" s="37" t="n">
        <f aca="false">I82*(1+(((2-3*U82^2)/24*AG82^2)+(U82*AG82*I82/4))*0.5)</f>
        <v>0.432120863353331</v>
      </c>
      <c r="AT82" s="37" t="n">
        <f aca="false">J82*(1+(((2-3*V82^2)/24*AH82^2)+(V82*AH82*J82/4))*0.5)</f>
        <v>0.417432182047998</v>
      </c>
      <c r="AU82" s="37" t="n">
        <f aca="false">K82*(1+(((2-3*W82^2)/24*AI82^2)+(W82*AI82*K82/4))*0.5)</f>
        <v>0.390256504054207</v>
      </c>
      <c r="AV82" s="37" t="n">
        <f aca="false">L82*(1+(((2-3*X82^2)/24*AJ82^2)+(X82*AJ82*L82/4))*0.5)</f>
        <v>0.37683946744396</v>
      </c>
    </row>
    <row r="83" customFormat="false" ht="15" hidden="false" customHeight="true" outlineLevel="0" collapsed="false">
      <c r="B83" s="35" t="s">
        <v>30</v>
      </c>
      <c r="C83" s="24" t="n">
        <f aca="false">SABR!C10+$C$12*SABR!C43</f>
        <v>0.507264</v>
      </c>
      <c r="D83" s="24" t="n">
        <f aca="false">SABR!D10+$C$12*SABR!D43</f>
        <v>0.496904</v>
      </c>
      <c r="E83" s="24" t="n">
        <f aca="false">SABR!E10+$C$12*SABR!E43</f>
        <v>0.4787544</v>
      </c>
      <c r="F83" s="24" t="n">
        <f aca="false">SABR!F10+$C$12*SABR!F43</f>
        <v>0.46246</v>
      </c>
      <c r="G83" s="24" t="n">
        <f aca="false">SABR!G10+$C$12*SABR!G43</f>
        <v>0.4334456</v>
      </c>
      <c r="H83" s="24" t="n">
        <f aca="false">SABR!H10+$C$12*SABR!H43</f>
        <v>0.419152</v>
      </c>
      <c r="I83" s="24" t="n">
        <f aca="false">SABR!I10+$C$12*SABR!I43</f>
        <v>0.4008768</v>
      </c>
      <c r="J83" s="24" t="n">
        <f aca="false">SABR!J10+$C$12*SABR!J43</f>
        <v>0.3942352</v>
      </c>
      <c r="K83" s="24" t="n">
        <f aca="false">SABR!K10+$C$12*SABR!K43</f>
        <v>0.3788144</v>
      </c>
      <c r="L83" s="24" t="n">
        <f aca="false">SABR!L10+$C$12*SABR!L43</f>
        <v>0.3454048</v>
      </c>
      <c r="N83" s="35" t="s">
        <v>30</v>
      </c>
      <c r="O83" s="24" t="n">
        <f aca="false">SABR!O10+$D$12*SABR!O43</f>
        <v>-0.2981</v>
      </c>
      <c r="P83" s="24" t="n">
        <f aca="false">SABR!P10+$D$12*SABR!P43</f>
        <v>-0.2776</v>
      </c>
      <c r="Q83" s="24" t="n">
        <f aca="false">SABR!Q10+$D$12*SABR!Q43</f>
        <v>-0.2581</v>
      </c>
      <c r="R83" s="24" t="n">
        <f aca="false">SABR!R10+$D$12*SABR!R43</f>
        <v>-0.2336</v>
      </c>
      <c r="S83" s="24" t="n">
        <f aca="false">SABR!S10+$D$12*SABR!S43</f>
        <v>-0.2121</v>
      </c>
      <c r="T83" s="24" t="n">
        <f aca="false">SABR!T10+$D$12*SABR!T43</f>
        <v>-0.1992</v>
      </c>
      <c r="U83" s="24" t="n">
        <f aca="false">SABR!U10+$D$12*SABR!U43</f>
        <v>-0.1849</v>
      </c>
      <c r="V83" s="24" t="n">
        <f aca="false">SABR!V10+$D$12*SABR!V43</f>
        <v>-0.1572</v>
      </c>
      <c r="W83" s="24" t="n">
        <f aca="false">SABR!W10+$D$12*SABR!W43</f>
        <v>-0.1387</v>
      </c>
      <c r="X83" s="24" t="n">
        <f aca="false">SABR!X10+$D$12*SABR!X43</f>
        <v>-0.1153</v>
      </c>
      <c r="Z83" s="35" t="s">
        <v>30</v>
      </c>
      <c r="AA83" s="24" t="n">
        <f aca="false">SABR!AA10+$E$12*SABR!AA43</f>
        <v>0.7924</v>
      </c>
      <c r="AB83" s="24" t="n">
        <f aca="false">SABR!AB10+$E$12*SABR!AB43</f>
        <v>0.7649</v>
      </c>
      <c r="AC83" s="24" t="n">
        <f aca="false">SABR!AC10+$E$12*SABR!AC43</f>
        <v>0.7392</v>
      </c>
      <c r="AD83" s="24" t="n">
        <f aca="false">SABR!AD10+$E$12*SABR!AD43</f>
        <v>0.719</v>
      </c>
      <c r="AE83" s="24" t="n">
        <f aca="false">SABR!AE10+$E$12*SABR!AE43</f>
        <v>0.698</v>
      </c>
      <c r="AF83" s="24" t="n">
        <f aca="false">SABR!AF10+$E$12*SABR!AF43</f>
        <v>0.6633</v>
      </c>
      <c r="AG83" s="24" t="n">
        <f aca="false">SABR!AG10+$E$12*SABR!AG43</f>
        <v>0.658</v>
      </c>
      <c r="AH83" s="24" t="n">
        <f aca="false">SABR!AH10+$E$12*SABR!AH43</f>
        <v>0.6334</v>
      </c>
      <c r="AI83" s="24" t="n">
        <f aca="false">SABR!AI10+$E$12*SABR!AI43</f>
        <v>0.613</v>
      </c>
      <c r="AJ83" s="24" t="n">
        <f aca="false">SABR!AJ10+$E$12*SABR!AJ43</f>
        <v>0.5893</v>
      </c>
      <c r="AL83" s="35" t="s">
        <v>30</v>
      </c>
      <c r="AM83" s="37" t="n">
        <f aca="false">C83*(1+(((2-3*O83^2)/24*AA83^2)+(O83*AA83*C83/4))*1)</f>
        <v>0.515073017415224</v>
      </c>
      <c r="AN83" s="37" t="n">
        <f aca="false">D83*(1+(((2-3*P83^2)/24*AB83^2)+(P83*AB83*D83/4))*1)</f>
        <v>0.505223407384284</v>
      </c>
      <c r="AO83" s="37" t="n">
        <f aca="false">E83*(1+(((2-3*Q83^2)/24*AC83^2)+(Q83*AC83*E83/4))*1)</f>
        <v>0.487443621976221</v>
      </c>
      <c r="AP83" s="37" t="n">
        <f aca="false">F83*(1+(((2-3*R83^2)/24*AD83^2)+(R83*AD83*F83/4))*1)</f>
        <v>0.471771780041423</v>
      </c>
      <c r="AQ83" s="37" t="n">
        <f aca="false">G83*(1+(((2-3*S83^2)/24*AE83^2)+(S83*AE83*G83/4))*1)</f>
        <v>0.442902597726846</v>
      </c>
      <c r="AR83" s="37" t="n">
        <f aca="false">H83*(1+(((2-3*T83^2)/24*AF83^2)+(T83*AF83*H83/4))*1)</f>
        <v>0.42780164798083</v>
      </c>
      <c r="AS83" s="37" t="n">
        <f aca="false">I83*(1+(((2-3*U83^2)/24*AG83^2)+(U83*AG83*I83/4))*1)</f>
        <v>0.409710910955548</v>
      </c>
      <c r="AT83" s="37" t="n">
        <f aca="false">J83*(1+(((2-3*V83^2)/24*AH83^2)+(V83*AH83*J83/4))*1)</f>
        <v>0.403058235518653</v>
      </c>
      <c r="AU83" s="37" t="n">
        <f aca="false">K83*(1+(((2-3*W83^2)/24*AI83^2)+(W83*AI83*K83/4))*1)</f>
        <v>0.387284111814155</v>
      </c>
      <c r="AV83" s="37" t="n">
        <f aca="false">L83*(1+(((2-3*X83^2)/24*AJ83^2)+(X83*AJ83*L83/4))*1)</f>
        <v>0.353174753464617</v>
      </c>
    </row>
    <row r="84" customFormat="false" ht="15" hidden="false" customHeight="true" outlineLevel="0" collapsed="false">
      <c r="B84" s="35" t="s">
        <v>76</v>
      </c>
      <c r="C84" s="24" t="n">
        <f aca="false">SABR!C11+$C$12*SABR!C44</f>
        <v>0.4871712</v>
      </c>
      <c r="D84" s="24" t="n">
        <f aca="false">SABR!D11+$C$12*SABR!D44</f>
        <v>0.4701056</v>
      </c>
      <c r="E84" s="24" t="n">
        <f aca="false">SABR!E11+$C$12*SABR!E44</f>
        <v>0.4470968</v>
      </c>
      <c r="F84" s="24" t="n">
        <f aca="false">SABR!F11+$C$12*SABR!F44</f>
        <v>0.4407232</v>
      </c>
      <c r="G84" s="24" t="n">
        <f aca="false">SABR!G11+$C$12*SABR!G44</f>
        <v>0.4120184</v>
      </c>
      <c r="H84" s="24" t="n">
        <f aca="false">SABR!H11+$C$12*SABR!H44</f>
        <v>0.3951352</v>
      </c>
      <c r="I84" s="24" t="n">
        <f aca="false">SABR!I11+$C$12*SABR!I44</f>
        <v>0.3807496</v>
      </c>
      <c r="J84" s="24" t="n">
        <f aca="false">SABR!J11+$C$12*SABR!J44</f>
        <v>0.362804</v>
      </c>
      <c r="K84" s="24" t="n">
        <f aca="false">SABR!K11+$C$12*SABR!K44</f>
        <v>0.3492144</v>
      </c>
      <c r="L84" s="24" t="n">
        <f aca="false">SABR!L11+$C$12*SABR!L44</f>
        <v>0.3263968</v>
      </c>
      <c r="N84" s="35" t="s">
        <v>76</v>
      </c>
      <c r="O84" s="24" t="n">
        <f aca="false">SABR!O11+$D$12*SABR!O44</f>
        <v>-0.2822</v>
      </c>
      <c r="P84" s="24" t="n">
        <f aca="false">SABR!P11+$D$12*SABR!P44</f>
        <v>-0.2598</v>
      </c>
      <c r="Q84" s="24" t="n">
        <f aca="false">SABR!Q11+$D$12*SABR!Q44</f>
        <v>-0.2413</v>
      </c>
      <c r="R84" s="24" t="n">
        <f aca="false">SABR!R11+$D$12*SABR!R44</f>
        <v>-0.2166</v>
      </c>
      <c r="S84" s="24" t="n">
        <f aca="false">SABR!S11+$D$12*SABR!S44</f>
        <v>-0.2039</v>
      </c>
      <c r="T84" s="24" t="n">
        <f aca="false">SABR!T11+$D$12*SABR!T44</f>
        <v>-0.1675</v>
      </c>
      <c r="U84" s="24" t="n">
        <f aca="false">SABR!U11+$D$12*SABR!U44</f>
        <v>-0.1533</v>
      </c>
      <c r="V84" s="24" t="n">
        <f aca="false">SABR!V11+$D$12*SABR!V44</f>
        <v>-0.1431</v>
      </c>
      <c r="W84" s="24" t="n">
        <f aca="false">SABR!W11+$D$12*SABR!W44</f>
        <v>-0.1216</v>
      </c>
      <c r="X84" s="24" t="n">
        <f aca="false">SABR!X11+$D$12*SABR!X44</f>
        <v>-0.1003</v>
      </c>
      <c r="Z84" s="35" t="s">
        <v>76</v>
      </c>
      <c r="AA84" s="24" t="n">
        <f aca="false">SABR!AA11+$E$12*SABR!AA44</f>
        <v>0.7584</v>
      </c>
      <c r="AB84" s="24" t="n">
        <f aca="false">SABR!AB11+$E$12*SABR!AB44</f>
        <v>0.7313</v>
      </c>
      <c r="AC84" s="24" t="n">
        <f aca="false">SABR!AC11+$E$12*SABR!AC44</f>
        <v>0.7236</v>
      </c>
      <c r="AD84" s="24" t="n">
        <f aca="false">SABR!AD11+$E$12*SABR!AD44</f>
        <v>0.7043</v>
      </c>
      <c r="AE84" s="24" t="n">
        <f aca="false">SABR!AE11+$E$12*SABR!AE44</f>
        <v>0.6715</v>
      </c>
      <c r="AF84" s="24" t="n">
        <f aca="false">SABR!AF11+$E$12*SABR!AF44</f>
        <v>0.6497</v>
      </c>
      <c r="AG84" s="24" t="n">
        <f aca="false">SABR!AG11+$E$12*SABR!AG44</f>
        <v>0.6195</v>
      </c>
      <c r="AH84" s="24" t="n">
        <f aca="false">SABR!AH11+$E$12*SABR!AH44</f>
        <v>0.5976</v>
      </c>
      <c r="AI84" s="24" t="n">
        <f aca="false">SABR!AI11+$E$12*SABR!AI44</f>
        <v>0.5802</v>
      </c>
      <c r="AJ84" s="24" t="n">
        <f aca="false">SABR!AJ11+$E$12*SABR!AJ44</f>
        <v>0.5564</v>
      </c>
      <c r="AL84" s="35" t="s">
        <v>76</v>
      </c>
      <c r="AM84" s="37" t="n">
        <f aca="false">C84*(1+(((2-3*O84^2)/24*AA84^2)+(O84*AA84*C84/4))*2)</f>
        <v>0.50289623938987</v>
      </c>
      <c r="AN84" s="37" t="n">
        <f aca="false">D84*(1+(((2-3*P84^2)/24*AB84^2)+(P84*AB84*D84/4))*2)</f>
        <v>0.48677130228935</v>
      </c>
      <c r="AO84" s="37" t="n">
        <f aca="false">E84*(1+(((2-3*Q84^2)/24*AC84^2)+(Q84*AC84*E84/4))*2)</f>
        <v>0.465254234697545</v>
      </c>
      <c r="AP84" s="37" t="n">
        <f aca="false">F84*(1+(((2-3*R84^2)/24*AD84^2)+(R84*AD84*F84/4))*2)</f>
        <v>0.459779469405725</v>
      </c>
      <c r="AQ84" s="37" t="n">
        <f aca="false">G84*(1+(((2-3*S84^2)/24*AE84^2)+(S84*AE84*G84/4))*2)</f>
        <v>0.429429805651301</v>
      </c>
      <c r="AR84" s="37" t="n">
        <f aca="false">H84*(1+(((2-3*T84^2)/24*AF84^2)+(T84*AF84*H84/4))*2)</f>
        <v>0.413268242948748</v>
      </c>
      <c r="AS84" s="37" t="n">
        <f aca="false">I84*(1+(((2-3*U84^2)/24*AG84^2)+(U84*AG84*I84/4))*2)</f>
        <v>0.397361251814248</v>
      </c>
      <c r="AT84" s="37" t="n">
        <f aca="false">J84*(1+(((2-3*V84^2)/24*AH84^2)+(V84*AH84*J84/4))*2)</f>
        <v>0.378107005410542</v>
      </c>
      <c r="AU84" s="37" t="n">
        <f aca="false">K84*(1+(((2-3*W84^2)/24*AI84^2)+(W84*AI84*K84/4))*2)</f>
        <v>0.364070675333492</v>
      </c>
      <c r="AV84" s="37" t="n">
        <f aca="false">L84*(1+(((2-3*X84^2)/24*AJ84^2)+(X84*AJ84*L84/4))*2)</f>
        <v>0.340011014047426</v>
      </c>
    </row>
    <row r="85" customFormat="false" ht="15" hidden="false" customHeight="true" outlineLevel="0" collapsed="false">
      <c r="B85" s="35" t="s">
        <v>77</v>
      </c>
      <c r="C85" s="24" t="n">
        <f aca="false">SABR!C12+$C$12*SABR!C45</f>
        <v>0.4788544</v>
      </c>
      <c r="D85" s="24" t="n">
        <f aca="false">SABR!D12+$C$12*SABR!D45</f>
        <v>0.4483744</v>
      </c>
      <c r="E85" s="24" t="n">
        <f aca="false">SABR!E12+$C$12*SABR!E45</f>
        <v>0.4283984</v>
      </c>
      <c r="F85" s="24" t="n">
        <f aca="false">SABR!F12+$C$12*SABR!F45</f>
        <v>0.4300344</v>
      </c>
      <c r="G85" s="24" t="n">
        <f aca="false">SABR!G12+$C$12*SABR!G45</f>
        <v>0.4043104</v>
      </c>
      <c r="H85" s="24" t="n">
        <f aca="false">SABR!H12+$C$12*SABR!H45</f>
        <v>0.3796312</v>
      </c>
      <c r="I85" s="24" t="n">
        <f aca="false">SABR!I12+$C$12*SABR!I45</f>
        <v>0.3705288</v>
      </c>
      <c r="J85" s="24" t="n">
        <f aca="false">SABR!J12+$C$12*SABR!J45</f>
        <v>0.3430392</v>
      </c>
      <c r="K85" s="24" t="n">
        <f aca="false">SABR!K12+$C$12*SABR!K45</f>
        <v>0.3358488</v>
      </c>
      <c r="L85" s="24" t="n">
        <f aca="false">SABR!L12+$C$12*SABR!L45</f>
        <v>0.3279712</v>
      </c>
      <c r="N85" s="35" t="s">
        <v>77</v>
      </c>
      <c r="O85" s="24" t="n">
        <f aca="false">SABR!O12+$D$12*SABR!O45</f>
        <v>-0.2455</v>
      </c>
      <c r="P85" s="24" t="n">
        <f aca="false">SABR!P12+$D$12*SABR!P45</f>
        <v>-0.2294</v>
      </c>
      <c r="Q85" s="24" t="n">
        <f aca="false">SABR!Q12+$D$12*SABR!Q45</f>
        <v>-0.2187</v>
      </c>
      <c r="R85" s="24" t="n">
        <f aca="false">SABR!R12+$D$12*SABR!R45</f>
        <v>-0.1971</v>
      </c>
      <c r="S85" s="24" t="n">
        <f aca="false">SABR!S12+$D$12*SABR!S45</f>
        <v>-0.1817</v>
      </c>
      <c r="T85" s="24" t="n">
        <f aca="false">SABR!T12+$D$12*SABR!T45</f>
        <v>-0.1501</v>
      </c>
      <c r="U85" s="24" t="n">
        <f aca="false">SABR!U12+$D$12*SABR!U45</f>
        <v>-0.1355</v>
      </c>
      <c r="V85" s="24" t="n">
        <f aca="false">SABR!V12+$D$12*SABR!V45</f>
        <v>-0.1111</v>
      </c>
      <c r="W85" s="24" t="n">
        <f aca="false">SABR!W12+$D$12*SABR!W45</f>
        <v>-0.1006</v>
      </c>
      <c r="X85" s="24" t="n">
        <f aca="false">SABR!X12+$D$12*SABR!X45</f>
        <v>-0.0833</v>
      </c>
      <c r="Z85" s="35" t="s">
        <v>77</v>
      </c>
      <c r="AA85" s="24" t="n">
        <f aca="false">SABR!AA12+$E$12*SABR!AA45</f>
        <v>0.7451</v>
      </c>
      <c r="AB85" s="24" t="n">
        <f aca="false">SABR!AB12+$E$12*SABR!AB45</f>
        <v>0.7264</v>
      </c>
      <c r="AC85" s="24" t="n">
        <f aca="false">SABR!AC12+$E$12*SABR!AC45</f>
        <v>0.7015</v>
      </c>
      <c r="AD85" s="24" t="n">
        <f aca="false">SABR!AD12+$E$12*SABR!AD45</f>
        <v>0.6783</v>
      </c>
      <c r="AE85" s="24" t="n">
        <f aca="false">SABR!AE12+$E$12*SABR!AE45</f>
        <v>0.6564</v>
      </c>
      <c r="AF85" s="24" t="n">
        <f aca="false">SABR!AF12+$E$12*SABR!AF45</f>
        <v>0.6326</v>
      </c>
      <c r="AG85" s="24" t="n">
        <f aca="false">SABR!AG12+$E$12*SABR!AG45</f>
        <v>0.6001</v>
      </c>
      <c r="AH85" s="24" t="n">
        <f aca="false">SABR!AH12+$E$12*SABR!AH45</f>
        <v>0.5837</v>
      </c>
      <c r="AI85" s="24" t="n">
        <f aca="false">SABR!AI12+$E$12*SABR!AI45</f>
        <v>0.5582</v>
      </c>
      <c r="AJ85" s="24" t="n">
        <f aca="false">SABR!AJ12+$E$12*SABR!AJ45</f>
        <v>0.5295</v>
      </c>
      <c r="AL85" s="35" t="s">
        <v>77</v>
      </c>
      <c r="AM85" s="37" t="n">
        <f aca="false">C85*(1+(((2-3*O85^2)/24*AA85^2)+(O85*AA85*C85/4))*3)</f>
        <v>0.50784953790673</v>
      </c>
      <c r="AN85" s="37" t="n">
        <f aca="false">D85*(1+(((2-3*P85^2)/24*AB85^2)+(P85*AB85*D85/4))*3)</f>
        <v>0.477727160653541</v>
      </c>
      <c r="AO85" s="37" t="n">
        <f aca="false">E85*(1+(((2-3*Q85^2)/24*AC85^2)+(Q85*AC85*E85/4))*3)</f>
        <v>0.456204075971289</v>
      </c>
      <c r="AP85" s="37" t="n">
        <f aca="false">F85*(1+(((2-3*R85^2)/24*AD85^2)+(R85*AD85*F85/4))*3)</f>
        <v>0.458072913144972</v>
      </c>
      <c r="AQ85" s="37" t="n">
        <f aca="false">G85*(1+(((2-3*S85^2)/24*AE85^2)+(S85*AE85*G85/4))*3)</f>
        <v>0.431081811760395</v>
      </c>
      <c r="AR85" s="37" t="n">
        <f aca="false">H85*(1+(((2-3*T85^2)/24*AF85^2)+(T85*AF85*H85/4))*3)</f>
        <v>0.406064627903648</v>
      </c>
      <c r="AS85" s="37" t="n">
        <f aca="false">I85*(1+(((2-3*U85^2)/24*AG85^2)+(U85*AG85*I85/4))*3)</f>
        <v>0.394596047415316</v>
      </c>
      <c r="AT85" s="37" t="n">
        <f aca="false">J85*(1+(((2-3*V85^2)/24*AH85^2)+(V85*AH85*J85/4))*3)</f>
        <v>0.365993691043014</v>
      </c>
      <c r="AU85" s="37" t="n">
        <f aca="false">K85*(1+(((2-3*W85^2)/24*AI85^2)+(W85*AI85*K85/4))*3)</f>
        <v>0.356862732628998</v>
      </c>
      <c r="AV85" s="37" t="n">
        <f aca="false">L85*(1+(((2-3*X85^2)/24*AJ85^2)+(X85*AJ85*L85/4))*3)</f>
        <v>0.347161962570563</v>
      </c>
    </row>
    <row r="86" customFormat="false" ht="15" hidden="false" customHeight="true" outlineLevel="0" collapsed="false">
      <c r="B86" s="35" t="s">
        <v>78</v>
      </c>
      <c r="C86" s="24" t="n">
        <f aca="false">SABR!C13+$C$12*SABR!C46</f>
        <v>0.4456064</v>
      </c>
      <c r="D86" s="24" t="n">
        <f aca="false">SABR!D13+$C$12*SABR!D46</f>
        <v>0.433484</v>
      </c>
      <c r="E86" s="24" t="n">
        <f aca="false">SABR!E13+$C$12*SABR!E46</f>
        <v>0.4162008</v>
      </c>
      <c r="F86" s="24" t="n">
        <f aca="false">SABR!F13+$C$12*SABR!F46</f>
        <v>0.407644</v>
      </c>
      <c r="G86" s="24" t="n">
        <f aca="false">SABR!G13+$C$12*SABR!G46</f>
        <v>0.3958024</v>
      </c>
      <c r="H86" s="24" t="n">
        <f aca="false">SABR!H13+$C$12*SABR!H46</f>
        <v>0.3684032</v>
      </c>
      <c r="I86" s="24" t="n">
        <f aca="false">SABR!I13+$C$12*SABR!I46</f>
        <v>0.361076</v>
      </c>
      <c r="J86" s="24" t="n">
        <f aca="false">SABR!J13+$C$12*SABR!J46</f>
        <v>0.345188</v>
      </c>
      <c r="K86" s="24" t="n">
        <f aca="false">SABR!K13+$C$12*SABR!K46</f>
        <v>0.32736</v>
      </c>
      <c r="L86" s="24" t="n">
        <f aca="false">SABR!L13+$C$12*SABR!L46</f>
        <v>0.2985288</v>
      </c>
      <c r="N86" s="35" t="s">
        <v>78</v>
      </c>
      <c r="O86" s="24" t="n">
        <f aca="false">SABR!O13+$D$12*SABR!O46</f>
        <v>-0.2389</v>
      </c>
      <c r="P86" s="24" t="n">
        <f aca="false">SABR!P13+$D$12*SABR!P46</f>
        <v>-0.2194</v>
      </c>
      <c r="Q86" s="24" t="n">
        <f aca="false">SABR!Q13+$D$12*SABR!Q46</f>
        <v>-0.2005</v>
      </c>
      <c r="R86" s="24" t="n">
        <f aca="false">SABR!R13+$D$12*SABR!R46</f>
        <v>-0.1809</v>
      </c>
      <c r="S86" s="24" t="n">
        <f aca="false">SABR!S13+$D$12*SABR!S46</f>
        <v>-0.1531</v>
      </c>
      <c r="T86" s="24" t="n">
        <f aca="false">SABR!T13+$D$12*SABR!T46</f>
        <v>-0.1281</v>
      </c>
      <c r="U86" s="24" t="n">
        <f aca="false">SABR!U13+$D$12*SABR!U46</f>
        <v>-0.1099</v>
      </c>
      <c r="V86" s="24" t="n">
        <f aca="false">SABR!V13+$D$12*SABR!V46</f>
        <v>-0.0976</v>
      </c>
      <c r="W86" s="24" t="n">
        <f aca="false">SABR!W13+$D$12*SABR!W46</f>
        <v>-0.0747</v>
      </c>
      <c r="X86" s="24" t="n">
        <f aca="false">SABR!X13+$D$12*SABR!X46</f>
        <v>-0.0523</v>
      </c>
      <c r="Z86" s="35" t="s">
        <v>78</v>
      </c>
      <c r="AA86" s="24" t="n">
        <f aca="false">SABR!AA13+$E$12*SABR!AA46</f>
        <v>0.7084</v>
      </c>
      <c r="AB86" s="24" t="n">
        <f aca="false">SABR!AB13+$E$12*SABR!AB46</f>
        <v>0.6977</v>
      </c>
      <c r="AC86" s="24" t="n">
        <f aca="false">SABR!AC13+$E$12*SABR!AC46</f>
        <v>0.6804</v>
      </c>
      <c r="AD86" s="24" t="n">
        <f aca="false">SABR!AD13+$E$12*SABR!AD46</f>
        <v>0.6556</v>
      </c>
      <c r="AE86" s="24" t="n">
        <f aca="false">SABR!AE13+$E$12*SABR!AE46</f>
        <v>0.6328</v>
      </c>
      <c r="AF86" s="24" t="n">
        <f aca="false">SABR!AF13+$E$12*SABR!AF46</f>
        <v>0.6051</v>
      </c>
      <c r="AG86" s="24" t="n">
        <f aca="false">SABR!AG13+$E$12*SABR!AG46</f>
        <v>0.5769</v>
      </c>
      <c r="AH86" s="24" t="n">
        <f aca="false">SABR!AH13+$E$12*SABR!AH46</f>
        <v>0.5669</v>
      </c>
      <c r="AI86" s="24" t="n">
        <f aca="false">SABR!AI13+$E$12*SABR!AI46</f>
        <v>0.5355</v>
      </c>
      <c r="AJ86" s="24" t="n">
        <f aca="false">SABR!AJ13+$E$12*SABR!AJ46</f>
        <v>0.5227</v>
      </c>
      <c r="AL86" s="35" t="s">
        <v>78</v>
      </c>
      <c r="AM86" s="37" t="n">
        <f aca="false">C86*(1+(((2-3*O86^2)/24*AA86^2)+(O86*AA86*C86/4))*5)</f>
        <v>0.488798654875028</v>
      </c>
      <c r="AN86" s="37" t="n">
        <f aca="false">D86*(1+(((2-3*P86^2)/24*AB86^2)+(P86*AB86*D86/4))*5)</f>
        <v>0.479102772086058</v>
      </c>
      <c r="AO86" s="37" t="n">
        <f aca="false">E86*(1+(((2-3*Q86^2)/24*AC86^2)+(Q86*AC86*E86/4))*5)</f>
        <v>0.462103215886029</v>
      </c>
      <c r="AP86" s="37" t="n">
        <f aca="false">F86*(1+(((2-3*R86^2)/24*AD86^2)+(R86*AD86*F86/4))*5)</f>
        <v>0.452429770541288</v>
      </c>
      <c r="AQ86" s="37" t="n">
        <f aca="false">G86*(1+(((2-3*S86^2)/24*AE86^2)+(S86*AE86*G86/4))*5)</f>
        <v>0.440547654470445</v>
      </c>
      <c r="AR86" s="37" t="n">
        <f aca="false">H86*(1+(((2-3*T86^2)/24*AF86^2)+(T86*AF86*H86/4))*5)</f>
        <v>0.410073452626739</v>
      </c>
      <c r="AS86" s="37" t="n">
        <f aca="false">I86*(1+(((2-3*U86^2)/24*AG86^2)+(U86*AG86*I86/4))*5)</f>
        <v>0.399907609490407</v>
      </c>
      <c r="AT86" s="37" t="n">
        <f aca="false">J86*(1+(((2-3*V86^2)/24*AH86^2)+(V86*AH86*J86/4))*5)</f>
        <v>0.382509498361933</v>
      </c>
      <c r="AU86" s="37" t="n">
        <f aca="false">K86*(1+(((2-3*W86^2)/24*AI86^2)+(W86*AI86*K86/4))*5)</f>
        <v>0.360788231520433</v>
      </c>
      <c r="AV86" s="37" t="n">
        <f aca="false">L86*(1+(((2-3*X86^2)/24*AJ86^2)+(X86*AJ86*L86/4))*5)</f>
        <v>0.329328448159477</v>
      </c>
    </row>
    <row r="87" customFormat="false" ht="15" hidden="false" customHeight="true" outlineLevel="0" collapsed="false">
      <c r="B87" s="35" t="s">
        <v>79</v>
      </c>
      <c r="C87" s="24" t="n">
        <f aca="false">SABR!C14+$C$12*SABR!C47</f>
        <v>0.4474176</v>
      </c>
      <c r="D87" s="24" t="n">
        <f aca="false">SABR!D14+$C$12*SABR!D47</f>
        <v>0.4188096</v>
      </c>
      <c r="E87" s="24" t="n">
        <f aca="false">SABR!E14+$C$12*SABR!E47</f>
        <v>0.4019264</v>
      </c>
      <c r="F87" s="24" t="n">
        <f aca="false">SABR!F14+$C$12*SABR!F47</f>
        <v>0.3956552</v>
      </c>
      <c r="G87" s="24" t="n">
        <f aca="false">SABR!G14+$C$12*SABR!G47</f>
        <v>0.3741472</v>
      </c>
      <c r="H87" s="24" t="n">
        <f aca="false">SABR!H14+$C$12*SABR!H47</f>
        <v>0.3460016</v>
      </c>
      <c r="I87" s="24" t="n">
        <f aca="false">SABR!I14+$C$12*SABR!I47</f>
        <v>0.3278728</v>
      </c>
      <c r="J87" s="24" t="n">
        <f aca="false">SABR!J14+$C$12*SABR!J47</f>
        <v>0.3112312</v>
      </c>
      <c r="K87" s="24" t="n">
        <f aca="false">SABR!K14+$C$12*SABR!K47</f>
        <v>0.30942</v>
      </c>
      <c r="L87" s="24" t="n">
        <f aca="false">SABR!L14+$C$12*SABR!L47</f>
        <v>0.2903592</v>
      </c>
      <c r="N87" s="35" t="s">
        <v>79</v>
      </c>
      <c r="O87" s="24" t="n">
        <f aca="false">SABR!O14+$D$12*SABR!O47</f>
        <v>-0.221</v>
      </c>
      <c r="P87" s="24" t="n">
        <f aca="false">SABR!P14+$D$12*SABR!P47</f>
        <v>-0.1879</v>
      </c>
      <c r="Q87" s="24" t="n">
        <f aca="false">SABR!Q14+$D$12*SABR!Q47</f>
        <v>-0.1654</v>
      </c>
      <c r="R87" s="24" t="n">
        <f aca="false">SABR!R14+$D$12*SABR!R47</f>
        <v>-0.1524</v>
      </c>
      <c r="S87" s="24" t="n">
        <f aca="false">SABR!S14+$D$12*SABR!S47</f>
        <v>-0.1391</v>
      </c>
      <c r="T87" s="24" t="n">
        <f aca="false">SABR!T14+$D$12*SABR!T47</f>
        <v>-0.1157</v>
      </c>
      <c r="U87" s="24" t="n">
        <f aca="false">SABR!U14+$D$12*SABR!U47</f>
        <v>-0.1046</v>
      </c>
      <c r="V87" s="24" t="n">
        <f aca="false">SABR!V14+$D$12*SABR!V47</f>
        <v>-0.0875</v>
      </c>
      <c r="W87" s="24" t="n">
        <f aca="false">SABR!W14+$D$12*SABR!W47</f>
        <v>-0.0489</v>
      </c>
      <c r="X87" s="24" t="n">
        <f aca="false">SABR!X14+$D$12*SABR!X47</f>
        <v>-0.0359</v>
      </c>
      <c r="Z87" s="35" t="s">
        <v>79</v>
      </c>
      <c r="AA87" s="24" t="n">
        <f aca="false">SABR!AA14+$E$12*SABR!AA47</f>
        <v>0.695</v>
      </c>
      <c r="AB87" s="24" t="n">
        <f aca="false">SABR!AB14+$E$12*SABR!AB47</f>
        <v>0.6809</v>
      </c>
      <c r="AC87" s="24" t="n">
        <f aca="false">SABR!AC14+$E$12*SABR!AC47</f>
        <v>0.6487</v>
      </c>
      <c r="AD87" s="24" t="n">
        <f aca="false">SABR!AD14+$E$12*SABR!AD47</f>
        <v>0.6352</v>
      </c>
      <c r="AE87" s="24" t="n">
        <f aca="false">SABR!AE14+$E$12*SABR!AE47</f>
        <v>0.6121</v>
      </c>
      <c r="AF87" s="24" t="n">
        <f aca="false">SABR!AF14+$E$12*SABR!AF47</f>
        <v>0.5776</v>
      </c>
      <c r="AG87" s="24" t="n">
        <f aca="false">SABR!AG14+$E$12*SABR!AG47</f>
        <v>0.5561</v>
      </c>
      <c r="AH87" s="24" t="n">
        <f aca="false">SABR!AH14+$E$12*SABR!AH47</f>
        <v>0.5347</v>
      </c>
      <c r="AI87" s="24" t="n">
        <f aca="false">SABR!AI14+$E$12*SABR!AI47</f>
        <v>0.5115</v>
      </c>
      <c r="AJ87" s="24" t="n">
        <f aca="false">SABR!AJ14+$E$12*SABR!AJ47</f>
        <v>0.4962</v>
      </c>
      <c r="AL87" s="35" t="s">
        <v>79</v>
      </c>
      <c r="AM87" s="37" t="n">
        <f aca="false">C87*(1+(((2-3*O87^2)/24*AA87^2)+(O87*AA87*C87/4))*10)</f>
        <v>0.537450901208782</v>
      </c>
      <c r="AN87" s="37" t="n">
        <f aca="false">D87*(1+(((2-3*P87^2)/24*AB87^2)+(P87*AB87*D87/4))*10)</f>
        <v>0.51594638719443</v>
      </c>
      <c r="AO87" s="37" t="n">
        <f aca="false">E87*(1+(((2-3*Q87^2)/24*AC87^2)+(Q87*AC87*E87/4))*10)</f>
        <v>0.493756305058815</v>
      </c>
      <c r="AP87" s="37" t="n">
        <f aca="false">F87*(1+(((2-3*R87^2)/24*AD87^2)+(R87*AD87*F87/4))*10)</f>
        <v>0.486167522726998</v>
      </c>
      <c r="AQ87" s="37" t="n">
        <f aca="false">G87*(1+(((2-3*S87^2)/24*AE87^2)+(S87*AE87*G87/4))*10)</f>
        <v>0.457776649993074</v>
      </c>
      <c r="AR87" s="37" t="n">
        <f aca="false">H87*(1+(((2-3*T87^2)/24*AF87^2)+(T87*AF87*H87/4))*10)</f>
        <v>0.420263521623166</v>
      </c>
      <c r="AS87" s="37" t="n">
        <f aca="false">I87*(1+(((2-3*U87^2)/24*AG87^2)+(U87*AG87*I87/4))*10)</f>
        <v>0.395348134547742</v>
      </c>
      <c r="AT87" s="37" t="n">
        <f aca="false">J87*(1+(((2-3*V87^2)/24*AH87^2)+(V87*AH87*J87/4))*10)</f>
        <v>0.373201647146659</v>
      </c>
      <c r="AU87" s="37" t="n">
        <f aca="false">K87*(1+(((2-3*W87^2)/24*AI87^2)+(W87*AI87*K87/4))*10)</f>
        <v>0.370653150374709</v>
      </c>
      <c r="AV87" s="37" t="n">
        <f aca="false">L87*(1+(((2-3*X87^2)/24*AJ87^2)+(X87*AJ87*L87/4))*10)</f>
        <v>0.346064961927994</v>
      </c>
    </row>
    <row r="88" customFormat="false" ht="15" hidden="false" customHeight="true" outlineLevel="0" collapsed="false">
      <c r="B88" s="35" t="s">
        <v>80</v>
      </c>
      <c r="C88" s="24" t="n">
        <f aca="false">SABR!C15+$C$12*SABR!C48</f>
        <v>0.416052</v>
      </c>
      <c r="D88" s="24" t="n">
        <f aca="false">SABR!D15+$C$12*SABR!D48</f>
        <v>0.4021008</v>
      </c>
      <c r="E88" s="24" t="n">
        <f aca="false">SABR!E15+$C$12*SABR!E48</f>
        <v>0.3794272</v>
      </c>
      <c r="F88" s="24" t="n">
        <f aca="false">SABR!F15+$C$12*SABR!F48</f>
        <v>0.3779528</v>
      </c>
      <c r="G88" s="24" t="n">
        <f aca="false">SABR!G15+$C$12*SABR!G48</f>
        <v>0.3495096</v>
      </c>
      <c r="H88" s="24" t="n">
        <f aca="false">SABR!H15+$C$12*SABR!H48</f>
        <v>0.3346936</v>
      </c>
      <c r="I88" s="24" t="n">
        <f aca="false">SABR!I15+$C$12*SABR!I48</f>
        <v>0.3200424</v>
      </c>
      <c r="J88" s="24" t="n">
        <f aca="false">SABR!J15+$C$12*SABR!J48</f>
        <v>0.3093288</v>
      </c>
      <c r="K88" s="24" t="n">
        <f aca="false">SABR!K15+$C$12*SABR!K48</f>
        <v>0.282444</v>
      </c>
      <c r="L88" s="24" t="n">
        <f aca="false">SABR!L15+$C$12*SABR!L48</f>
        <v>0.27572</v>
      </c>
      <c r="N88" s="35" t="s">
        <v>80</v>
      </c>
      <c r="O88" s="24" t="n">
        <f aca="false">SABR!O15+$D$12*SABR!O48</f>
        <v>-0.1944</v>
      </c>
      <c r="P88" s="24" t="n">
        <f aca="false">SABR!P15+$D$12*SABR!P48</f>
        <v>-0.1744</v>
      </c>
      <c r="Q88" s="24" t="n">
        <f aca="false">SABR!Q15+$D$12*SABR!Q48</f>
        <v>-0.1551</v>
      </c>
      <c r="R88" s="24" t="n">
        <f aca="false">SABR!R15+$D$12*SABR!R48</f>
        <v>-0.1457</v>
      </c>
      <c r="S88" s="24" t="n">
        <f aca="false">SABR!S15+$D$12*SABR!S48</f>
        <v>-0.1179</v>
      </c>
      <c r="T88" s="24" t="n">
        <f aca="false">SABR!T15+$D$12*SABR!T48</f>
        <v>-0.1036</v>
      </c>
      <c r="U88" s="24" t="n">
        <f aca="false">SABR!U15+$D$12*SABR!U48</f>
        <v>-0.0877</v>
      </c>
      <c r="V88" s="24" t="n">
        <f aca="false">SABR!V15+$D$12*SABR!V48</f>
        <v>-0.0523</v>
      </c>
      <c r="W88" s="24" t="n">
        <f aca="false">SABR!W15+$D$12*SABR!W48</f>
        <v>-0.0454</v>
      </c>
      <c r="X88" s="24" t="n">
        <f aca="false">SABR!X15+$D$12*SABR!X48</f>
        <v>-0.02</v>
      </c>
      <c r="Z88" s="35" t="s">
        <v>80</v>
      </c>
      <c r="AA88" s="24" t="n">
        <f aca="false">SABR!AA15+$E$12*SABR!AA48</f>
        <v>0.6767</v>
      </c>
      <c r="AB88" s="24" t="n">
        <f aca="false">SABR!AB15+$E$12*SABR!AB48</f>
        <v>0.6511</v>
      </c>
      <c r="AC88" s="24" t="n">
        <f aca="false">SABR!AC15+$E$12*SABR!AC48</f>
        <v>0.6243</v>
      </c>
      <c r="AD88" s="24" t="n">
        <f aca="false">SABR!AD15+$E$12*SABR!AD48</f>
        <v>0.6059</v>
      </c>
      <c r="AE88" s="24" t="n">
        <f aca="false">SABR!AE15+$E$12*SABR!AE48</f>
        <v>0.5844</v>
      </c>
      <c r="AF88" s="24" t="n">
        <f aca="false">SABR!AF15+$E$12*SABR!AF48</f>
        <v>0.5668</v>
      </c>
      <c r="AG88" s="24" t="n">
        <f aca="false">SABR!AG15+$E$12*SABR!AG48</f>
        <v>0.531</v>
      </c>
      <c r="AH88" s="24" t="n">
        <f aca="false">SABR!AH15+$E$12*SABR!AH48</f>
        <v>0.5179</v>
      </c>
      <c r="AI88" s="24" t="n">
        <f aca="false">SABR!AI15+$E$12*SABR!AI48</f>
        <v>0.4894</v>
      </c>
      <c r="AJ88" s="24" t="n">
        <f aca="false">SABR!AJ15+$E$12*SABR!AJ48</f>
        <v>0.4678</v>
      </c>
      <c r="AL88" s="35" t="s">
        <v>80</v>
      </c>
      <c r="AM88" s="37" t="n">
        <f aca="false">C88*(1+(((2-3*O88^2)/24*AA88^2)+(O88*AA88*C88/4))*20)</f>
        <v>0.601728432612502</v>
      </c>
      <c r="AN88" s="37" t="n">
        <f aca="false">D88*(1+(((2-3*P88^2)/24*AB88^2)+(P88*AB88*D88/4))*20)</f>
        <v>0.581446014832931</v>
      </c>
      <c r="AO88" s="37" t="n">
        <f aca="false">E88*(1+(((2-3*Q88^2)/24*AC88^2)+(Q88*AC88*E88/4))*20)</f>
        <v>0.547303587217888</v>
      </c>
      <c r="AP88" s="37" t="n">
        <f aca="false">F88*(1+(((2-3*R88^2)/24*AD88^2)+(R88*AD88*F88/4))*20)</f>
        <v>0.538789524506772</v>
      </c>
      <c r="AQ88" s="37" t="n">
        <f aca="false">G88*(1+(((2-3*S88^2)/24*AE88^2)+(S88*AE88*G88/4))*20)</f>
        <v>0.502220804308113</v>
      </c>
      <c r="AR88" s="37" t="n">
        <f aca="false">H88*(1+(((2-3*T88^2)/24*AF88^2)+(T88*AF88*H88/4))*20)</f>
        <v>0.478126537431445</v>
      </c>
      <c r="AS88" s="37" t="n">
        <f aca="false">I88*(1+(((2-3*U88^2)/24*AG88^2)+(U88*AG88*I88/4))*20)</f>
        <v>0.44485688705219</v>
      </c>
      <c r="AT88" s="37" t="n">
        <f aca="false">J88*(1+(((2-3*V88^2)/24*AH88^2)+(V88*AH88*J88/4))*20)</f>
        <v>0.434083333085858</v>
      </c>
      <c r="AU88" s="37" t="n">
        <f aca="false">K88*(1+(((2-3*W88^2)/24*AI88^2)+(W88*AI88*K88/4))*20)</f>
        <v>0.385980995778597</v>
      </c>
      <c r="AV88" s="37" t="n">
        <f aca="false">L88*(1+(((2-3*X88^2)/24*AJ88^2)+(X88*AJ88*L88/4))*20)</f>
        <v>0.372666198217057</v>
      </c>
    </row>
    <row r="89" customFormat="false" ht="15" hidden="false" customHeight="true" outlineLevel="0" collapsed="false">
      <c r="B89" s="35" t="s">
        <v>81</v>
      </c>
      <c r="C89" s="24" t="n">
        <f aca="false">SABR!C16+$C$12*SABR!C49</f>
        <v>0.4090576</v>
      </c>
      <c r="D89" s="24" t="n">
        <f aca="false">SABR!D16+$C$12*SABR!D49</f>
        <v>0.3869944</v>
      </c>
      <c r="E89" s="24" t="n">
        <f aca="false">SABR!E16+$C$12*SABR!E49</f>
        <v>0.3707512</v>
      </c>
      <c r="F89" s="24" t="n">
        <f aca="false">SABR!F16+$C$12*SABR!F49</f>
        <v>0.3577536</v>
      </c>
      <c r="G89" s="24" t="n">
        <f aca="false">SABR!G16+$C$12*SABR!G49</f>
        <v>0.343592</v>
      </c>
      <c r="H89" s="24" t="n">
        <f aca="false">SABR!H16+$C$12*SABR!H49</f>
        <v>0.3172232</v>
      </c>
      <c r="I89" s="24" t="n">
        <f aca="false">SABR!I16+$C$12*SABR!I49</f>
        <v>0.3035288</v>
      </c>
      <c r="J89" s="24" t="n">
        <f aca="false">SABR!J16+$C$12*SABR!J49</f>
        <v>0.28412</v>
      </c>
      <c r="K89" s="24" t="n">
        <f aca="false">SABR!K16+$C$12*SABR!K49</f>
        <v>0.26762</v>
      </c>
      <c r="L89" s="24" t="n">
        <f aca="false">SABR!L16+$C$12*SABR!L49</f>
        <v>0.25462</v>
      </c>
      <c r="N89" s="35" t="s">
        <v>81</v>
      </c>
      <c r="O89" s="24" t="n">
        <f aca="false">SABR!O16+$D$12*SABR!O49</f>
        <v>-0.176</v>
      </c>
      <c r="P89" s="24" t="n">
        <f aca="false">SABR!P16+$D$12*SABR!P49</f>
        <v>-0.1549</v>
      </c>
      <c r="Q89" s="24" t="n">
        <f aca="false">SABR!Q16+$D$12*SABR!Q49</f>
        <v>-0.1366</v>
      </c>
      <c r="R89" s="24" t="n">
        <f aca="false">SABR!R16+$D$12*SABR!R49</f>
        <v>-0.1078</v>
      </c>
      <c r="S89" s="24" t="n">
        <f aca="false">SABR!S16+$D$12*SABR!S49</f>
        <v>-0.0932</v>
      </c>
      <c r="T89" s="24" t="n">
        <f aca="false">SABR!T16+$D$12*SABR!T49</f>
        <v>-0.0702</v>
      </c>
      <c r="U89" s="24" t="n">
        <f aca="false">SABR!U16+$D$12*SABR!U49</f>
        <v>-0.0495</v>
      </c>
      <c r="V89" s="24" t="n">
        <f aca="false">SABR!V16+$D$12*SABR!V49</f>
        <v>-0.0437</v>
      </c>
      <c r="W89" s="24" t="n">
        <f aca="false">SABR!W16+$D$12*SABR!W49</f>
        <v>-0.0183</v>
      </c>
      <c r="X89" s="24" t="n">
        <f aca="false">SABR!X16+$D$12*SABR!X49</f>
        <v>0.0089</v>
      </c>
      <c r="Z89" s="35" t="s">
        <v>81</v>
      </c>
      <c r="AA89" s="24" t="n">
        <f aca="false">SABR!AA16+$E$12*SABR!AA49</f>
        <v>0.6568</v>
      </c>
      <c r="AB89" s="24" t="n">
        <f aca="false">SABR!AB16+$E$12*SABR!AB49</f>
        <v>0.6205</v>
      </c>
      <c r="AC89" s="24" t="n">
        <f aca="false">SABR!AC16+$E$12*SABR!AC49</f>
        <v>0.598</v>
      </c>
      <c r="AD89" s="24" t="n">
        <f aca="false">SABR!AD16+$E$12*SABR!AD49</f>
        <v>0.5822</v>
      </c>
      <c r="AE89" s="24" t="n">
        <f aca="false">SABR!AE16+$E$12*SABR!AE49</f>
        <v>0.5526</v>
      </c>
      <c r="AF89" s="24" t="n">
        <f aca="false">SABR!AF16+$E$12*SABR!AF49</f>
        <v>0.5337</v>
      </c>
      <c r="AG89" s="24" t="n">
        <f aca="false">SABR!AG16+$E$12*SABR!AG49</f>
        <v>0.5081</v>
      </c>
      <c r="AH89" s="24" t="n">
        <f aca="false">SABR!AH16+$E$12*SABR!AH49</f>
        <v>0.4978</v>
      </c>
      <c r="AI89" s="24" t="n">
        <f aca="false">SABR!AI16+$E$12*SABR!AI49</f>
        <v>0.4779</v>
      </c>
      <c r="AJ89" s="24" t="n">
        <f aca="false">SABR!AJ16+$E$12*SABR!AJ49</f>
        <v>0.4579</v>
      </c>
      <c r="AL89" s="35" t="s">
        <v>81</v>
      </c>
      <c r="AM89" s="37" t="n">
        <f aca="false">C89*(1+(((2-3*O89^2)/24*AA89^2)+(O89*AA89*C89/4))*30)</f>
        <v>0.684644880739283</v>
      </c>
      <c r="AN89" s="37" t="n">
        <f aca="false">D89*(1+(((2-3*P89^2)/24*AB89^2)+(P89*AB89*D89/4))*30)</f>
        <v>0.638129150527562</v>
      </c>
      <c r="AO89" s="37" t="n">
        <f aca="false">E89*(1+(((2-3*Q89^2)/24*AC89^2)+(Q89*AC89*E89/4))*30)</f>
        <v>0.608716432817623</v>
      </c>
      <c r="AP89" s="37" t="n">
        <f aca="false">F89*(1+(((2-3*R89^2)/24*AD89^2)+(R89*AD89*F89/4))*30)</f>
        <v>0.595381861040095</v>
      </c>
      <c r="AQ89" s="37" t="n">
        <f aca="false">G89*(1+(((2-3*S89^2)/24*AE89^2)+(S89*AE89*G89/4))*30)</f>
        <v>0.556877310505807</v>
      </c>
      <c r="AR89" s="37" t="n">
        <f aca="false">H89*(1+(((2-3*T89^2)/24*AF89^2)+(T89*AF89*H89/4))*30)</f>
        <v>0.513168133579449</v>
      </c>
      <c r="AS89" s="37" t="n">
        <f aca="false">I89*(1+(((2-3*U89^2)/24*AG89^2)+(U89*AG89*I89/4))*30)</f>
        <v>0.48133190493334</v>
      </c>
      <c r="AT89" s="37" t="n">
        <f aca="false">J89*(1+(((2-3*V89^2)/24*AH89^2)+(V89*AH89*J89/4))*30)</f>
        <v>0.446461106581942</v>
      </c>
      <c r="AU89" s="37" t="n">
        <f aca="false">K89*(1+(((2-3*W89^2)/24*AI89^2)+(W89*AI89*K89/4))*30)</f>
        <v>0.415648793895699</v>
      </c>
      <c r="AV89" s="37" t="n">
        <f aca="false">L89*(1+(((2-3*X89^2)/24*AJ89^2)+(X89*AJ89*L89/4))*30)</f>
        <v>0.390052673403253</v>
      </c>
    </row>
    <row r="91" customFormat="false" ht="15" hidden="false" customHeight="true" outlineLevel="0" collapsed="false">
      <c r="A91" s="28" t="s">
        <v>158</v>
      </c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</row>
    <row r="92" customFormat="false" ht="15" hidden="false" customHeight="true" outlineLevel="0" collapsed="false">
      <c r="B92" s="28" t="s">
        <v>136</v>
      </c>
      <c r="C92" s="28"/>
      <c r="D92" s="28"/>
      <c r="E92" s="28"/>
      <c r="F92" s="28"/>
      <c r="G92" s="28"/>
      <c r="H92" s="28"/>
      <c r="I92" s="28"/>
      <c r="J92" s="28"/>
      <c r="K92" s="28"/>
      <c r="L92" s="28"/>
      <c r="N92" s="28" t="s">
        <v>137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Z92" s="28" t="s">
        <v>138</v>
      </c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L92" s="34" t="s">
        <v>139</v>
      </c>
      <c r="AM92" s="34"/>
      <c r="AN92" s="34"/>
      <c r="AO92" s="34"/>
      <c r="AP92" s="34"/>
      <c r="AQ92" s="34"/>
      <c r="AR92" s="34"/>
      <c r="AS92" s="34"/>
      <c r="AT92" s="34"/>
      <c r="AU92" s="34"/>
      <c r="AV92" s="34"/>
    </row>
    <row r="93" customFormat="false" ht="15" hidden="false" customHeight="true" outlineLevel="0" collapsed="false">
      <c r="B93" s="18" t="s">
        <v>140</v>
      </c>
      <c r="C93" s="12" t="s">
        <v>141</v>
      </c>
      <c r="D93" s="12" t="s">
        <v>74</v>
      </c>
      <c r="E93" s="12" t="s">
        <v>75</v>
      </c>
      <c r="F93" s="12" t="s">
        <v>30</v>
      </c>
      <c r="G93" s="12" t="s">
        <v>76</v>
      </c>
      <c r="H93" s="12" t="s">
        <v>77</v>
      </c>
      <c r="I93" s="12" t="s">
        <v>78</v>
      </c>
      <c r="J93" s="12" t="s">
        <v>79</v>
      </c>
      <c r="K93" s="12" t="s">
        <v>80</v>
      </c>
      <c r="L93" s="12" t="s">
        <v>81</v>
      </c>
      <c r="N93" s="18" t="s">
        <v>140</v>
      </c>
      <c r="O93" s="12" t="s">
        <v>141</v>
      </c>
      <c r="P93" s="12" t="s">
        <v>74</v>
      </c>
      <c r="Q93" s="12" t="s">
        <v>75</v>
      </c>
      <c r="R93" s="12" t="s">
        <v>30</v>
      </c>
      <c r="S93" s="12" t="s">
        <v>76</v>
      </c>
      <c r="T93" s="12" t="s">
        <v>77</v>
      </c>
      <c r="U93" s="12" t="s">
        <v>78</v>
      </c>
      <c r="V93" s="12" t="s">
        <v>79</v>
      </c>
      <c r="W93" s="12" t="s">
        <v>80</v>
      </c>
      <c r="X93" s="12" t="s">
        <v>81</v>
      </c>
      <c r="Z93" s="18" t="s">
        <v>140</v>
      </c>
      <c r="AA93" s="12" t="s">
        <v>141</v>
      </c>
      <c r="AB93" s="12" t="s">
        <v>74</v>
      </c>
      <c r="AC93" s="12" t="s">
        <v>75</v>
      </c>
      <c r="AD93" s="12" t="s">
        <v>30</v>
      </c>
      <c r="AE93" s="12" t="s">
        <v>76</v>
      </c>
      <c r="AF93" s="12" t="s">
        <v>77</v>
      </c>
      <c r="AG93" s="12" t="s">
        <v>78</v>
      </c>
      <c r="AH93" s="12" t="s">
        <v>79</v>
      </c>
      <c r="AI93" s="12" t="s">
        <v>80</v>
      </c>
      <c r="AJ93" s="12" t="s">
        <v>81</v>
      </c>
      <c r="AL93" s="18" t="s">
        <v>140</v>
      </c>
      <c r="AM93" s="12" t="s">
        <v>141</v>
      </c>
      <c r="AN93" s="12" t="s">
        <v>74</v>
      </c>
      <c r="AO93" s="12" t="s">
        <v>75</v>
      </c>
      <c r="AP93" s="12" t="s">
        <v>30</v>
      </c>
      <c r="AQ93" s="12" t="s">
        <v>76</v>
      </c>
      <c r="AR93" s="12" t="s">
        <v>77</v>
      </c>
      <c r="AS93" s="12" t="s">
        <v>78</v>
      </c>
      <c r="AT93" s="12" t="s">
        <v>79</v>
      </c>
      <c r="AU93" s="12" t="s">
        <v>80</v>
      </c>
      <c r="AV93" s="12" t="s">
        <v>81</v>
      </c>
    </row>
    <row r="94" customFormat="false" ht="15" hidden="false" customHeight="true" outlineLevel="0" collapsed="false">
      <c r="B94" s="35" t="s">
        <v>141</v>
      </c>
      <c r="C94" s="24" t="n">
        <f aca="false">SABR!C7+$C$13*SABR!C40</f>
        <v>0.5585075</v>
      </c>
      <c r="D94" s="24" t="n">
        <f aca="false">SABR!D7+$C$13*SABR!D40</f>
        <v>0.537785</v>
      </c>
      <c r="E94" s="24" t="n">
        <f aca="false">SABR!E7+$C$13*SABR!E40</f>
        <v>0.53035</v>
      </c>
      <c r="F94" s="24" t="n">
        <f aca="false">SABR!F7+$C$13*SABR!F40</f>
        <v>0.50145</v>
      </c>
      <c r="G94" s="24" t="n">
        <f aca="false">SABR!G7+$C$13*SABR!G40</f>
        <v>0.4933775</v>
      </c>
      <c r="H94" s="24" t="n">
        <f aca="false">SABR!H7+$C$13*SABR!H40</f>
        <v>0.4725275</v>
      </c>
      <c r="I94" s="24" t="n">
        <f aca="false">SABR!I7+$C$13*SABR!I40</f>
        <v>0.449375</v>
      </c>
      <c r="J94" s="24" t="n">
        <f aca="false">SABR!J7+$C$13*SABR!J40</f>
        <v>0.441</v>
      </c>
      <c r="K94" s="24" t="n">
        <f aca="false">SABR!K7+$C$13*SABR!K40</f>
        <v>0.41415</v>
      </c>
      <c r="L94" s="24" t="n">
        <f aca="false">SABR!L7+$C$13*SABR!L40</f>
        <v>0.404715</v>
      </c>
      <c r="N94" s="35" t="s">
        <v>141</v>
      </c>
      <c r="O94" s="24" t="n">
        <f aca="false">SABR!O7+$D$13*SABR!O40</f>
        <v>-0.3586</v>
      </c>
      <c r="P94" s="24" t="n">
        <f aca="false">SABR!P7+$D$13*SABR!P40</f>
        <v>-0.3387</v>
      </c>
      <c r="Q94" s="24" t="n">
        <f aca="false">SABR!Q7+$D$13*SABR!Q40</f>
        <v>-0.3126</v>
      </c>
      <c r="R94" s="24" t="n">
        <f aca="false">SABR!R7+$D$13*SABR!R40</f>
        <v>-0.2851</v>
      </c>
      <c r="S94" s="24" t="n">
        <f aca="false">SABR!S7+$D$13*SABR!S40</f>
        <v>-0.2797</v>
      </c>
      <c r="T94" s="24" t="n">
        <f aca="false">SABR!T7+$D$13*SABR!T40</f>
        <v>-0.2583</v>
      </c>
      <c r="U94" s="24" t="n">
        <f aca="false">SABR!U7+$D$13*SABR!U40</f>
        <v>-0.2308</v>
      </c>
      <c r="V94" s="24" t="n">
        <f aca="false">SABR!V7+$D$13*SABR!V40</f>
        <v>-0.2049</v>
      </c>
      <c r="W94" s="24" t="n">
        <f aca="false">SABR!W7+$D$13*SABR!W40</f>
        <v>-0.1929</v>
      </c>
      <c r="X94" s="24" t="n">
        <f aca="false">SABR!X7+$D$13*SABR!X40</f>
        <v>-0.1771</v>
      </c>
      <c r="Z94" s="35" t="s">
        <v>141</v>
      </c>
      <c r="AA94" s="24" t="n">
        <f aca="false">SABR!AA7+$E$13*SABR!AA40</f>
        <v>0.8595</v>
      </c>
      <c r="AB94" s="24" t="n">
        <f aca="false">SABR!AB7+$E$13*SABR!AB40</f>
        <v>0.8187</v>
      </c>
      <c r="AC94" s="24" t="n">
        <f aca="false">SABR!AC7+$E$13*SABR!AC40</f>
        <v>0.8127</v>
      </c>
      <c r="AD94" s="24" t="n">
        <f aca="false">SABR!AD7+$E$13*SABR!AD40</f>
        <v>0.7791</v>
      </c>
      <c r="AE94" s="24" t="n">
        <f aca="false">SABR!AE7+$E$13*SABR!AE40</f>
        <v>0.754</v>
      </c>
      <c r="AF94" s="24" t="n">
        <f aca="false">SABR!AF7+$E$13*SABR!AF40</f>
        <v>0.7312</v>
      </c>
      <c r="AG94" s="24" t="n">
        <f aca="false">SABR!AG7+$E$13*SABR!AG40</f>
        <v>0.7128</v>
      </c>
      <c r="AH94" s="24" t="n">
        <f aca="false">SABR!AH7+$E$13*SABR!AH40</f>
        <v>0.7008</v>
      </c>
      <c r="AI94" s="24" t="n">
        <f aca="false">SABR!AI7+$E$13*SABR!AI40</f>
        <v>0.6658</v>
      </c>
      <c r="AJ94" s="24" t="n">
        <f aca="false">SABR!AJ7+$E$13*SABR!AJ40</f>
        <v>0.6516</v>
      </c>
      <c r="AL94" s="35" t="s">
        <v>141</v>
      </c>
      <c r="AM94" s="37" t="n">
        <f aca="false">C94*(1+(((2-3*O94^2)/24*AA94^2)+(O94*AA94*C94/4))*0.0833333333333333)</f>
        <v>0.558817083550348</v>
      </c>
      <c r="AN94" s="37" t="n">
        <f aca="false">D94*(1+(((2-3*P94^2)/24*AB94^2)+(P94*AB94*D94/4))*0.0833333333333333)</f>
        <v>0.5381866911971</v>
      </c>
      <c r="AO94" s="37" t="n">
        <f aca="false">E94*(1+(((2-3*Q94^2)/24*AC94^2)+(Q94*AC94*E94/4))*0.0833333333333333)</f>
        <v>0.530937299596902</v>
      </c>
      <c r="AP94" s="37" t="n">
        <f aca="false">F94*(1+(((2-3*R94^2)/24*AD94^2)+(R94*AD94*F94/4))*0.0833333333333333)</f>
        <v>0.502142424396856</v>
      </c>
      <c r="AQ94" s="37" t="n">
        <f aca="false">G94*(1+(((2-3*S94^2)/24*AE94^2)+(S94*AE94*G94/4))*0.0833333333333333)</f>
        <v>0.494027288241494</v>
      </c>
      <c r="AR94" s="37" t="n">
        <f aca="false">H94*(1+(((2-3*T94^2)/24*AF94^2)+(T94*AF94*H94/4))*0.0833333333333333)</f>
        <v>0.473227788647372</v>
      </c>
      <c r="AS94" s="37" t="n">
        <f aca="false">I94*(1+(((2-3*U94^2)/24*AG94^2)+(U94*AG94*I94/4))*0.0833333333333333)</f>
        <v>0.450141748207859</v>
      </c>
      <c r="AT94" s="37" t="n">
        <f aca="false">J94*(1+(((2-3*V94^2)/24*AH94^2)+(V94*AH94*J94/4))*0.0833333333333333)</f>
        <v>0.441827539755586</v>
      </c>
      <c r="AU94" s="37" t="n">
        <f aca="false">K94*(1+(((2-3*W94^2)/24*AI94^2)+(W94*AI94*K94/4))*0.0833333333333333)</f>
        <v>0.414894825188327</v>
      </c>
      <c r="AV94" s="37" t="n">
        <f aca="false">L94*(1+(((2-3*X94^2)/24*AJ94^2)+(X94*AJ94*L94/4))*0.0833333333333333)</f>
        <v>0.405458374458031</v>
      </c>
    </row>
    <row r="95" customFormat="false" ht="15" hidden="false" customHeight="true" outlineLevel="0" collapsed="false">
      <c r="B95" s="35" t="s">
        <v>74</v>
      </c>
      <c r="C95" s="24" t="n">
        <f aca="false">SABR!C8+$C$13*SABR!C41</f>
        <v>0.5473425</v>
      </c>
      <c r="D95" s="24" t="n">
        <f aca="false">SABR!D8+$C$13*SABR!D41</f>
        <v>0.52463</v>
      </c>
      <c r="E95" s="24" t="n">
        <f aca="false">SABR!E8+$C$13*SABR!E41</f>
        <v>0.5108775</v>
      </c>
      <c r="F95" s="24" t="n">
        <f aca="false">SABR!F8+$C$13*SABR!F41</f>
        <v>0.483705</v>
      </c>
      <c r="G95" s="24" t="n">
        <f aca="false">SABR!G8+$C$13*SABR!G41</f>
        <v>0.466645</v>
      </c>
      <c r="H95" s="24" t="n">
        <f aca="false">SABR!H8+$C$13*SABR!H41</f>
        <v>0.452005</v>
      </c>
      <c r="I95" s="24" t="n">
        <f aca="false">SABR!I8+$C$13*SABR!I41</f>
        <v>0.4443325</v>
      </c>
      <c r="J95" s="24" t="n">
        <f aca="false">SABR!J8+$C$13*SABR!J41</f>
        <v>0.4217475</v>
      </c>
      <c r="K95" s="24" t="n">
        <f aca="false">SABR!K8+$C$13*SABR!K41</f>
        <v>0.4024275</v>
      </c>
      <c r="L95" s="24" t="n">
        <f aca="false">SABR!L8+$C$13*SABR!L41</f>
        <v>0.3904075</v>
      </c>
      <c r="N95" s="35" t="s">
        <v>74</v>
      </c>
      <c r="O95" s="24" t="n">
        <f aca="false">SABR!O8+$D$13*SABR!O41</f>
        <v>-0.3315</v>
      </c>
      <c r="P95" s="24" t="n">
        <f aca="false">SABR!P8+$D$13*SABR!P41</f>
        <v>-0.3151</v>
      </c>
      <c r="Q95" s="24" t="n">
        <f aca="false">SABR!Q8+$D$13*SABR!Q41</f>
        <v>-0.2858</v>
      </c>
      <c r="R95" s="24" t="n">
        <f aca="false">SABR!R8+$D$13*SABR!R41</f>
        <v>-0.2682</v>
      </c>
      <c r="S95" s="24" t="n">
        <f aca="false">SABR!S8+$D$13*SABR!S41</f>
        <v>-0.2579</v>
      </c>
      <c r="T95" s="24" t="n">
        <f aca="false">SABR!T8+$D$13*SABR!T41</f>
        <v>-0.2318</v>
      </c>
      <c r="U95" s="24" t="n">
        <f aca="false">SABR!U8+$D$13*SABR!U41</f>
        <v>-0.2134</v>
      </c>
      <c r="V95" s="24" t="n">
        <f aca="false">SABR!V8+$D$13*SABR!V41</f>
        <v>-0.1869</v>
      </c>
      <c r="W95" s="24" t="n">
        <f aca="false">SABR!W8+$D$13*SABR!W41</f>
        <v>-0.1704</v>
      </c>
      <c r="X95" s="24" t="n">
        <f aca="false">SABR!X8+$D$13*SABR!X41</f>
        <v>-0.1598</v>
      </c>
      <c r="Z95" s="35" t="s">
        <v>74</v>
      </c>
      <c r="AA95" s="24" t="n">
        <f aca="false">SABR!AA8+$E$13*SABR!AA41</f>
        <v>0.8374</v>
      </c>
      <c r="AB95" s="24" t="n">
        <f aca="false">SABR!AB8+$E$13*SABR!AB41</f>
        <v>0.7979</v>
      </c>
      <c r="AC95" s="24" t="n">
        <f aca="false">SABR!AC8+$E$13*SABR!AC41</f>
        <v>0.7817</v>
      </c>
      <c r="AD95" s="24" t="n">
        <f aca="false">SABR!AD8+$E$13*SABR!AD41</f>
        <v>0.7663</v>
      </c>
      <c r="AE95" s="24" t="n">
        <f aca="false">SABR!AE8+$E$13*SABR!AE41</f>
        <v>0.7319</v>
      </c>
      <c r="AF95" s="24" t="n">
        <f aca="false">SABR!AF8+$E$13*SABR!AF41</f>
        <v>0.7164</v>
      </c>
      <c r="AG95" s="24" t="n">
        <f aca="false">SABR!AG8+$E$13*SABR!AG41</f>
        <v>0.6852</v>
      </c>
      <c r="AH95" s="24" t="n">
        <f aca="false">SABR!AH8+$E$13*SABR!AH41</f>
        <v>0.6756</v>
      </c>
      <c r="AI95" s="24" t="n">
        <f aca="false">SABR!AI8+$E$13*SABR!AI41</f>
        <v>0.6553</v>
      </c>
      <c r="AJ95" s="24" t="n">
        <f aca="false">SABR!AJ8+$E$13*SABR!AJ41</f>
        <v>0.6292</v>
      </c>
      <c r="AL95" s="35" t="s">
        <v>74</v>
      </c>
      <c r="AM95" s="37" t="n">
        <f aca="false">C95*(1+(((2-3*O95^2)/24*AA95^2)+(O95*AA95*C95/4))*0.25)</f>
        <v>0.548822878880067</v>
      </c>
      <c r="AN95" s="37" t="n">
        <f aca="false">D95*(1+(((2-3*P95^2)/24*AB95^2)+(P95*AB95*D95/4))*0.25)</f>
        <v>0.526227093321782</v>
      </c>
      <c r="AO95" s="37" t="n">
        <f aca="false">E95*(1+(((2-3*Q95^2)/24*AC95^2)+(Q95*AC95*E95/4))*0.25)</f>
        <v>0.512939973447389</v>
      </c>
      <c r="AP95" s="37" t="n">
        <f aca="false">F95*(1+(((2-3*R95^2)/24*AD95^2)+(R95*AD95*F95/4))*0.25)</f>
        <v>0.485978629124154</v>
      </c>
      <c r="AQ95" s="37" t="n">
        <f aca="false">G95*(1+(((2-3*S95^2)/24*AE95^2)+(S95*AE95*G95/4))*0.25)</f>
        <v>0.468764212386464</v>
      </c>
      <c r="AR95" s="37" t="n">
        <f aca="false">H95*(1+(((2-3*T95^2)/24*AF95^2)+(T95*AF95*H95/4))*0.25)</f>
        <v>0.454327951679515</v>
      </c>
      <c r="AS95" s="37" t="n">
        <f aca="false">I95*(1+(((2-3*U95^2)/24*AG95^2)+(U95*AG95*I95/4))*0.25)</f>
        <v>0.446577441232981</v>
      </c>
      <c r="AT95" s="37" t="n">
        <f aca="false">J95*(1+(((2-3*V95^2)/24*AH95^2)+(V95*AH95*J95/4))*0.25)</f>
        <v>0.424144059187108</v>
      </c>
      <c r="AU95" s="37" t="n">
        <f aca="false">K95*(1+(((2-3*W95^2)/24*AI95^2)+(W95*AI95*K95/4))*0.25)</f>
        <v>0.404740671553425</v>
      </c>
      <c r="AV95" s="37" t="n">
        <f aca="false">L95*(1+(((2-3*X95^2)/24*AJ95^2)+(X95*AJ95*L95/4))*0.25)</f>
        <v>0.39254633463526</v>
      </c>
    </row>
    <row r="96" customFormat="false" ht="15" hidden="false" customHeight="true" outlineLevel="0" collapsed="false">
      <c r="B96" s="35" t="s">
        <v>75</v>
      </c>
      <c r="C96" s="24" t="n">
        <f aca="false">SABR!C9+$C$13*SABR!C42</f>
        <v>0.534625</v>
      </c>
      <c r="D96" s="24" t="n">
        <f aca="false">SABR!D9+$C$13*SABR!D42</f>
        <v>0.5061475</v>
      </c>
      <c r="E96" s="24" t="n">
        <f aca="false">SABR!E9+$C$13*SABR!E42</f>
        <v>0.4966875</v>
      </c>
      <c r="F96" s="24" t="n">
        <f aca="false">SABR!F9+$C$13*SABR!F42</f>
        <v>0.47721</v>
      </c>
      <c r="G96" s="24" t="n">
        <f aca="false">SABR!G9+$C$13*SABR!G42</f>
        <v>0.4597675</v>
      </c>
      <c r="H96" s="24" t="n">
        <f aca="false">SABR!H9+$C$13*SABR!H42</f>
        <v>0.43973</v>
      </c>
      <c r="I96" s="24" t="n">
        <f aca="false">SABR!I9+$C$13*SABR!I42</f>
        <v>0.429905</v>
      </c>
      <c r="J96" s="24" t="n">
        <f aca="false">SABR!J9+$C$13*SABR!J42</f>
        <v>0.414885</v>
      </c>
      <c r="K96" s="24" t="n">
        <f aca="false">SABR!K9+$C$13*SABR!K42</f>
        <v>0.3881775</v>
      </c>
      <c r="L96" s="24" t="n">
        <f aca="false">SABR!L9+$C$13*SABR!L42</f>
        <v>0.37437</v>
      </c>
      <c r="N96" s="35" t="s">
        <v>75</v>
      </c>
      <c r="O96" s="24" t="n">
        <f aca="false">SABR!O9+$D$13*SABR!O42</f>
        <v>-0.3199</v>
      </c>
      <c r="P96" s="24" t="n">
        <f aca="false">SABR!P9+$D$13*SABR!P42</f>
        <v>-0.2876</v>
      </c>
      <c r="Q96" s="24" t="n">
        <f aca="false">SABR!Q9+$D$13*SABR!Q42</f>
        <v>-0.2693</v>
      </c>
      <c r="R96" s="24" t="n">
        <f aca="false">SABR!R9+$D$13*SABR!R42</f>
        <v>-0.2429</v>
      </c>
      <c r="S96" s="24" t="n">
        <f aca="false">SABR!S9+$D$13*SABR!S42</f>
        <v>-0.2269</v>
      </c>
      <c r="T96" s="24" t="n">
        <f aca="false">SABR!T9+$D$13*SABR!T42</f>
        <v>-0.2182</v>
      </c>
      <c r="U96" s="24" t="n">
        <f aca="false">SABR!U9+$D$13*SABR!U42</f>
        <v>-0.1967</v>
      </c>
      <c r="V96" s="24" t="n">
        <f aca="false">SABR!V9+$D$13*SABR!V42</f>
        <v>-0.1716</v>
      </c>
      <c r="W96" s="24" t="n">
        <f aca="false">SABR!W9+$D$13*SABR!W42</f>
        <v>-0.1651</v>
      </c>
      <c r="X96" s="24" t="n">
        <f aca="false">SABR!X9+$D$13*SABR!X42</f>
        <v>-0.1369</v>
      </c>
      <c r="Z96" s="35" t="s">
        <v>75</v>
      </c>
      <c r="AA96" s="24" t="n">
        <f aca="false">SABR!AA9+$E$13*SABR!AA42</f>
        <v>0.7989</v>
      </c>
      <c r="AB96" s="24" t="n">
        <f aca="false">SABR!AB9+$E$13*SABR!AB42</f>
        <v>0.7757</v>
      </c>
      <c r="AC96" s="24" t="n">
        <f aca="false">SABR!AC9+$E$13*SABR!AC42</f>
        <v>0.7523</v>
      </c>
      <c r="AD96" s="24" t="n">
        <f aca="false">SABR!AD9+$E$13*SABR!AD42</f>
        <v>0.7443</v>
      </c>
      <c r="AE96" s="24" t="n">
        <f aca="false">SABR!AE9+$E$13*SABR!AE42</f>
        <v>0.7093</v>
      </c>
      <c r="AF96" s="24" t="n">
        <f aca="false">SABR!AF9+$E$13*SABR!AF42</f>
        <v>0.6894</v>
      </c>
      <c r="AG96" s="24" t="n">
        <f aca="false">SABR!AG9+$E$13*SABR!AG42</f>
        <v>0.67</v>
      </c>
      <c r="AH96" s="24" t="n">
        <f aca="false">SABR!AH9+$E$13*SABR!AH42</f>
        <v>0.6574</v>
      </c>
      <c r="AI96" s="24" t="n">
        <f aca="false">SABR!AI9+$E$13*SABR!AI42</f>
        <v>0.6194</v>
      </c>
      <c r="AJ96" s="24" t="n">
        <f aca="false">SABR!AJ9+$E$13*SABR!AJ42</f>
        <v>0.6045</v>
      </c>
      <c r="AL96" s="35" t="s">
        <v>75</v>
      </c>
      <c r="AM96" s="37" t="n">
        <f aca="false">C96*(1+(((2-3*O96^2)/24*AA96^2)+(O96*AA96*C96/4))*0.5)</f>
        <v>0.537529112388788</v>
      </c>
      <c r="AN96" s="37" t="n">
        <f aca="false">D96*(1+(((2-3*P96^2)/24*AB96^2)+(P96*AB96*D96/4))*0.5)</f>
        <v>0.510118744731144</v>
      </c>
      <c r="AO96" s="37" t="n">
        <f aca="false">E96*(1+(((2-3*Q96^2)/24*AC96^2)+(Q96*AC96*E96/4))*0.5)</f>
        <v>0.500878513041924</v>
      </c>
      <c r="AP96" s="37" t="n">
        <f aca="false">F96*(1+(((2-3*R96^2)/24*AD96^2)+(R96*AD96*F96/4))*0.5)</f>
        <v>0.482103980196933</v>
      </c>
      <c r="AQ96" s="37" t="n">
        <f aca="false">G96*(1+(((2-3*S96^2)/24*AE96^2)+(S96*AE96*G96/4))*0.5)</f>
        <v>0.464408636509308</v>
      </c>
      <c r="AR96" s="37" t="n">
        <f aca="false">H96*(1+(((2-3*T96^2)/24*AF96^2)+(T96*AF96*H96/4))*0.5)</f>
        <v>0.444180214190203</v>
      </c>
      <c r="AS96" s="37" t="n">
        <f aca="false">I96*(1+(((2-3*U96^2)/24*AG96^2)+(U96*AG96*I96/4))*0.5)</f>
        <v>0.434434716227841</v>
      </c>
      <c r="AT96" s="37" t="n">
        <f aca="false">J96*(1+(((2-3*V96^2)/24*AH96^2)+(V96*AH96*J96/4))*0.5)</f>
        <v>0.419598721780725</v>
      </c>
      <c r="AU96" s="37" t="n">
        <f aca="false">K96*(1+(((2-3*W96^2)/24*AI96^2)+(W96*AI96*K96/4))*0.5)</f>
        <v>0.392202921369362</v>
      </c>
      <c r="AV96" s="37" t="n">
        <f aca="false">L96*(1+(((2-3*X96^2)/24*AJ96^2)+(X96*AJ96*L96/4))*0.5)</f>
        <v>0.378460043054616</v>
      </c>
    </row>
    <row r="97" customFormat="false" ht="15" hidden="false" customHeight="true" outlineLevel="0" collapsed="false">
      <c r="B97" s="35" t="s">
        <v>30</v>
      </c>
      <c r="C97" s="24" t="n">
        <f aca="false">SABR!C10+$C$13*SABR!C43</f>
        <v>0.5107875</v>
      </c>
      <c r="D97" s="24" t="n">
        <f aca="false">SABR!D10+$C$13*SABR!D43</f>
        <v>0.500225</v>
      </c>
      <c r="E97" s="24" t="n">
        <f aca="false">SABR!E10+$C$13*SABR!E43</f>
        <v>0.481935</v>
      </c>
      <c r="F97" s="24" t="n">
        <f aca="false">SABR!F10+$C$13*SABR!F43</f>
        <v>0.4653625</v>
      </c>
      <c r="G97" s="24" t="n">
        <f aca="false">SABR!G10+$C$13*SABR!G43</f>
        <v>0.4360025</v>
      </c>
      <c r="H97" s="24" t="n">
        <f aca="false">SABR!H10+$C$13*SABR!H43</f>
        <v>0.4214875</v>
      </c>
      <c r="I97" s="24" t="n">
        <f aca="false">SABR!I10+$C$13*SABR!I43</f>
        <v>0.402945</v>
      </c>
      <c r="J97" s="24" t="n">
        <f aca="false">SABR!J10+$C$13*SABR!J43</f>
        <v>0.396055</v>
      </c>
      <c r="K97" s="24" t="n">
        <f aca="false">SABR!K10+$C$13*SABR!K43</f>
        <v>0.38051</v>
      </c>
      <c r="L97" s="24" t="n">
        <f aca="false">SABR!L10+$C$13*SABR!L43</f>
        <v>0.3467575</v>
      </c>
      <c r="N97" s="35" t="s">
        <v>30</v>
      </c>
      <c r="O97" s="24" t="n">
        <f aca="false">SABR!O10+$D$13*SABR!O43</f>
        <v>-0.2981</v>
      </c>
      <c r="P97" s="24" t="n">
        <f aca="false">SABR!P10+$D$13*SABR!P43</f>
        <v>-0.2776</v>
      </c>
      <c r="Q97" s="24" t="n">
        <f aca="false">SABR!Q10+$D$13*SABR!Q43</f>
        <v>-0.2581</v>
      </c>
      <c r="R97" s="24" t="n">
        <f aca="false">SABR!R10+$D$13*SABR!R43</f>
        <v>-0.2336</v>
      </c>
      <c r="S97" s="24" t="n">
        <f aca="false">SABR!S10+$D$13*SABR!S43</f>
        <v>-0.2121</v>
      </c>
      <c r="T97" s="24" t="n">
        <f aca="false">SABR!T10+$D$13*SABR!T43</f>
        <v>-0.1992</v>
      </c>
      <c r="U97" s="24" t="n">
        <f aca="false">SABR!U10+$D$13*SABR!U43</f>
        <v>-0.1849</v>
      </c>
      <c r="V97" s="24" t="n">
        <f aca="false">SABR!V10+$D$13*SABR!V43</f>
        <v>-0.1572</v>
      </c>
      <c r="W97" s="24" t="n">
        <f aca="false">SABR!W10+$D$13*SABR!W43</f>
        <v>-0.1387</v>
      </c>
      <c r="X97" s="24" t="n">
        <f aca="false">SABR!X10+$D$13*SABR!X43</f>
        <v>-0.1153</v>
      </c>
      <c r="Z97" s="35" t="s">
        <v>30</v>
      </c>
      <c r="AA97" s="24" t="n">
        <f aca="false">SABR!AA10+$E$13*SABR!AA43</f>
        <v>0.7924</v>
      </c>
      <c r="AB97" s="24" t="n">
        <f aca="false">SABR!AB10+$E$13*SABR!AB43</f>
        <v>0.7649</v>
      </c>
      <c r="AC97" s="24" t="n">
        <f aca="false">SABR!AC10+$E$13*SABR!AC43</f>
        <v>0.7392</v>
      </c>
      <c r="AD97" s="24" t="n">
        <f aca="false">SABR!AD10+$E$13*SABR!AD43</f>
        <v>0.719</v>
      </c>
      <c r="AE97" s="24" t="n">
        <f aca="false">SABR!AE10+$E$13*SABR!AE43</f>
        <v>0.698</v>
      </c>
      <c r="AF97" s="24" t="n">
        <f aca="false">SABR!AF10+$E$13*SABR!AF43</f>
        <v>0.6633</v>
      </c>
      <c r="AG97" s="24" t="n">
        <f aca="false">SABR!AG10+$E$13*SABR!AG43</f>
        <v>0.658</v>
      </c>
      <c r="AH97" s="24" t="n">
        <f aca="false">SABR!AH10+$E$13*SABR!AH43</f>
        <v>0.6334</v>
      </c>
      <c r="AI97" s="24" t="n">
        <f aca="false">SABR!AI10+$E$13*SABR!AI43</f>
        <v>0.613</v>
      </c>
      <c r="AJ97" s="24" t="n">
        <f aca="false">SABR!AJ10+$E$13*SABR!AJ43</f>
        <v>0.5893</v>
      </c>
      <c r="AL97" s="35" t="s">
        <v>30</v>
      </c>
      <c r="AM97" s="37" t="n">
        <f aca="false">C97*(1+(((2-3*O97^2)/24*AA97^2)+(O97*AA97*C97/4))*1)</f>
        <v>0.518544477220744</v>
      </c>
      <c r="AN97" s="37" t="n">
        <f aca="false">D97*(1+(((2-3*P97^2)/24*AB97^2)+(P97*AB97*D97/4))*1)</f>
        <v>0.508511823427048</v>
      </c>
      <c r="AO97" s="37" t="n">
        <f aca="false">E97*(1+(((2-3*Q97^2)/24*AC97^2)+(Q97*AC97*E97/4))*1)</f>
        <v>0.490608836931357</v>
      </c>
      <c r="AP97" s="37" t="n">
        <f aca="false">F97*(1+(((2-3*R97^2)/24*AD97^2)+(R97*AD97*F97/4))*1)</f>
        <v>0.474676006839305</v>
      </c>
      <c r="AQ97" s="37" t="n">
        <f aca="false">G97*(1+(((2-3*S97^2)/24*AE97^2)+(S97*AE97*G97/4))*1)</f>
        <v>0.445474023740616</v>
      </c>
      <c r="AR97" s="37" t="n">
        <f aca="false">H97*(1+(((2-3*T97^2)/24*AF97^2)+(T97*AF97*H97/4))*1)</f>
        <v>0.430152827002157</v>
      </c>
      <c r="AS97" s="37" t="n">
        <f aca="false">I97*(1+(((2-3*U97^2)/24*AG97^2)+(U97*AG97*I97/4))*1)</f>
        <v>0.411799339972341</v>
      </c>
      <c r="AT97" s="37" t="n">
        <f aca="false">J97*(1+(((2-3*V97^2)/24*AH97^2)+(V97*AH97*J97/4))*1)</f>
        <v>0.40490082175243</v>
      </c>
      <c r="AU97" s="37" t="n">
        <f aca="false">K97*(1+(((2-3*W97^2)/24*AI97^2)+(W97*AI97*K97/4))*1)</f>
        <v>0.389003908770173</v>
      </c>
      <c r="AV97" s="37" t="n">
        <f aca="false">L97*(1+(((2-3*X97^2)/24*AJ97^2)+(X97*AJ97*L97/4))*1)</f>
        <v>0.354549915032496</v>
      </c>
    </row>
    <row r="98" customFormat="false" ht="15" hidden="false" customHeight="true" outlineLevel="0" collapsed="false">
      <c r="B98" s="35" t="s">
        <v>76</v>
      </c>
      <c r="C98" s="24" t="n">
        <f aca="false">SABR!C11+$C$13*SABR!C44</f>
        <v>0.49053</v>
      </c>
      <c r="D98" s="24" t="n">
        <f aca="false">SABR!D11+$C$13*SABR!D44</f>
        <v>0.4732025</v>
      </c>
      <c r="E98" s="24" t="n">
        <f aca="false">SABR!E11+$C$13*SABR!E44</f>
        <v>0.4499075</v>
      </c>
      <c r="F98" s="24" t="n">
        <f aca="false">SABR!F11+$C$13*SABR!F44</f>
        <v>0.44338</v>
      </c>
      <c r="G98" s="24" t="n">
        <f aca="false">SABR!G11+$C$13*SABR!G44</f>
        <v>0.414335</v>
      </c>
      <c r="H98" s="24" t="n">
        <f aca="false">SABR!H11+$C$13*SABR!H44</f>
        <v>0.3972925</v>
      </c>
      <c r="I98" s="24" t="n">
        <f aca="false">SABR!I11+$C$13*SABR!I44</f>
        <v>0.3825775</v>
      </c>
      <c r="J98" s="24" t="n">
        <f aca="false">SABR!J11+$C$13*SABR!J44</f>
        <v>0.3644375</v>
      </c>
      <c r="K98" s="24" t="n">
        <f aca="false">SABR!K11+$C$13*SABR!K44</f>
        <v>0.3505725</v>
      </c>
      <c r="L98" s="24" t="n">
        <f aca="false">SABR!L11+$C$13*SABR!L44</f>
        <v>0.32752</v>
      </c>
      <c r="N98" s="35" t="s">
        <v>76</v>
      </c>
      <c r="O98" s="24" t="n">
        <f aca="false">SABR!O11+$D$13*SABR!O44</f>
        <v>-0.2822</v>
      </c>
      <c r="P98" s="24" t="n">
        <f aca="false">SABR!P11+$D$13*SABR!P44</f>
        <v>-0.2598</v>
      </c>
      <c r="Q98" s="24" t="n">
        <f aca="false">SABR!Q11+$D$13*SABR!Q44</f>
        <v>-0.2413</v>
      </c>
      <c r="R98" s="24" t="n">
        <f aca="false">SABR!R11+$D$13*SABR!R44</f>
        <v>-0.2166</v>
      </c>
      <c r="S98" s="24" t="n">
        <f aca="false">SABR!S11+$D$13*SABR!S44</f>
        <v>-0.2039</v>
      </c>
      <c r="T98" s="24" t="n">
        <f aca="false">SABR!T11+$D$13*SABR!T44</f>
        <v>-0.1675</v>
      </c>
      <c r="U98" s="24" t="n">
        <f aca="false">SABR!U11+$D$13*SABR!U44</f>
        <v>-0.1533</v>
      </c>
      <c r="V98" s="24" t="n">
        <f aca="false">SABR!V11+$D$13*SABR!V44</f>
        <v>-0.1431</v>
      </c>
      <c r="W98" s="24" t="n">
        <f aca="false">SABR!W11+$D$13*SABR!W44</f>
        <v>-0.1216</v>
      </c>
      <c r="X98" s="24" t="n">
        <f aca="false">SABR!X11+$D$13*SABR!X44</f>
        <v>-0.1003</v>
      </c>
      <c r="Z98" s="35" t="s">
        <v>76</v>
      </c>
      <c r="AA98" s="24" t="n">
        <f aca="false">SABR!AA11+$E$13*SABR!AA44</f>
        <v>0.7584</v>
      </c>
      <c r="AB98" s="24" t="n">
        <f aca="false">SABR!AB11+$E$13*SABR!AB44</f>
        <v>0.7313</v>
      </c>
      <c r="AC98" s="24" t="n">
        <f aca="false">SABR!AC11+$E$13*SABR!AC44</f>
        <v>0.7236</v>
      </c>
      <c r="AD98" s="24" t="n">
        <f aca="false">SABR!AD11+$E$13*SABR!AD44</f>
        <v>0.7043</v>
      </c>
      <c r="AE98" s="24" t="n">
        <f aca="false">SABR!AE11+$E$13*SABR!AE44</f>
        <v>0.6715</v>
      </c>
      <c r="AF98" s="24" t="n">
        <f aca="false">SABR!AF11+$E$13*SABR!AF44</f>
        <v>0.6497</v>
      </c>
      <c r="AG98" s="24" t="n">
        <f aca="false">SABR!AG11+$E$13*SABR!AG44</f>
        <v>0.6195</v>
      </c>
      <c r="AH98" s="24" t="n">
        <f aca="false">SABR!AH11+$E$13*SABR!AH44</f>
        <v>0.5976</v>
      </c>
      <c r="AI98" s="24" t="n">
        <f aca="false">SABR!AI11+$E$13*SABR!AI44</f>
        <v>0.5802</v>
      </c>
      <c r="AJ98" s="24" t="n">
        <f aca="false">SABR!AJ11+$E$13*SABR!AJ44</f>
        <v>0.5564</v>
      </c>
      <c r="AL98" s="35" t="s">
        <v>76</v>
      </c>
      <c r="AM98" s="37" t="n">
        <f aca="false">C98*(1+(((2-3*O98^2)/24*AA98^2)+(O98*AA98*C98/4))*2)</f>
        <v>0.506187146381711</v>
      </c>
      <c r="AN98" s="37" t="n">
        <f aca="false">D98*(1+(((2-3*P98^2)/24*AB98^2)+(P98*AB98*D98/4))*2)</f>
        <v>0.48983877769081</v>
      </c>
      <c r="AO98" s="37" t="n">
        <f aca="false">E98*(1+(((2-3*Q98^2)/24*AC98^2)+(Q98*AC98*E98/4))*2)</f>
        <v>0.468068683853878</v>
      </c>
      <c r="AP98" s="37" t="n">
        <f aca="false">F98*(1+(((2-3*R98^2)/24*AD98^2)+(R98*AD98*F98/4))*2)</f>
        <v>0.462461295184257</v>
      </c>
      <c r="AQ98" s="37" t="n">
        <f aca="false">G98*(1+(((2-3*S98^2)/24*AE98^2)+(S98*AE98*G98/4))*2)</f>
        <v>0.43177859172765</v>
      </c>
      <c r="AR98" s="37" t="n">
        <f aca="false">H98*(1+(((2-3*T98^2)/24*AF98^2)+(T98*AF98*H98/4))*2)</f>
        <v>0.415477907311565</v>
      </c>
      <c r="AS98" s="37" t="n">
        <f aca="false">I98*(1+(((2-3*U98^2)/24*AG98^2)+(U98*AG98*I98/4))*2)</f>
        <v>0.399235694245262</v>
      </c>
      <c r="AT98" s="37" t="n">
        <f aca="false">J98*(1+(((2-3*V98^2)/24*AH98^2)+(V98*AH98*J98/4))*2)</f>
        <v>0.379783951763275</v>
      </c>
      <c r="AU98" s="37" t="n">
        <f aca="false">K98*(1+(((2-3*W98^2)/24*AI98^2)+(W98*AI98*K98/4))*2)</f>
        <v>0.365469756188254</v>
      </c>
      <c r="AV98" s="37" t="n">
        <f aca="false">L98*(1+(((2-3*X98^2)/24*AJ98^2)+(X98*AJ98*L98/4))*2)</f>
        <v>0.341170798561002</v>
      </c>
    </row>
    <row r="99" customFormat="false" ht="15" hidden="false" customHeight="true" outlineLevel="0" collapsed="false">
      <c r="B99" s="35" t="s">
        <v>77</v>
      </c>
      <c r="C99" s="24" t="n">
        <f aca="false">SABR!C12+$C$13*SABR!C45</f>
        <v>0.482035</v>
      </c>
      <c r="D99" s="24" t="n">
        <f aca="false">SABR!D12+$C$13*SABR!D45</f>
        <v>0.451285</v>
      </c>
      <c r="E99" s="24" t="n">
        <f aca="false">SABR!E12+$C$13*SABR!E45</f>
        <v>0.430985</v>
      </c>
      <c r="F99" s="24" t="n">
        <f aca="false">SABR!F12+$C$13*SABR!F45</f>
        <v>0.4324725</v>
      </c>
      <c r="G99" s="24" t="n">
        <f aca="false">SABR!G12+$C$13*SABR!G45</f>
        <v>0.4063975</v>
      </c>
      <c r="H99" s="24" t="n">
        <f aca="false">SABR!H12+$C$13*SABR!H45</f>
        <v>0.381505</v>
      </c>
      <c r="I99" s="24" t="n">
        <f aca="false">SABR!I12+$C$13*SABR!I45</f>
        <v>0.3722325</v>
      </c>
      <c r="J99" s="24" t="n">
        <f aca="false">SABR!J12+$C$13*SABR!J45</f>
        <v>0.3444675</v>
      </c>
      <c r="K99" s="24" t="n">
        <f aca="false">SABR!K12+$C$13*SABR!K45</f>
        <v>0.336945</v>
      </c>
      <c r="L99" s="24" t="n">
        <f aca="false">SABR!L12+$C$13*SABR!L45</f>
        <v>0.3289675</v>
      </c>
      <c r="N99" s="35" t="s">
        <v>77</v>
      </c>
      <c r="O99" s="24" t="n">
        <f aca="false">SABR!O12+$D$13*SABR!O45</f>
        <v>-0.2455</v>
      </c>
      <c r="P99" s="24" t="n">
        <f aca="false">SABR!P12+$D$13*SABR!P45</f>
        <v>-0.2294</v>
      </c>
      <c r="Q99" s="24" t="n">
        <f aca="false">SABR!Q12+$D$13*SABR!Q45</f>
        <v>-0.2187</v>
      </c>
      <c r="R99" s="24" t="n">
        <f aca="false">SABR!R12+$D$13*SABR!R45</f>
        <v>-0.1971</v>
      </c>
      <c r="S99" s="24" t="n">
        <f aca="false">SABR!S12+$D$13*SABR!S45</f>
        <v>-0.1817</v>
      </c>
      <c r="T99" s="24" t="n">
        <f aca="false">SABR!T12+$D$13*SABR!T45</f>
        <v>-0.1501</v>
      </c>
      <c r="U99" s="24" t="n">
        <f aca="false">SABR!U12+$D$13*SABR!U45</f>
        <v>-0.1355</v>
      </c>
      <c r="V99" s="24" t="n">
        <f aca="false">SABR!V12+$D$13*SABR!V45</f>
        <v>-0.1111</v>
      </c>
      <c r="W99" s="24" t="n">
        <f aca="false">SABR!W12+$D$13*SABR!W45</f>
        <v>-0.1006</v>
      </c>
      <c r="X99" s="24" t="n">
        <f aca="false">SABR!X12+$D$13*SABR!X45</f>
        <v>-0.0833</v>
      </c>
      <c r="Z99" s="35" t="s">
        <v>77</v>
      </c>
      <c r="AA99" s="24" t="n">
        <f aca="false">SABR!AA12+$E$13*SABR!AA45</f>
        <v>0.7451</v>
      </c>
      <c r="AB99" s="24" t="n">
        <f aca="false">SABR!AB12+$E$13*SABR!AB45</f>
        <v>0.7264</v>
      </c>
      <c r="AC99" s="24" t="n">
        <f aca="false">SABR!AC12+$E$13*SABR!AC45</f>
        <v>0.7015</v>
      </c>
      <c r="AD99" s="24" t="n">
        <f aca="false">SABR!AD12+$E$13*SABR!AD45</f>
        <v>0.6783</v>
      </c>
      <c r="AE99" s="24" t="n">
        <f aca="false">SABR!AE12+$E$13*SABR!AE45</f>
        <v>0.6564</v>
      </c>
      <c r="AF99" s="24" t="n">
        <f aca="false">SABR!AF12+$E$13*SABR!AF45</f>
        <v>0.6326</v>
      </c>
      <c r="AG99" s="24" t="n">
        <f aca="false">SABR!AG12+$E$13*SABR!AG45</f>
        <v>0.6001</v>
      </c>
      <c r="AH99" s="24" t="n">
        <f aca="false">SABR!AH12+$E$13*SABR!AH45</f>
        <v>0.5837</v>
      </c>
      <c r="AI99" s="24" t="n">
        <f aca="false">SABR!AI12+$E$13*SABR!AI45</f>
        <v>0.5582</v>
      </c>
      <c r="AJ99" s="24" t="n">
        <f aca="false">SABR!AJ12+$E$13*SABR!AJ45</f>
        <v>0.5295</v>
      </c>
      <c r="AL99" s="35" t="s">
        <v>77</v>
      </c>
      <c r="AM99" s="37" t="n">
        <f aca="false">C99*(1+(((2-3*O99^2)/24*AA99^2)+(O99*AA99*C99/4))*3)</f>
        <v>0.511012389935152</v>
      </c>
      <c r="AN99" s="37" t="n">
        <f aca="false">D99*(1+(((2-3*P99^2)/24*AB99^2)+(P99*AB99*D99/4))*3)</f>
        <v>0.480664143919745</v>
      </c>
      <c r="AO99" s="37" t="n">
        <f aca="false">E99*(1+(((2-3*Q99^2)/24*AC99^2)+(Q99*AC99*E99/4))*3)</f>
        <v>0.458830290931467</v>
      </c>
      <c r="AP99" s="37" t="n">
        <f aca="false">F99*(1+(((2-3*R99^2)/24*AD99^2)+(R99*AD99*F99/4))*3)</f>
        <v>0.460564253304961</v>
      </c>
      <c r="AQ99" s="37" t="n">
        <f aca="false">G99*(1+(((2-3*S99^2)/24*AE99^2)+(S99*AE99*G99/4))*3)</f>
        <v>0.433231237513659</v>
      </c>
      <c r="AR99" s="37" t="n">
        <f aca="false">H99*(1+(((2-3*T99^2)/24*AF99^2)+(T99*AF99*H99/4))*3)</f>
        <v>0.4080179901483</v>
      </c>
      <c r="AS99" s="37" t="n">
        <f aca="false">I99*(1+(((2-3*U99^2)/24*AG99^2)+(U99*AG99*I99/4))*3)</f>
        <v>0.396371734062488</v>
      </c>
      <c r="AT99" s="37" t="n">
        <f aca="false">J99*(1+(((2-3*V99^2)/24*AH99^2)+(V99*AH99*J99/4))*3)</f>
        <v>0.367493636383826</v>
      </c>
      <c r="AU99" s="37" t="n">
        <f aca="false">K99*(1+(((2-3*W99^2)/24*AI99^2)+(W99*AI99*K99/4))*3)</f>
        <v>0.358011965450756</v>
      </c>
      <c r="AV99" s="37" t="n">
        <f aca="false">L99*(1+(((2-3*X99^2)/24*AJ99^2)+(X99*AJ99*L99/4))*3)</f>
        <v>0.348205717482072</v>
      </c>
    </row>
    <row r="100" customFormat="false" ht="15" hidden="false" customHeight="true" outlineLevel="0" collapsed="false">
      <c r="B100" s="35" t="s">
        <v>78</v>
      </c>
      <c r="C100" s="24" t="n">
        <f aca="false">SABR!C13+$C$13*SABR!C46</f>
        <v>0.4484225</v>
      </c>
      <c r="D100" s="24" t="n">
        <f aca="false">SABR!D13+$C$13*SABR!D46</f>
        <v>0.4360625</v>
      </c>
      <c r="E100" s="24" t="n">
        <f aca="false">SABR!E13+$C$13*SABR!E46</f>
        <v>0.41862</v>
      </c>
      <c r="F100" s="24" t="n">
        <f aca="false">SABR!F13+$C$13*SABR!F46</f>
        <v>0.40975</v>
      </c>
      <c r="G100" s="24" t="n">
        <f aca="false">SABR!G13+$C$13*SABR!G46</f>
        <v>0.39766</v>
      </c>
      <c r="H100" s="24" t="n">
        <f aca="false">SABR!H13+$C$13*SABR!H46</f>
        <v>0.36998</v>
      </c>
      <c r="I100" s="24" t="n">
        <f aca="false">SABR!I13+$C$13*SABR!I46</f>
        <v>0.3624125</v>
      </c>
      <c r="J100" s="24" t="n">
        <f aca="false">SABR!J13+$C$13*SABR!J46</f>
        <v>0.3463625</v>
      </c>
      <c r="K100" s="24" t="n">
        <f aca="false">SABR!K13+$C$13*SABR!K46</f>
        <v>0.3282375</v>
      </c>
      <c r="L100" s="24" t="n">
        <f aca="false">SABR!L13+$C$13*SABR!L46</f>
        <v>0.29922</v>
      </c>
      <c r="N100" s="35" t="s">
        <v>78</v>
      </c>
      <c r="O100" s="24" t="n">
        <f aca="false">SABR!O13+$D$13*SABR!O46</f>
        <v>-0.2389</v>
      </c>
      <c r="P100" s="24" t="n">
        <f aca="false">SABR!P13+$D$13*SABR!P46</f>
        <v>-0.2194</v>
      </c>
      <c r="Q100" s="24" t="n">
        <f aca="false">SABR!Q13+$D$13*SABR!Q46</f>
        <v>-0.2005</v>
      </c>
      <c r="R100" s="24" t="n">
        <f aca="false">SABR!R13+$D$13*SABR!R46</f>
        <v>-0.1809</v>
      </c>
      <c r="S100" s="24" t="n">
        <f aca="false">SABR!S13+$D$13*SABR!S46</f>
        <v>-0.1531</v>
      </c>
      <c r="T100" s="24" t="n">
        <f aca="false">SABR!T13+$D$13*SABR!T46</f>
        <v>-0.1281</v>
      </c>
      <c r="U100" s="24" t="n">
        <f aca="false">SABR!U13+$D$13*SABR!U46</f>
        <v>-0.1099</v>
      </c>
      <c r="V100" s="24" t="n">
        <f aca="false">SABR!V13+$D$13*SABR!V46</f>
        <v>-0.0976</v>
      </c>
      <c r="W100" s="24" t="n">
        <f aca="false">SABR!W13+$D$13*SABR!W46</f>
        <v>-0.0747</v>
      </c>
      <c r="X100" s="24" t="n">
        <f aca="false">SABR!X13+$D$13*SABR!X46</f>
        <v>-0.0523</v>
      </c>
      <c r="Z100" s="35" t="s">
        <v>78</v>
      </c>
      <c r="AA100" s="24" t="n">
        <f aca="false">SABR!AA13+$E$13*SABR!AA46</f>
        <v>0.7084</v>
      </c>
      <c r="AB100" s="24" t="n">
        <f aca="false">SABR!AB13+$E$13*SABR!AB46</f>
        <v>0.6977</v>
      </c>
      <c r="AC100" s="24" t="n">
        <f aca="false">SABR!AC13+$E$13*SABR!AC46</f>
        <v>0.6804</v>
      </c>
      <c r="AD100" s="24" t="n">
        <f aca="false">SABR!AD13+$E$13*SABR!AD46</f>
        <v>0.6556</v>
      </c>
      <c r="AE100" s="24" t="n">
        <f aca="false">SABR!AE13+$E$13*SABR!AE46</f>
        <v>0.6328</v>
      </c>
      <c r="AF100" s="24" t="n">
        <f aca="false">SABR!AF13+$E$13*SABR!AF46</f>
        <v>0.6051</v>
      </c>
      <c r="AG100" s="24" t="n">
        <f aca="false">SABR!AG13+$E$13*SABR!AG46</f>
        <v>0.5769</v>
      </c>
      <c r="AH100" s="24" t="n">
        <f aca="false">SABR!AH13+$E$13*SABR!AH46</f>
        <v>0.5669</v>
      </c>
      <c r="AI100" s="24" t="n">
        <f aca="false">SABR!AI13+$E$13*SABR!AI46</f>
        <v>0.5355</v>
      </c>
      <c r="AJ100" s="24" t="n">
        <f aca="false">SABR!AJ13+$E$13*SABR!AJ46</f>
        <v>0.5227</v>
      </c>
      <c r="AL100" s="35" t="s">
        <v>78</v>
      </c>
      <c r="AM100" s="37" t="n">
        <f aca="false">C100*(1+(((2-3*O100^2)/24*AA100^2)+(O100*AA100*C100/4))*5)</f>
        <v>0.491620576311609</v>
      </c>
      <c r="AN100" s="37" t="n">
        <f aca="false">D100*(1+(((2-3*P100^2)/24*AB100^2)+(P100*AB100*D100/4))*5)</f>
        <v>0.481737481988631</v>
      </c>
      <c r="AO100" s="37" t="n">
        <f aca="false">E100*(1+(((2-3*Q100^2)/24*AC100^2)+(Q100*AC100*E100/4))*5)</f>
        <v>0.464616532031613</v>
      </c>
      <c r="AP100" s="37" t="n">
        <f aca="false">F100*(1+(((2-3*R100^2)/24*AD100^2)+(R100*AD100*F100/4))*5)</f>
        <v>0.454639218260269</v>
      </c>
      <c r="AQ100" s="37" t="n">
        <f aca="false">G100*(1+(((2-3*S100^2)/24*AE100^2)+(S100*AE100*G100/4))*5)</f>
        <v>0.442525797879935</v>
      </c>
      <c r="AR100" s="37" t="n">
        <f aca="false">H100*(1+(((2-3*T100^2)/24*AF100^2)+(T100*AF100*H100/4))*5)</f>
        <v>0.411772080112114</v>
      </c>
      <c r="AS100" s="37" t="n">
        <f aca="false">I100*(1+(((2-3*U100^2)/24*AG100^2)+(U100*AG100*I100/4))*5)</f>
        <v>0.401349455575007</v>
      </c>
      <c r="AT100" s="37" t="n">
        <f aca="false">J100*(1+(((2-3*V100^2)/24*AH100^2)+(V100*AH100*J100/4))*5)</f>
        <v>0.383782849314624</v>
      </c>
      <c r="AU100" s="37" t="n">
        <f aca="false">K100*(1+(((2-3*W100^2)/24*AI100^2)+(W100*AI100*K100/4))*5)</f>
        <v>0.361740934985005</v>
      </c>
      <c r="AV100" s="37" t="n">
        <f aca="false">L100*(1+(((2-3*X100^2)/24*AJ100^2)+(X100*AJ100*L100/4))*5)</f>
        <v>0.330083892881654</v>
      </c>
    </row>
    <row r="101" customFormat="false" ht="15" hidden="false" customHeight="true" outlineLevel="0" collapsed="false">
      <c r="B101" s="35" t="s">
        <v>79</v>
      </c>
      <c r="C101" s="24" t="n">
        <f aca="false">SABR!C14+$C$13*SABR!C47</f>
        <v>0.450015</v>
      </c>
      <c r="D101" s="24" t="n">
        <f aca="false">SABR!D14+$C$13*SABR!D47</f>
        <v>0.4211775</v>
      </c>
      <c r="E101" s="24" t="n">
        <f aca="false">SABR!E14+$C$13*SABR!E47</f>
        <v>0.404135</v>
      </c>
      <c r="F101" s="24" t="n">
        <f aca="false">SABR!F14+$C$13*SABR!F47</f>
        <v>0.3975425</v>
      </c>
      <c r="G101" s="24" t="n">
        <f aca="false">SABR!G14+$C$13*SABR!G47</f>
        <v>0.375805</v>
      </c>
      <c r="H101" s="24" t="n">
        <f aca="false">SABR!H14+$C$13*SABR!H47</f>
        <v>0.347465</v>
      </c>
      <c r="I101" s="24" t="n">
        <f aca="false">SABR!I14+$C$13*SABR!I47</f>
        <v>0.3289825</v>
      </c>
      <c r="J101" s="24" t="n">
        <f aca="false">SABR!J14+$C$13*SABR!J47</f>
        <v>0.3120925</v>
      </c>
      <c r="K101" s="24" t="n">
        <f aca="false">SABR!K14+$C$13*SABR!K47</f>
        <v>0.3101625</v>
      </c>
      <c r="L101" s="24" t="n">
        <f aca="false">SABR!L14+$C$13*SABR!L47</f>
        <v>0.2908425</v>
      </c>
      <c r="N101" s="35" t="s">
        <v>79</v>
      </c>
      <c r="O101" s="24" t="n">
        <f aca="false">SABR!O14+$D$13*SABR!O47</f>
        <v>-0.221</v>
      </c>
      <c r="P101" s="24" t="n">
        <f aca="false">SABR!P14+$D$13*SABR!P47</f>
        <v>-0.1879</v>
      </c>
      <c r="Q101" s="24" t="n">
        <f aca="false">SABR!Q14+$D$13*SABR!Q47</f>
        <v>-0.1654</v>
      </c>
      <c r="R101" s="24" t="n">
        <f aca="false">SABR!R14+$D$13*SABR!R47</f>
        <v>-0.1524</v>
      </c>
      <c r="S101" s="24" t="n">
        <f aca="false">SABR!S14+$D$13*SABR!S47</f>
        <v>-0.1391</v>
      </c>
      <c r="T101" s="24" t="n">
        <f aca="false">SABR!T14+$D$13*SABR!T47</f>
        <v>-0.1157</v>
      </c>
      <c r="U101" s="24" t="n">
        <f aca="false">SABR!U14+$D$13*SABR!U47</f>
        <v>-0.1046</v>
      </c>
      <c r="V101" s="24" t="n">
        <f aca="false">SABR!V14+$D$13*SABR!V47</f>
        <v>-0.0875</v>
      </c>
      <c r="W101" s="24" t="n">
        <f aca="false">SABR!W14+$D$13*SABR!W47</f>
        <v>-0.0489</v>
      </c>
      <c r="X101" s="24" t="n">
        <f aca="false">SABR!X14+$D$13*SABR!X47</f>
        <v>-0.0359</v>
      </c>
      <c r="Z101" s="35" t="s">
        <v>79</v>
      </c>
      <c r="AA101" s="24" t="n">
        <f aca="false">SABR!AA14+$E$13*SABR!AA47</f>
        <v>0.695</v>
      </c>
      <c r="AB101" s="24" t="n">
        <f aca="false">SABR!AB14+$E$13*SABR!AB47</f>
        <v>0.6809</v>
      </c>
      <c r="AC101" s="24" t="n">
        <f aca="false">SABR!AC14+$E$13*SABR!AC47</f>
        <v>0.6487</v>
      </c>
      <c r="AD101" s="24" t="n">
        <f aca="false">SABR!AD14+$E$13*SABR!AD47</f>
        <v>0.6352</v>
      </c>
      <c r="AE101" s="24" t="n">
        <f aca="false">SABR!AE14+$E$13*SABR!AE47</f>
        <v>0.6121</v>
      </c>
      <c r="AF101" s="24" t="n">
        <f aca="false">SABR!AF14+$E$13*SABR!AF47</f>
        <v>0.5776</v>
      </c>
      <c r="AG101" s="24" t="n">
        <f aca="false">SABR!AG14+$E$13*SABR!AG47</f>
        <v>0.5561</v>
      </c>
      <c r="AH101" s="24" t="n">
        <f aca="false">SABR!AH14+$E$13*SABR!AH47</f>
        <v>0.5347</v>
      </c>
      <c r="AI101" s="24" t="n">
        <f aca="false">SABR!AI14+$E$13*SABR!AI47</f>
        <v>0.5115</v>
      </c>
      <c r="AJ101" s="24" t="n">
        <f aca="false">SABR!AJ14+$E$13*SABR!AJ47</f>
        <v>0.4962</v>
      </c>
      <c r="AL101" s="35" t="s">
        <v>79</v>
      </c>
      <c r="AM101" s="37" t="n">
        <f aca="false">C101*(1+(((2-3*O101^2)/24*AA101^2)+(O101*AA101*C101/4))*10)</f>
        <v>0.54012214179159</v>
      </c>
      <c r="AN101" s="37" t="n">
        <f aca="false">D101*(1+(((2-3*P101^2)/24*AB101^2)+(P101*AB101*D101/4))*10)</f>
        <v>0.518544495957119</v>
      </c>
      <c r="AO101" s="37" t="n">
        <f aca="false">E101*(1+(((2-3*Q101^2)/24*AC101^2)+(Q101*AC101*E101/4))*10)</f>
        <v>0.496230092296753</v>
      </c>
      <c r="AP101" s="37" t="n">
        <f aca="false">F101*(1+(((2-3*R101^2)/24*AD101^2)+(R101*AD101*F101/4))*10)</f>
        <v>0.488304995518464</v>
      </c>
      <c r="AQ101" s="37" t="n">
        <f aca="false">G101*(1+(((2-3*S101^2)/24*AE101^2)+(S101*AE101*G101/4))*10)</f>
        <v>0.459672389327558</v>
      </c>
      <c r="AR101" s="37" t="n">
        <f aca="false">H101*(1+(((2-3*T101^2)/24*AF101^2)+(T101*AF101*H101/4))*10)</f>
        <v>0.421956057258502</v>
      </c>
      <c r="AS101" s="37" t="n">
        <f aca="false">I101*(1+(((2-3*U101^2)/24*AG101^2)+(U101*AG101*I101/4))*10)</f>
        <v>0.396633118995721</v>
      </c>
      <c r="AT101" s="37" t="n">
        <f aca="false">J101*(1+(((2-3*V101^2)/24*AH101^2)+(V101*AH101*J101/4))*10)</f>
        <v>0.374203002942162</v>
      </c>
      <c r="AU101" s="37" t="n">
        <f aca="false">K101*(1+(((2-3*W101^2)/24*AI101^2)+(W101*AI101*K101/4))*10)</f>
        <v>0.371528187973887</v>
      </c>
      <c r="AV101" s="37" t="n">
        <f aca="false">L101*(1+(((2-3*X101^2)/24*AJ101^2)+(X101*AJ101*L101/4))*10)</f>
        <v>0.346634723736405</v>
      </c>
    </row>
    <row r="102" customFormat="false" ht="15" hidden="false" customHeight="true" outlineLevel="0" collapsed="false">
      <c r="B102" s="35" t="s">
        <v>80</v>
      </c>
      <c r="C102" s="24" t="n">
        <f aca="false">SABR!C15+$C$13*SABR!C48</f>
        <v>0.4183875</v>
      </c>
      <c r="D102" s="24" t="n">
        <f aca="false">SABR!D15+$C$13*SABR!D48</f>
        <v>0.4041825</v>
      </c>
      <c r="E102" s="24" t="n">
        <f aca="false">SABR!E15+$C$13*SABR!E48</f>
        <v>0.381355</v>
      </c>
      <c r="F102" s="24" t="n">
        <f aca="false">SABR!F15+$C$13*SABR!F48</f>
        <v>0.37967</v>
      </c>
      <c r="G102" s="24" t="n">
        <f aca="false">SABR!G15+$C$13*SABR!G48</f>
        <v>0.350865</v>
      </c>
      <c r="H102" s="24" t="n">
        <f aca="false">SABR!H15+$C$13*SABR!H48</f>
        <v>0.3359275</v>
      </c>
      <c r="I102" s="24" t="n">
        <f aca="false">SABR!I15+$C$13*SABR!I48</f>
        <v>0.3210225</v>
      </c>
      <c r="J102" s="24" t="n">
        <f aca="false">SABR!J15+$C$13*SABR!J48</f>
        <v>0.31002</v>
      </c>
      <c r="K102" s="24" t="n">
        <f aca="false">SABR!K15+$C$13*SABR!K48</f>
        <v>0.2828625</v>
      </c>
      <c r="L102" s="24" t="n">
        <f aca="false">SABR!L15+$C$13*SABR!L48</f>
        <v>0.276125</v>
      </c>
      <c r="N102" s="35" t="s">
        <v>80</v>
      </c>
      <c r="O102" s="24" t="n">
        <f aca="false">SABR!O15+$D$13*SABR!O48</f>
        <v>-0.1944</v>
      </c>
      <c r="P102" s="24" t="n">
        <f aca="false">SABR!P15+$D$13*SABR!P48</f>
        <v>-0.1744</v>
      </c>
      <c r="Q102" s="24" t="n">
        <f aca="false">SABR!Q15+$D$13*SABR!Q48</f>
        <v>-0.1551</v>
      </c>
      <c r="R102" s="24" t="n">
        <f aca="false">SABR!R15+$D$13*SABR!R48</f>
        <v>-0.1457</v>
      </c>
      <c r="S102" s="24" t="n">
        <f aca="false">SABR!S15+$D$13*SABR!S48</f>
        <v>-0.1179</v>
      </c>
      <c r="T102" s="24" t="n">
        <f aca="false">SABR!T15+$D$13*SABR!T48</f>
        <v>-0.1036</v>
      </c>
      <c r="U102" s="24" t="n">
        <f aca="false">SABR!U15+$D$13*SABR!U48</f>
        <v>-0.0877</v>
      </c>
      <c r="V102" s="24" t="n">
        <f aca="false">SABR!V15+$D$13*SABR!V48</f>
        <v>-0.0523</v>
      </c>
      <c r="W102" s="24" t="n">
        <f aca="false">SABR!W15+$D$13*SABR!W48</f>
        <v>-0.0454</v>
      </c>
      <c r="X102" s="24" t="n">
        <f aca="false">SABR!X15+$D$13*SABR!X48</f>
        <v>-0.02</v>
      </c>
      <c r="Z102" s="35" t="s">
        <v>80</v>
      </c>
      <c r="AA102" s="24" t="n">
        <f aca="false">SABR!AA15+$E$13*SABR!AA48</f>
        <v>0.6767</v>
      </c>
      <c r="AB102" s="24" t="n">
        <f aca="false">SABR!AB15+$E$13*SABR!AB48</f>
        <v>0.6511</v>
      </c>
      <c r="AC102" s="24" t="n">
        <f aca="false">SABR!AC15+$E$13*SABR!AC48</f>
        <v>0.6243</v>
      </c>
      <c r="AD102" s="24" t="n">
        <f aca="false">SABR!AD15+$E$13*SABR!AD48</f>
        <v>0.6059</v>
      </c>
      <c r="AE102" s="24" t="n">
        <f aca="false">SABR!AE15+$E$13*SABR!AE48</f>
        <v>0.5844</v>
      </c>
      <c r="AF102" s="24" t="n">
        <f aca="false">SABR!AF15+$E$13*SABR!AF48</f>
        <v>0.5668</v>
      </c>
      <c r="AG102" s="24" t="n">
        <f aca="false">SABR!AG15+$E$13*SABR!AG48</f>
        <v>0.531</v>
      </c>
      <c r="AH102" s="24" t="n">
        <f aca="false">SABR!AH15+$E$13*SABR!AH48</f>
        <v>0.5179</v>
      </c>
      <c r="AI102" s="24" t="n">
        <f aca="false">SABR!AI15+$E$13*SABR!AI48</f>
        <v>0.4894</v>
      </c>
      <c r="AJ102" s="24" t="n">
        <f aca="false">SABR!AJ15+$E$13*SABR!AJ48</f>
        <v>0.4678</v>
      </c>
      <c r="AL102" s="35" t="s">
        <v>80</v>
      </c>
      <c r="AM102" s="37" t="n">
        <f aca="false">C102*(1+(((2-3*O102^2)/24*AA102^2)+(O102*AA102*C102/4))*20)</f>
        <v>0.604463504925197</v>
      </c>
      <c r="AN102" s="37" t="n">
        <f aca="false">D102*(1+(((2-3*P102^2)/24*AB102^2)+(P102*AB102*D102/4))*20)</f>
        <v>0.583978490739761</v>
      </c>
      <c r="AO102" s="37" t="n">
        <f aca="false">E102*(1+(((2-3*Q102^2)/24*AC102^2)+(Q102*AC102*E102/4))*20)</f>
        <v>0.549728404736594</v>
      </c>
      <c r="AP102" s="37" t="n">
        <f aca="false">F102*(1+(((2-3*R102^2)/24*AD102^2)+(R102*AD102*F102/4))*20)</f>
        <v>0.54094969596309</v>
      </c>
      <c r="AQ102" s="37" t="n">
        <f aca="false">G102*(1+(((2-3*S102^2)/24*AE102^2)+(S102*AE102*G102/4))*20)</f>
        <v>0.504004586071138</v>
      </c>
      <c r="AR102" s="37" t="n">
        <f aca="false">H102*(1+(((2-3*T102^2)/24*AF102^2)+(T102*AF102*H102/4))*20)</f>
        <v>0.479767526787123</v>
      </c>
      <c r="AS102" s="37" t="n">
        <f aca="false">I102*(1+(((2-3*U102^2)/24*AG102^2)+(U102*AG102*I102/4))*20)</f>
        <v>0.446145959260249</v>
      </c>
      <c r="AT102" s="37" t="n">
        <f aca="false">J102*(1+(((2-3*V102^2)/24*AH102^2)+(V102*AH102*J102/4))*20)</f>
        <v>0.435024278113174</v>
      </c>
      <c r="AU102" s="37" t="n">
        <f aca="false">K102*(1+(((2-3*W102^2)/24*AI102^2)+(W102*AI102*K102/4))*20)</f>
        <v>0.386539756487238</v>
      </c>
      <c r="AV102" s="37" t="n">
        <f aca="false">L102*(1+(((2-3*X102^2)/24*AJ102^2)+(X102*AJ102*L102/4))*20)</f>
        <v>0.373208369254951</v>
      </c>
    </row>
    <row r="103" customFormat="false" ht="15" hidden="false" customHeight="true" outlineLevel="0" collapsed="false">
      <c r="B103" s="35" t="s">
        <v>81</v>
      </c>
      <c r="C103" s="24" t="n">
        <f aca="false">SABR!C16+$C$13*SABR!C49</f>
        <v>0.411115</v>
      </c>
      <c r="D103" s="24" t="n">
        <f aca="false">SABR!D16+$C$13*SABR!D49</f>
        <v>0.38896</v>
      </c>
      <c r="E103" s="24" t="n">
        <f aca="false">SABR!E16+$C$13*SABR!E49</f>
        <v>0.372355</v>
      </c>
      <c r="F103" s="24" t="n">
        <f aca="false">SABR!F16+$C$13*SABR!F49</f>
        <v>0.35919</v>
      </c>
      <c r="G103" s="24" t="n">
        <f aca="false">SABR!G16+$C$13*SABR!G49</f>
        <v>0.3447125</v>
      </c>
      <c r="H103" s="24" t="n">
        <f aca="false">SABR!H16+$C$13*SABR!H49</f>
        <v>0.3181925</v>
      </c>
      <c r="I103" s="24" t="n">
        <f aca="false">SABR!I16+$C$13*SABR!I49</f>
        <v>0.30422</v>
      </c>
      <c r="J103" s="24" t="n">
        <f aca="false">SABR!J16+$C$13*SABR!J49</f>
        <v>0.284525</v>
      </c>
      <c r="K103" s="24" t="n">
        <f aca="false">SABR!K16+$C$13*SABR!K49</f>
        <v>0.268025</v>
      </c>
      <c r="L103" s="24" t="n">
        <f aca="false">SABR!L16+$C$13*SABR!L49</f>
        <v>0.255025</v>
      </c>
      <c r="N103" s="35" t="s">
        <v>81</v>
      </c>
      <c r="O103" s="24" t="n">
        <f aca="false">SABR!O16+$D$13*SABR!O49</f>
        <v>-0.176</v>
      </c>
      <c r="P103" s="24" t="n">
        <f aca="false">SABR!P16+$D$13*SABR!P49</f>
        <v>-0.1549</v>
      </c>
      <c r="Q103" s="24" t="n">
        <f aca="false">SABR!Q16+$D$13*SABR!Q49</f>
        <v>-0.1366</v>
      </c>
      <c r="R103" s="24" t="n">
        <f aca="false">SABR!R16+$D$13*SABR!R49</f>
        <v>-0.1078</v>
      </c>
      <c r="S103" s="24" t="n">
        <f aca="false">SABR!S16+$D$13*SABR!S49</f>
        <v>-0.0932</v>
      </c>
      <c r="T103" s="24" t="n">
        <f aca="false">SABR!T16+$D$13*SABR!T49</f>
        <v>-0.0702</v>
      </c>
      <c r="U103" s="24" t="n">
        <f aca="false">SABR!U16+$D$13*SABR!U49</f>
        <v>-0.0495</v>
      </c>
      <c r="V103" s="24" t="n">
        <f aca="false">SABR!V16+$D$13*SABR!V49</f>
        <v>-0.0437</v>
      </c>
      <c r="W103" s="24" t="n">
        <f aca="false">SABR!W16+$D$13*SABR!W49</f>
        <v>-0.0183</v>
      </c>
      <c r="X103" s="24" t="n">
        <f aca="false">SABR!X16+$D$13*SABR!X49</f>
        <v>0.0089</v>
      </c>
      <c r="Z103" s="35" t="s">
        <v>81</v>
      </c>
      <c r="AA103" s="24" t="n">
        <f aca="false">SABR!AA16+$E$13*SABR!AA49</f>
        <v>0.6568</v>
      </c>
      <c r="AB103" s="24" t="n">
        <f aca="false">SABR!AB16+$E$13*SABR!AB49</f>
        <v>0.6205</v>
      </c>
      <c r="AC103" s="24" t="n">
        <f aca="false">SABR!AC16+$E$13*SABR!AC49</f>
        <v>0.598</v>
      </c>
      <c r="AD103" s="24" t="n">
        <f aca="false">SABR!AD16+$E$13*SABR!AD49</f>
        <v>0.5822</v>
      </c>
      <c r="AE103" s="24" t="n">
        <f aca="false">SABR!AE16+$E$13*SABR!AE49</f>
        <v>0.5526</v>
      </c>
      <c r="AF103" s="24" t="n">
        <f aca="false">SABR!AF16+$E$13*SABR!AF49</f>
        <v>0.5337</v>
      </c>
      <c r="AG103" s="24" t="n">
        <f aca="false">SABR!AG16+$E$13*SABR!AG49</f>
        <v>0.5081</v>
      </c>
      <c r="AH103" s="24" t="n">
        <f aca="false">SABR!AH16+$E$13*SABR!AH49</f>
        <v>0.4978</v>
      </c>
      <c r="AI103" s="24" t="n">
        <f aca="false">SABR!AI16+$E$13*SABR!AI49</f>
        <v>0.4779</v>
      </c>
      <c r="AJ103" s="24" t="n">
        <f aca="false">SABR!AJ16+$E$13*SABR!AJ49</f>
        <v>0.4579</v>
      </c>
      <c r="AL103" s="35" t="s">
        <v>81</v>
      </c>
      <c r="AM103" s="37" t="n">
        <f aca="false">C103*(1+(((2-3*O103^2)/24*AA103^2)+(O103*AA103*C103/4))*30)</f>
        <v>0.687355064573632</v>
      </c>
      <c r="AN103" s="37" t="n">
        <f aca="false">D103*(1+(((2-3*P103^2)/24*AB103^2)+(P103*AB103*D103/4))*30)</f>
        <v>0.640819169269484</v>
      </c>
      <c r="AO103" s="37" t="n">
        <f aca="false">E103*(1+(((2-3*Q103^2)/24*AC103^2)+(Q103*AC103*E103/4))*30)</f>
        <v>0.610983760952875</v>
      </c>
      <c r="AP103" s="37" t="n">
        <f aca="false">F103*(1+(((2-3*R103^2)/24*AD103^2)+(R103*AD103*F103/4))*30)</f>
        <v>0.597529493635459</v>
      </c>
      <c r="AQ103" s="37" t="n">
        <f aca="false">G103*(1+(((2-3*S103^2)/24*AE103^2)+(S103*AE103*G103/4))*30)</f>
        <v>0.558544166840013</v>
      </c>
      <c r="AR103" s="37" t="n">
        <f aca="false">H103*(1+(((2-3*T103^2)/24*AF103^2)+(T103*AF103*H103/4))*30)</f>
        <v>0.5146494934673</v>
      </c>
      <c r="AS103" s="37" t="n">
        <f aca="false">I103*(1+(((2-3*U103^2)/24*AG103^2)+(U103*AG103*I103/4))*30)</f>
        <v>0.482388335662251</v>
      </c>
      <c r="AT103" s="37" t="n">
        <f aca="false">J103*(1+(((2-3*V103^2)/24*AH103^2)+(V103*AH103*J103/4))*30)</f>
        <v>0.447078715709185</v>
      </c>
      <c r="AU103" s="37" t="n">
        <f aca="false">K103*(1+(((2-3*W103^2)/24*AI103^2)+(W103*AI103*K103/4))*30)</f>
        <v>0.416270691767179</v>
      </c>
      <c r="AV103" s="37" t="n">
        <f aca="false">L103*(1+(((2-3*X103^2)/24*AJ103^2)+(X103*AJ103*L103/4))*30)</f>
        <v>0.390676250264894</v>
      </c>
    </row>
    <row r="105" customFormat="false" ht="15" hidden="false" customHeight="true" outlineLevel="0" collapsed="false">
      <c r="A105" s="28" t="s">
        <v>159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</row>
    <row r="106" customFormat="false" ht="15" hidden="false" customHeight="true" outlineLevel="0" collapsed="false">
      <c r="B106" s="28" t="s">
        <v>136</v>
      </c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N106" s="28" t="s">
        <v>137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Z106" s="28" t="s">
        <v>138</v>
      </c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L106" s="34" t="s">
        <v>139</v>
      </c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</row>
    <row r="107" customFormat="false" ht="15" hidden="false" customHeight="true" outlineLevel="0" collapsed="false">
      <c r="B107" s="18" t="s">
        <v>140</v>
      </c>
      <c r="C107" s="12" t="s">
        <v>141</v>
      </c>
      <c r="D107" s="12" t="s">
        <v>74</v>
      </c>
      <c r="E107" s="12" t="s">
        <v>75</v>
      </c>
      <c r="F107" s="12" t="s">
        <v>30</v>
      </c>
      <c r="G107" s="12" t="s">
        <v>76</v>
      </c>
      <c r="H107" s="12" t="s">
        <v>77</v>
      </c>
      <c r="I107" s="12" t="s">
        <v>78</v>
      </c>
      <c r="J107" s="12" t="s">
        <v>79</v>
      </c>
      <c r="K107" s="12" t="s">
        <v>80</v>
      </c>
      <c r="L107" s="12" t="s">
        <v>81</v>
      </c>
      <c r="N107" s="18" t="s">
        <v>140</v>
      </c>
      <c r="O107" s="12" t="s">
        <v>141</v>
      </c>
      <c r="P107" s="12" t="s">
        <v>74</v>
      </c>
      <c r="Q107" s="12" t="s">
        <v>75</v>
      </c>
      <c r="R107" s="12" t="s">
        <v>30</v>
      </c>
      <c r="S107" s="12" t="s">
        <v>76</v>
      </c>
      <c r="T107" s="12" t="s">
        <v>77</v>
      </c>
      <c r="U107" s="12" t="s">
        <v>78</v>
      </c>
      <c r="V107" s="12" t="s">
        <v>79</v>
      </c>
      <c r="W107" s="12" t="s">
        <v>80</v>
      </c>
      <c r="X107" s="12" t="s">
        <v>81</v>
      </c>
      <c r="Z107" s="18" t="s">
        <v>140</v>
      </c>
      <c r="AA107" s="12" t="s">
        <v>141</v>
      </c>
      <c r="AB107" s="12" t="s">
        <v>74</v>
      </c>
      <c r="AC107" s="12" t="s">
        <v>75</v>
      </c>
      <c r="AD107" s="12" t="s">
        <v>30</v>
      </c>
      <c r="AE107" s="12" t="s">
        <v>76</v>
      </c>
      <c r="AF107" s="12" t="s">
        <v>77</v>
      </c>
      <c r="AG107" s="12" t="s">
        <v>78</v>
      </c>
      <c r="AH107" s="12" t="s">
        <v>79</v>
      </c>
      <c r="AI107" s="12" t="s">
        <v>80</v>
      </c>
      <c r="AJ107" s="12" t="s">
        <v>81</v>
      </c>
      <c r="AL107" s="18" t="s">
        <v>140</v>
      </c>
      <c r="AM107" s="12" t="s">
        <v>141</v>
      </c>
      <c r="AN107" s="12" t="s">
        <v>74</v>
      </c>
      <c r="AO107" s="12" t="s">
        <v>75</v>
      </c>
      <c r="AP107" s="12" t="s">
        <v>30</v>
      </c>
      <c r="AQ107" s="12" t="s">
        <v>76</v>
      </c>
      <c r="AR107" s="12" t="s">
        <v>77</v>
      </c>
      <c r="AS107" s="12" t="s">
        <v>78</v>
      </c>
      <c r="AT107" s="12" t="s">
        <v>79</v>
      </c>
      <c r="AU107" s="12" t="s">
        <v>80</v>
      </c>
      <c r="AV107" s="12" t="s">
        <v>81</v>
      </c>
    </row>
    <row r="108" customFormat="false" ht="15" hidden="false" customHeight="true" outlineLevel="0" collapsed="false">
      <c r="B108" s="35" t="s">
        <v>141</v>
      </c>
      <c r="C108" s="24" t="n">
        <f aca="false">SABR!C7+$C$14*SABR!C40</f>
        <v>0.5562661</v>
      </c>
      <c r="D108" s="24" t="n">
        <f aca="false">SABR!D7+$C$14*SABR!D40</f>
        <v>0.5356598</v>
      </c>
      <c r="E108" s="24" t="n">
        <f aca="false">SABR!E7+$C$14*SABR!E40</f>
        <v>0.528362</v>
      </c>
      <c r="F108" s="24" t="n">
        <f aca="false">SABR!F7+$C$14*SABR!F40</f>
        <v>0.499574</v>
      </c>
      <c r="G108" s="24" t="n">
        <f aca="false">SABR!G7+$C$14*SABR!G40</f>
        <v>0.4916457</v>
      </c>
      <c r="H108" s="24" t="n">
        <f aca="false">SABR!H7+$C$14*SABR!H40</f>
        <v>0.4709357</v>
      </c>
      <c r="I108" s="24" t="n">
        <f aca="false">SABR!I7+$C$14*SABR!I40</f>
        <v>0.447849</v>
      </c>
      <c r="J108" s="24" t="n">
        <f aca="false">SABR!J7+$C$14*SABR!J40</f>
        <v>0.4396</v>
      </c>
      <c r="K108" s="24" t="n">
        <f aca="false">SABR!K7+$C$14*SABR!K40</f>
        <v>0.41289</v>
      </c>
      <c r="L108" s="24" t="n">
        <f aca="false">SABR!L7+$C$14*SABR!L40</f>
        <v>0.4035922</v>
      </c>
      <c r="N108" s="35" t="s">
        <v>141</v>
      </c>
      <c r="O108" s="24" t="n">
        <f aca="false">SABR!O7+$D$14*SABR!O40</f>
        <v>-0.3586</v>
      </c>
      <c r="P108" s="24" t="n">
        <f aca="false">SABR!P7+$D$14*SABR!P40</f>
        <v>-0.3387</v>
      </c>
      <c r="Q108" s="24" t="n">
        <f aca="false">SABR!Q7+$D$14*SABR!Q40</f>
        <v>-0.3126</v>
      </c>
      <c r="R108" s="24" t="n">
        <f aca="false">SABR!R7+$D$14*SABR!R40</f>
        <v>-0.2851</v>
      </c>
      <c r="S108" s="24" t="n">
        <f aca="false">SABR!S7+$D$14*SABR!S40</f>
        <v>-0.2797</v>
      </c>
      <c r="T108" s="24" t="n">
        <f aca="false">SABR!T7+$D$14*SABR!T40</f>
        <v>-0.2583</v>
      </c>
      <c r="U108" s="24" t="n">
        <f aca="false">SABR!U7+$D$14*SABR!U40</f>
        <v>-0.2308</v>
      </c>
      <c r="V108" s="24" t="n">
        <f aca="false">SABR!V7+$D$14*SABR!V40</f>
        <v>-0.2049</v>
      </c>
      <c r="W108" s="24" t="n">
        <f aca="false">SABR!W7+$D$14*SABR!W40</f>
        <v>-0.1929</v>
      </c>
      <c r="X108" s="24" t="n">
        <f aca="false">SABR!X7+$D$14*SABR!X40</f>
        <v>-0.1771</v>
      </c>
      <c r="Z108" s="35" t="s">
        <v>141</v>
      </c>
      <c r="AA108" s="24" t="n">
        <f aca="false">SABR!AA7+$E$14*SABR!AA40</f>
        <v>0.8595</v>
      </c>
      <c r="AB108" s="24" t="n">
        <f aca="false">SABR!AB7+$E$14*SABR!AB40</f>
        <v>0.8187</v>
      </c>
      <c r="AC108" s="24" t="n">
        <f aca="false">SABR!AC7+$E$14*SABR!AC40</f>
        <v>0.8127</v>
      </c>
      <c r="AD108" s="24" t="n">
        <f aca="false">SABR!AD7+$E$14*SABR!AD40</f>
        <v>0.7791</v>
      </c>
      <c r="AE108" s="24" t="n">
        <f aca="false">SABR!AE7+$E$14*SABR!AE40</f>
        <v>0.754</v>
      </c>
      <c r="AF108" s="24" t="n">
        <f aca="false">SABR!AF7+$E$14*SABR!AF40</f>
        <v>0.7312</v>
      </c>
      <c r="AG108" s="24" t="n">
        <f aca="false">SABR!AG7+$E$14*SABR!AG40</f>
        <v>0.7128</v>
      </c>
      <c r="AH108" s="24" t="n">
        <f aca="false">SABR!AH7+$E$14*SABR!AH40</f>
        <v>0.7008</v>
      </c>
      <c r="AI108" s="24" t="n">
        <f aca="false">SABR!AI7+$E$14*SABR!AI40</f>
        <v>0.6658</v>
      </c>
      <c r="AJ108" s="24" t="n">
        <f aca="false">SABR!AJ7+$E$14*SABR!AJ40</f>
        <v>0.6516</v>
      </c>
      <c r="AL108" s="35" t="s">
        <v>141</v>
      </c>
      <c r="AM108" s="37" t="n">
        <f aca="false">C108*(1+(((2-3*O108^2)/24*AA108^2)+(O108*AA108*C108/4))*0.0833333333333333)</f>
        <v>0.556582447154968</v>
      </c>
      <c r="AN108" s="37" t="n">
        <f aca="false">D108*(1+(((2-3*P108^2)/24*AB108^2)+(P108*AB108*D108/4))*0.0833333333333333)</f>
        <v>0.536066480198621</v>
      </c>
      <c r="AO108" s="37" t="n">
        <f aca="false">E108*(1+(((2-3*Q108^2)/24*AC108^2)+(Q108*AC108*E108/4))*0.0833333333333333)</f>
        <v>0.528952657497928</v>
      </c>
      <c r="AP108" s="37" t="n">
        <f aca="false">F108*(1+(((2-3*R108^2)/24*AD108^2)+(R108*AD108*F108/4))*0.0833333333333333)</f>
        <v>0.500268170857208</v>
      </c>
      <c r="AQ108" s="37" t="n">
        <f aca="false">G108*(1+(((2-3*S108^2)/24*AE108^2)+(S108*AE108*G108/4))*0.0833333333333333)</f>
        <v>0.492296948295009</v>
      </c>
      <c r="AR108" s="37" t="n">
        <f aca="false">H108*(1+(((2-3*T108^2)/24*AF108^2)+(T108*AF108*H108/4))*0.0833333333333333)</f>
        <v>0.471636579233098</v>
      </c>
      <c r="AS108" s="37" t="n">
        <f aca="false">I108*(1+(((2-3*U108^2)/24*AG108^2)+(U108*AG108*I108/4))*0.0833333333333333)</f>
        <v>0.448615486794905</v>
      </c>
      <c r="AT108" s="37" t="n">
        <f aca="false">J108*(1+(((2-3*V108^2)/24*AH108^2)+(V108*AH108*J108/4))*0.0833333333333333)</f>
        <v>0.440426753758629</v>
      </c>
      <c r="AU108" s="37" t="n">
        <f aca="false">K108*(1+(((2-3*W108^2)/24*AI108^2)+(W108*AI108*K108/4))*0.0833333333333333)</f>
        <v>0.413633951151547</v>
      </c>
      <c r="AV108" s="37" t="n">
        <f aca="false">L108*(1+(((2-3*X108^2)/24*AJ108^2)+(X108*AJ108*L108/4))*0.0833333333333333)</f>
        <v>0.404334601556415</v>
      </c>
    </row>
    <row r="109" customFormat="false" ht="15" hidden="false" customHeight="true" outlineLevel="0" collapsed="false">
      <c r="B109" s="35" t="s">
        <v>74</v>
      </c>
      <c r="C109" s="24" t="n">
        <f aca="false">SABR!C8+$C$14*SABR!C41</f>
        <v>0.5452439</v>
      </c>
      <c r="D109" s="24" t="n">
        <f aca="false">SABR!D8+$C$14*SABR!D41</f>
        <v>0.5226644</v>
      </c>
      <c r="E109" s="24" t="n">
        <f aca="false">SABR!E8+$C$14*SABR!E41</f>
        <v>0.5090337</v>
      </c>
      <c r="F109" s="24" t="n">
        <f aca="false">SABR!F8+$C$14*SABR!F41</f>
        <v>0.4820054</v>
      </c>
      <c r="G109" s="24" t="n">
        <f aca="false">SABR!G8+$C$14*SABR!G41</f>
        <v>0.4650126</v>
      </c>
      <c r="H109" s="24" t="n">
        <f aca="false">SABR!H8+$C$14*SABR!H41</f>
        <v>0.4505294</v>
      </c>
      <c r="I109" s="24" t="n">
        <f aca="false">SABR!I8+$C$14*SABR!I41</f>
        <v>0.4429451</v>
      </c>
      <c r="J109" s="24" t="n">
        <f aca="false">SABR!J8+$C$14*SABR!J41</f>
        <v>0.4205253</v>
      </c>
      <c r="K109" s="24" t="n">
        <f aca="false">SABR!K8+$C$14*SABR!K41</f>
        <v>0.4012837</v>
      </c>
      <c r="L109" s="24" t="n">
        <f aca="false">SABR!L8+$C$14*SABR!L41</f>
        <v>0.3893981</v>
      </c>
      <c r="N109" s="35" t="s">
        <v>74</v>
      </c>
      <c r="O109" s="24" t="n">
        <f aca="false">SABR!O8+$D$14*SABR!O41</f>
        <v>-0.3315</v>
      </c>
      <c r="P109" s="24" t="n">
        <f aca="false">SABR!P8+$D$14*SABR!P41</f>
        <v>-0.3151</v>
      </c>
      <c r="Q109" s="24" t="n">
        <f aca="false">SABR!Q8+$D$14*SABR!Q41</f>
        <v>-0.2858</v>
      </c>
      <c r="R109" s="24" t="n">
        <f aca="false">SABR!R8+$D$14*SABR!R41</f>
        <v>-0.2682</v>
      </c>
      <c r="S109" s="24" t="n">
        <f aca="false">SABR!S8+$D$14*SABR!S41</f>
        <v>-0.2579</v>
      </c>
      <c r="T109" s="24" t="n">
        <f aca="false">SABR!T8+$D$14*SABR!T41</f>
        <v>-0.2318</v>
      </c>
      <c r="U109" s="24" t="n">
        <f aca="false">SABR!U8+$D$14*SABR!U41</f>
        <v>-0.2134</v>
      </c>
      <c r="V109" s="24" t="n">
        <f aca="false">SABR!V8+$D$14*SABR!V41</f>
        <v>-0.1869</v>
      </c>
      <c r="W109" s="24" t="n">
        <f aca="false">SABR!W8+$D$14*SABR!W41</f>
        <v>-0.1704</v>
      </c>
      <c r="X109" s="24" t="n">
        <f aca="false">SABR!X8+$D$14*SABR!X41</f>
        <v>-0.1598</v>
      </c>
      <c r="Z109" s="35" t="s">
        <v>74</v>
      </c>
      <c r="AA109" s="24" t="n">
        <f aca="false">SABR!AA8+$E$14*SABR!AA41</f>
        <v>0.8374</v>
      </c>
      <c r="AB109" s="24" t="n">
        <f aca="false">SABR!AB8+$E$14*SABR!AB41</f>
        <v>0.7979</v>
      </c>
      <c r="AC109" s="24" t="n">
        <f aca="false">SABR!AC8+$E$14*SABR!AC41</f>
        <v>0.7817</v>
      </c>
      <c r="AD109" s="24" t="n">
        <f aca="false">SABR!AD8+$E$14*SABR!AD41</f>
        <v>0.7663</v>
      </c>
      <c r="AE109" s="24" t="n">
        <f aca="false">SABR!AE8+$E$14*SABR!AE41</f>
        <v>0.7319</v>
      </c>
      <c r="AF109" s="24" t="n">
        <f aca="false">SABR!AF8+$E$14*SABR!AF41</f>
        <v>0.7164</v>
      </c>
      <c r="AG109" s="24" t="n">
        <f aca="false">SABR!AG8+$E$14*SABR!AG41</f>
        <v>0.6852</v>
      </c>
      <c r="AH109" s="24" t="n">
        <f aca="false">SABR!AH8+$E$14*SABR!AH41</f>
        <v>0.6756</v>
      </c>
      <c r="AI109" s="24" t="n">
        <f aca="false">SABR!AI8+$E$14*SABR!AI41</f>
        <v>0.6553</v>
      </c>
      <c r="AJ109" s="24" t="n">
        <f aca="false">SABR!AJ8+$E$14*SABR!AJ41</f>
        <v>0.6292</v>
      </c>
      <c r="AL109" s="35" t="s">
        <v>74</v>
      </c>
      <c r="AM109" s="37" t="n">
        <f aca="false">C109*(1+(((2-3*O109^2)/24*AA109^2)+(O109*AA109*C109/4))*0.25)</f>
        <v>0.54673845544876</v>
      </c>
      <c r="AN109" s="37" t="n">
        <f aca="false">D109*(1+(((2-3*P109^2)/24*AB109^2)+(P109*AB109*D109/4))*0.25)</f>
        <v>0.524271652985101</v>
      </c>
      <c r="AO109" s="37" t="n">
        <f aca="false">E109*(1+(((2-3*Q109^2)/24*AC109^2)+(Q109*AC109*E109/4))*0.25)</f>
        <v>0.511101834977935</v>
      </c>
      <c r="AP109" s="37" t="n">
        <f aca="false">F109*(1+(((2-3*R109^2)/24*AD109^2)+(R109*AD109*F109/4))*0.25)</f>
        <v>0.48428156316588</v>
      </c>
      <c r="AQ109" s="37" t="n">
        <f aca="false">G109*(1+(((2-3*S109^2)/24*AE109^2)+(S109*AE109*G109/4))*0.25)</f>
        <v>0.46713335421928</v>
      </c>
      <c r="AR109" s="37" t="n">
        <f aca="false">H109*(1+(((2-3*T109^2)/24*AF109^2)+(T109*AF109*H109/4))*0.25)</f>
        <v>0.452851668119669</v>
      </c>
      <c r="AS109" s="37" t="n">
        <f aca="false">I109*(1+(((2-3*U109^2)/24*AG109^2)+(U109*AG109*I109/4))*0.25)</f>
        <v>0.445188647757135</v>
      </c>
      <c r="AT109" s="37" t="n">
        <f aca="false">J109*(1+(((2-3*V109^2)/24*AH109^2)+(V109*AH109*J109/4))*0.25)</f>
        <v>0.422918970240445</v>
      </c>
      <c r="AU109" s="37" t="n">
        <f aca="false">K109*(1+(((2-3*W109^2)/24*AI109^2)+(W109*AI109*K109/4))*0.25)</f>
        <v>0.403593500193133</v>
      </c>
      <c r="AV109" s="37" t="n">
        <f aca="false">L109*(1+(((2-3*X109^2)/24*AJ109^2)+(X109*AJ109*L109/4))*0.25)</f>
        <v>0.391533874702906</v>
      </c>
    </row>
    <row r="110" customFormat="false" ht="15" hidden="false" customHeight="true" outlineLevel="0" collapsed="false">
      <c r="B110" s="35" t="s">
        <v>75</v>
      </c>
      <c r="C110" s="24" t="n">
        <f aca="false">SABR!C9+$C$14*SABR!C42</f>
        <v>0.532679</v>
      </c>
      <c r="D110" s="24" t="n">
        <f aca="false">SABR!D9+$C$14*SABR!D42</f>
        <v>0.5043093</v>
      </c>
      <c r="E110" s="24" t="n">
        <f aca="false">SABR!E9+$C$14*SABR!E42</f>
        <v>0.4949165</v>
      </c>
      <c r="F110" s="24" t="n">
        <f aca="false">SABR!F9+$C$14*SABR!F42</f>
        <v>0.4756028</v>
      </c>
      <c r="G110" s="24" t="n">
        <f aca="false">SABR!G9+$C$14*SABR!G42</f>
        <v>0.4582429</v>
      </c>
      <c r="H110" s="24" t="n">
        <f aca="false">SABR!H9+$C$14*SABR!H42</f>
        <v>0.4383804</v>
      </c>
      <c r="I110" s="24" t="n">
        <f aca="false">SABR!I9+$C$14*SABR!I42</f>
        <v>0.4287094</v>
      </c>
      <c r="J110" s="24" t="n">
        <f aca="false">SABR!J9+$C$14*SABR!J42</f>
        <v>0.4137678</v>
      </c>
      <c r="K110" s="24" t="n">
        <f aca="false">SABR!K9+$C$14*SABR!K42</f>
        <v>0.3871737</v>
      </c>
      <c r="L110" s="24" t="n">
        <f aca="false">SABR!L9+$C$14*SABR!L42</f>
        <v>0.3735356</v>
      </c>
      <c r="N110" s="35" t="s">
        <v>75</v>
      </c>
      <c r="O110" s="24" t="n">
        <f aca="false">SABR!O9+$D$14*SABR!O42</f>
        <v>-0.3199</v>
      </c>
      <c r="P110" s="24" t="n">
        <f aca="false">SABR!P9+$D$14*SABR!P42</f>
        <v>-0.2876</v>
      </c>
      <c r="Q110" s="24" t="n">
        <f aca="false">SABR!Q9+$D$14*SABR!Q42</f>
        <v>-0.2693</v>
      </c>
      <c r="R110" s="24" t="n">
        <f aca="false">SABR!R9+$D$14*SABR!R42</f>
        <v>-0.2429</v>
      </c>
      <c r="S110" s="24" t="n">
        <f aca="false">SABR!S9+$D$14*SABR!S42</f>
        <v>-0.2269</v>
      </c>
      <c r="T110" s="24" t="n">
        <f aca="false">SABR!T9+$D$14*SABR!T42</f>
        <v>-0.2182</v>
      </c>
      <c r="U110" s="24" t="n">
        <f aca="false">SABR!U9+$D$14*SABR!U42</f>
        <v>-0.1967</v>
      </c>
      <c r="V110" s="24" t="n">
        <f aca="false">SABR!V9+$D$14*SABR!V42</f>
        <v>-0.1716</v>
      </c>
      <c r="W110" s="24" t="n">
        <f aca="false">SABR!W9+$D$14*SABR!W42</f>
        <v>-0.1651</v>
      </c>
      <c r="X110" s="24" t="n">
        <f aca="false">SABR!X9+$D$14*SABR!X42</f>
        <v>-0.1369</v>
      </c>
      <c r="Z110" s="35" t="s">
        <v>75</v>
      </c>
      <c r="AA110" s="24" t="n">
        <f aca="false">SABR!AA9+$E$14*SABR!AA42</f>
        <v>0.7989</v>
      </c>
      <c r="AB110" s="24" t="n">
        <f aca="false">SABR!AB9+$E$14*SABR!AB42</f>
        <v>0.7757</v>
      </c>
      <c r="AC110" s="24" t="n">
        <f aca="false">SABR!AC9+$E$14*SABR!AC42</f>
        <v>0.7523</v>
      </c>
      <c r="AD110" s="24" t="n">
        <f aca="false">SABR!AD9+$E$14*SABR!AD42</f>
        <v>0.7443</v>
      </c>
      <c r="AE110" s="24" t="n">
        <f aca="false">SABR!AE9+$E$14*SABR!AE42</f>
        <v>0.7093</v>
      </c>
      <c r="AF110" s="24" t="n">
        <f aca="false">SABR!AF9+$E$14*SABR!AF42</f>
        <v>0.6894</v>
      </c>
      <c r="AG110" s="24" t="n">
        <f aca="false">SABR!AG9+$E$14*SABR!AG42</f>
        <v>0.67</v>
      </c>
      <c r="AH110" s="24" t="n">
        <f aca="false">SABR!AH9+$E$14*SABR!AH42</f>
        <v>0.6574</v>
      </c>
      <c r="AI110" s="24" t="n">
        <f aca="false">SABR!AI9+$E$14*SABR!AI42</f>
        <v>0.6194</v>
      </c>
      <c r="AJ110" s="24" t="n">
        <f aca="false">SABR!AJ9+$E$14*SABR!AJ42</f>
        <v>0.6045</v>
      </c>
      <c r="AL110" s="35" t="s">
        <v>75</v>
      </c>
      <c r="AM110" s="37" t="n">
        <f aca="false">C110*(1+(((2-3*O110^2)/24*AA110^2)+(O110*AA110*C110/4))*0.5)</f>
        <v>0.535605656634716</v>
      </c>
      <c r="AN110" s="37" t="n">
        <f aca="false">D110*(1+(((2-3*P110^2)/24*AB110^2)+(P110*AB110*D110/4))*0.5)</f>
        <v>0.508291973474601</v>
      </c>
      <c r="AO110" s="37" t="n">
        <f aca="false">E110*(1+(((2-3*Q110^2)/24*AC110^2)+(Q110*AC110*E110/4))*0.5)</f>
        <v>0.499114766147541</v>
      </c>
      <c r="AP110" s="37" t="n">
        <f aca="false">F110*(1+(((2-3*R110^2)/24*AD110^2)+(R110*AD110*F110/4))*0.5)</f>
        <v>0.480497571992241</v>
      </c>
      <c r="AQ110" s="37" t="n">
        <f aca="false">G110*(1+(((2-3*S110^2)/24*AE110^2)+(S110*AE110*G110/4))*0.5)</f>
        <v>0.462882701237121</v>
      </c>
      <c r="AR110" s="37" t="n">
        <f aca="false">H110*(1+(((2-3*T110^2)/24*AF110^2)+(T110*AF110*H110/4))*0.5)</f>
        <v>0.442828080588922</v>
      </c>
      <c r="AS110" s="37" t="n">
        <f aca="false">I110*(1+(((2-3*U110^2)/24*AG110^2)+(U110*AG110*I110/4))*0.5)</f>
        <v>0.433234962529631</v>
      </c>
      <c r="AT110" s="37" t="n">
        <f aca="false">J110*(1+(((2-3*V110^2)/24*AH110^2)+(V110*AH110*J110/4))*0.5)</f>
        <v>0.418475347151289</v>
      </c>
      <c r="AU110" s="37" t="n">
        <f aca="false">K110*(1+(((2-3*W110^2)/24*AI110^2)+(W110*AI110*K110/4))*0.5)</f>
        <v>0.391193679906877</v>
      </c>
      <c r="AV110" s="37" t="n">
        <f aca="false">L110*(1+(((2-3*X110^2)/24*AJ110^2)+(X110*AJ110*L110/4))*0.5)</f>
        <v>0.377619751277483</v>
      </c>
    </row>
    <row r="111" customFormat="false" ht="15" hidden="false" customHeight="true" outlineLevel="0" collapsed="false">
      <c r="B111" s="35" t="s">
        <v>30</v>
      </c>
      <c r="C111" s="24" t="n">
        <f aca="false">SABR!C10+$C$14*SABR!C43</f>
        <v>0.5089605</v>
      </c>
      <c r="D111" s="24" t="n">
        <f aca="false">SABR!D10+$C$14*SABR!D43</f>
        <v>0.498503</v>
      </c>
      <c r="E111" s="24" t="n">
        <f aca="false">SABR!E10+$C$14*SABR!E43</f>
        <v>0.4802858</v>
      </c>
      <c r="F111" s="24" t="n">
        <f aca="false">SABR!F10+$C$14*SABR!F43</f>
        <v>0.4638575</v>
      </c>
      <c r="G111" s="24" t="n">
        <f aca="false">SABR!G10+$C$14*SABR!G43</f>
        <v>0.4346767</v>
      </c>
      <c r="H111" s="24" t="n">
        <f aca="false">SABR!H10+$C$14*SABR!H43</f>
        <v>0.4202765</v>
      </c>
      <c r="I111" s="24" t="n">
        <f aca="false">SABR!I10+$C$14*SABR!I43</f>
        <v>0.4018726</v>
      </c>
      <c r="J111" s="24" t="n">
        <f aca="false">SABR!J10+$C$14*SABR!J43</f>
        <v>0.3951114</v>
      </c>
      <c r="K111" s="24" t="n">
        <f aca="false">SABR!K10+$C$14*SABR!K43</f>
        <v>0.3796308</v>
      </c>
      <c r="L111" s="24" t="n">
        <f aca="false">SABR!L10+$C$14*SABR!L43</f>
        <v>0.3460561</v>
      </c>
      <c r="N111" s="35" t="s">
        <v>30</v>
      </c>
      <c r="O111" s="24" t="n">
        <f aca="false">SABR!O10+$D$14*SABR!O43</f>
        <v>-0.2981</v>
      </c>
      <c r="P111" s="24" t="n">
        <f aca="false">SABR!P10+$D$14*SABR!P43</f>
        <v>-0.2776</v>
      </c>
      <c r="Q111" s="24" t="n">
        <f aca="false">SABR!Q10+$D$14*SABR!Q43</f>
        <v>-0.2581</v>
      </c>
      <c r="R111" s="24" t="n">
        <f aca="false">SABR!R10+$D$14*SABR!R43</f>
        <v>-0.2336</v>
      </c>
      <c r="S111" s="24" t="n">
        <f aca="false">SABR!S10+$D$14*SABR!S43</f>
        <v>-0.2121</v>
      </c>
      <c r="T111" s="24" t="n">
        <f aca="false">SABR!T10+$D$14*SABR!T43</f>
        <v>-0.1992</v>
      </c>
      <c r="U111" s="24" t="n">
        <f aca="false">SABR!U10+$D$14*SABR!U43</f>
        <v>-0.1849</v>
      </c>
      <c r="V111" s="24" t="n">
        <f aca="false">SABR!V10+$D$14*SABR!V43</f>
        <v>-0.1572</v>
      </c>
      <c r="W111" s="24" t="n">
        <f aca="false">SABR!W10+$D$14*SABR!W43</f>
        <v>-0.1387</v>
      </c>
      <c r="X111" s="24" t="n">
        <f aca="false">SABR!X10+$D$14*SABR!X43</f>
        <v>-0.1153</v>
      </c>
      <c r="Z111" s="35" t="s">
        <v>30</v>
      </c>
      <c r="AA111" s="24" t="n">
        <f aca="false">SABR!AA10+$E$14*SABR!AA43</f>
        <v>0.7924</v>
      </c>
      <c r="AB111" s="24" t="n">
        <f aca="false">SABR!AB10+$E$14*SABR!AB43</f>
        <v>0.7649</v>
      </c>
      <c r="AC111" s="24" t="n">
        <f aca="false">SABR!AC10+$E$14*SABR!AC43</f>
        <v>0.7392</v>
      </c>
      <c r="AD111" s="24" t="n">
        <f aca="false">SABR!AD10+$E$14*SABR!AD43</f>
        <v>0.719</v>
      </c>
      <c r="AE111" s="24" t="n">
        <f aca="false">SABR!AE10+$E$14*SABR!AE43</f>
        <v>0.698</v>
      </c>
      <c r="AF111" s="24" t="n">
        <f aca="false">SABR!AF10+$E$14*SABR!AF43</f>
        <v>0.6633</v>
      </c>
      <c r="AG111" s="24" t="n">
        <f aca="false">SABR!AG10+$E$14*SABR!AG43</f>
        <v>0.658</v>
      </c>
      <c r="AH111" s="24" t="n">
        <f aca="false">SABR!AH10+$E$14*SABR!AH43</f>
        <v>0.6334</v>
      </c>
      <c r="AI111" s="24" t="n">
        <f aca="false">SABR!AI10+$E$14*SABR!AI43</f>
        <v>0.613</v>
      </c>
      <c r="AJ111" s="24" t="n">
        <f aca="false">SABR!AJ10+$E$14*SABR!AJ43</f>
        <v>0.5893</v>
      </c>
      <c r="AL111" s="35" t="s">
        <v>30</v>
      </c>
      <c r="AM111" s="37" t="n">
        <f aca="false">C111*(1+(((2-3*O111^2)/24*AA111^2)+(O111*AA111*C111/4))*1)</f>
        <v>0.516744644062278</v>
      </c>
      <c r="AN111" s="37" t="n">
        <f aca="false">D111*(1+(((2-3*P111^2)/24*AB111^2)+(P111*AB111*D111/4))*1)</f>
        <v>0.506806864978073</v>
      </c>
      <c r="AO111" s="37" t="n">
        <f aca="false">E111*(1+(((2-3*Q111^2)/24*AC111^2)+(Q111*AC111*E111/4))*1)</f>
        <v>0.488967734824546</v>
      </c>
      <c r="AP111" s="37" t="n">
        <f aca="false">F111*(1+(((2-3*R111^2)/24*AD111^2)+(R111*AD111*F111/4))*1)</f>
        <v>0.473170199776727</v>
      </c>
      <c r="AQ111" s="37" t="n">
        <f aca="false">G111*(1+(((2-3*S111^2)/24*AE111^2)+(S111*AE111*G111/4))*1)</f>
        <v>0.444140752143282</v>
      </c>
      <c r="AR111" s="37" t="n">
        <f aca="false">H111*(1+(((2-3*T111^2)/24*AF111^2)+(T111*AF111*H111/4))*1)</f>
        <v>0.428933742121679</v>
      </c>
      <c r="AS111" s="37" t="n">
        <f aca="false">I111*(1+(((2-3*U111^2)/24*AG111^2)+(U111*AG111*I111/4))*1)</f>
        <v>0.410716483333698</v>
      </c>
      <c r="AT111" s="37" t="n">
        <f aca="false">J111*(1+(((2-3*V111^2)/24*AH111^2)+(V111*AH111*J111/4))*1)</f>
        <v>0.403945427249027</v>
      </c>
      <c r="AU111" s="37" t="n">
        <f aca="false">K111*(1+(((2-3*W111^2)/24*AI111^2)+(W111*AI111*K111/4))*1)</f>
        <v>0.388112177457332</v>
      </c>
      <c r="AV111" s="37" t="n">
        <f aca="false">L111*(1+(((2-3*X111^2)/24*AJ111^2)+(X111*AJ111*L111/4))*1)</f>
        <v>0.353836876053432</v>
      </c>
    </row>
    <row r="112" customFormat="false" ht="15" hidden="false" customHeight="true" outlineLevel="0" collapsed="false">
      <c r="B112" s="35" t="s">
        <v>76</v>
      </c>
      <c r="C112" s="24" t="n">
        <f aca="false">SABR!C11+$C$14*SABR!C44</f>
        <v>0.4887884</v>
      </c>
      <c r="D112" s="24" t="n">
        <f aca="false">SABR!D11+$C$14*SABR!D44</f>
        <v>0.4715967</v>
      </c>
      <c r="E112" s="24" t="n">
        <f aca="false">SABR!E11+$C$14*SABR!E44</f>
        <v>0.4484501</v>
      </c>
      <c r="F112" s="24" t="n">
        <f aca="false">SABR!F11+$C$14*SABR!F44</f>
        <v>0.4420024</v>
      </c>
      <c r="G112" s="24" t="n">
        <f aca="false">SABR!G11+$C$14*SABR!G44</f>
        <v>0.4131338</v>
      </c>
      <c r="H112" s="24" t="n">
        <f aca="false">SABR!H11+$C$14*SABR!H44</f>
        <v>0.3961739</v>
      </c>
      <c r="I112" s="24" t="n">
        <f aca="false">SABR!I11+$C$14*SABR!I44</f>
        <v>0.3816297</v>
      </c>
      <c r="J112" s="24" t="n">
        <f aca="false">SABR!J11+$C$14*SABR!J44</f>
        <v>0.3635905</v>
      </c>
      <c r="K112" s="24" t="n">
        <f aca="false">SABR!K11+$C$14*SABR!K44</f>
        <v>0.3498683</v>
      </c>
      <c r="L112" s="24" t="n">
        <f aca="false">SABR!L11+$C$14*SABR!L44</f>
        <v>0.3269376</v>
      </c>
      <c r="N112" s="35" t="s">
        <v>76</v>
      </c>
      <c r="O112" s="24" t="n">
        <f aca="false">SABR!O11+$D$14*SABR!O44</f>
        <v>-0.2822</v>
      </c>
      <c r="P112" s="24" t="n">
        <f aca="false">SABR!P11+$D$14*SABR!P44</f>
        <v>-0.2598</v>
      </c>
      <c r="Q112" s="24" t="n">
        <f aca="false">SABR!Q11+$D$14*SABR!Q44</f>
        <v>-0.2413</v>
      </c>
      <c r="R112" s="24" t="n">
        <f aca="false">SABR!R11+$D$14*SABR!R44</f>
        <v>-0.2166</v>
      </c>
      <c r="S112" s="24" t="n">
        <f aca="false">SABR!S11+$D$14*SABR!S44</f>
        <v>-0.2039</v>
      </c>
      <c r="T112" s="24" t="n">
        <f aca="false">SABR!T11+$D$14*SABR!T44</f>
        <v>-0.1675</v>
      </c>
      <c r="U112" s="24" t="n">
        <f aca="false">SABR!U11+$D$14*SABR!U44</f>
        <v>-0.1533</v>
      </c>
      <c r="V112" s="24" t="n">
        <f aca="false">SABR!V11+$D$14*SABR!V44</f>
        <v>-0.1431</v>
      </c>
      <c r="W112" s="24" t="n">
        <f aca="false">SABR!W11+$D$14*SABR!W44</f>
        <v>-0.1216</v>
      </c>
      <c r="X112" s="24" t="n">
        <f aca="false">SABR!X11+$D$14*SABR!X44</f>
        <v>-0.1003</v>
      </c>
      <c r="Z112" s="35" t="s">
        <v>76</v>
      </c>
      <c r="AA112" s="24" t="n">
        <f aca="false">SABR!AA11+$E$14*SABR!AA44</f>
        <v>0.7584</v>
      </c>
      <c r="AB112" s="24" t="n">
        <f aca="false">SABR!AB11+$E$14*SABR!AB44</f>
        <v>0.7313</v>
      </c>
      <c r="AC112" s="24" t="n">
        <f aca="false">SABR!AC11+$E$14*SABR!AC44</f>
        <v>0.7236</v>
      </c>
      <c r="AD112" s="24" t="n">
        <f aca="false">SABR!AD11+$E$14*SABR!AD44</f>
        <v>0.7043</v>
      </c>
      <c r="AE112" s="24" t="n">
        <f aca="false">SABR!AE11+$E$14*SABR!AE44</f>
        <v>0.6715</v>
      </c>
      <c r="AF112" s="24" t="n">
        <f aca="false">SABR!AF11+$E$14*SABR!AF44</f>
        <v>0.6497</v>
      </c>
      <c r="AG112" s="24" t="n">
        <f aca="false">SABR!AG11+$E$14*SABR!AG44</f>
        <v>0.6195</v>
      </c>
      <c r="AH112" s="24" t="n">
        <f aca="false">SABR!AH11+$E$14*SABR!AH44</f>
        <v>0.5976</v>
      </c>
      <c r="AI112" s="24" t="n">
        <f aca="false">SABR!AI11+$E$14*SABR!AI44</f>
        <v>0.5802</v>
      </c>
      <c r="AJ112" s="24" t="n">
        <f aca="false">SABR!AJ11+$E$14*SABR!AJ44</f>
        <v>0.5564</v>
      </c>
      <c r="AL112" s="35" t="s">
        <v>76</v>
      </c>
      <c r="AM112" s="37" t="n">
        <f aca="false">C112*(1+(((2-3*O112^2)/24*AA112^2)+(O112*AA112*C112/4))*2)</f>
        <v>0.504481051559721</v>
      </c>
      <c r="AN112" s="37" t="n">
        <f aca="false">D112*(1+(((2-3*P112^2)/24*AB112^2)+(P112*AB112*D112/4))*2)</f>
        <v>0.488248462348961</v>
      </c>
      <c r="AO112" s="37" t="n">
        <f aca="false">E112*(1+(((2-3*Q112^2)/24*AC112^2)+(Q112*AC112*E112/4))*2)</f>
        <v>0.466609512033245</v>
      </c>
      <c r="AP112" s="37" t="n">
        <f aca="false">F112*(1+(((2-3*R112^2)/24*AD112^2)+(R112*AD112*F112/4))*2)</f>
        <v>0.461070853269646</v>
      </c>
      <c r="AQ112" s="37" t="n">
        <f aca="false">G112*(1+(((2-3*S112^2)/24*AE112^2)+(S112*AE112*G112/4))*2)</f>
        <v>0.430560794374227</v>
      </c>
      <c r="AR112" s="37" t="n">
        <f aca="false">H112*(1+(((2-3*T112^2)/24*AF112^2)+(T112*AF112*H112/4))*2)</f>
        <v>0.414332218640919</v>
      </c>
      <c r="AS112" s="37" t="n">
        <f aca="false">I112*(1+(((2-3*U112^2)/24*AG112^2)+(U112*AG112*I112/4))*2)</f>
        <v>0.398263800742643</v>
      </c>
      <c r="AT112" s="37" t="n">
        <f aca="false">J112*(1+(((2-3*V112^2)/24*AH112^2)+(V112*AH112*J112/4))*2)</f>
        <v>0.378914452508912</v>
      </c>
      <c r="AU112" s="37" t="n">
        <f aca="false">K112*(1+(((2-3*W112^2)/24*AI112^2)+(W112*AI112*K112/4))*2)</f>
        <v>0.364744323099993</v>
      </c>
      <c r="AV112" s="37" t="n">
        <f aca="false">L112*(1+(((2-3*X112^2)/24*AJ112^2)+(X112*AJ112*L112/4))*2)</f>
        <v>0.340569437601749</v>
      </c>
    </row>
    <row r="113" customFormat="false" ht="15" hidden="false" customHeight="true" outlineLevel="0" collapsed="false">
      <c r="B113" s="35" t="s">
        <v>77</v>
      </c>
      <c r="C113" s="24" t="n">
        <f aca="false">SABR!C12+$C$14*SABR!C45</f>
        <v>0.4803858</v>
      </c>
      <c r="D113" s="24" t="n">
        <f aca="false">SABR!D12+$C$14*SABR!D45</f>
        <v>0.4497758</v>
      </c>
      <c r="E113" s="24" t="n">
        <f aca="false">SABR!E12+$C$14*SABR!E45</f>
        <v>0.4296438</v>
      </c>
      <c r="F113" s="24" t="n">
        <f aca="false">SABR!F12+$C$14*SABR!F45</f>
        <v>0.4312083</v>
      </c>
      <c r="G113" s="24" t="n">
        <f aca="false">SABR!G12+$C$14*SABR!G45</f>
        <v>0.4053153</v>
      </c>
      <c r="H113" s="24" t="n">
        <f aca="false">SABR!H12+$C$14*SABR!H45</f>
        <v>0.3805334</v>
      </c>
      <c r="I113" s="24" t="n">
        <f aca="false">SABR!I12+$C$14*SABR!I45</f>
        <v>0.3713491</v>
      </c>
      <c r="J113" s="24" t="n">
        <f aca="false">SABR!J12+$C$14*SABR!J45</f>
        <v>0.3437269</v>
      </c>
      <c r="K113" s="24" t="n">
        <f aca="false">SABR!K12+$C$14*SABR!K45</f>
        <v>0.3363766</v>
      </c>
      <c r="L113" s="24" t="n">
        <f aca="false">SABR!L12+$C$14*SABR!L45</f>
        <v>0.3284509</v>
      </c>
      <c r="N113" s="35" t="s">
        <v>77</v>
      </c>
      <c r="O113" s="24" t="n">
        <f aca="false">SABR!O12+$D$14*SABR!O45</f>
        <v>-0.2455</v>
      </c>
      <c r="P113" s="24" t="n">
        <f aca="false">SABR!P12+$D$14*SABR!P45</f>
        <v>-0.2294</v>
      </c>
      <c r="Q113" s="24" t="n">
        <f aca="false">SABR!Q12+$D$14*SABR!Q45</f>
        <v>-0.2187</v>
      </c>
      <c r="R113" s="24" t="n">
        <f aca="false">SABR!R12+$D$14*SABR!R45</f>
        <v>-0.1971</v>
      </c>
      <c r="S113" s="24" t="n">
        <f aca="false">SABR!S12+$D$14*SABR!S45</f>
        <v>-0.1817</v>
      </c>
      <c r="T113" s="24" t="n">
        <f aca="false">SABR!T12+$D$14*SABR!T45</f>
        <v>-0.1501</v>
      </c>
      <c r="U113" s="24" t="n">
        <f aca="false">SABR!U12+$D$14*SABR!U45</f>
        <v>-0.1355</v>
      </c>
      <c r="V113" s="24" t="n">
        <f aca="false">SABR!V12+$D$14*SABR!V45</f>
        <v>-0.1111</v>
      </c>
      <c r="W113" s="24" t="n">
        <f aca="false">SABR!W12+$D$14*SABR!W45</f>
        <v>-0.1006</v>
      </c>
      <c r="X113" s="24" t="n">
        <f aca="false">SABR!X12+$D$14*SABR!X45</f>
        <v>-0.0833</v>
      </c>
      <c r="Z113" s="35" t="s">
        <v>77</v>
      </c>
      <c r="AA113" s="24" t="n">
        <f aca="false">SABR!AA12+$E$14*SABR!AA45</f>
        <v>0.7451</v>
      </c>
      <c r="AB113" s="24" t="n">
        <f aca="false">SABR!AB12+$E$14*SABR!AB45</f>
        <v>0.7264</v>
      </c>
      <c r="AC113" s="24" t="n">
        <f aca="false">SABR!AC12+$E$14*SABR!AC45</f>
        <v>0.7015</v>
      </c>
      <c r="AD113" s="24" t="n">
        <f aca="false">SABR!AD12+$E$14*SABR!AD45</f>
        <v>0.6783</v>
      </c>
      <c r="AE113" s="24" t="n">
        <f aca="false">SABR!AE12+$E$14*SABR!AE45</f>
        <v>0.6564</v>
      </c>
      <c r="AF113" s="24" t="n">
        <f aca="false">SABR!AF12+$E$14*SABR!AF45</f>
        <v>0.6326</v>
      </c>
      <c r="AG113" s="24" t="n">
        <f aca="false">SABR!AG12+$E$14*SABR!AG45</f>
        <v>0.6001</v>
      </c>
      <c r="AH113" s="24" t="n">
        <f aca="false">SABR!AH12+$E$14*SABR!AH45</f>
        <v>0.5837</v>
      </c>
      <c r="AI113" s="24" t="n">
        <f aca="false">SABR!AI12+$E$14*SABR!AI45</f>
        <v>0.5582</v>
      </c>
      <c r="AJ113" s="24" t="n">
        <f aca="false">SABR!AJ12+$E$14*SABR!AJ45</f>
        <v>0.5295</v>
      </c>
      <c r="AL113" s="35" t="s">
        <v>77</v>
      </c>
      <c r="AM113" s="37" t="n">
        <f aca="false">C113*(1+(((2-3*O113^2)/24*AA113^2)+(O113*AA113*C113/4))*3)</f>
        <v>0.509372739075954</v>
      </c>
      <c r="AN113" s="37" t="n">
        <f aca="false">D113*(1+(((2-3*P113^2)/24*AB113^2)+(P113*AB113*D113/4))*3)</f>
        <v>0.479141528033358</v>
      </c>
      <c r="AO113" s="37" t="n">
        <f aca="false">E113*(1+(((2-3*Q113^2)/24*AC113^2)+(Q113*AC113*E113/4))*3)</f>
        <v>0.457468742035138</v>
      </c>
      <c r="AP113" s="37" t="n">
        <f aca="false">F113*(1+(((2-3*R113^2)/24*AD113^2)+(R113*AD113*F113/4))*3)</f>
        <v>0.459272596100759</v>
      </c>
      <c r="AQ113" s="37" t="n">
        <f aca="false">G113*(1+(((2-3*S113^2)/24*AE113^2)+(S113*AE113*G113/4))*3)</f>
        <v>0.432116817734524</v>
      </c>
      <c r="AR113" s="37" t="n">
        <f aca="false">H113*(1+(((2-3*T113^2)/24*AF113^2)+(T113*AF113*H113/4))*3)</f>
        <v>0.407005198076493</v>
      </c>
      <c r="AS113" s="37" t="n">
        <f aca="false">I113*(1+(((2-3*U113^2)/24*AG113^2)+(U113*AG113*I113/4))*3)</f>
        <v>0.395451051845925</v>
      </c>
      <c r="AT113" s="37" t="n">
        <f aca="false">J113*(1+(((2-3*V113^2)/24*AH113^2)+(V113*AH113*J113/4))*3)</f>
        <v>0.366715911719089</v>
      </c>
      <c r="AU113" s="37" t="n">
        <f aca="false">K113*(1+(((2-3*W113^2)/24*AI113^2)+(W113*AI113*K113/4))*3)</f>
        <v>0.357416079585506</v>
      </c>
      <c r="AV113" s="37" t="n">
        <f aca="false">L113*(1+(((2-3*X113^2)/24*AJ113^2)+(X113*AJ113*L113/4))*3)</f>
        <v>0.347664519429442</v>
      </c>
    </row>
    <row r="114" customFormat="false" ht="15" hidden="false" customHeight="true" outlineLevel="0" collapsed="false">
      <c r="B114" s="35" t="s">
        <v>78</v>
      </c>
      <c r="C114" s="24" t="n">
        <f aca="false">SABR!C13+$C$14*SABR!C46</f>
        <v>0.4469623</v>
      </c>
      <c r="D114" s="24" t="n">
        <f aca="false">SABR!D13+$C$14*SABR!D46</f>
        <v>0.4347255</v>
      </c>
      <c r="E114" s="24" t="n">
        <f aca="false">SABR!E13+$C$14*SABR!E46</f>
        <v>0.4173656</v>
      </c>
      <c r="F114" s="24" t="n">
        <f aca="false">SABR!F13+$C$14*SABR!F46</f>
        <v>0.408658</v>
      </c>
      <c r="G114" s="24" t="n">
        <f aca="false">SABR!G13+$C$14*SABR!G46</f>
        <v>0.3966968</v>
      </c>
      <c r="H114" s="24" t="n">
        <f aca="false">SABR!H13+$C$14*SABR!H46</f>
        <v>0.3691624</v>
      </c>
      <c r="I114" s="24" t="n">
        <f aca="false">SABR!I13+$C$14*SABR!I46</f>
        <v>0.3617195</v>
      </c>
      <c r="J114" s="24" t="n">
        <f aca="false">SABR!J13+$C$14*SABR!J46</f>
        <v>0.3457535</v>
      </c>
      <c r="K114" s="24" t="n">
        <f aca="false">SABR!K13+$C$14*SABR!K46</f>
        <v>0.3277825</v>
      </c>
      <c r="L114" s="24" t="n">
        <f aca="false">SABR!L13+$C$14*SABR!L46</f>
        <v>0.2988616</v>
      </c>
      <c r="N114" s="35" t="s">
        <v>78</v>
      </c>
      <c r="O114" s="24" t="n">
        <f aca="false">SABR!O13+$D$14*SABR!O46</f>
        <v>-0.2389</v>
      </c>
      <c r="P114" s="24" t="n">
        <f aca="false">SABR!P13+$D$14*SABR!P46</f>
        <v>-0.2194</v>
      </c>
      <c r="Q114" s="24" t="n">
        <f aca="false">SABR!Q13+$D$14*SABR!Q46</f>
        <v>-0.2005</v>
      </c>
      <c r="R114" s="24" t="n">
        <f aca="false">SABR!R13+$D$14*SABR!R46</f>
        <v>-0.1809</v>
      </c>
      <c r="S114" s="24" t="n">
        <f aca="false">SABR!S13+$D$14*SABR!S46</f>
        <v>-0.1531</v>
      </c>
      <c r="T114" s="24" t="n">
        <f aca="false">SABR!T13+$D$14*SABR!T46</f>
        <v>-0.1281</v>
      </c>
      <c r="U114" s="24" t="n">
        <f aca="false">SABR!U13+$D$14*SABR!U46</f>
        <v>-0.1099</v>
      </c>
      <c r="V114" s="24" t="n">
        <f aca="false">SABR!V13+$D$14*SABR!V46</f>
        <v>-0.0976</v>
      </c>
      <c r="W114" s="24" t="n">
        <f aca="false">SABR!W13+$D$14*SABR!W46</f>
        <v>-0.0747</v>
      </c>
      <c r="X114" s="24" t="n">
        <f aca="false">SABR!X13+$D$14*SABR!X46</f>
        <v>-0.0523</v>
      </c>
      <c r="Z114" s="35" t="s">
        <v>78</v>
      </c>
      <c r="AA114" s="24" t="n">
        <f aca="false">SABR!AA13+$E$14*SABR!AA46</f>
        <v>0.7084</v>
      </c>
      <c r="AB114" s="24" t="n">
        <f aca="false">SABR!AB13+$E$14*SABR!AB46</f>
        <v>0.6977</v>
      </c>
      <c r="AC114" s="24" t="n">
        <f aca="false">SABR!AC13+$E$14*SABR!AC46</f>
        <v>0.6804</v>
      </c>
      <c r="AD114" s="24" t="n">
        <f aca="false">SABR!AD13+$E$14*SABR!AD46</f>
        <v>0.6556</v>
      </c>
      <c r="AE114" s="24" t="n">
        <f aca="false">SABR!AE13+$E$14*SABR!AE46</f>
        <v>0.6328</v>
      </c>
      <c r="AF114" s="24" t="n">
        <f aca="false">SABR!AF13+$E$14*SABR!AF46</f>
        <v>0.6051</v>
      </c>
      <c r="AG114" s="24" t="n">
        <f aca="false">SABR!AG13+$E$14*SABR!AG46</f>
        <v>0.5769</v>
      </c>
      <c r="AH114" s="24" t="n">
        <f aca="false">SABR!AH13+$E$14*SABR!AH46</f>
        <v>0.5669</v>
      </c>
      <c r="AI114" s="24" t="n">
        <f aca="false">SABR!AI13+$E$14*SABR!AI46</f>
        <v>0.5355</v>
      </c>
      <c r="AJ114" s="24" t="n">
        <f aca="false">SABR!AJ13+$E$14*SABR!AJ46</f>
        <v>0.5227</v>
      </c>
      <c r="AL114" s="35" t="s">
        <v>78</v>
      </c>
      <c r="AM114" s="37" t="n">
        <f aca="false">C114*(1+(((2-3*O114^2)/24*AA114^2)+(O114*AA114*C114/4))*5)</f>
        <v>0.490157776625629</v>
      </c>
      <c r="AN114" s="37" t="n">
        <f aca="false">D114*(1+(((2-3*P114^2)/24*AB114^2)+(P114*AB114*D114/4))*5)</f>
        <v>0.480371653722727</v>
      </c>
      <c r="AO114" s="37" t="n">
        <f aca="false">E114*(1+(((2-3*Q114^2)/24*AC114^2)+(Q114*AC114*E114/4))*5)</f>
        <v>0.463313580225963</v>
      </c>
      <c r="AP114" s="37" t="n">
        <f aca="false">F114*(1+(((2-3*R114^2)/24*AD114^2)+(R114*AD114*F114/4))*5)</f>
        <v>0.453493742855012</v>
      </c>
      <c r="AQ114" s="37" t="n">
        <f aca="false">G114*(1+(((2-3*S114^2)/24*AE114^2)+(S114*AE114*G114/4))*5)</f>
        <v>0.441500198217602</v>
      </c>
      <c r="AR114" s="37" t="n">
        <f aca="false">H114*(1+(((2-3*T114^2)/24*AF114^2)+(T114*AF114*H114/4))*5)</f>
        <v>0.410891370447646</v>
      </c>
      <c r="AS114" s="37" t="n">
        <f aca="false">I114*(1+(((2-3*U114^2)/24*AG114^2)+(U114*AG114*I114/4))*5)</f>
        <v>0.4006018670212</v>
      </c>
      <c r="AT114" s="37" t="n">
        <f aca="false">J114*(1+(((2-3*V114^2)/24*AH114^2)+(V114*AH114*J114/4))*5)</f>
        <v>0.383122617083678</v>
      </c>
      <c r="AU114" s="37" t="n">
        <f aca="false">K114*(1+(((2-3*W114^2)/24*AI114^2)+(W114*AI114*K114/4))*5)</f>
        <v>0.361246950208287</v>
      </c>
      <c r="AV114" s="37" t="n">
        <f aca="false">L114*(1+(((2-3*X114^2)/24*AJ114^2)+(X114*AJ114*L114/4))*5)</f>
        <v>0.329692184879313</v>
      </c>
    </row>
    <row r="115" customFormat="false" ht="15" hidden="false" customHeight="true" outlineLevel="0" collapsed="false">
      <c r="B115" s="35" t="s">
        <v>79</v>
      </c>
      <c r="C115" s="24" t="n">
        <f aca="false">SABR!C14+$C$14*SABR!C47</f>
        <v>0.4486682</v>
      </c>
      <c r="D115" s="24" t="n">
        <f aca="false">SABR!D14+$C$14*SABR!D47</f>
        <v>0.4199497</v>
      </c>
      <c r="E115" s="24" t="n">
        <f aca="false">SABR!E14+$C$14*SABR!E47</f>
        <v>0.4029898</v>
      </c>
      <c r="F115" s="24" t="n">
        <f aca="false">SABR!F14+$C$14*SABR!F47</f>
        <v>0.3965639</v>
      </c>
      <c r="G115" s="24" t="n">
        <f aca="false">SABR!G14+$C$14*SABR!G47</f>
        <v>0.3749454</v>
      </c>
      <c r="H115" s="24" t="n">
        <f aca="false">SABR!H14+$C$14*SABR!H47</f>
        <v>0.3467062</v>
      </c>
      <c r="I115" s="24" t="n">
        <f aca="false">SABR!I14+$C$14*SABR!I47</f>
        <v>0.3284071</v>
      </c>
      <c r="J115" s="24" t="n">
        <f aca="false">SABR!J14+$C$14*SABR!J47</f>
        <v>0.3116459</v>
      </c>
      <c r="K115" s="24" t="n">
        <f aca="false">SABR!K14+$C$14*SABR!K47</f>
        <v>0.3097775</v>
      </c>
      <c r="L115" s="24" t="n">
        <f aca="false">SABR!L14+$C$14*SABR!L47</f>
        <v>0.2905919</v>
      </c>
      <c r="N115" s="35" t="s">
        <v>79</v>
      </c>
      <c r="O115" s="24" t="n">
        <f aca="false">SABR!O14+$D$14*SABR!O47</f>
        <v>-0.221</v>
      </c>
      <c r="P115" s="24" t="n">
        <f aca="false">SABR!P14+$D$14*SABR!P47</f>
        <v>-0.1879</v>
      </c>
      <c r="Q115" s="24" t="n">
        <f aca="false">SABR!Q14+$D$14*SABR!Q47</f>
        <v>-0.1654</v>
      </c>
      <c r="R115" s="24" t="n">
        <f aca="false">SABR!R14+$D$14*SABR!R47</f>
        <v>-0.1524</v>
      </c>
      <c r="S115" s="24" t="n">
        <f aca="false">SABR!S14+$D$14*SABR!S47</f>
        <v>-0.1391</v>
      </c>
      <c r="T115" s="24" t="n">
        <f aca="false">SABR!T14+$D$14*SABR!T47</f>
        <v>-0.1157</v>
      </c>
      <c r="U115" s="24" t="n">
        <f aca="false">SABR!U14+$D$14*SABR!U47</f>
        <v>-0.1046</v>
      </c>
      <c r="V115" s="24" t="n">
        <f aca="false">SABR!V14+$D$14*SABR!V47</f>
        <v>-0.0875</v>
      </c>
      <c r="W115" s="24" t="n">
        <f aca="false">SABR!W14+$D$14*SABR!W47</f>
        <v>-0.0489</v>
      </c>
      <c r="X115" s="24" t="n">
        <f aca="false">SABR!X14+$D$14*SABR!X47</f>
        <v>-0.0359</v>
      </c>
      <c r="Z115" s="35" t="s">
        <v>79</v>
      </c>
      <c r="AA115" s="24" t="n">
        <f aca="false">SABR!AA14+$E$14*SABR!AA47</f>
        <v>0.695</v>
      </c>
      <c r="AB115" s="24" t="n">
        <f aca="false">SABR!AB14+$E$14*SABR!AB47</f>
        <v>0.6809</v>
      </c>
      <c r="AC115" s="24" t="n">
        <f aca="false">SABR!AC14+$E$14*SABR!AC47</f>
        <v>0.6487</v>
      </c>
      <c r="AD115" s="24" t="n">
        <f aca="false">SABR!AD14+$E$14*SABR!AD47</f>
        <v>0.6352</v>
      </c>
      <c r="AE115" s="24" t="n">
        <f aca="false">SABR!AE14+$E$14*SABR!AE47</f>
        <v>0.6121</v>
      </c>
      <c r="AF115" s="24" t="n">
        <f aca="false">SABR!AF14+$E$14*SABR!AF47</f>
        <v>0.5776</v>
      </c>
      <c r="AG115" s="24" t="n">
        <f aca="false">SABR!AG14+$E$14*SABR!AG47</f>
        <v>0.5561</v>
      </c>
      <c r="AH115" s="24" t="n">
        <f aca="false">SABR!AH14+$E$14*SABR!AH47</f>
        <v>0.5347</v>
      </c>
      <c r="AI115" s="24" t="n">
        <f aca="false">SABR!AI14+$E$14*SABR!AI47</f>
        <v>0.5115</v>
      </c>
      <c r="AJ115" s="24" t="n">
        <f aca="false">SABR!AJ14+$E$14*SABR!AJ47</f>
        <v>0.4962</v>
      </c>
      <c r="AL115" s="35" t="s">
        <v>79</v>
      </c>
      <c r="AM115" s="37" t="n">
        <f aca="false">C115*(1+(((2-3*O115^2)/24*AA115^2)+(O115*AA115*C115/4))*10)</f>
        <v>0.538737700835235</v>
      </c>
      <c r="AN115" s="37" t="n">
        <f aca="false">D115*(1+(((2-3*P115^2)/24*AB115^2)+(P115*AB115*D115/4))*10)</f>
        <v>0.517197776185182</v>
      </c>
      <c r="AO115" s="37" t="n">
        <f aca="false">E115*(1+(((2-3*Q115^2)/24*AC115^2)+(Q115*AC115*E115/4))*10)</f>
        <v>0.494947714464097</v>
      </c>
      <c r="AP115" s="37" t="n">
        <f aca="false">F115*(1+(((2-3*R115^2)/24*AD115^2)+(R115*AD115*F115/4))*10)</f>
        <v>0.487196891502643</v>
      </c>
      <c r="AQ115" s="37" t="n">
        <f aca="false">G115*(1+(((2-3*S115^2)/24*AE115^2)+(S115*AE115*G115/4))*10)</f>
        <v>0.458689559425028</v>
      </c>
      <c r="AR115" s="37" t="n">
        <f aca="false">H115*(1+(((2-3*T115^2)/24*AF115^2)+(T115*AF115*H115/4))*10)</f>
        <v>0.421078535512811</v>
      </c>
      <c r="AS115" s="37" t="n">
        <f aca="false">I115*(1+(((2-3*U115^2)/24*AG115^2)+(U115*AG115*I115/4))*10)</f>
        <v>0.395966875470857</v>
      </c>
      <c r="AT115" s="37" t="n">
        <f aca="false">J115*(1+(((2-3*V115^2)/24*AH115^2)+(V115*AH115*J115/4))*10)</f>
        <v>0.373683803081189</v>
      </c>
      <c r="AU115" s="37" t="n">
        <f aca="false">K115*(1+(((2-3*W115^2)/24*AI115^2)+(W115*AI115*K115/4))*10)</f>
        <v>0.371074473380907</v>
      </c>
      <c r="AV115" s="37" t="n">
        <f aca="false">L115*(1+(((2-3*X115^2)/24*AJ115^2)+(X115*AJ115*L115/4))*10)</f>
        <v>0.34633929428458</v>
      </c>
    </row>
    <row r="116" customFormat="false" ht="15" hidden="false" customHeight="true" outlineLevel="0" collapsed="false">
      <c r="B116" s="35" t="s">
        <v>80</v>
      </c>
      <c r="C116" s="24" t="n">
        <f aca="false">SABR!C15+$C$14*SABR!C48</f>
        <v>0.4171765</v>
      </c>
      <c r="D116" s="24" t="n">
        <f aca="false">SABR!D15+$C$14*SABR!D48</f>
        <v>0.4031031</v>
      </c>
      <c r="E116" s="24" t="n">
        <f aca="false">SABR!E15+$C$14*SABR!E48</f>
        <v>0.3803554</v>
      </c>
      <c r="F116" s="24" t="n">
        <f aca="false">SABR!F15+$C$14*SABR!F48</f>
        <v>0.3787796</v>
      </c>
      <c r="G116" s="24" t="n">
        <f aca="false">SABR!G15+$C$14*SABR!G48</f>
        <v>0.3501622</v>
      </c>
      <c r="H116" s="24" t="n">
        <f aca="false">SABR!H15+$C$14*SABR!H48</f>
        <v>0.3352877</v>
      </c>
      <c r="I116" s="24" t="n">
        <f aca="false">SABR!I15+$C$14*SABR!I48</f>
        <v>0.3205143</v>
      </c>
      <c r="J116" s="24" t="n">
        <f aca="false">SABR!J15+$C$14*SABR!J48</f>
        <v>0.3096616</v>
      </c>
      <c r="K116" s="24" t="n">
        <f aca="false">SABR!K15+$C$14*SABR!K48</f>
        <v>0.2826455</v>
      </c>
      <c r="L116" s="24" t="n">
        <f aca="false">SABR!L15+$C$14*SABR!L48</f>
        <v>0.275915</v>
      </c>
      <c r="N116" s="35" t="s">
        <v>80</v>
      </c>
      <c r="O116" s="24" t="n">
        <f aca="false">SABR!O15+$D$14*SABR!O48</f>
        <v>-0.1944</v>
      </c>
      <c r="P116" s="24" t="n">
        <f aca="false">SABR!P15+$D$14*SABR!P48</f>
        <v>-0.1744</v>
      </c>
      <c r="Q116" s="24" t="n">
        <f aca="false">SABR!Q15+$D$14*SABR!Q48</f>
        <v>-0.1551</v>
      </c>
      <c r="R116" s="24" t="n">
        <f aca="false">SABR!R15+$D$14*SABR!R48</f>
        <v>-0.1457</v>
      </c>
      <c r="S116" s="24" t="n">
        <f aca="false">SABR!S15+$D$14*SABR!S48</f>
        <v>-0.1179</v>
      </c>
      <c r="T116" s="24" t="n">
        <f aca="false">SABR!T15+$D$14*SABR!T48</f>
        <v>-0.1036</v>
      </c>
      <c r="U116" s="24" t="n">
        <f aca="false">SABR!U15+$D$14*SABR!U48</f>
        <v>-0.0877</v>
      </c>
      <c r="V116" s="24" t="n">
        <f aca="false">SABR!V15+$D$14*SABR!V48</f>
        <v>-0.0523</v>
      </c>
      <c r="W116" s="24" t="n">
        <f aca="false">SABR!W15+$D$14*SABR!W48</f>
        <v>-0.0454</v>
      </c>
      <c r="X116" s="24" t="n">
        <f aca="false">SABR!X15+$D$14*SABR!X48</f>
        <v>-0.02</v>
      </c>
      <c r="Z116" s="35" t="s">
        <v>80</v>
      </c>
      <c r="AA116" s="24" t="n">
        <f aca="false">SABR!AA15+$E$14*SABR!AA48</f>
        <v>0.6767</v>
      </c>
      <c r="AB116" s="24" t="n">
        <f aca="false">SABR!AB15+$E$14*SABR!AB48</f>
        <v>0.6511</v>
      </c>
      <c r="AC116" s="24" t="n">
        <f aca="false">SABR!AC15+$E$14*SABR!AC48</f>
        <v>0.6243</v>
      </c>
      <c r="AD116" s="24" t="n">
        <f aca="false">SABR!AD15+$E$14*SABR!AD48</f>
        <v>0.6059</v>
      </c>
      <c r="AE116" s="24" t="n">
        <f aca="false">SABR!AE15+$E$14*SABR!AE48</f>
        <v>0.5844</v>
      </c>
      <c r="AF116" s="24" t="n">
        <f aca="false">SABR!AF15+$E$14*SABR!AF48</f>
        <v>0.5668</v>
      </c>
      <c r="AG116" s="24" t="n">
        <f aca="false">SABR!AG15+$E$14*SABR!AG48</f>
        <v>0.531</v>
      </c>
      <c r="AH116" s="24" t="n">
        <f aca="false">SABR!AH15+$E$14*SABR!AH48</f>
        <v>0.5179</v>
      </c>
      <c r="AI116" s="24" t="n">
        <f aca="false">SABR!AI15+$E$14*SABR!AI48</f>
        <v>0.4894</v>
      </c>
      <c r="AJ116" s="24" t="n">
        <f aca="false">SABR!AJ15+$E$14*SABR!AJ48</f>
        <v>0.4678</v>
      </c>
      <c r="AL116" s="35" t="s">
        <v>80</v>
      </c>
      <c r="AM116" s="37" t="n">
        <f aca="false">C116*(1+(((2-3*O116^2)/24*AA116^2)+(O116*AA116*C116/4))*20)</f>
        <v>0.603046214988734</v>
      </c>
      <c r="AN116" s="37" t="n">
        <f aca="false">D116*(1+(((2-3*P116^2)/24*AB116^2)+(P116*AB116*D116/4))*20)</f>
        <v>0.582665969333178</v>
      </c>
      <c r="AO116" s="37" t="n">
        <f aca="false">E116*(1+(((2-3*Q116^2)/24*AC116^2)+(Q116*AC116*E116/4))*20)</f>
        <v>0.548471541152428</v>
      </c>
      <c r="AP116" s="37" t="n">
        <f aca="false">F116*(1+(((2-3*R116^2)/24*AD116^2)+(R116*AD116*F116/4))*20)</f>
        <v>0.539829932009505</v>
      </c>
      <c r="AQ116" s="37" t="n">
        <f aca="false">G116*(1+(((2-3*S116^2)/24*AE116^2)+(S116*AE116*G116/4))*20)</f>
        <v>0.503079820199745</v>
      </c>
      <c r="AR116" s="37" t="n">
        <f aca="false">H116*(1+(((2-3*T116^2)/24*AF116^2)+(T116*AF116*H116/4))*20)</f>
        <v>0.478916755017305</v>
      </c>
      <c r="AS116" s="37" t="n">
        <f aca="false">I116*(1+(((2-3*U116^2)/24*AG116^2)+(U116*AG116*I116/4))*20)</f>
        <v>0.445477607289094</v>
      </c>
      <c r="AT116" s="37" t="n">
        <f aca="false">J116*(1+(((2-3*V116^2)/24*AH116^2)+(V116*AH116*J116/4))*20)</f>
        <v>0.434536396845188</v>
      </c>
      <c r="AU116" s="37" t="n">
        <f aca="false">K116*(1+(((2-3*W116^2)/24*AI116^2)+(W116*AI116*K116/4))*20)</f>
        <v>0.386250033570019</v>
      </c>
      <c r="AV116" s="37" t="n">
        <f aca="false">L116*(1+(((2-3*X116^2)/24*AJ116^2)+(X116*AJ116*L116/4))*20)</f>
        <v>0.372927245447239</v>
      </c>
    </row>
    <row r="117" customFormat="false" ht="15" hidden="false" customHeight="true" outlineLevel="0" collapsed="false">
      <c r="B117" s="35" t="s">
        <v>81</v>
      </c>
      <c r="C117" s="24" t="n">
        <f aca="false">SABR!C16+$C$14*SABR!C49</f>
        <v>0.4100482</v>
      </c>
      <c r="D117" s="24" t="n">
        <f aca="false">SABR!D16+$C$14*SABR!D49</f>
        <v>0.3879408</v>
      </c>
      <c r="E117" s="24" t="n">
        <f aca="false">SABR!E16+$C$14*SABR!E49</f>
        <v>0.3715234</v>
      </c>
      <c r="F117" s="24" t="n">
        <f aca="false">SABR!F16+$C$14*SABR!F49</f>
        <v>0.3584452</v>
      </c>
      <c r="G117" s="24" t="n">
        <f aca="false">SABR!G16+$C$14*SABR!G49</f>
        <v>0.3441315</v>
      </c>
      <c r="H117" s="24" t="n">
        <f aca="false">SABR!H16+$C$14*SABR!H49</f>
        <v>0.3176899</v>
      </c>
      <c r="I117" s="24" t="n">
        <f aca="false">SABR!I16+$C$14*SABR!I49</f>
        <v>0.3038616</v>
      </c>
      <c r="J117" s="24" t="n">
        <f aca="false">SABR!J16+$C$14*SABR!J49</f>
        <v>0.284315</v>
      </c>
      <c r="K117" s="24" t="n">
        <f aca="false">SABR!K16+$C$14*SABR!K49</f>
        <v>0.267815</v>
      </c>
      <c r="L117" s="24" t="n">
        <f aca="false">SABR!L16+$C$14*SABR!L49</f>
        <v>0.254815</v>
      </c>
      <c r="N117" s="35" t="s">
        <v>81</v>
      </c>
      <c r="O117" s="24" t="n">
        <f aca="false">SABR!O16+$D$14*SABR!O49</f>
        <v>-0.176</v>
      </c>
      <c r="P117" s="24" t="n">
        <f aca="false">SABR!P16+$D$14*SABR!P49</f>
        <v>-0.1549</v>
      </c>
      <c r="Q117" s="24" t="n">
        <f aca="false">SABR!Q16+$D$14*SABR!Q49</f>
        <v>-0.1366</v>
      </c>
      <c r="R117" s="24" t="n">
        <f aca="false">SABR!R16+$D$14*SABR!R49</f>
        <v>-0.1078</v>
      </c>
      <c r="S117" s="24" t="n">
        <f aca="false">SABR!S16+$D$14*SABR!S49</f>
        <v>-0.0932</v>
      </c>
      <c r="T117" s="24" t="n">
        <f aca="false">SABR!T16+$D$14*SABR!T49</f>
        <v>-0.0702</v>
      </c>
      <c r="U117" s="24" t="n">
        <f aca="false">SABR!U16+$D$14*SABR!U49</f>
        <v>-0.0495</v>
      </c>
      <c r="V117" s="24" t="n">
        <f aca="false">SABR!V16+$D$14*SABR!V49</f>
        <v>-0.0437</v>
      </c>
      <c r="W117" s="24" t="n">
        <f aca="false">SABR!W16+$D$14*SABR!W49</f>
        <v>-0.0183</v>
      </c>
      <c r="X117" s="24" t="n">
        <f aca="false">SABR!X16+$D$14*SABR!X49</f>
        <v>0.0089</v>
      </c>
      <c r="Z117" s="35" t="s">
        <v>81</v>
      </c>
      <c r="AA117" s="24" t="n">
        <f aca="false">SABR!AA16+$E$14*SABR!AA49</f>
        <v>0.6568</v>
      </c>
      <c r="AB117" s="24" t="n">
        <f aca="false">SABR!AB16+$E$14*SABR!AB49</f>
        <v>0.6205</v>
      </c>
      <c r="AC117" s="24" t="n">
        <f aca="false">SABR!AC16+$E$14*SABR!AC49</f>
        <v>0.598</v>
      </c>
      <c r="AD117" s="24" t="n">
        <f aca="false">SABR!AD16+$E$14*SABR!AD49</f>
        <v>0.5822</v>
      </c>
      <c r="AE117" s="24" t="n">
        <f aca="false">SABR!AE16+$E$14*SABR!AE49</f>
        <v>0.5526</v>
      </c>
      <c r="AF117" s="24" t="n">
        <f aca="false">SABR!AF16+$E$14*SABR!AF49</f>
        <v>0.5337</v>
      </c>
      <c r="AG117" s="24" t="n">
        <f aca="false">SABR!AG16+$E$14*SABR!AG49</f>
        <v>0.5081</v>
      </c>
      <c r="AH117" s="24" t="n">
        <f aca="false">SABR!AH16+$E$14*SABR!AH49</f>
        <v>0.4978</v>
      </c>
      <c r="AI117" s="24" t="n">
        <f aca="false">SABR!AI16+$E$14*SABR!AI49</f>
        <v>0.4779</v>
      </c>
      <c r="AJ117" s="24" t="n">
        <f aca="false">SABR!AJ16+$E$14*SABR!AJ49</f>
        <v>0.4579</v>
      </c>
      <c r="AL117" s="35" t="s">
        <v>81</v>
      </c>
      <c r="AM117" s="37" t="n">
        <f aca="false">C117*(1+(((2-3*O117^2)/24*AA117^2)+(O117*AA117*C117/4))*30)</f>
        <v>0.685950700262963</v>
      </c>
      <c r="AN117" s="37" t="n">
        <f aca="false">D117*(1+(((2-3*P117^2)/24*AB117^2)+(P117*AB117*D117/4))*30)</f>
        <v>0.639425040062867</v>
      </c>
      <c r="AO117" s="37" t="n">
        <f aca="false">E117*(1+(((2-3*Q117^2)/24*AC117^2)+(Q117*AC117*E117/4))*30)</f>
        <v>0.609808502748086</v>
      </c>
      <c r="AP117" s="37" t="n">
        <f aca="false">F117*(1+(((2-3*R117^2)/24*AD117^2)+(R117*AD117*F117/4))*30)</f>
        <v>0.596416148827572</v>
      </c>
      <c r="AQ117" s="37" t="n">
        <f aca="false">G117*(1+(((2-3*S117^2)/24*AE117^2)+(S117*AE117*G117/4))*30)</f>
        <v>0.55767999203834</v>
      </c>
      <c r="AR117" s="37" t="n">
        <f aca="false">H117*(1+(((2-3*T117^2)/24*AF117^2)+(T117*AF117*H117/4))*30)</f>
        <v>0.513881446843549</v>
      </c>
      <c r="AS117" s="37" t="n">
        <f aca="false">I117*(1+(((2-3*U117^2)/24*AG117^2)+(U117*AG117*I117/4))*30)</f>
        <v>0.481840579264973</v>
      </c>
      <c r="AT117" s="37" t="n">
        <f aca="false">J117*(1+(((2-3*V117^2)/24*AH117^2)+(V117*AH117*J117/4))*30)</f>
        <v>0.446758480620658</v>
      </c>
      <c r="AU117" s="37" t="n">
        <f aca="false">K117*(1+(((2-3*W117^2)/24*AI117^2)+(W117*AI117*K117/4))*30)</f>
        <v>0.415948228890173</v>
      </c>
      <c r="AV117" s="37" t="n">
        <f aca="false">L117*(1+(((2-3*X117^2)/24*AJ117^2)+(X117*AJ117*L117/4))*30)</f>
        <v>0.390352912862784</v>
      </c>
    </row>
    <row r="119" customFormat="false" ht="15" hidden="false" customHeight="true" outlineLevel="0" collapsed="false">
      <c r="A119" s="28" t="s">
        <v>160</v>
      </c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</row>
    <row r="120" customFormat="false" ht="15" hidden="false" customHeight="true" outlineLevel="0" collapsed="false">
      <c r="B120" s="28" t="s">
        <v>136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N120" s="28" t="s">
        <v>137</v>
      </c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Z120" s="28" t="s">
        <v>138</v>
      </c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L120" s="34" t="s">
        <v>139</v>
      </c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</row>
    <row r="121" customFormat="false" ht="15" hidden="false" customHeight="true" outlineLevel="0" collapsed="false">
      <c r="B121" s="18" t="s">
        <v>140</v>
      </c>
      <c r="C121" s="12" t="s">
        <v>141</v>
      </c>
      <c r="D121" s="12" t="s">
        <v>74</v>
      </c>
      <c r="E121" s="12" t="s">
        <v>75</v>
      </c>
      <c r="F121" s="12" t="s">
        <v>30</v>
      </c>
      <c r="G121" s="12" t="s">
        <v>76</v>
      </c>
      <c r="H121" s="12" t="s">
        <v>77</v>
      </c>
      <c r="I121" s="12" t="s">
        <v>78</v>
      </c>
      <c r="J121" s="12" t="s">
        <v>79</v>
      </c>
      <c r="K121" s="12" t="s">
        <v>80</v>
      </c>
      <c r="L121" s="12" t="s">
        <v>81</v>
      </c>
      <c r="N121" s="18" t="s">
        <v>140</v>
      </c>
      <c r="O121" s="12" t="s">
        <v>141</v>
      </c>
      <c r="P121" s="12" t="s">
        <v>74</v>
      </c>
      <c r="Q121" s="12" t="s">
        <v>75</v>
      </c>
      <c r="R121" s="12" t="s">
        <v>30</v>
      </c>
      <c r="S121" s="12" t="s">
        <v>76</v>
      </c>
      <c r="T121" s="12" t="s">
        <v>77</v>
      </c>
      <c r="U121" s="12" t="s">
        <v>78</v>
      </c>
      <c r="V121" s="12" t="s">
        <v>79</v>
      </c>
      <c r="W121" s="12" t="s">
        <v>80</v>
      </c>
      <c r="X121" s="12" t="s">
        <v>81</v>
      </c>
      <c r="Z121" s="18" t="s">
        <v>140</v>
      </c>
      <c r="AA121" s="12" t="s">
        <v>141</v>
      </c>
      <c r="AB121" s="12" t="s">
        <v>74</v>
      </c>
      <c r="AC121" s="12" t="s">
        <v>75</v>
      </c>
      <c r="AD121" s="12" t="s">
        <v>30</v>
      </c>
      <c r="AE121" s="12" t="s">
        <v>76</v>
      </c>
      <c r="AF121" s="12" t="s">
        <v>77</v>
      </c>
      <c r="AG121" s="12" t="s">
        <v>78</v>
      </c>
      <c r="AH121" s="12" t="s">
        <v>79</v>
      </c>
      <c r="AI121" s="12" t="s">
        <v>80</v>
      </c>
      <c r="AJ121" s="12" t="s">
        <v>81</v>
      </c>
      <c r="AL121" s="18" t="s">
        <v>140</v>
      </c>
      <c r="AM121" s="12" t="s">
        <v>141</v>
      </c>
      <c r="AN121" s="12" t="s">
        <v>74</v>
      </c>
      <c r="AO121" s="12" t="s">
        <v>75</v>
      </c>
      <c r="AP121" s="12" t="s">
        <v>30</v>
      </c>
      <c r="AQ121" s="12" t="s">
        <v>76</v>
      </c>
      <c r="AR121" s="12" t="s">
        <v>77</v>
      </c>
      <c r="AS121" s="12" t="s">
        <v>78</v>
      </c>
      <c r="AT121" s="12" t="s">
        <v>79</v>
      </c>
      <c r="AU121" s="12" t="s">
        <v>80</v>
      </c>
      <c r="AV121" s="12" t="s">
        <v>81</v>
      </c>
    </row>
    <row r="122" customFormat="false" ht="15" hidden="false" customHeight="true" outlineLevel="0" collapsed="false">
      <c r="B122" s="35" t="s">
        <v>141</v>
      </c>
      <c r="C122" s="24" t="n">
        <f aca="false">SABR!C7+$C$15*SABR!C40</f>
        <v>0.5596282</v>
      </c>
      <c r="D122" s="24" t="n">
        <f aca="false">SABR!D7+$C$15*SABR!D40</f>
        <v>0.5388476</v>
      </c>
      <c r="E122" s="24" t="n">
        <f aca="false">SABR!E7+$C$15*SABR!E40</f>
        <v>0.531344</v>
      </c>
      <c r="F122" s="24" t="n">
        <f aca="false">SABR!F7+$C$15*SABR!F40</f>
        <v>0.502388</v>
      </c>
      <c r="G122" s="24" t="n">
        <f aca="false">SABR!G7+$C$15*SABR!G40</f>
        <v>0.4942434</v>
      </c>
      <c r="H122" s="24" t="n">
        <f aca="false">SABR!H7+$C$15*SABR!H40</f>
        <v>0.4733234</v>
      </c>
      <c r="I122" s="24" t="n">
        <f aca="false">SABR!I7+$C$15*SABR!I40</f>
        <v>0.450138</v>
      </c>
      <c r="J122" s="24" t="n">
        <f aca="false">SABR!J7+$C$15*SABR!J40</f>
        <v>0.4417</v>
      </c>
      <c r="K122" s="24" t="n">
        <f aca="false">SABR!K7+$C$15*SABR!K40</f>
        <v>0.41478</v>
      </c>
      <c r="L122" s="24" t="n">
        <f aca="false">SABR!L7+$C$15*SABR!L40</f>
        <v>0.4052764</v>
      </c>
      <c r="N122" s="35" t="s">
        <v>141</v>
      </c>
      <c r="O122" s="24" t="n">
        <f aca="false">SABR!O7+$D$15*SABR!O40</f>
        <v>-0.3586</v>
      </c>
      <c r="P122" s="24" t="n">
        <f aca="false">SABR!P7+$D$15*SABR!P40</f>
        <v>-0.3387</v>
      </c>
      <c r="Q122" s="24" t="n">
        <f aca="false">SABR!Q7+$D$15*SABR!Q40</f>
        <v>-0.3126</v>
      </c>
      <c r="R122" s="24" t="n">
        <f aca="false">SABR!R7+$D$15*SABR!R40</f>
        <v>-0.2851</v>
      </c>
      <c r="S122" s="24" t="n">
        <f aca="false">SABR!S7+$D$15*SABR!S40</f>
        <v>-0.2797</v>
      </c>
      <c r="T122" s="24" t="n">
        <f aca="false">SABR!T7+$D$15*SABR!T40</f>
        <v>-0.2583</v>
      </c>
      <c r="U122" s="24" t="n">
        <f aca="false">SABR!U7+$D$15*SABR!U40</f>
        <v>-0.2308</v>
      </c>
      <c r="V122" s="24" t="n">
        <f aca="false">SABR!V7+$D$15*SABR!V40</f>
        <v>-0.2049</v>
      </c>
      <c r="W122" s="24" t="n">
        <f aca="false">SABR!W7+$D$15*SABR!W40</f>
        <v>-0.1929</v>
      </c>
      <c r="X122" s="24" t="n">
        <f aca="false">SABR!X7+$D$15*SABR!X40</f>
        <v>-0.1771</v>
      </c>
      <c r="Z122" s="35" t="s">
        <v>141</v>
      </c>
      <c r="AA122" s="24" t="n">
        <f aca="false">SABR!AA7+$E$15*SABR!AA40</f>
        <v>0.8595</v>
      </c>
      <c r="AB122" s="24" t="n">
        <f aca="false">SABR!AB7+$E$15*SABR!AB40</f>
        <v>0.8187</v>
      </c>
      <c r="AC122" s="24" t="n">
        <f aca="false">SABR!AC7+$E$15*SABR!AC40</f>
        <v>0.8127</v>
      </c>
      <c r="AD122" s="24" t="n">
        <f aca="false">SABR!AD7+$E$15*SABR!AD40</f>
        <v>0.7791</v>
      </c>
      <c r="AE122" s="24" t="n">
        <f aca="false">SABR!AE7+$E$15*SABR!AE40</f>
        <v>0.754</v>
      </c>
      <c r="AF122" s="24" t="n">
        <f aca="false">SABR!AF7+$E$15*SABR!AF40</f>
        <v>0.7312</v>
      </c>
      <c r="AG122" s="24" t="n">
        <f aca="false">SABR!AG7+$E$15*SABR!AG40</f>
        <v>0.7128</v>
      </c>
      <c r="AH122" s="24" t="n">
        <f aca="false">SABR!AH7+$E$15*SABR!AH40</f>
        <v>0.7008</v>
      </c>
      <c r="AI122" s="24" t="n">
        <f aca="false">SABR!AI7+$E$15*SABR!AI40</f>
        <v>0.6658</v>
      </c>
      <c r="AJ122" s="24" t="n">
        <f aca="false">SABR!AJ7+$E$15*SABR!AJ40</f>
        <v>0.6516</v>
      </c>
      <c r="AL122" s="35" t="s">
        <v>141</v>
      </c>
      <c r="AM122" s="37" t="n">
        <f aca="false">C122*(1+(((2-3*O122^2)/24*AA122^2)+(O122*AA122*C122/4))*0.0833333333333333)</f>
        <v>0.559934377553633</v>
      </c>
      <c r="AN122" s="37" t="n">
        <f aca="false">D122*(1+(((2-3*P122^2)/24*AB122^2)+(P122*AB122*D122/4))*0.0833333333333333)</f>
        <v>0.539246777127745</v>
      </c>
      <c r="AO122" s="37" t="n">
        <f aca="false">E122*(1+(((2-3*Q122^2)/24*AC122^2)+(Q122*AC122*E122/4))*0.0833333333333333)</f>
        <v>0.531929604958229</v>
      </c>
      <c r="AP122" s="37" t="n">
        <f aca="false">F122*(1+(((2-3*R122^2)/24*AD122^2)+(R122*AD122*F122/4))*0.0833333333333333)</f>
        <v>0.503079538952168</v>
      </c>
      <c r="AQ122" s="37" t="n">
        <f aca="false">G122*(1+(((2-3*S122^2)/24*AE122^2)+(S122*AE122*G122/4))*0.0833333333333333)</f>
        <v>0.494892448331952</v>
      </c>
      <c r="AR122" s="37" t="n">
        <f aca="false">H122*(1+(((2-3*T122^2)/24*AF122^2)+(T122*AF122*H122/4))*0.0833333333333333)</f>
        <v>0.474023385876989</v>
      </c>
      <c r="AS122" s="37" t="n">
        <f aca="false">I122*(1+(((2-3*U122^2)/24*AG122^2)+(U122*AG122*I122/4))*0.0833333333333333)</f>
        <v>0.450904872928393</v>
      </c>
      <c r="AT122" s="37" t="n">
        <f aca="false">J122*(1+(((2-3*V122^2)/24*AH122^2)+(V122*AH122*J122/4))*0.0833333333333333)</f>
        <v>0.442527928356501</v>
      </c>
      <c r="AU122" s="37" t="n">
        <f aca="false">K122*(1+(((2-3*W122^2)/24*AI122^2)+(W122*AI122*K122/4))*0.0833333333333333)</f>
        <v>0.415525259020781</v>
      </c>
      <c r="AV122" s="37" t="n">
        <f aca="false">L122*(1+(((2-3*X122^2)/24*AJ122^2)+(X122*AJ122*L122/4))*0.0833333333333333)</f>
        <v>0.406020258635707</v>
      </c>
    </row>
    <row r="123" customFormat="false" ht="15" hidden="false" customHeight="true" outlineLevel="0" collapsed="false">
      <c r="B123" s="35" t="s">
        <v>74</v>
      </c>
      <c r="C123" s="24" t="n">
        <f aca="false">SABR!C8+$C$15*SABR!C41</f>
        <v>0.5483918</v>
      </c>
      <c r="D123" s="24" t="n">
        <f aca="false">SABR!D8+$C$15*SABR!D41</f>
        <v>0.5256128</v>
      </c>
      <c r="E123" s="24" t="n">
        <f aca="false">SABR!E8+$C$15*SABR!E41</f>
        <v>0.5117994</v>
      </c>
      <c r="F123" s="24" t="n">
        <f aca="false">SABR!F8+$C$15*SABR!F41</f>
        <v>0.4845548</v>
      </c>
      <c r="G123" s="24" t="n">
        <f aca="false">SABR!G8+$C$15*SABR!G41</f>
        <v>0.4674612</v>
      </c>
      <c r="H123" s="24" t="n">
        <f aca="false">SABR!H8+$C$15*SABR!H41</f>
        <v>0.4527428</v>
      </c>
      <c r="I123" s="24" t="n">
        <f aca="false">SABR!I8+$C$15*SABR!I41</f>
        <v>0.4450262</v>
      </c>
      <c r="J123" s="24" t="n">
        <f aca="false">SABR!J8+$C$15*SABR!J41</f>
        <v>0.4223586</v>
      </c>
      <c r="K123" s="24" t="n">
        <f aca="false">SABR!K8+$C$15*SABR!K41</f>
        <v>0.4029994</v>
      </c>
      <c r="L123" s="24" t="n">
        <f aca="false">SABR!L8+$C$15*SABR!L41</f>
        <v>0.3909122</v>
      </c>
      <c r="N123" s="35" t="s">
        <v>74</v>
      </c>
      <c r="O123" s="24" t="n">
        <f aca="false">SABR!O8+$D$15*SABR!O41</f>
        <v>-0.3315</v>
      </c>
      <c r="P123" s="24" t="n">
        <f aca="false">SABR!P8+$D$15*SABR!P41</f>
        <v>-0.3151</v>
      </c>
      <c r="Q123" s="24" t="n">
        <f aca="false">SABR!Q8+$D$15*SABR!Q41</f>
        <v>-0.2858</v>
      </c>
      <c r="R123" s="24" t="n">
        <f aca="false">SABR!R8+$D$15*SABR!R41</f>
        <v>-0.2682</v>
      </c>
      <c r="S123" s="24" t="n">
        <f aca="false">SABR!S8+$D$15*SABR!S41</f>
        <v>-0.2579</v>
      </c>
      <c r="T123" s="24" t="n">
        <f aca="false">SABR!T8+$D$15*SABR!T41</f>
        <v>-0.2318</v>
      </c>
      <c r="U123" s="24" t="n">
        <f aca="false">SABR!U8+$D$15*SABR!U41</f>
        <v>-0.2134</v>
      </c>
      <c r="V123" s="24" t="n">
        <f aca="false">SABR!V8+$D$15*SABR!V41</f>
        <v>-0.1869</v>
      </c>
      <c r="W123" s="24" t="n">
        <f aca="false">SABR!W8+$D$15*SABR!W41</f>
        <v>-0.1704</v>
      </c>
      <c r="X123" s="24" t="n">
        <f aca="false">SABR!X8+$D$15*SABR!X41</f>
        <v>-0.1598</v>
      </c>
      <c r="Z123" s="35" t="s">
        <v>74</v>
      </c>
      <c r="AA123" s="24" t="n">
        <f aca="false">SABR!AA8+$E$15*SABR!AA41</f>
        <v>0.8374</v>
      </c>
      <c r="AB123" s="24" t="n">
        <f aca="false">SABR!AB8+$E$15*SABR!AB41</f>
        <v>0.7979</v>
      </c>
      <c r="AC123" s="24" t="n">
        <f aca="false">SABR!AC8+$E$15*SABR!AC41</f>
        <v>0.7817</v>
      </c>
      <c r="AD123" s="24" t="n">
        <f aca="false">SABR!AD8+$E$15*SABR!AD41</f>
        <v>0.7663</v>
      </c>
      <c r="AE123" s="24" t="n">
        <f aca="false">SABR!AE8+$E$15*SABR!AE41</f>
        <v>0.7319</v>
      </c>
      <c r="AF123" s="24" t="n">
        <f aca="false">SABR!AF8+$E$15*SABR!AF41</f>
        <v>0.7164</v>
      </c>
      <c r="AG123" s="24" t="n">
        <f aca="false">SABR!AG8+$E$15*SABR!AG41</f>
        <v>0.6852</v>
      </c>
      <c r="AH123" s="24" t="n">
        <f aca="false">SABR!AH8+$E$15*SABR!AH41</f>
        <v>0.6756</v>
      </c>
      <c r="AI123" s="24" t="n">
        <f aca="false">SABR!AI8+$E$15*SABR!AI41</f>
        <v>0.6553</v>
      </c>
      <c r="AJ123" s="24" t="n">
        <f aca="false">SABR!AJ8+$E$15*SABR!AJ41</f>
        <v>0.6292</v>
      </c>
      <c r="AL123" s="35" t="s">
        <v>74</v>
      </c>
      <c r="AM123" s="37" t="n">
        <f aca="false">C123*(1+(((2-3*O123^2)/24*AA123^2)+(O123*AA123*C123/4))*0.25)</f>
        <v>0.549865033287475</v>
      </c>
      <c r="AN123" s="37" t="n">
        <f aca="false">D123*(1+(((2-3*P123^2)/24*AB123^2)+(P123*AB123*D123/4))*0.25)</f>
        <v>0.527204767956895</v>
      </c>
      <c r="AO123" s="37" t="n">
        <f aca="false">E123*(1+(((2-3*Q123^2)/24*AC123^2)+(Q123*AC123*E123/4))*0.25)</f>
        <v>0.513859007080375</v>
      </c>
      <c r="AP123" s="37" t="n">
        <f aca="false">F123*(1+(((2-3*R123^2)/24*AD123^2)+(R123*AD123*F123/4))*0.25)</f>
        <v>0.486827134274629</v>
      </c>
      <c r="AQ123" s="37" t="n">
        <f aca="false">G123*(1+(((2-3*S123^2)/24*AE123^2)+(S123*AE123*G123/4))*0.25)</f>
        <v>0.469579617892568</v>
      </c>
      <c r="AR123" s="37" t="n">
        <f aca="false">H123*(1+(((2-3*T123^2)/24*AF123^2)+(T123*AF123*H123/4))*0.25)</f>
        <v>0.455066076510302</v>
      </c>
      <c r="AS123" s="37" t="n">
        <f aca="false">I123*(1+(((2-3*U123^2)/24*AG123^2)+(U123*AG123*I123/4))*0.25)</f>
        <v>0.447271824777512</v>
      </c>
      <c r="AT123" s="37" t="n">
        <f aca="false">J123*(1+(((2-3*V123^2)/24*AH123^2)+(V123*AH123*J123/4))*0.25)</f>
        <v>0.424756594818964</v>
      </c>
      <c r="AU123" s="37" t="n">
        <f aca="false">K123*(1+(((2-3*W123^2)/24*AI123^2)+(W123*AI123*K123/4))*0.25)</f>
        <v>0.405314250385769</v>
      </c>
      <c r="AV123" s="37" t="n">
        <f aca="false">L123*(1+(((2-3*X123^2)/24*AJ123^2)+(X123*AJ123*L123/4))*0.25)</f>
        <v>0.393052559799313</v>
      </c>
    </row>
    <row r="124" customFormat="false" ht="15" hidden="false" customHeight="true" outlineLevel="0" collapsed="false">
      <c r="B124" s="35" t="s">
        <v>75</v>
      </c>
      <c r="C124" s="24" t="n">
        <f aca="false">SABR!C9+$C$15*SABR!C42</f>
        <v>0.535598</v>
      </c>
      <c r="D124" s="24" t="n">
        <f aca="false">SABR!D9+$C$15*SABR!D42</f>
        <v>0.5070666</v>
      </c>
      <c r="E124" s="24" t="n">
        <f aca="false">SABR!E9+$C$15*SABR!E42</f>
        <v>0.497573</v>
      </c>
      <c r="F124" s="24" t="n">
        <f aca="false">SABR!F9+$C$15*SABR!F42</f>
        <v>0.4780136</v>
      </c>
      <c r="G124" s="24" t="n">
        <f aca="false">SABR!G9+$C$15*SABR!G42</f>
        <v>0.4605298</v>
      </c>
      <c r="H124" s="24" t="n">
        <f aca="false">SABR!H9+$C$15*SABR!H42</f>
        <v>0.4404048</v>
      </c>
      <c r="I124" s="24" t="n">
        <f aca="false">SABR!I9+$C$15*SABR!I42</f>
        <v>0.4305028</v>
      </c>
      <c r="J124" s="24" t="n">
        <f aca="false">SABR!J9+$C$15*SABR!J42</f>
        <v>0.4154436</v>
      </c>
      <c r="K124" s="24" t="n">
        <f aca="false">SABR!K9+$C$15*SABR!K42</f>
        <v>0.3886794</v>
      </c>
      <c r="L124" s="24" t="n">
        <f aca="false">SABR!L9+$C$15*SABR!L42</f>
        <v>0.3747872</v>
      </c>
      <c r="N124" s="35" t="s">
        <v>75</v>
      </c>
      <c r="O124" s="24" t="n">
        <f aca="false">SABR!O9+$D$15*SABR!O42</f>
        <v>-0.3199</v>
      </c>
      <c r="P124" s="24" t="n">
        <f aca="false">SABR!P9+$D$15*SABR!P42</f>
        <v>-0.2876</v>
      </c>
      <c r="Q124" s="24" t="n">
        <f aca="false">SABR!Q9+$D$15*SABR!Q42</f>
        <v>-0.2693</v>
      </c>
      <c r="R124" s="24" t="n">
        <f aca="false">SABR!R9+$D$15*SABR!R42</f>
        <v>-0.2429</v>
      </c>
      <c r="S124" s="24" t="n">
        <f aca="false">SABR!S9+$D$15*SABR!S42</f>
        <v>-0.2269</v>
      </c>
      <c r="T124" s="24" t="n">
        <f aca="false">SABR!T9+$D$15*SABR!T42</f>
        <v>-0.2182</v>
      </c>
      <c r="U124" s="24" t="n">
        <f aca="false">SABR!U9+$D$15*SABR!U42</f>
        <v>-0.1967</v>
      </c>
      <c r="V124" s="24" t="n">
        <f aca="false">SABR!V9+$D$15*SABR!V42</f>
        <v>-0.1716</v>
      </c>
      <c r="W124" s="24" t="n">
        <f aca="false">SABR!W9+$D$15*SABR!W42</f>
        <v>-0.1651</v>
      </c>
      <c r="X124" s="24" t="n">
        <f aca="false">SABR!X9+$D$15*SABR!X42</f>
        <v>-0.1369</v>
      </c>
      <c r="Z124" s="35" t="s">
        <v>75</v>
      </c>
      <c r="AA124" s="24" t="n">
        <f aca="false">SABR!AA9+$E$15*SABR!AA42</f>
        <v>0.7989</v>
      </c>
      <c r="AB124" s="24" t="n">
        <f aca="false">SABR!AB9+$E$15*SABR!AB42</f>
        <v>0.7757</v>
      </c>
      <c r="AC124" s="24" t="n">
        <f aca="false">SABR!AC9+$E$15*SABR!AC42</f>
        <v>0.7523</v>
      </c>
      <c r="AD124" s="24" t="n">
        <f aca="false">SABR!AD9+$E$15*SABR!AD42</f>
        <v>0.7443</v>
      </c>
      <c r="AE124" s="24" t="n">
        <f aca="false">SABR!AE9+$E$15*SABR!AE42</f>
        <v>0.7093</v>
      </c>
      <c r="AF124" s="24" t="n">
        <f aca="false">SABR!AF9+$E$15*SABR!AF42</f>
        <v>0.6894</v>
      </c>
      <c r="AG124" s="24" t="n">
        <f aca="false">SABR!AG9+$E$15*SABR!AG42</f>
        <v>0.67</v>
      </c>
      <c r="AH124" s="24" t="n">
        <f aca="false">SABR!AH9+$E$15*SABR!AH42</f>
        <v>0.6574</v>
      </c>
      <c r="AI124" s="24" t="n">
        <f aca="false">SABR!AI9+$E$15*SABR!AI42</f>
        <v>0.6194</v>
      </c>
      <c r="AJ124" s="24" t="n">
        <f aca="false">SABR!AJ9+$E$15*SABR!AJ42</f>
        <v>0.6045</v>
      </c>
      <c r="AL124" s="35" t="s">
        <v>75</v>
      </c>
      <c r="AM124" s="37" t="n">
        <f aca="false">C124*(1+(((2-3*O124^2)/24*AA124^2)+(O124*AA124*C124/4))*0.5)</f>
        <v>0.538490749533171</v>
      </c>
      <c r="AN124" s="37" t="n">
        <f aca="false">D124*(1+(((2-3*P124^2)/24*AB124^2)+(P124*AB124*D124/4))*0.5)</f>
        <v>0.511032059688702</v>
      </c>
      <c r="AO124" s="37" t="n">
        <f aca="false">E124*(1+(((2-3*Q124^2)/24*AC124^2)+(Q124*AC124*E124/4))*0.5)</f>
        <v>0.501760326917989</v>
      </c>
      <c r="AP124" s="37" t="n">
        <f aca="false">F124*(1+(((2-3*R124^2)/24*AD124^2)+(R124*AD124*F124/4))*0.5)</f>
        <v>0.48290714051818</v>
      </c>
      <c r="AQ124" s="37" t="n">
        <f aca="false">G124*(1+(((2-3*S124^2)/24*AE124^2)+(S124*AE124*G124/4))*0.5)</f>
        <v>0.465171569074449</v>
      </c>
      <c r="AR124" s="37" t="n">
        <f aca="false">H124*(1+(((2-3*T124^2)/24*AF124^2)+(T124*AF124*H124/4))*0.5)</f>
        <v>0.444856255304196</v>
      </c>
      <c r="AS124" s="37" t="n">
        <f aca="false">I124*(1+(((2-3*U124^2)/24*AG124^2)+(U124*AG124*I124/4))*0.5)</f>
        <v>0.435034575415663</v>
      </c>
      <c r="AT124" s="37" t="n">
        <f aca="false">J124*(1+(((2-3*V124^2)/24*AH124^2)+(V124*AH124*J124/4))*0.5)</f>
        <v>0.420160395895254</v>
      </c>
      <c r="AU124" s="37" t="n">
        <f aca="false">K124*(1+(((2-3*W124^2)/24*AI124^2)+(W124*AI124*K124/4))*0.5)</f>
        <v>0.392707532440453</v>
      </c>
      <c r="AV124" s="37" t="n">
        <f aca="false">L124*(1+(((2-3*X124^2)/24*AJ124^2)+(X124*AJ124*L124/4))*0.5)</f>
        <v>0.378880183541617</v>
      </c>
    </row>
    <row r="125" customFormat="false" ht="15" hidden="false" customHeight="true" outlineLevel="0" collapsed="false">
      <c r="B125" s="35" t="s">
        <v>30</v>
      </c>
      <c r="C125" s="24" t="n">
        <f aca="false">SABR!C10+$C$15*SABR!C43</f>
        <v>0.511701</v>
      </c>
      <c r="D125" s="24" t="n">
        <f aca="false">SABR!D10+$C$15*SABR!D43</f>
        <v>0.501086</v>
      </c>
      <c r="E125" s="24" t="n">
        <f aca="false">SABR!E10+$C$15*SABR!E43</f>
        <v>0.4827596</v>
      </c>
      <c r="F125" s="24" t="n">
        <f aca="false">SABR!F10+$C$15*SABR!F43</f>
        <v>0.466115</v>
      </c>
      <c r="G125" s="24" t="n">
        <f aca="false">SABR!G10+$C$15*SABR!G43</f>
        <v>0.4366654</v>
      </c>
      <c r="H125" s="24" t="n">
        <f aca="false">SABR!H10+$C$15*SABR!H43</f>
        <v>0.422093</v>
      </c>
      <c r="I125" s="24" t="n">
        <f aca="false">SABR!I10+$C$15*SABR!I43</f>
        <v>0.4034812</v>
      </c>
      <c r="J125" s="24" t="n">
        <f aca="false">SABR!J10+$C$15*SABR!J43</f>
        <v>0.3965268</v>
      </c>
      <c r="K125" s="24" t="n">
        <f aca="false">SABR!K10+$C$15*SABR!K43</f>
        <v>0.3809496</v>
      </c>
      <c r="L125" s="24" t="n">
        <f aca="false">SABR!L10+$C$15*SABR!L43</f>
        <v>0.3471082</v>
      </c>
      <c r="N125" s="35" t="s">
        <v>30</v>
      </c>
      <c r="O125" s="24" t="n">
        <f aca="false">SABR!O10+$D$15*SABR!O43</f>
        <v>-0.2981</v>
      </c>
      <c r="P125" s="24" t="n">
        <f aca="false">SABR!P10+$D$15*SABR!P43</f>
        <v>-0.2776</v>
      </c>
      <c r="Q125" s="24" t="n">
        <f aca="false">SABR!Q10+$D$15*SABR!Q43</f>
        <v>-0.2581</v>
      </c>
      <c r="R125" s="24" t="n">
        <f aca="false">SABR!R10+$D$15*SABR!R43</f>
        <v>-0.2336</v>
      </c>
      <c r="S125" s="24" t="n">
        <f aca="false">SABR!S10+$D$15*SABR!S43</f>
        <v>-0.2121</v>
      </c>
      <c r="T125" s="24" t="n">
        <f aca="false">SABR!T10+$D$15*SABR!T43</f>
        <v>-0.1992</v>
      </c>
      <c r="U125" s="24" t="n">
        <f aca="false">SABR!U10+$D$15*SABR!U43</f>
        <v>-0.1849</v>
      </c>
      <c r="V125" s="24" t="n">
        <f aca="false">SABR!V10+$D$15*SABR!V43</f>
        <v>-0.1572</v>
      </c>
      <c r="W125" s="24" t="n">
        <f aca="false">SABR!W10+$D$15*SABR!W43</f>
        <v>-0.1387</v>
      </c>
      <c r="X125" s="24" t="n">
        <f aca="false">SABR!X10+$D$15*SABR!X43</f>
        <v>-0.1153</v>
      </c>
      <c r="Z125" s="35" t="s">
        <v>30</v>
      </c>
      <c r="AA125" s="24" t="n">
        <f aca="false">SABR!AA10+$E$15*SABR!AA43</f>
        <v>0.7924</v>
      </c>
      <c r="AB125" s="24" t="n">
        <f aca="false">SABR!AB10+$E$15*SABR!AB43</f>
        <v>0.7649</v>
      </c>
      <c r="AC125" s="24" t="n">
        <f aca="false">SABR!AC10+$E$15*SABR!AC43</f>
        <v>0.7392</v>
      </c>
      <c r="AD125" s="24" t="n">
        <f aca="false">SABR!AD10+$E$15*SABR!AD43</f>
        <v>0.719</v>
      </c>
      <c r="AE125" s="24" t="n">
        <f aca="false">SABR!AE10+$E$15*SABR!AE43</f>
        <v>0.698</v>
      </c>
      <c r="AF125" s="24" t="n">
        <f aca="false">SABR!AF10+$E$15*SABR!AF43</f>
        <v>0.6633</v>
      </c>
      <c r="AG125" s="24" t="n">
        <f aca="false">SABR!AG10+$E$15*SABR!AG43</f>
        <v>0.658</v>
      </c>
      <c r="AH125" s="24" t="n">
        <f aca="false">SABR!AH10+$E$15*SABR!AH43</f>
        <v>0.6334</v>
      </c>
      <c r="AI125" s="24" t="n">
        <f aca="false">SABR!AI10+$E$15*SABR!AI43</f>
        <v>0.613</v>
      </c>
      <c r="AJ125" s="24" t="n">
        <f aca="false">SABR!AJ10+$E$15*SABR!AJ43</f>
        <v>0.5893</v>
      </c>
      <c r="AL125" s="35" t="s">
        <v>30</v>
      </c>
      <c r="AM125" s="37" t="n">
        <f aca="false">C125*(1+(((2-3*O125^2)/24*AA125^2)+(O125*AA125*C125/4))*1)</f>
        <v>0.519444245962409</v>
      </c>
      <c r="AN125" s="37" t="n">
        <f aca="false">D125*(1+(((2-3*P125^2)/24*AB125^2)+(P125*AB125*D125/4))*1)</f>
        <v>0.509364184594551</v>
      </c>
      <c r="AO125" s="37" t="n">
        <f aca="false">E125*(1+(((2-3*Q125^2)/24*AC125^2)+(Q125*AC125*E125/4))*1)</f>
        <v>0.491429290688112</v>
      </c>
      <c r="AP125" s="37" t="n">
        <f aca="false">F125*(1+(((2-3*R125^2)/24*AD125^2)+(R125*AD125*F125/4))*1)</f>
        <v>0.475428839039974</v>
      </c>
      <c r="AQ125" s="37" t="n">
        <f aca="false">G125*(1+(((2-3*S125^2)/24*AE125^2)+(S125*AE125*G125/4))*1)</f>
        <v>0.446140610746746</v>
      </c>
      <c r="AR125" s="37" t="n">
        <f aca="false">H125*(1+(((2-3*T125^2)/24*AF125^2)+(T125*AF125*H125/4))*1)</f>
        <v>0.43076233311043</v>
      </c>
      <c r="AS125" s="37" t="n">
        <f aca="false">I125*(1+(((2-3*U125^2)/24*AG125^2)+(U125*AG125*I125/4))*1)</f>
        <v>0.412340742056867</v>
      </c>
      <c r="AT125" s="37" t="n">
        <f aca="false">J125*(1+(((2-3*V125^2)/24*AH125^2)+(V125*AH125*J125/4))*1)</f>
        <v>0.405378502381195</v>
      </c>
      <c r="AU125" s="37" t="n">
        <f aca="false">K125*(1+(((2-3*W125^2)/24*AI125^2)+(W125*AI125*K125/4))*1)</f>
        <v>0.389449762103675</v>
      </c>
      <c r="AV125" s="37" t="n">
        <f aca="false">L125*(1+(((2-3*X125^2)/24*AJ125^2)+(X125*AJ125*L125/4))*1)</f>
        <v>0.354906428254467</v>
      </c>
    </row>
    <row r="126" customFormat="false" ht="15" hidden="false" customHeight="true" outlineLevel="0" collapsed="false">
      <c r="B126" s="35" t="s">
        <v>76</v>
      </c>
      <c r="C126" s="24" t="n">
        <f aca="false">SABR!C11+$C$15*SABR!C44</f>
        <v>0.4914008</v>
      </c>
      <c r="D126" s="24" t="n">
        <f aca="false">SABR!D11+$C$15*SABR!D44</f>
        <v>0.4740054</v>
      </c>
      <c r="E126" s="24" t="n">
        <f aca="false">SABR!E11+$C$15*SABR!E44</f>
        <v>0.4506362</v>
      </c>
      <c r="F126" s="24" t="n">
        <f aca="false">SABR!F11+$C$15*SABR!F44</f>
        <v>0.4440688</v>
      </c>
      <c r="G126" s="24" t="n">
        <f aca="false">SABR!G11+$C$15*SABR!G44</f>
        <v>0.4149356</v>
      </c>
      <c r="H126" s="24" t="n">
        <f aca="false">SABR!H11+$C$15*SABR!H44</f>
        <v>0.3978518</v>
      </c>
      <c r="I126" s="24" t="n">
        <f aca="false">SABR!I11+$C$15*SABR!I44</f>
        <v>0.3830514</v>
      </c>
      <c r="J126" s="24" t="n">
        <f aca="false">SABR!J11+$C$15*SABR!J44</f>
        <v>0.364861</v>
      </c>
      <c r="K126" s="24" t="n">
        <f aca="false">SABR!K11+$C$15*SABR!K44</f>
        <v>0.3509246</v>
      </c>
      <c r="L126" s="24" t="n">
        <f aca="false">SABR!L11+$C$15*SABR!L44</f>
        <v>0.3278112</v>
      </c>
      <c r="N126" s="35" t="s">
        <v>76</v>
      </c>
      <c r="O126" s="24" t="n">
        <f aca="false">SABR!O11+$D$15*SABR!O44</f>
        <v>-0.2822</v>
      </c>
      <c r="P126" s="24" t="n">
        <f aca="false">SABR!P11+$D$15*SABR!P44</f>
        <v>-0.2598</v>
      </c>
      <c r="Q126" s="24" t="n">
        <f aca="false">SABR!Q11+$D$15*SABR!Q44</f>
        <v>-0.2413</v>
      </c>
      <c r="R126" s="24" t="n">
        <f aca="false">SABR!R11+$D$15*SABR!R44</f>
        <v>-0.2166</v>
      </c>
      <c r="S126" s="24" t="n">
        <f aca="false">SABR!S11+$D$15*SABR!S44</f>
        <v>-0.2039</v>
      </c>
      <c r="T126" s="24" t="n">
        <f aca="false">SABR!T11+$D$15*SABR!T44</f>
        <v>-0.1675</v>
      </c>
      <c r="U126" s="24" t="n">
        <f aca="false">SABR!U11+$D$15*SABR!U44</f>
        <v>-0.1533</v>
      </c>
      <c r="V126" s="24" t="n">
        <f aca="false">SABR!V11+$D$15*SABR!V44</f>
        <v>-0.1431</v>
      </c>
      <c r="W126" s="24" t="n">
        <f aca="false">SABR!W11+$D$15*SABR!W44</f>
        <v>-0.1216</v>
      </c>
      <c r="X126" s="24" t="n">
        <f aca="false">SABR!X11+$D$15*SABR!X44</f>
        <v>-0.1003</v>
      </c>
      <c r="Z126" s="35" t="s">
        <v>76</v>
      </c>
      <c r="AA126" s="24" t="n">
        <f aca="false">SABR!AA11+$E$15*SABR!AA44</f>
        <v>0.7584</v>
      </c>
      <c r="AB126" s="24" t="n">
        <f aca="false">SABR!AB11+$E$15*SABR!AB44</f>
        <v>0.7313</v>
      </c>
      <c r="AC126" s="24" t="n">
        <f aca="false">SABR!AC11+$E$15*SABR!AC44</f>
        <v>0.7236</v>
      </c>
      <c r="AD126" s="24" t="n">
        <f aca="false">SABR!AD11+$E$15*SABR!AD44</f>
        <v>0.7043</v>
      </c>
      <c r="AE126" s="24" t="n">
        <f aca="false">SABR!AE11+$E$15*SABR!AE44</f>
        <v>0.6715</v>
      </c>
      <c r="AF126" s="24" t="n">
        <f aca="false">SABR!AF11+$E$15*SABR!AF44</f>
        <v>0.6497</v>
      </c>
      <c r="AG126" s="24" t="n">
        <f aca="false">SABR!AG11+$E$15*SABR!AG44</f>
        <v>0.6195</v>
      </c>
      <c r="AH126" s="24" t="n">
        <f aca="false">SABR!AH11+$E$15*SABR!AH44</f>
        <v>0.5976</v>
      </c>
      <c r="AI126" s="24" t="n">
        <f aca="false">SABR!AI11+$E$15*SABR!AI44</f>
        <v>0.5802</v>
      </c>
      <c r="AJ126" s="24" t="n">
        <f aca="false">SABR!AJ11+$E$15*SABR!AJ44</f>
        <v>0.5564</v>
      </c>
      <c r="AL126" s="35" t="s">
        <v>76</v>
      </c>
      <c r="AM126" s="37" t="n">
        <f aca="false">C126*(1+(((2-3*O126^2)/24*AA126^2)+(O126*AA126*C126/4))*2)</f>
        <v>0.507039950357474</v>
      </c>
      <c r="AN126" s="37" t="n">
        <f aca="false">D126*(1+(((2-3*P126^2)/24*AB126^2)+(P126*AB126*D126/4))*2)</f>
        <v>0.490633751644926</v>
      </c>
      <c r="AO126" s="37" t="n">
        <f aca="false">E126*(1+(((2-3*Q126^2)/24*AC126^2)+(Q126*AC126*E126/4))*2)</f>
        <v>0.4687981306906</v>
      </c>
      <c r="AP126" s="37" t="n">
        <f aca="false">F126*(1+(((2-3*R126^2)/24*AD126^2)+(R126*AD126*F126/4))*2)</f>
        <v>0.463156407575603</v>
      </c>
      <c r="AQ126" s="37" t="n">
        <f aca="false">G126*(1+(((2-3*S126^2)/24*AE126^2)+(S126*AE126*G126/4))*2)</f>
        <v>0.432387416320236</v>
      </c>
      <c r="AR126" s="37" t="n">
        <f aca="false">H126*(1+(((2-3*T126^2)/24*AF126^2)+(T126*AF126*H126/4))*2)</f>
        <v>0.416050700583624</v>
      </c>
      <c r="AS126" s="37" t="n">
        <f aca="false">I126*(1+(((2-3*U126^2)/24*AG126^2)+(U126*AG126*I126/4))*2)</f>
        <v>0.399721609004075</v>
      </c>
      <c r="AT126" s="37" t="n">
        <f aca="false">J126*(1+(((2-3*V126^2)/24*AH126^2)+(V126*AH126*J126/4))*2)</f>
        <v>0.380218678384076</v>
      </c>
      <c r="AU126" s="37" t="n">
        <f aca="false">K126*(1+(((2-3*W126^2)/24*AI126^2)+(W126*AI126*K126/4))*2)</f>
        <v>0.365832459612361</v>
      </c>
      <c r="AV126" s="37" t="n">
        <f aca="false">L126*(1+(((2-3*X126^2)/24*AJ126^2)+(X126*AJ126*L126/4))*2)</f>
        <v>0.341471471942202</v>
      </c>
    </row>
    <row r="127" customFormat="false" ht="15" hidden="false" customHeight="true" outlineLevel="0" collapsed="false">
      <c r="B127" s="35" t="s">
        <v>77</v>
      </c>
      <c r="C127" s="24" t="n">
        <f aca="false">SABR!C12+$C$15*SABR!C45</f>
        <v>0.4828596</v>
      </c>
      <c r="D127" s="24" t="n">
        <f aca="false">SABR!D12+$C$15*SABR!D45</f>
        <v>0.4520396</v>
      </c>
      <c r="E127" s="24" t="n">
        <f aca="false">SABR!E12+$C$15*SABR!E45</f>
        <v>0.4316556</v>
      </c>
      <c r="F127" s="24" t="n">
        <f aca="false">SABR!F12+$C$15*SABR!F45</f>
        <v>0.4331046</v>
      </c>
      <c r="G127" s="24" t="n">
        <f aca="false">SABR!G12+$C$15*SABR!G45</f>
        <v>0.4069386</v>
      </c>
      <c r="H127" s="24" t="n">
        <f aca="false">SABR!H12+$C$15*SABR!H45</f>
        <v>0.3819908</v>
      </c>
      <c r="I127" s="24" t="n">
        <f aca="false">SABR!I12+$C$15*SABR!I45</f>
        <v>0.3726742</v>
      </c>
      <c r="J127" s="24" t="n">
        <f aca="false">SABR!J12+$C$15*SABR!J45</f>
        <v>0.3448378</v>
      </c>
      <c r="K127" s="24" t="n">
        <f aca="false">SABR!K12+$C$15*SABR!K45</f>
        <v>0.3372292</v>
      </c>
      <c r="L127" s="24" t="n">
        <f aca="false">SABR!L12+$C$15*SABR!L45</f>
        <v>0.3292258</v>
      </c>
      <c r="N127" s="35" t="s">
        <v>77</v>
      </c>
      <c r="O127" s="24" t="n">
        <f aca="false">SABR!O12+$D$15*SABR!O45</f>
        <v>-0.2455</v>
      </c>
      <c r="P127" s="24" t="n">
        <f aca="false">SABR!P12+$D$15*SABR!P45</f>
        <v>-0.2294</v>
      </c>
      <c r="Q127" s="24" t="n">
        <f aca="false">SABR!Q12+$D$15*SABR!Q45</f>
        <v>-0.2187</v>
      </c>
      <c r="R127" s="24" t="n">
        <f aca="false">SABR!R12+$D$15*SABR!R45</f>
        <v>-0.1971</v>
      </c>
      <c r="S127" s="24" t="n">
        <f aca="false">SABR!S12+$D$15*SABR!S45</f>
        <v>-0.1817</v>
      </c>
      <c r="T127" s="24" t="n">
        <f aca="false">SABR!T12+$D$15*SABR!T45</f>
        <v>-0.1501</v>
      </c>
      <c r="U127" s="24" t="n">
        <f aca="false">SABR!U12+$D$15*SABR!U45</f>
        <v>-0.1355</v>
      </c>
      <c r="V127" s="24" t="n">
        <f aca="false">SABR!V12+$D$15*SABR!V45</f>
        <v>-0.1111</v>
      </c>
      <c r="W127" s="24" t="n">
        <f aca="false">SABR!W12+$D$15*SABR!W45</f>
        <v>-0.1006</v>
      </c>
      <c r="X127" s="24" t="n">
        <f aca="false">SABR!X12+$D$15*SABR!X45</f>
        <v>-0.0833</v>
      </c>
      <c r="Z127" s="35" t="s">
        <v>77</v>
      </c>
      <c r="AA127" s="24" t="n">
        <f aca="false">SABR!AA12+$E$15*SABR!AA45</f>
        <v>0.7451</v>
      </c>
      <c r="AB127" s="24" t="n">
        <f aca="false">SABR!AB12+$E$15*SABR!AB45</f>
        <v>0.7264</v>
      </c>
      <c r="AC127" s="24" t="n">
        <f aca="false">SABR!AC12+$E$15*SABR!AC45</f>
        <v>0.7015</v>
      </c>
      <c r="AD127" s="24" t="n">
        <f aca="false">SABR!AD12+$E$15*SABR!AD45</f>
        <v>0.6783</v>
      </c>
      <c r="AE127" s="24" t="n">
        <f aca="false">SABR!AE12+$E$15*SABR!AE45</f>
        <v>0.6564</v>
      </c>
      <c r="AF127" s="24" t="n">
        <f aca="false">SABR!AF12+$E$15*SABR!AF45</f>
        <v>0.6326</v>
      </c>
      <c r="AG127" s="24" t="n">
        <f aca="false">SABR!AG12+$E$15*SABR!AG45</f>
        <v>0.6001</v>
      </c>
      <c r="AH127" s="24" t="n">
        <f aca="false">SABR!AH12+$E$15*SABR!AH45</f>
        <v>0.5837</v>
      </c>
      <c r="AI127" s="24" t="n">
        <f aca="false">SABR!AI12+$E$15*SABR!AI45</f>
        <v>0.5582</v>
      </c>
      <c r="AJ127" s="24" t="n">
        <f aca="false">SABR!AJ12+$E$15*SABR!AJ45</f>
        <v>0.5295</v>
      </c>
      <c r="AL127" s="35" t="s">
        <v>77</v>
      </c>
      <c r="AM127" s="37" t="n">
        <f aca="false">C127*(1+(((2-3*O127^2)/24*AA127^2)+(O127*AA127*C127/4))*3)</f>
        <v>0.511831935508353</v>
      </c>
      <c r="AN127" s="37" t="n">
        <f aca="false">D127*(1+(((2-3*P127^2)/24*AB127^2)+(P127*AB127*D127/4))*3)</f>
        <v>0.481425238369088</v>
      </c>
      <c r="AO127" s="37" t="n">
        <f aca="false">E127*(1+(((2-3*Q127^2)/24*AC127^2)+(Q127*AC127*E127/4))*3)</f>
        <v>0.459510910145908</v>
      </c>
      <c r="AP127" s="37" t="n">
        <f aca="false">F127*(1+(((2-3*R127^2)/24*AD127^2)+(R127*AD127*F127/4))*3)</f>
        <v>0.461209961718666</v>
      </c>
      <c r="AQ127" s="37" t="n">
        <f aca="false">G127*(1+(((2-3*S127^2)/24*AE127^2)+(S127*AE127*G127/4))*3)</f>
        <v>0.433788368832442</v>
      </c>
      <c r="AR127" s="37" t="n">
        <f aca="false">H127*(1+(((2-3*T127^2)/24*AF127^2)+(T127*AF127*H127/4))*3)</f>
        <v>0.408524335763671</v>
      </c>
      <c r="AS127" s="37" t="n">
        <f aca="false">I127*(1+(((2-3*U127^2)/24*AG127^2)+(U127*AG127*I127/4))*3)</f>
        <v>0.396832039476357</v>
      </c>
      <c r="AT127" s="37" t="n">
        <f aca="false">J127*(1+(((2-3*V127^2)/24*AH127^2)+(V127*AH127*J127/4))*3)</f>
        <v>0.367882478708654</v>
      </c>
      <c r="AU127" s="37" t="n">
        <f aca="false">K127*(1+(((2-3*W127^2)/24*AI127^2)+(W127*AI127*K127/4))*3)</f>
        <v>0.358309898178252</v>
      </c>
      <c r="AV127" s="37" t="n">
        <f aca="false">L127*(1+(((2-3*X127^2)/24*AJ127^2)+(X127*AJ127*L127/4))*3)</f>
        <v>0.348476309887102</v>
      </c>
    </row>
    <row r="128" customFormat="false" ht="15" hidden="false" customHeight="true" outlineLevel="0" collapsed="false">
      <c r="B128" s="35" t="s">
        <v>78</v>
      </c>
      <c r="C128" s="24" t="n">
        <f aca="false">SABR!C13+$C$15*SABR!C46</f>
        <v>0.4491526</v>
      </c>
      <c r="D128" s="24" t="n">
        <f aca="false">SABR!D13+$C$15*SABR!D46</f>
        <v>0.436731</v>
      </c>
      <c r="E128" s="24" t="n">
        <f aca="false">SABR!E13+$C$15*SABR!E46</f>
        <v>0.4192472</v>
      </c>
      <c r="F128" s="24" t="n">
        <f aca="false">SABR!F13+$C$15*SABR!F46</f>
        <v>0.410296</v>
      </c>
      <c r="G128" s="24" t="n">
        <f aca="false">SABR!G13+$C$15*SABR!G46</f>
        <v>0.3981416</v>
      </c>
      <c r="H128" s="24" t="n">
        <f aca="false">SABR!H13+$C$15*SABR!H46</f>
        <v>0.3703888</v>
      </c>
      <c r="I128" s="24" t="n">
        <f aca="false">SABR!I13+$C$15*SABR!I46</f>
        <v>0.362759</v>
      </c>
      <c r="J128" s="24" t="n">
        <f aca="false">SABR!J13+$C$15*SABR!J46</f>
        <v>0.346667</v>
      </c>
      <c r="K128" s="24" t="n">
        <f aca="false">SABR!K13+$C$15*SABR!K46</f>
        <v>0.328465</v>
      </c>
      <c r="L128" s="24" t="n">
        <f aca="false">SABR!L13+$C$15*SABR!L46</f>
        <v>0.2993992</v>
      </c>
      <c r="N128" s="35" t="s">
        <v>78</v>
      </c>
      <c r="O128" s="24" t="n">
        <f aca="false">SABR!O13+$D$15*SABR!O46</f>
        <v>-0.2389</v>
      </c>
      <c r="P128" s="24" t="n">
        <f aca="false">SABR!P13+$D$15*SABR!P46</f>
        <v>-0.2194</v>
      </c>
      <c r="Q128" s="24" t="n">
        <f aca="false">SABR!Q13+$D$15*SABR!Q46</f>
        <v>-0.2005</v>
      </c>
      <c r="R128" s="24" t="n">
        <f aca="false">SABR!R13+$D$15*SABR!R46</f>
        <v>-0.1809</v>
      </c>
      <c r="S128" s="24" t="n">
        <f aca="false">SABR!S13+$D$15*SABR!S46</f>
        <v>-0.1531</v>
      </c>
      <c r="T128" s="24" t="n">
        <f aca="false">SABR!T13+$D$15*SABR!T46</f>
        <v>-0.1281</v>
      </c>
      <c r="U128" s="24" t="n">
        <f aca="false">SABR!U13+$D$15*SABR!U46</f>
        <v>-0.1099</v>
      </c>
      <c r="V128" s="24" t="n">
        <f aca="false">SABR!V13+$D$15*SABR!V46</f>
        <v>-0.0976</v>
      </c>
      <c r="W128" s="24" t="n">
        <f aca="false">SABR!W13+$D$15*SABR!W46</f>
        <v>-0.0747</v>
      </c>
      <c r="X128" s="24" t="n">
        <f aca="false">SABR!X13+$D$15*SABR!X46</f>
        <v>-0.0523</v>
      </c>
      <c r="Z128" s="35" t="s">
        <v>78</v>
      </c>
      <c r="AA128" s="24" t="n">
        <f aca="false">SABR!AA13+$E$15*SABR!AA46</f>
        <v>0.7084</v>
      </c>
      <c r="AB128" s="24" t="n">
        <f aca="false">SABR!AB13+$E$15*SABR!AB46</f>
        <v>0.6977</v>
      </c>
      <c r="AC128" s="24" t="n">
        <f aca="false">SABR!AC13+$E$15*SABR!AC46</f>
        <v>0.6804</v>
      </c>
      <c r="AD128" s="24" t="n">
        <f aca="false">SABR!AD13+$E$15*SABR!AD46</f>
        <v>0.6556</v>
      </c>
      <c r="AE128" s="24" t="n">
        <f aca="false">SABR!AE13+$E$15*SABR!AE46</f>
        <v>0.6328</v>
      </c>
      <c r="AF128" s="24" t="n">
        <f aca="false">SABR!AF13+$E$15*SABR!AF46</f>
        <v>0.6051</v>
      </c>
      <c r="AG128" s="24" t="n">
        <f aca="false">SABR!AG13+$E$15*SABR!AG46</f>
        <v>0.5769</v>
      </c>
      <c r="AH128" s="24" t="n">
        <f aca="false">SABR!AH13+$E$15*SABR!AH46</f>
        <v>0.5669</v>
      </c>
      <c r="AI128" s="24" t="n">
        <f aca="false">SABR!AI13+$E$15*SABR!AI46</f>
        <v>0.5355</v>
      </c>
      <c r="AJ128" s="24" t="n">
        <f aca="false">SABR!AJ13+$E$15*SABR!AJ46</f>
        <v>0.5227</v>
      </c>
      <c r="AL128" s="35" t="s">
        <v>78</v>
      </c>
      <c r="AM128" s="37" t="n">
        <f aca="false">C128*(1+(((2-3*O128^2)/24*AA128^2)+(O128*AA128*C128/4))*5)</f>
        <v>0.492351637863426</v>
      </c>
      <c r="AN128" s="37" t="n">
        <f aca="false">D128*(1+(((2-3*P128^2)/24*AB128^2)+(P128*AB128*D128/4))*5)</f>
        <v>0.482420139590829</v>
      </c>
      <c r="AO128" s="37" t="n">
        <f aca="false">E128*(1+(((2-3*Q128^2)/24*AC128^2)+(Q128*AC128*E128/4))*5)</f>
        <v>0.465267806690852</v>
      </c>
      <c r="AP128" s="37" t="n">
        <f aca="false">F128*(1+(((2-3*R128^2)/24*AD128^2)+(R128*AD128*F128/4))*5)</f>
        <v>0.455211823377997</v>
      </c>
      <c r="AQ128" s="37" t="n">
        <f aca="false">G128*(1+(((2-3*S128^2)/24*AE128^2)+(S128*AE128*G128/4))*5)</f>
        <v>0.443038513446361</v>
      </c>
      <c r="AR128" s="37" t="n">
        <f aca="false">H128*(1+(((2-3*T128^2)/24*AF128^2)+(T128*AF128*H128/4))*5)</f>
        <v>0.412212386367501</v>
      </c>
      <c r="AS128" s="37" t="n">
        <f aca="false">I128*(1+(((2-3*U128^2)/24*AG128^2)+(U128*AG128*I128/4))*5)</f>
        <v>0.401723221306521</v>
      </c>
      <c r="AT128" s="37" t="n">
        <f aca="false">J128*(1+(((2-3*V128^2)/24*AH128^2)+(V128*AH128*J128/4))*5)</f>
        <v>0.384112946191998</v>
      </c>
      <c r="AU128" s="37" t="n">
        <f aca="false">K128*(1+(((2-3*W128^2)/24*AI128^2)+(W128*AI128*K128/4))*5)</f>
        <v>0.361987919609567</v>
      </c>
      <c r="AV128" s="37" t="n">
        <f aca="false">L128*(1+(((2-3*X128^2)/24*AJ128^2)+(X128*AJ128*L128/4))*5)</f>
        <v>0.330279743590813</v>
      </c>
    </row>
    <row r="129" customFormat="false" ht="15" hidden="false" customHeight="true" outlineLevel="0" collapsed="false">
      <c r="B129" s="35" t="s">
        <v>79</v>
      </c>
      <c r="C129" s="24" t="n">
        <f aca="false">SABR!C14+$C$15*SABR!C47</f>
        <v>0.4506884</v>
      </c>
      <c r="D129" s="24" t="n">
        <f aca="false">SABR!D14+$C$15*SABR!D47</f>
        <v>0.4217914</v>
      </c>
      <c r="E129" s="24" t="n">
        <f aca="false">SABR!E14+$C$15*SABR!E47</f>
        <v>0.4047076</v>
      </c>
      <c r="F129" s="24" t="n">
        <f aca="false">SABR!F14+$C$15*SABR!F47</f>
        <v>0.3980318</v>
      </c>
      <c r="G129" s="24" t="n">
        <f aca="false">SABR!G14+$C$15*SABR!G47</f>
        <v>0.3762348</v>
      </c>
      <c r="H129" s="24" t="n">
        <f aca="false">SABR!H14+$C$15*SABR!H47</f>
        <v>0.3478444</v>
      </c>
      <c r="I129" s="24" t="n">
        <f aca="false">SABR!I14+$C$15*SABR!I47</f>
        <v>0.3292702</v>
      </c>
      <c r="J129" s="24" t="n">
        <f aca="false">SABR!J14+$C$15*SABR!J47</f>
        <v>0.3123158</v>
      </c>
      <c r="K129" s="24" t="n">
        <f aca="false">SABR!K14+$C$15*SABR!K47</f>
        <v>0.310355</v>
      </c>
      <c r="L129" s="24" t="n">
        <f aca="false">SABR!L14+$C$15*SABR!L47</f>
        <v>0.2909678</v>
      </c>
      <c r="N129" s="35" t="s">
        <v>79</v>
      </c>
      <c r="O129" s="24" t="n">
        <f aca="false">SABR!O14+$D$15*SABR!O47</f>
        <v>-0.221</v>
      </c>
      <c r="P129" s="24" t="n">
        <f aca="false">SABR!P14+$D$15*SABR!P47</f>
        <v>-0.1879</v>
      </c>
      <c r="Q129" s="24" t="n">
        <f aca="false">SABR!Q14+$D$15*SABR!Q47</f>
        <v>-0.1654</v>
      </c>
      <c r="R129" s="24" t="n">
        <f aca="false">SABR!R14+$D$15*SABR!R47</f>
        <v>-0.1524</v>
      </c>
      <c r="S129" s="24" t="n">
        <f aca="false">SABR!S14+$D$15*SABR!S47</f>
        <v>-0.1391</v>
      </c>
      <c r="T129" s="24" t="n">
        <f aca="false">SABR!T14+$D$15*SABR!T47</f>
        <v>-0.1157</v>
      </c>
      <c r="U129" s="24" t="n">
        <f aca="false">SABR!U14+$D$15*SABR!U47</f>
        <v>-0.1046</v>
      </c>
      <c r="V129" s="24" t="n">
        <f aca="false">SABR!V14+$D$15*SABR!V47</f>
        <v>-0.0875</v>
      </c>
      <c r="W129" s="24" t="n">
        <f aca="false">SABR!W14+$D$15*SABR!W47</f>
        <v>-0.0489</v>
      </c>
      <c r="X129" s="24" t="n">
        <f aca="false">SABR!X14+$D$15*SABR!X47</f>
        <v>-0.0359</v>
      </c>
      <c r="Z129" s="35" t="s">
        <v>79</v>
      </c>
      <c r="AA129" s="24" t="n">
        <f aca="false">SABR!AA14+$E$15*SABR!AA47</f>
        <v>0.695</v>
      </c>
      <c r="AB129" s="24" t="n">
        <f aca="false">SABR!AB14+$E$15*SABR!AB47</f>
        <v>0.6809</v>
      </c>
      <c r="AC129" s="24" t="n">
        <f aca="false">SABR!AC14+$E$15*SABR!AC47</f>
        <v>0.6487</v>
      </c>
      <c r="AD129" s="24" t="n">
        <f aca="false">SABR!AD14+$E$15*SABR!AD47</f>
        <v>0.6352</v>
      </c>
      <c r="AE129" s="24" t="n">
        <f aca="false">SABR!AE14+$E$15*SABR!AE47</f>
        <v>0.6121</v>
      </c>
      <c r="AF129" s="24" t="n">
        <f aca="false">SABR!AF14+$E$15*SABR!AF47</f>
        <v>0.5776</v>
      </c>
      <c r="AG129" s="24" t="n">
        <f aca="false">SABR!AG14+$E$15*SABR!AG47</f>
        <v>0.5561</v>
      </c>
      <c r="AH129" s="24" t="n">
        <f aca="false">SABR!AH14+$E$15*SABR!AH47</f>
        <v>0.5347</v>
      </c>
      <c r="AI129" s="24" t="n">
        <f aca="false">SABR!AI14+$E$15*SABR!AI47</f>
        <v>0.5115</v>
      </c>
      <c r="AJ129" s="24" t="n">
        <f aca="false">SABR!AJ14+$E$15*SABR!AJ47</f>
        <v>0.4962</v>
      </c>
      <c r="AL129" s="35" t="s">
        <v>79</v>
      </c>
      <c r="AM129" s="37" t="n">
        <f aca="false">C129*(1+(((2-3*O129^2)/24*AA129^2)+(O129*AA129*C129/4))*10)</f>
        <v>0.540813839892143</v>
      </c>
      <c r="AN129" s="37" t="n">
        <f aca="false">D129*(1+(((2-3*P129^2)/24*AB129^2)+(P129*AB129*D129/4))*10)</f>
        <v>0.519217494211262</v>
      </c>
      <c r="AO129" s="37" t="n">
        <f aca="false">E129*(1+(((2-3*Q129^2)/24*AC129^2)+(Q129*AC129*E129/4))*10)</f>
        <v>0.496871017371431</v>
      </c>
      <c r="AP129" s="37" t="n">
        <f aca="false">F129*(1+(((2-3*R129^2)/24*AD129^2)+(R129*AD129*F129/4))*10)</f>
        <v>0.48885887370341</v>
      </c>
      <c r="AQ129" s="37" t="n">
        <f aca="false">G129*(1+(((2-3*S129^2)/24*AE129^2)+(S129*AE129*G129/4))*10)</f>
        <v>0.460163686316424</v>
      </c>
      <c r="AR129" s="37" t="n">
        <f aca="false">H129*(1+(((2-3*T129^2)/24*AF129^2)+(T129*AF129*H129/4))*10)</f>
        <v>0.422394745984649</v>
      </c>
      <c r="AS129" s="37" t="n">
        <f aca="false">I129*(1+(((2-3*U129^2)/24*AG129^2)+(U129*AG129*I129/4))*10)</f>
        <v>0.396966204648313</v>
      </c>
      <c r="AT129" s="37" t="n">
        <f aca="false">J129*(1+(((2-3*V129^2)/24*AH129^2)+(V129*AH129*J129/4))*10)</f>
        <v>0.374462585375916</v>
      </c>
      <c r="AU129" s="37" t="n">
        <f aca="false">K129*(1+(((2-3*W129^2)/24*AI129^2)+(W129*AI129*K129/4))*10)</f>
        <v>0.371755038318898</v>
      </c>
      <c r="AV129" s="37" t="n">
        <f aca="false">L129*(1+(((2-3*X129^2)/24*AJ129^2)+(X129*AJ129*L129/4))*10)</f>
        <v>0.346782436364757</v>
      </c>
    </row>
    <row r="130" customFormat="false" ht="15" hidden="false" customHeight="true" outlineLevel="0" collapsed="false">
      <c r="B130" s="35" t="s">
        <v>80</v>
      </c>
      <c r="C130" s="24" t="n">
        <f aca="false">SABR!C15+$C$15*SABR!C48</f>
        <v>0.418993</v>
      </c>
      <c r="D130" s="24" t="n">
        <f aca="false">SABR!D15+$C$15*SABR!D48</f>
        <v>0.4047222</v>
      </c>
      <c r="E130" s="24" t="n">
        <f aca="false">SABR!E15+$C$15*SABR!E48</f>
        <v>0.3818548</v>
      </c>
      <c r="F130" s="24" t="n">
        <f aca="false">SABR!F15+$C$15*SABR!F48</f>
        <v>0.3801152</v>
      </c>
      <c r="G130" s="24" t="n">
        <f aca="false">SABR!G15+$C$15*SABR!G48</f>
        <v>0.3512164</v>
      </c>
      <c r="H130" s="24" t="n">
        <f aca="false">SABR!H15+$C$15*SABR!H48</f>
        <v>0.3362474</v>
      </c>
      <c r="I130" s="24" t="n">
        <f aca="false">SABR!I15+$C$15*SABR!I48</f>
        <v>0.3212766</v>
      </c>
      <c r="J130" s="24" t="n">
        <f aca="false">SABR!J15+$C$15*SABR!J48</f>
        <v>0.3101992</v>
      </c>
      <c r="K130" s="24" t="n">
        <f aca="false">SABR!K15+$C$15*SABR!K48</f>
        <v>0.282971</v>
      </c>
      <c r="L130" s="24" t="n">
        <f aca="false">SABR!L15+$C$15*SABR!L48</f>
        <v>0.27623</v>
      </c>
      <c r="N130" s="35" t="s">
        <v>80</v>
      </c>
      <c r="O130" s="24" t="n">
        <f aca="false">SABR!O15+$D$15*SABR!O48</f>
        <v>-0.1944</v>
      </c>
      <c r="P130" s="24" t="n">
        <f aca="false">SABR!P15+$D$15*SABR!P48</f>
        <v>-0.1744</v>
      </c>
      <c r="Q130" s="24" t="n">
        <f aca="false">SABR!Q15+$D$15*SABR!Q48</f>
        <v>-0.1551</v>
      </c>
      <c r="R130" s="24" t="n">
        <f aca="false">SABR!R15+$D$15*SABR!R48</f>
        <v>-0.1457</v>
      </c>
      <c r="S130" s="24" t="n">
        <f aca="false">SABR!S15+$D$15*SABR!S48</f>
        <v>-0.1179</v>
      </c>
      <c r="T130" s="24" t="n">
        <f aca="false">SABR!T15+$D$15*SABR!T48</f>
        <v>-0.1036</v>
      </c>
      <c r="U130" s="24" t="n">
        <f aca="false">SABR!U15+$D$15*SABR!U48</f>
        <v>-0.0877</v>
      </c>
      <c r="V130" s="24" t="n">
        <f aca="false">SABR!V15+$D$15*SABR!V48</f>
        <v>-0.0523</v>
      </c>
      <c r="W130" s="24" t="n">
        <f aca="false">SABR!W15+$D$15*SABR!W48</f>
        <v>-0.0454</v>
      </c>
      <c r="X130" s="24" t="n">
        <f aca="false">SABR!X15+$D$15*SABR!X48</f>
        <v>-0.02</v>
      </c>
      <c r="Z130" s="35" t="s">
        <v>80</v>
      </c>
      <c r="AA130" s="24" t="n">
        <f aca="false">SABR!AA15+$E$15*SABR!AA48</f>
        <v>0.6767</v>
      </c>
      <c r="AB130" s="24" t="n">
        <f aca="false">SABR!AB15+$E$15*SABR!AB48</f>
        <v>0.6511</v>
      </c>
      <c r="AC130" s="24" t="n">
        <f aca="false">SABR!AC15+$E$15*SABR!AC48</f>
        <v>0.6243</v>
      </c>
      <c r="AD130" s="24" t="n">
        <f aca="false">SABR!AD15+$E$15*SABR!AD48</f>
        <v>0.6059</v>
      </c>
      <c r="AE130" s="24" t="n">
        <f aca="false">SABR!AE15+$E$15*SABR!AE48</f>
        <v>0.5844</v>
      </c>
      <c r="AF130" s="24" t="n">
        <f aca="false">SABR!AF15+$E$15*SABR!AF48</f>
        <v>0.5668</v>
      </c>
      <c r="AG130" s="24" t="n">
        <f aca="false">SABR!AG15+$E$15*SABR!AG48</f>
        <v>0.531</v>
      </c>
      <c r="AH130" s="24" t="n">
        <f aca="false">SABR!AH15+$E$15*SABR!AH48</f>
        <v>0.5179</v>
      </c>
      <c r="AI130" s="24" t="n">
        <f aca="false">SABR!AI15+$E$15*SABR!AI48</f>
        <v>0.4894</v>
      </c>
      <c r="AJ130" s="24" t="n">
        <f aca="false">SABR!AJ15+$E$15*SABR!AJ48</f>
        <v>0.4678</v>
      </c>
      <c r="AL130" s="35" t="s">
        <v>80</v>
      </c>
      <c r="AM130" s="37" t="n">
        <f aca="false">C130*(1+(((2-3*O130^2)/24*AA130^2)+(O130*AA130*C130/4))*20)</f>
        <v>0.605171426437648</v>
      </c>
      <c r="AN130" s="37" t="n">
        <f aca="false">D130*(1+(((2-3*P130^2)/24*AB130^2)+(P130*AB130*D130/4))*20)</f>
        <v>0.584634255319013</v>
      </c>
      <c r="AO130" s="37" t="n">
        <f aca="false">E130*(1+(((2-3*Q130^2)/24*AC130^2)+(Q130*AC130*E130/4))*20)</f>
        <v>0.550356473710618</v>
      </c>
      <c r="AP130" s="37" t="n">
        <f aca="false">F130*(1+(((2-3*R130^2)/24*AD130^2)+(R130*AD130*F130/4))*20)</f>
        <v>0.541509315480517</v>
      </c>
      <c r="AQ130" s="37" t="n">
        <f aca="false">G130*(1+(((2-3*S130^2)/24*AE130^2)+(S130*AE130*G130/4))*20)</f>
        <v>0.504466841386822</v>
      </c>
      <c r="AR130" s="37" t="n">
        <f aca="false">H130*(1+(((2-3*T130^2)/24*AF130^2)+(T130*AF130*H130/4))*20)</f>
        <v>0.480192822533737</v>
      </c>
      <c r="AS130" s="37" t="n">
        <f aca="false">I130*(1+(((2-3*U130^2)/24*AG130^2)+(U130*AG130*I130/4))*20)</f>
        <v>0.446480090143941</v>
      </c>
      <c r="AT130" s="37" t="n">
        <f aca="false">J130*(1+(((2-3*V130^2)/24*AH130^2)+(V130*AH130*J130/4))*20)</f>
        <v>0.435268205700041</v>
      </c>
      <c r="AU130" s="37" t="n">
        <f aca="false">K130*(1+(((2-3*W130^2)/24*AI130^2)+(W130*AI130*K130/4))*20)</f>
        <v>0.386684614022375</v>
      </c>
      <c r="AV130" s="37" t="n">
        <f aca="false">L130*(1+(((2-3*X130^2)/24*AJ130^2)+(X130*AJ130*L130/4))*20)</f>
        <v>0.373348929611558</v>
      </c>
    </row>
    <row r="131" customFormat="false" ht="15" hidden="false" customHeight="true" outlineLevel="0" collapsed="false">
      <c r="B131" s="35" t="s">
        <v>81</v>
      </c>
      <c r="C131" s="24" t="n">
        <f aca="false">SABR!C16+$C$15*SABR!C49</f>
        <v>0.4116484</v>
      </c>
      <c r="D131" s="24" t="n">
        <f aca="false">SABR!D16+$C$15*SABR!D49</f>
        <v>0.3894696</v>
      </c>
      <c r="E131" s="24" t="n">
        <f aca="false">SABR!E16+$C$15*SABR!E49</f>
        <v>0.3727708</v>
      </c>
      <c r="F131" s="24" t="n">
        <f aca="false">SABR!F16+$C$15*SABR!F49</f>
        <v>0.3595624</v>
      </c>
      <c r="G131" s="24" t="n">
        <f aca="false">SABR!G16+$C$15*SABR!G49</f>
        <v>0.345003</v>
      </c>
      <c r="H131" s="24" t="n">
        <f aca="false">SABR!H16+$C$15*SABR!H49</f>
        <v>0.3184438</v>
      </c>
      <c r="I131" s="24" t="n">
        <f aca="false">SABR!I16+$C$15*SABR!I49</f>
        <v>0.3043992</v>
      </c>
      <c r="J131" s="24" t="n">
        <f aca="false">SABR!J16+$C$15*SABR!J49</f>
        <v>0.28463</v>
      </c>
      <c r="K131" s="24" t="n">
        <f aca="false">SABR!K16+$C$15*SABR!K49</f>
        <v>0.26813</v>
      </c>
      <c r="L131" s="24" t="n">
        <f aca="false">SABR!L16+$C$15*SABR!L49</f>
        <v>0.25513</v>
      </c>
      <c r="N131" s="35" t="s">
        <v>81</v>
      </c>
      <c r="O131" s="24" t="n">
        <f aca="false">SABR!O16+$D$15*SABR!O49</f>
        <v>-0.176</v>
      </c>
      <c r="P131" s="24" t="n">
        <f aca="false">SABR!P16+$D$15*SABR!P49</f>
        <v>-0.1549</v>
      </c>
      <c r="Q131" s="24" t="n">
        <f aca="false">SABR!Q16+$D$15*SABR!Q49</f>
        <v>-0.1366</v>
      </c>
      <c r="R131" s="24" t="n">
        <f aca="false">SABR!R16+$D$15*SABR!R49</f>
        <v>-0.1078</v>
      </c>
      <c r="S131" s="24" t="n">
        <f aca="false">SABR!S16+$D$15*SABR!S49</f>
        <v>-0.0932</v>
      </c>
      <c r="T131" s="24" t="n">
        <f aca="false">SABR!T16+$D$15*SABR!T49</f>
        <v>-0.0702</v>
      </c>
      <c r="U131" s="24" t="n">
        <f aca="false">SABR!U16+$D$15*SABR!U49</f>
        <v>-0.0495</v>
      </c>
      <c r="V131" s="24" t="n">
        <f aca="false">SABR!V16+$D$15*SABR!V49</f>
        <v>-0.0437</v>
      </c>
      <c r="W131" s="24" t="n">
        <f aca="false">SABR!W16+$D$15*SABR!W49</f>
        <v>-0.0183</v>
      </c>
      <c r="X131" s="24" t="n">
        <f aca="false">SABR!X16+$D$15*SABR!X49</f>
        <v>0.0089</v>
      </c>
      <c r="Z131" s="35" t="s">
        <v>81</v>
      </c>
      <c r="AA131" s="24" t="n">
        <f aca="false">SABR!AA16+$E$15*SABR!AA49</f>
        <v>0.6568</v>
      </c>
      <c r="AB131" s="24" t="n">
        <f aca="false">SABR!AB16+$E$15*SABR!AB49</f>
        <v>0.6205</v>
      </c>
      <c r="AC131" s="24" t="n">
        <f aca="false">SABR!AC16+$E$15*SABR!AC49</f>
        <v>0.598</v>
      </c>
      <c r="AD131" s="24" t="n">
        <f aca="false">SABR!AD16+$E$15*SABR!AD49</f>
        <v>0.5822</v>
      </c>
      <c r="AE131" s="24" t="n">
        <f aca="false">SABR!AE16+$E$15*SABR!AE49</f>
        <v>0.5526</v>
      </c>
      <c r="AF131" s="24" t="n">
        <f aca="false">SABR!AF16+$E$15*SABR!AF49</f>
        <v>0.5337</v>
      </c>
      <c r="AG131" s="24" t="n">
        <f aca="false">SABR!AG16+$E$15*SABR!AG49</f>
        <v>0.5081</v>
      </c>
      <c r="AH131" s="24" t="n">
        <f aca="false">SABR!AH16+$E$15*SABR!AH49</f>
        <v>0.4978</v>
      </c>
      <c r="AI131" s="24" t="n">
        <f aca="false">SABR!AI16+$E$15*SABR!AI49</f>
        <v>0.4779</v>
      </c>
      <c r="AJ131" s="24" t="n">
        <f aca="false">SABR!AJ16+$E$15*SABR!AJ49</f>
        <v>0.4579</v>
      </c>
      <c r="AL131" s="35" t="s">
        <v>81</v>
      </c>
      <c r="AM131" s="37" t="n">
        <f aca="false">C131*(1+(((2-3*O131^2)/24*AA131^2)+(O131*AA131*C131/4))*30)</f>
        <v>0.68805650672448</v>
      </c>
      <c r="AN131" s="37" t="n">
        <f aca="false">D131*(1+(((2-3*P131^2)/24*AB131^2)+(P131*AB131*D131/4))*30)</f>
        <v>0.641515672263144</v>
      </c>
      <c r="AO131" s="37" t="n">
        <f aca="false">E131*(1+(((2-3*Q131^2)/24*AC131^2)+(Q131*AC131*E131/4))*30)</f>
        <v>0.611571072292237</v>
      </c>
      <c r="AP131" s="37" t="n">
        <f aca="false">F131*(1+(((2-3*R131^2)/24*AD131^2)+(R131*AD131*F131/4))*30)</f>
        <v>0.59808597020327</v>
      </c>
      <c r="AQ131" s="37" t="n">
        <f aca="false">G131*(1+(((2-3*S131^2)/24*AE131^2)+(S131*AE131*G131/4))*30)</f>
        <v>0.558976156449241</v>
      </c>
      <c r="AR131" s="37" t="n">
        <f aca="false">H131*(1+(((2-3*T131^2)/24*AF131^2)+(T131*AF131*H131/4))*30)</f>
        <v>0.515033463543618</v>
      </c>
      <c r="AS131" s="37" t="n">
        <f aca="false">I131*(1+(((2-3*U131^2)/24*AG131^2)+(U131*AG131*I131/4))*30)</f>
        <v>0.482662195688463</v>
      </c>
      <c r="AT131" s="37" t="n">
        <f aca="false">J131*(1+(((2-3*V131^2)/24*AH131^2)+(V131*AH131*J131/4))*30)</f>
        <v>0.447238827857132</v>
      </c>
      <c r="AU131" s="37" t="n">
        <f aca="false">K131*(1+(((2-3*W131^2)/24*AI131^2)+(W131*AI131*K131/4))*30)</f>
        <v>0.416431921036234</v>
      </c>
      <c r="AV131" s="37" t="n">
        <f aca="false">L131*(1+(((2-3*X131^2)/24*AJ131^2)+(X131*AJ131*L131/4))*30)</f>
        <v>0.39083791997688</v>
      </c>
    </row>
    <row r="133" customFormat="false" ht="15" hidden="false" customHeight="true" outlineLevel="0" collapsed="false">
      <c r="A133" s="28" t="s">
        <v>161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</row>
    <row r="134" customFormat="false" ht="15" hidden="false" customHeight="true" outlineLevel="0" collapsed="false">
      <c r="B134" s="28" t="s">
        <v>136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N134" s="28" t="s">
        <v>137</v>
      </c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Z134" s="28" t="s">
        <v>138</v>
      </c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L134" s="34" t="s">
        <v>139</v>
      </c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</row>
    <row r="135" customFormat="false" ht="15" hidden="false" customHeight="true" outlineLevel="0" collapsed="false">
      <c r="B135" s="18" t="s">
        <v>140</v>
      </c>
      <c r="C135" s="12" t="s">
        <v>141</v>
      </c>
      <c r="D135" s="12" t="s">
        <v>74</v>
      </c>
      <c r="E135" s="12" t="s">
        <v>75</v>
      </c>
      <c r="F135" s="12" t="s">
        <v>30</v>
      </c>
      <c r="G135" s="12" t="s">
        <v>76</v>
      </c>
      <c r="H135" s="12" t="s">
        <v>77</v>
      </c>
      <c r="I135" s="12" t="s">
        <v>78</v>
      </c>
      <c r="J135" s="12" t="s">
        <v>79</v>
      </c>
      <c r="K135" s="12" t="s">
        <v>80</v>
      </c>
      <c r="L135" s="12" t="s">
        <v>81</v>
      </c>
      <c r="N135" s="18" t="s">
        <v>140</v>
      </c>
      <c r="O135" s="12" t="s">
        <v>141</v>
      </c>
      <c r="P135" s="12" t="s">
        <v>74</v>
      </c>
      <c r="Q135" s="12" t="s">
        <v>75</v>
      </c>
      <c r="R135" s="12" t="s">
        <v>30</v>
      </c>
      <c r="S135" s="12" t="s">
        <v>76</v>
      </c>
      <c r="T135" s="12" t="s">
        <v>77</v>
      </c>
      <c r="U135" s="12" t="s">
        <v>78</v>
      </c>
      <c r="V135" s="12" t="s">
        <v>79</v>
      </c>
      <c r="W135" s="12" t="s">
        <v>80</v>
      </c>
      <c r="X135" s="12" t="s">
        <v>81</v>
      </c>
      <c r="Z135" s="18" t="s">
        <v>140</v>
      </c>
      <c r="AA135" s="12" t="s">
        <v>141</v>
      </c>
      <c r="AB135" s="12" t="s">
        <v>74</v>
      </c>
      <c r="AC135" s="12" t="s">
        <v>75</v>
      </c>
      <c r="AD135" s="12" t="s">
        <v>30</v>
      </c>
      <c r="AE135" s="12" t="s">
        <v>76</v>
      </c>
      <c r="AF135" s="12" t="s">
        <v>77</v>
      </c>
      <c r="AG135" s="12" t="s">
        <v>78</v>
      </c>
      <c r="AH135" s="12" t="s">
        <v>79</v>
      </c>
      <c r="AI135" s="12" t="s">
        <v>80</v>
      </c>
      <c r="AJ135" s="12" t="s">
        <v>81</v>
      </c>
      <c r="AL135" s="18" t="s">
        <v>140</v>
      </c>
      <c r="AM135" s="12" t="s">
        <v>141</v>
      </c>
      <c r="AN135" s="12" t="s">
        <v>74</v>
      </c>
      <c r="AO135" s="12" t="s">
        <v>75</v>
      </c>
      <c r="AP135" s="12" t="s">
        <v>30</v>
      </c>
      <c r="AQ135" s="12" t="s">
        <v>76</v>
      </c>
      <c r="AR135" s="12" t="s">
        <v>77</v>
      </c>
      <c r="AS135" s="12" t="s">
        <v>78</v>
      </c>
      <c r="AT135" s="12" t="s">
        <v>79</v>
      </c>
      <c r="AU135" s="12" t="s">
        <v>80</v>
      </c>
      <c r="AV135" s="12" t="s">
        <v>81</v>
      </c>
    </row>
    <row r="136" customFormat="false" ht="15" hidden="false" customHeight="true" outlineLevel="0" collapsed="false">
      <c r="B136" s="35" t="s">
        <v>141</v>
      </c>
      <c r="C136" s="24" t="n">
        <f aca="false">SABR!C7+$C$16*SABR!C40</f>
        <v>0.5612292</v>
      </c>
      <c r="D136" s="24" t="n">
        <f aca="false">SABR!D7+$C$16*SABR!D40</f>
        <v>0.5403656</v>
      </c>
      <c r="E136" s="24" t="n">
        <f aca="false">SABR!E7+$C$16*SABR!E40</f>
        <v>0.532764</v>
      </c>
      <c r="F136" s="24" t="n">
        <f aca="false">SABR!F7+$C$16*SABR!F40</f>
        <v>0.503728</v>
      </c>
      <c r="G136" s="24" t="n">
        <f aca="false">SABR!G7+$C$16*SABR!G40</f>
        <v>0.4954804</v>
      </c>
      <c r="H136" s="24" t="n">
        <f aca="false">SABR!H7+$C$16*SABR!H40</f>
        <v>0.4744604</v>
      </c>
      <c r="I136" s="24" t="n">
        <f aca="false">SABR!I7+$C$16*SABR!I40</f>
        <v>0.451228</v>
      </c>
      <c r="J136" s="24" t="n">
        <f aca="false">SABR!J7+$C$16*SABR!J40</f>
        <v>0.4427</v>
      </c>
      <c r="K136" s="24" t="n">
        <f aca="false">SABR!K7+$C$16*SABR!K40</f>
        <v>0.41568</v>
      </c>
      <c r="L136" s="24" t="n">
        <f aca="false">SABR!L7+$C$16*SABR!L40</f>
        <v>0.4060784</v>
      </c>
      <c r="N136" s="35" t="s">
        <v>141</v>
      </c>
      <c r="O136" s="24" t="n">
        <f aca="false">SABR!O7+$D$16*SABR!O40</f>
        <v>-0.3586</v>
      </c>
      <c r="P136" s="24" t="n">
        <f aca="false">SABR!P7+$D$16*SABR!P40</f>
        <v>-0.3387</v>
      </c>
      <c r="Q136" s="24" t="n">
        <f aca="false">SABR!Q7+$D$16*SABR!Q40</f>
        <v>-0.3126</v>
      </c>
      <c r="R136" s="24" t="n">
        <f aca="false">SABR!R7+$D$16*SABR!R40</f>
        <v>-0.2851</v>
      </c>
      <c r="S136" s="24" t="n">
        <f aca="false">SABR!S7+$D$16*SABR!S40</f>
        <v>-0.2797</v>
      </c>
      <c r="T136" s="24" t="n">
        <f aca="false">SABR!T7+$D$16*SABR!T40</f>
        <v>-0.2583</v>
      </c>
      <c r="U136" s="24" t="n">
        <f aca="false">SABR!U7+$D$16*SABR!U40</f>
        <v>-0.2308</v>
      </c>
      <c r="V136" s="24" t="n">
        <f aca="false">SABR!V7+$D$16*SABR!V40</f>
        <v>-0.2049</v>
      </c>
      <c r="W136" s="24" t="n">
        <f aca="false">SABR!W7+$D$16*SABR!W40</f>
        <v>-0.1929</v>
      </c>
      <c r="X136" s="24" t="n">
        <f aca="false">SABR!X7+$D$16*SABR!X40</f>
        <v>-0.1771</v>
      </c>
      <c r="Z136" s="35" t="s">
        <v>141</v>
      </c>
      <c r="AA136" s="24" t="n">
        <f aca="false">SABR!AA7+$E$16*SABR!AA40</f>
        <v>0.8595</v>
      </c>
      <c r="AB136" s="24" t="n">
        <f aca="false">SABR!AB7+$E$16*SABR!AB40</f>
        <v>0.8187</v>
      </c>
      <c r="AC136" s="24" t="n">
        <f aca="false">SABR!AC7+$E$16*SABR!AC40</f>
        <v>0.8127</v>
      </c>
      <c r="AD136" s="24" t="n">
        <f aca="false">SABR!AD7+$E$16*SABR!AD40</f>
        <v>0.7791</v>
      </c>
      <c r="AE136" s="24" t="n">
        <f aca="false">SABR!AE7+$E$16*SABR!AE40</f>
        <v>0.754</v>
      </c>
      <c r="AF136" s="24" t="n">
        <f aca="false">SABR!AF7+$E$16*SABR!AF40</f>
        <v>0.7312</v>
      </c>
      <c r="AG136" s="24" t="n">
        <f aca="false">SABR!AG7+$E$16*SABR!AG40</f>
        <v>0.7128</v>
      </c>
      <c r="AH136" s="24" t="n">
        <f aca="false">SABR!AH7+$E$16*SABR!AH40</f>
        <v>0.7008</v>
      </c>
      <c r="AI136" s="24" t="n">
        <f aca="false">SABR!AI7+$E$16*SABR!AI40</f>
        <v>0.6658</v>
      </c>
      <c r="AJ136" s="24" t="n">
        <f aca="false">SABR!AJ7+$E$16*SABR!AJ40</f>
        <v>0.6516</v>
      </c>
      <c r="AL136" s="35" t="s">
        <v>141</v>
      </c>
      <c r="AM136" s="37" t="n">
        <f aca="false">C136*(1+(((2-3*O136^2)/24*AA136^2)+(O136*AA136*C136/4))*0.0833333333333333)</f>
        <v>0.561530483864118</v>
      </c>
      <c r="AN136" s="37" t="n">
        <f aca="false">D136*(1+(((2-3*P136^2)/24*AB136^2)+(P136*AB136*D136/4))*0.0833333333333333)</f>
        <v>0.540761162969749</v>
      </c>
      <c r="AO136" s="37" t="n">
        <f aca="false">E136*(1+(((2-3*Q136^2)/24*AC136^2)+(Q136*AC136*E136/4))*0.0833333333333333)</f>
        <v>0.533347165903068</v>
      </c>
      <c r="AP136" s="37" t="n">
        <f aca="false">F136*(1+(((2-3*R136^2)/24*AD136^2)+(R136*AD136*F136/4))*0.0833333333333333)</f>
        <v>0.504418259905559</v>
      </c>
      <c r="AQ136" s="37" t="n">
        <f aca="false">G136*(1+(((2-3*S136^2)/24*AE136^2)+(S136*AE136*G136/4))*0.0833333333333333)</f>
        <v>0.496128379889251</v>
      </c>
      <c r="AR136" s="37" t="n">
        <f aca="false">H136*(1+(((2-3*T136^2)/24*AF136^2)+(T136*AF136*H136/4))*0.0833333333333333)</f>
        <v>0.475159944700397</v>
      </c>
      <c r="AS136" s="37" t="n">
        <f aca="false">I136*(1+(((2-3*U136^2)/24*AG136^2)+(U136*AG136*I136/4))*0.0833333333333333)</f>
        <v>0.451995044178065</v>
      </c>
      <c r="AT136" s="37" t="n">
        <f aca="false">J136*(1+(((2-3*V136^2)/24*AH136^2)+(V136*AH136*J136/4))*0.0833333333333333)</f>
        <v>0.443528478415048</v>
      </c>
      <c r="AU136" s="37" t="n">
        <f aca="false">K136*(1+(((2-3*W136^2)/24*AI136^2)+(W136*AI136*K136/4))*0.0833333333333333)</f>
        <v>0.416425875097012</v>
      </c>
      <c r="AV136" s="37" t="n">
        <f aca="false">L136*(1+(((2-3*X136^2)/24*AJ136^2)+(X136*AJ136*L136/4))*0.0833333333333333)</f>
        <v>0.406822947689311</v>
      </c>
    </row>
    <row r="137" customFormat="false" ht="15" hidden="false" customHeight="true" outlineLevel="0" collapsed="false">
      <c r="B137" s="35" t="s">
        <v>74</v>
      </c>
      <c r="C137" s="24" t="n">
        <f aca="false">SABR!C8+$C$16*SABR!C41</f>
        <v>0.5498908</v>
      </c>
      <c r="D137" s="24" t="n">
        <f aca="false">SABR!D8+$C$16*SABR!D41</f>
        <v>0.5270168</v>
      </c>
      <c r="E137" s="24" t="n">
        <f aca="false">SABR!E8+$C$16*SABR!E41</f>
        <v>0.5131164</v>
      </c>
      <c r="F137" s="24" t="n">
        <f aca="false">SABR!F8+$C$16*SABR!F41</f>
        <v>0.4857688</v>
      </c>
      <c r="G137" s="24" t="n">
        <f aca="false">SABR!G8+$C$16*SABR!G41</f>
        <v>0.4686272</v>
      </c>
      <c r="H137" s="24" t="n">
        <f aca="false">SABR!H8+$C$16*SABR!H41</f>
        <v>0.4537968</v>
      </c>
      <c r="I137" s="24" t="n">
        <f aca="false">SABR!I8+$C$16*SABR!I41</f>
        <v>0.4460172</v>
      </c>
      <c r="J137" s="24" t="n">
        <f aca="false">SABR!J8+$C$16*SABR!J41</f>
        <v>0.4232316</v>
      </c>
      <c r="K137" s="24" t="n">
        <f aca="false">SABR!K8+$C$16*SABR!K41</f>
        <v>0.4038164</v>
      </c>
      <c r="L137" s="24" t="n">
        <f aca="false">SABR!L8+$C$16*SABR!L41</f>
        <v>0.3916332</v>
      </c>
      <c r="N137" s="35" t="s">
        <v>74</v>
      </c>
      <c r="O137" s="24" t="n">
        <f aca="false">SABR!O8+$D$16*SABR!O41</f>
        <v>-0.3315</v>
      </c>
      <c r="P137" s="24" t="n">
        <f aca="false">SABR!P8+$D$16*SABR!P41</f>
        <v>-0.3151</v>
      </c>
      <c r="Q137" s="24" t="n">
        <f aca="false">SABR!Q8+$D$16*SABR!Q41</f>
        <v>-0.2858</v>
      </c>
      <c r="R137" s="24" t="n">
        <f aca="false">SABR!R8+$D$16*SABR!R41</f>
        <v>-0.2682</v>
      </c>
      <c r="S137" s="24" t="n">
        <f aca="false">SABR!S8+$D$16*SABR!S41</f>
        <v>-0.2579</v>
      </c>
      <c r="T137" s="24" t="n">
        <f aca="false">SABR!T8+$D$16*SABR!T41</f>
        <v>-0.2318</v>
      </c>
      <c r="U137" s="24" t="n">
        <f aca="false">SABR!U8+$D$16*SABR!U41</f>
        <v>-0.2134</v>
      </c>
      <c r="V137" s="24" t="n">
        <f aca="false">SABR!V8+$D$16*SABR!V41</f>
        <v>-0.1869</v>
      </c>
      <c r="W137" s="24" t="n">
        <f aca="false">SABR!W8+$D$16*SABR!W41</f>
        <v>-0.1704</v>
      </c>
      <c r="X137" s="24" t="n">
        <f aca="false">SABR!X8+$D$16*SABR!X41</f>
        <v>-0.1598</v>
      </c>
      <c r="Z137" s="35" t="s">
        <v>74</v>
      </c>
      <c r="AA137" s="24" t="n">
        <f aca="false">SABR!AA8+$E$16*SABR!AA41</f>
        <v>0.8374</v>
      </c>
      <c r="AB137" s="24" t="n">
        <f aca="false">SABR!AB8+$E$16*SABR!AB41</f>
        <v>0.7979</v>
      </c>
      <c r="AC137" s="24" t="n">
        <f aca="false">SABR!AC8+$E$16*SABR!AC41</f>
        <v>0.7817</v>
      </c>
      <c r="AD137" s="24" t="n">
        <f aca="false">SABR!AD8+$E$16*SABR!AD41</f>
        <v>0.7663</v>
      </c>
      <c r="AE137" s="24" t="n">
        <f aca="false">SABR!AE8+$E$16*SABR!AE41</f>
        <v>0.7319</v>
      </c>
      <c r="AF137" s="24" t="n">
        <f aca="false">SABR!AF8+$E$16*SABR!AF41</f>
        <v>0.7164</v>
      </c>
      <c r="AG137" s="24" t="n">
        <f aca="false">SABR!AG8+$E$16*SABR!AG41</f>
        <v>0.6852</v>
      </c>
      <c r="AH137" s="24" t="n">
        <f aca="false">SABR!AH8+$E$16*SABR!AH41</f>
        <v>0.6756</v>
      </c>
      <c r="AI137" s="24" t="n">
        <f aca="false">SABR!AI8+$E$16*SABR!AI41</f>
        <v>0.6553</v>
      </c>
      <c r="AJ137" s="24" t="n">
        <f aca="false">SABR!AJ8+$E$16*SABR!AJ41</f>
        <v>0.6292</v>
      </c>
      <c r="AL137" s="35" t="s">
        <v>74</v>
      </c>
      <c r="AM137" s="37" t="n">
        <f aca="false">C137*(1+(((2-3*O137^2)/24*AA137^2)+(O137*AA137*C137/4))*0.25)</f>
        <v>0.551353759023218</v>
      </c>
      <c r="AN137" s="37" t="n">
        <f aca="false">D137*(1+(((2-3*P137^2)/24*AB137^2)+(P137*AB137*D137/4))*0.25)</f>
        <v>0.528601393349583</v>
      </c>
      <c r="AO137" s="37" t="n">
        <f aca="false">E137*(1+(((2-3*Q137^2)/24*AC137^2)+(Q137*AC137*E137/4))*0.25)</f>
        <v>0.515171871098273</v>
      </c>
      <c r="AP137" s="37" t="n">
        <f aca="false">F137*(1+(((2-3*R137^2)/24*AD137^2)+(R137*AD137*F137/4))*0.25)</f>
        <v>0.488039252306788</v>
      </c>
      <c r="AQ137" s="37" t="n">
        <f aca="false">G137*(1+(((2-3*S137^2)/24*AE137^2)+(S137*AE137*G137/4))*0.25)</f>
        <v>0.470744455634804</v>
      </c>
      <c r="AR137" s="37" t="n">
        <f aca="false">H137*(1+(((2-3*T137^2)/24*AF137^2)+(T137*AF137*H137/4))*0.25)</f>
        <v>0.45612052095324</v>
      </c>
      <c r="AS137" s="37" t="n">
        <f aca="false">I137*(1+(((2-3*U137^2)/24*AG137^2)+(U137*AG137*I137/4))*0.25)</f>
        <v>0.448263786012037</v>
      </c>
      <c r="AT137" s="37" t="n">
        <f aca="false">J137*(1+(((2-3*V137^2)/24*AH137^2)+(V137*AH137*J137/4))*0.25)</f>
        <v>0.425631635496778</v>
      </c>
      <c r="AU137" s="37" t="n">
        <f aca="false">K137*(1+(((2-3*W137^2)/24*AI137^2)+(W137*AI137*K137/4))*0.25)</f>
        <v>0.406133640798461</v>
      </c>
      <c r="AV137" s="37" t="n">
        <f aca="false">L137*(1+(((2-3*X137^2)/24*AJ137^2)+(X137*AJ137*L137/4))*0.25)</f>
        <v>0.393775733051627</v>
      </c>
    </row>
    <row r="138" customFormat="false" ht="15" hidden="false" customHeight="true" outlineLevel="0" collapsed="false">
      <c r="B138" s="35" t="s">
        <v>75</v>
      </c>
      <c r="C138" s="24" t="n">
        <f aca="false">SABR!C9+$C$16*SABR!C42</f>
        <v>0.536988</v>
      </c>
      <c r="D138" s="24" t="n">
        <f aca="false">SABR!D9+$C$16*SABR!D42</f>
        <v>0.5083796</v>
      </c>
      <c r="E138" s="24" t="n">
        <f aca="false">SABR!E9+$C$16*SABR!E42</f>
        <v>0.498838</v>
      </c>
      <c r="F138" s="24" t="n">
        <f aca="false">SABR!F9+$C$16*SABR!F42</f>
        <v>0.4791616</v>
      </c>
      <c r="G138" s="24" t="n">
        <f aca="false">SABR!G9+$C$16*SABR!G42</f>
        <v>0.4616188</v>
      </c>
      <c r="H138" s="24" t="n">
        <f aca="false">SABR!H9+$C$16*SABR!H42</f>
        <v>0.4413688</v>
      </c>
      <c r="I138" s="24" t="n">
        <f aca="false">SABR!I9+$C$16*SABR!I42</f>
        <v>0.4313568</v>
      </c>
      <c r="J138" s="24" t="n">
        <f aca="false">SABR!J9+$C$16*SABR!J42</f>
        <v>0.4162416</v>
      </c>
      <c r="K138" s="24" t="n">
        <f aca="false">SABR!K9+$C$16*SABR!K42</f>
        <v>0.3893964</v>
      </c>
      <c r="L138" s="24" t="n">
        <f aca="false">SABR!L9+$C$16*SABR!L42</f>
        <v>0.3753832</v>
      </c>
      <c r="N138" s="35" t="s">
        <v>75</v>
      </c>
      <c r="O138" s="24" t="n">
        <f aca="false">SABR!O9+$D$16*SABR!O42</f>
        <v>-0.3199</v>
      </c>
      <c r="P138" s="24" t="n">
        <f aca="false">SABR!P9+$D$16*SABR!P42</f>
        <v>-0.2876</v>
      </c>
      <c r="Q138" s="24" t="n">
        <f aca="false">SABR!Q9+$D$16*SABR!Q42</f>
        <v>-0.2693</v>
      </c>
      <c r="R138" s="24" t="n">
        <f aca="false">SABR!R9+$D$16*SABR!R42</f>
        <v>-0.2429</v>
      </c>
      <c r="S138" s="24" t="n">
        <f aca="false">SABR!S9+$D$16*SABR!S42</f>
        <v>-0.2269</v>
      </c>
      <c r="T138" s="24" t="n">
        <f aca="false">SABR!T9+$D$16*SABR!T42</f>
        <v>-0.2182</v>
      </c>
      <c r="U138" s="24" t="n">
        <f aca="false">SABR!U9+$D$16*SABR!U42</f>
        <v>-0.1967</v>
      </c>
      <c r="V138" s="24" t="n">
        <f aca="false">SABR!V9+$D$16*SABR!V42</f>
        <v>-0.1716</v>
      </c>
      <c r="W138" s="24" t="n">
        <f aca="false">SABR!W9+$D$16*SABR!W42</f>
        <v>-0.1651</v>
      </c>
      <c r="X138" s="24" t="n">
        <f aca="false">SABR!X9+$D$16*SABR!X42</f>
        <v>-0.1369</v>
      </c>
      <c r="Z138" s="35" t="s">
        <v>75</v>
      </c>
      <c r="AA138" s="24" t="n">
        <f aca="false">SABR!AA9+$E$16*SABR!AA42</f>
        <v>0.7989</v>
      </c>
      <c r="AB138" s="24" t="n">
        <f aca="false">SABR!AB9+$E$16*SABR!AB42</f>
        <v>0.7757</v>
      </c>
      <c r="AC138" s="24" t="n">
        <f aca="false">SABR!AC9+$E$16*SABR!AC42</f>
        <v>0.7523</v>
      </c>
      <c r="AD138" s="24" t="n">
        <f aca="false">SABR!AD9+$E$16*SABR!AD42</f>
        <v>0.7443</v>
      </c>
      <c r="AE138" s="24" t="n">
        <f aca="false">SABR!AE9+$E$16*SABR!AE42</f>
        <v>0.7093</v>
      </c>
      <c r="AF138" s="24" t="n">
        <f aca="false">SABR!AF9+$E$16*SABR!AF42</f>
        <v>0.6894</v>
      </c>
      <c r="AG138" s="24" t="n">
        <f aca="false">SABR!AG9+$E$16*SABR!AG42</f>
        <v>0.67</v>
      </c>
      <c r="AH138" s="24" t="n">
        <f aca="false">SABR!AH9+$E$16*SABR!AH42</f>
        <v>0.6574</v>
      </c>
      <c r="AI138" s="24" t="n">
        <f aca="false">SABR!AI9+$E$16*SABR!AI42</f>
        <v>0.6194</v>
      </c>
      <c r="AJ138" s="24" t="n">
        <f aca="false">SABR!AJ9+$E$16*SABR!AJ42</f>
        <v>0.6045</v>
      </c>
      <c r="AL138" s="35" t="s">
        <v>75</v>
      </c>
      <c r="AM138" s="37" t="n">
        <f aca="false">C138*(1+(((2-3*O138^2)/24*AA138^2)+(O138*AA138*C138/4))*0.5)</f>
        <v>0.539864411953372</v>
      </c>
      <c r="AN138" s="37" t="n">
        <f aca="false">D138*(1+(((2-3*P138^2)/24*AB138^2)+(P138*AB138*D138/4))*0.5)</f>
        <v>0.512336713614322</v>
      </c>
      <c r="AO138" s="37" t="n">
        <f aca="false">E138*(1+(((2-3*Q138^2)/24*AC138^2)+(Q138*AC138*E138/4))*0.5)</f>
        <v>0.503019992134874</v>
      </c>
      <c r="AP138" s="37" t="n">
        <f aca="false">F138*(1+(((2-3*R138^2)/24*AD138^2)+(R138*AD138*F138/4))*0.5)</f>
        <v>0.484054461774473</v>
      </c>
      <c r="AQ138" s="37" t="n">
        <f aca="false">G138*(1+(((2-3*S138^2)/24*AE138^2)+(S138*AE138*G138/4))*0.5)</f>
        <v>0.466261432180691</v>
      </c>
      <c r="AR138" s="37" t="n">
        <f aca="false">H138*(1+(((2-3*T138^2)/24*AF138^2)+(T138*AF138*H138/4))*0.5)</f>
        <v>0.445821998618537</v>
      </c>
      <c r="AS138" s="37" t="n">
        <f aca="false">I138*(1+(((2-3*U138^2)/24*AG138^2)+(U138*AG138*I138/4))*0.5)</f>
        <v>0.435891496687939</v>
      </c>
      <c r="AT138" s="37" t="n">
        <f aca="false">J138*(1+(((2-3*V138^2)/24*AH138^2)+(V138*AH138*J138/4))*0.5)</f>
        <v>0.420962772221916</v>
      </c>
      <c r="AU138" s="37" t="n">
        <f aca="false">K138*(1+(((2-3*W138^2)/24*AI138^2)+(W138*AI138*K138/4))*0.5)</f>
        <v>0.393428394227551</v>
      </c>
      <c r="AV138" s="37" t="n">
        <f aca="false">L138*(1+(((2-3*X138^2)/24*AJ138^2)+(X138*AJ138*L138/4))*0.5)</f>
        <v>0.379480377990624</v>
      </c>
    </row>
    <row r="139" customFormat="false" ht="15" hidden="false" customHeight="true" outlineLevel="0" collapsed="false">
      <c r="B139" s="35" t="s">
        <v>30</v>
      </c>
      <c r="C139" s="24" t="n">
        <f aca="false">SABR!C10+$C$16*SABR!C43</f>
        <v>0.513006</v>
      </c>
      <c r="D139" s="24" t="n">
        <f aca="false">SABR!D10+$C$16*SABR!D43</f>
        <v>0.502316</v>
      </c>
      <c r="E139" s="24" t="n">
        <f aca="false">SABR!E10+$C$16*SABR!E43</f>
        <v>0.4839376</v>
      </c>
      <c r="F139" s="24" t="n">
        <f aca="false">SABR!F10+$C$16*SABR!F43</f>
        <v>0.46719</v>
      </c>
      <c r="G139" s="24" t="n">
        <f aca="false">SABR!G10+$C$16*SABR!G43</f>
        <v>0.4376124</v>
      </c>
      <c r="H139" s="24" t="n">
        <f aca="false">SABR!H10+$C$16*SABR!H43</f>
        <v>0.422958</v>
      </c>
      <c r="I139" s="24" t="n">
        <f aca="false">SABR!I10+$C$16*SABR!I43</f>
        <v>0.4042472</v>
      </c>
      <c r="J139" s="24" t="n">
        <f aca="false">SABR!J10+$C$16*SABR!J43</f>
        <v>0.3972008</v>
      </c>
      <c r="K139" s="24" t="n">
        <f aca="false">SABR!K10+$C$16*SABR!K43</f>
        <v>0.3815776</v>
      </c>
      <c r="L139" s="24" t="n">
        <f aca="false">SABR!L10+$C$16*SABR!L43</f>
        <v>0.3476092</v>
      </c>
      <c r="N139" s="35" t="s">
        <v>30</v>
      </c>
      <c r="O139" s="24" t="n">
        <f aca="false">SABR!O10+$D$16*SABR!O43</f>
        <v>-0.2981</v>
      </c>
      <c r="P139" s="24" t="n">
        <f aca="false">SABR!P10+$D$16*SABR!P43</f>
        <v>-0.2776</v>
      </c>
      <c r="Q139" s="24" t="n">
        <f aca="false">SABR!Q10+$D$16*SABR!Q43</f>
        <v>-0.2581</v>
      </c>
      <c r="R139" s="24" t="n">
        <f aca="false">SABR!R10+$D$16*SABR!R43</f>
        <v>-0.2336</v>
      </c>
      <c r="S139" s="24" t="n">
        <f aca="false">SABR!S10+$D$16*SABR!S43</f>
        <v>-0.2121</v>
      </c>
      <c r="T139" s="24" t="n">
        <f aca="false">SABR!T10+$D$16*SABR!T43</f>
        <v>-0.1992</v>
      </c>
      <c r="U139" s="24" t="n">
        <f aca="false">SABR!U10+$D$16*SABR!U43</f>
        <v>-0.1849</v>
      </c>
      <c r="V139" s="24" t="n">
        <f aca="false">SABR!V10+$D$16*SABR!V43</f>
        <v>-0.1572</v>
      </c>
      <c r="W139" s="24" t="n">
        <f aca="false">SABR!W10+$D$16*SABR!W43</f>
        <v>-0.1387</v>
      </c>
      <c r="X139" s="24" t="n">
        <f aca="false">SABR!X10+$D$16*SABR!X43</f>
        <v>-0.1153</v>
      </c>
      <c r="Z139" s="35" t="s">
        <v>30</v>
      </c>
      <c r="AA139" s="24" t="n">
        <f aca="false">SABR!AA10+$E$16*SABR!AA43</f>
        <v>0.7924</v>
      </c>
      <c r="AB139" s="24" t="n">
        <f aca="false">SABR!AB10+$E$16*SABR!AB43</f>
        <v>0.7649</v>
      </c>
      <c r="AC139" s="24" t="n">
        <f aca="false">SABR!AC10+$E$16*SABR!AC43</f>
        <v>0.7392</v>
      </c>
      <c r="AD139" s="24" t="n">
        <f aca="false">SABR!AD10+$E$16*SABR!AD43</f>
        <v>0.719</v>
      </c>
      <c r="AE139" s="24" t="n">
        <f aca="false">SABR!AE10+$E$16*SABR!AE43</f>
        <v>0.698</v>
      </c>
      <c r="AF139" s="24" t="n">
        <f aca="false">SABR!AF10+$E$16*SABR!AF43</f>
        <v>0.6633</v>
      </c>
      <c r="AG139" s="24" t="n">
        <f aca="false">SABR!AG10+$E$16*SABR!AG43</f>
        <v>0.658</v>
      </c>
      <c r="AH139" s="24" t="n">
        <f aca="false">SABR!AH10+$E$16*SABR!AH43</f>
        <v>0.6334</v>
      </c>
      <c r="AI139" s="24" t="n">
        <f aca="false">SABR!AI10+$E$16*SABR!AI43</f>
        <v>0.613</v>
      </c>
      <c r="AJ139" s="24" t="n">
        <f aca="false">SABR!AJ10+$E$16*SABR!AJ43</f>
        <v>0.5893</v>
      </c>
      <c r="AL139" s="35" t="s">
        <v>30</v>
      </c>
      <c r="AM139" s="37" t="n">
        <f aca="false">C139*(1+(((2-3*O139^2)/24*AA139^2)+(O139*AA139*C139/4))*1)</f>
        <v>0.520729458910458</v>
      </c>
      <c r="AN139" s="37" t="n">
        <f aca="false">D139*(1+(((2-3*P139^2)/24*AB139^2)+(P139*AB139*D139/4))*1)</f>
        <v>0.510581706876782</v>
      </c>
      <c r="AO139" s="37" t="n">
        <f aca="false">E139*(1+(((2-3*Q139^2)/24*AC139^2)+(Q139*AC139*E139/4))*1)</f>
        <v>0.492601254963542</v>
      </c>
      <c r="AP139" s="37" t="n">
        <f aca="false">F139*(1+(((2-3*R139^2)/24*AD139^2)+(R139*AD139*F139/4))*1)</f>
        <v>0.476504231121165</v>
      </c>
      <c r="AQ139" s="37" t="n">
        <f aca="false">G139*(1+(((2-3*S139^2)/24*AE139^2)+(S139*AE139*G139/4))*1)</f>
        <v>0.447092821471619</v>
      </c>
      <c r="AR139" s="37" t="n">
        <f aca="false">H139*(1+(((2-3*T139^2)/24*AF139^2)+(T139*AF139*H139/4))*1)</f>
        <v>0.431633014105691</v>
      </c>
      <c r="AS139" s="37" t="n">
        <f aca="false">I139*(1+(((2-3*U139^2)/24*AG139^2)+(U139*AG139*I139/4))*1)</f>
        <v>0.41311414326663</v>
      </c>
      <c r="AT139" s="37" t="n">
        <f aca="false">J139*(1+(((2-3*V139^2)/24*AH139^2)+(V139*AH139*J139/4))*1)</f>
        <v>0.406060884055627</v>
      </c>
      <c r="AU139" s="37" t="n">
        <f aca="false">K139*(1+(((2-3*W139^2)/24*AI139^2)+(W139*AI139*K139/4))*1)</f>
        <v>0.390086681186256</v>
      </c>
      <c r="AV139" s="37" t="n">
        <f aca="false">L139*(1+(((2-3*X139^2)/24*AJ139^2)+(X139*AJ139*L139/4))*1)</f>
        <v>0.355415725609083</v>
      </c>
    </row>
    <row r="140" customFormat="false" ht="15" hidden="false" customHeight="true" outlineLevel="0" collapsed="false">
      <c r="B140" s="35" t="s">
        <v>76</v>
      </c>
      <c r="C140" s="24" t="n">
        <f aca="false">SABR!C11+$C$16*SABR!C44</f>
        <v>0.4926448</v>
      </c>
      <c r="D140" s="24" t="n">
        <f aca="false">SABR!D11+$C$16*SABR!D44</f>
        <v>0.4751524</v>
      </c>
      <c r="E140" s="24" t="n">
        <f aca="false">SABR!E11+$C$16*SABR!E44</f>
        <v>0.4516772</v>
      </c>
      <c r="F140" s="24" t="n">
        <f aca="false">SABR!F11+$C$16*SABR!F44</f>
        <v>0.4450528</v>
      </c>
      <c r="G140" s="24" t="n">
        <f aca="false">SABR!G11+$C$16*SABR!G44</f>
        <v>0.4157936</v>
      </c>
      <c r="H140" s="24" t="n">
        <f aca="false">SABR!H11+$C$16*SABR!H44</f>
        <v>0.3986508</v>
      </c>
      <c r="I140" s="24" t="n">
        <f aca="false">SABR!I11+$C$16*SABR!I44</f>
        <v>0.3837284</v>
      </c>
      <c r="J140" s="24" t="n">
        <f aca="false">SABR!J11+$C$16*SABR!J44</f>
        <v>0.365466</v>
      </c>
      <c r="K140" s="24" t="n">
        <f aca="false">SABR!K11+$C$16*SABR!K44</f>
        <v>0.3514276</v>
      </c>
      <c r="L140" s="24" t="n">
        <f aca="false">SABR!L11+$C$16*SABR!L44</f>
        <v>0.3282272</v>
      </c>
      <c r="N140" s="35" t="s">
        <v>76</v>
      </c>
      <c r="O140" s="24" t="n">
        <f aca="false">SABR!O11+$D$16*SABR!O44</f>
        <v>-0.2822</v>
      </c>
      <c r="P140" s="24" t="n">
        <f aca="false">SABR!P11+$D$16*SABR!P44</f>
        <v>-0.2598</v>
      </c>
      <c r="Q140" s="24" t="n">
        <f aca="false">SABR!Q11+$D$16*SABR!Q44</f>
        <v>-0.2413</v>
      </c>
      <c r="R140" s="24" t="n">
        <f aca="false">SABR!R11+$D$16*SABR!R44</f>
        <v>-0.2166</v>
      </c>
      <c r="S140" s="24" t="n">
        <f aca="false">SABR!S11+$D$16*SABR!S44</f>
        <v>-0.2039</v>
      </c>
      <c r="T140" s="24" t="n">
        <f aca="false">SABR!T11+$D$16*SABR!T44</f>
        <v>-0.1675</v>
      </c>
      <c r="U140" s="24" t="n">
        <f aca="false">SABR!U11+$D$16*SABR!U44</f>
        <v>-0.1533</v>
      </c>
      <c r="V140" s="24" t="n">
        <f aca="false">SABR!V11+$D$16*SABR!V44</f>
        <v>-0.1431</v>
      </c>
      <c r="W140" s="24" t="n">
        <f aca="false">SABR!W11+$D$16*SABR!W44</f>
        <v>-0.1216</v>
      </c>
      <c r="X140" s="24" t="n">
        <f aca="false">SABR!X11+$D$16*SABR!X44</f>
        <v>-0.1003</v>
      </c>
      <c r="Z140" s="35" t="s">
        <v>76</v>
      </c>
      <c r="AA140" s="24" t="n">
        <f aca="false">SABR!AA11+$E$16*SABR!AA44</f>
        <v>0.7584</v>
      </c>
      <c r="AB140" s="24" t="n">
        <f aca="false">SABR!AB11+$E$16*SABR!AB44</f>
        <v>0.7313</v>
      </c>
      <c r="AC140" s="24" t="n">
        <f aca="false">SABR!AC11+$E$16*SABR!AC44</f>
        <v>0.7236</v>
      </c>
      <c r="AD140" s="24" t="n">
        <f aca="false">SABR!AD11+$E$16*SABR!AD44</f>
        <v>0.7043</v>
      </c>
      <c r="AE140" s="24" t="n">
        <f aca="false">SABR!AE11+$E$16*SABR!AE44</f>
        <v>0.6715</v>
      </c>
      <c r="AF140" s="24" t="n">
        <f aca="false">SABR!AF11+$E$16*SABR!AF44</f>
        <v>0.6497</v>
      </c>
      <c r="AG140" s="24" t="n">
        <f aca="false">SABR!AG11+$E$16*SABR!AG44</f>
        <v>0.6195</v>
      </c>
      <c r="AH140" s="24" t="n">
        <f aca="false">SABR!AH11+$E$16*SABR!AH44</f>
        <v>0.5976</v>
      </c>
      <c r="AI140" s="24" t="n">
        <f aca="false">SABR!AI11+$E$16*SABR!AI44</f>
        <v>0.5802</v>
      </c>
      <c r="AJ140" s="24" t="n">
        <f aca="false">SABR!AJ11+$E$16*SABR!AJ44</f>
        <v>0.5564</v>
      </c>
      <c r="AL140" s="35" t="s">
        <v>76</v>
      </c>
      <c r="AM140" s="37" t="n">
        <f aca="false">C140*(1+(((2-3*O140^2)/24*AA140^2)+(O140*AA140*C140/4))*2)</f>
        <v>0.508257960227683</v>
      </c>
      <c r="AN140" s="37" t="n">
        <f aca="false">D140*(1+(((2-3*P140^2)/24*AB140^2)+(P140*AB140*D140/4))*2)</f>
        <v>0.491769216260617</v>
      </c>
      <c r="AO140" s="37" t="n">
        <f aca="false">E140*(1+(((2-3*Q140^2)/24*AC140^2)+(Q140*AC140*E140/4))*2)</f>
        <v>0.469840036766796</v>
      </c>
      <c r="AP140" s="37" t="n">
        <f aca="false">F140*(1+(((2-3*R140^2)/24*AD140^2)+(R140*AD140*F140/4))*2)</f>
        <v>0.464149299725055</v>
      </c>
      <c r="AQ140" s="37" t="n">
        <f aca="false">G140*(1+(((2-3*S140^2)/24*AE140^2)+(S140*AE140*G140/4))*2)</f>
        <v>0.433257080062697</v>
      </c>
      <c r="AR140" s="37" t="n">
        <f aca="false">H140*(1+(((2-3*T140^2)/24*AF140^2)+(T140*AF140*H140/4))*2)</f>
        <v>0.41686891763381</v>
      </c>
      <c r="AS140" s="37" t="n">
        <f aca="false">I140*(1+(((2-3*U140^2)/24*AG140^2)+(U140*AG140*I140/4))*2)</f>
        <v>0.400415735947109</v>
      </c>
      <c r="AT140" s="37" t="n">
        <f aca="false">J140*(1+(((2-3*V140^2)/24*AH140^2)+(V140*AH140*J140/4))*2)</f>
        <v>0.380839689807772</v>
      </c>
      <c r="AU140" s="37" t="n">
        <f aca="false">K140*(1+(((2-3*W140^2)/24*AI140^2)+(W140*AI140*K140/4))*2)</f>
        <v>0.366350592188269</v>
      </c>
      <c r="AV140" s="37" t="n">
        <f aca="false">L140*(1+(((2-3*X140^2)/24*AJ140^2)+(X140*AJ140*L140/4))*2)</f>
        <v>0.341900997134853</v>
      </c>
    </row>
    <row r="141" customFormat="false" ht="15" hidden="false" customHeight="true" outlineLevel="0" collapsed="false">
      <c r="B141" s="35" t="s">
        <v>77</v>
      </c>
      <c r="C141" s="24" t="n">
        <f aca="false">SABR!C12+$C$16*SABR!C45</f>
        <v>0.4840376</v>
      </c>
      <c r="D141" s="24" t="n">
        <f aca="false">SABR!D12+$C$16*SABR!D45</f>
        <v>0.4531176</v>
      </c>
      <c r="E141" s="24" t="n">
        <f aca="false">SABR!E12+$C$16*SABR!E45</f>
        <v>0.4326136</v>
      </c>
      <c r="F141" s="24" t="n">
        <f aca="false">SABR!F12+$C$16*SABR!F45</f>
        <v>0.4340076</v>
      </c>
      <c r="G141" s="24" t="n">
        <f aca="false">SABR!G12+$C$16*SABR!G45</f>
        <v>0.4077116</v>
      </c>
      <c r="H141" s="24" t="n">
        <f aca="false">SABR!H12+$C$16*SABR!H45</f>
        <v>0.3826848</v>
      </c>
      <c r="I141" s="24" t="n">
        <f aca="false">SABR!I12+$C$16*SABR!I45</f>
        <v>0.3733052</v>
      </c>
      <c r="J141" s="24" t="n">
        <f aca="false">SABR!J12+$C$16*SABR!J45</f>
        <v>0.3453668</v>
      </c>
      <c r="K141" s="24" t="n">
        <f aca="false">SABR!K12+$C$16*SABR!K45</f>
        <v>0.3376352</v>
      </c>
      <c r="L141" s="24" t="n">
        <f aca="false">SABR!L12+$C$16*SABR!L45</f>
        <v>0.3295948</v>
      </c>
      <c r="N141" s="35" t="s">
        <v>77</v>
      </c>
      <c r="O141" s="24" t="n">
        <f aca="false">SABR!O12+$D$16*SABR!O45</f>
        <v>-0.2455</v>
      </c>
      <c r="P141" s="24" t="n">
        <f aca="false">SABR!P12+$D$16*SABR!P45</f>
        <v>-0.2294</v>
      </c>
      <c r="Q141" s="24" t="n">
        <f aca="false">SABR!Q12+$D$16*SABR!Q45</f>
        <v>-0.2187</v>
      </c>
      <c r="R141" s="24" t="n">
        <f aca="false">SABR!R12+$D$16*SABR!R45</f>
        <v>-0.1971</v>
      </c>
      <c r="S141" s="24" t="n">
        <f aca="false">SABR!S12+$D$16*SABR!S45</f>
        <v>-0.1817</v>
      </c>
      <c r="T141" s="24" t="n">
        <f aca="false">SABR!T12+$D$16*SABR!T45</f>
        <v>-0.1501</v>
      </c>
      <c r="U141" s="24" t="n">
        <f aca="false">SABR!U12+$D$16*SABR!U45</f>
        <v>-0.1355</v>
      </c>
      <c r="V141" s="24" t="n">
        <f aca="false">SABR!V12+$D$16*SABR!V45</f>
        <v>-0.1111</v>
      </c>
      <c r="W141" s="24" t="n">
        <f aca="false">SABR!W12+$D$16*SABR!W45</f>
        <v>-0.1006</v>
      </c>
      <c r="X141" s="24" t="n">
        <f aca="false">SABR!X12+$D$16*SABR!X45</f>
        <v>-0.0833</v>
      </c>
      <c r="Z141" s="35" t="s">
        <v>77</v>
      </c>
      <c r="AA141" s="24" t="n">
        <f aca="false">SABR!AA12+$E$16*SABR!AA45</f>
        <v>0.7451</v>
      </c>
      <c r="AB141" s="24" t="n">
        <f aca="false">SABR!AB12+$E$16*SABR!AB45</f>
        <v>0.7264</v>
      </c>
      <c r="AC141" s="24" t="n">
        <f aca="false">SABR!AC12+$E$16*SABR!AC45</f>
        <v>0.7015</v>
      </c>
      <c r="AD141" s="24" t="n">
        <f aca="false">SABR!AD12+$E$16*SABR!AD45</f>
        <v>0.6783</v>
      </c>
      <c r="AE141" s="24" t="n">
        <f aca="false">SABR!AE12+$E$16*SABR!AE45</f>
        <v>0.6564</v>
      </c>
      <c r="AF141" s="24" t="n">
        <f aca="false">SABR!AF12+$E$16*SABR!AF45</f>
        <v>0.6326</v>
      </c>
      <c r="AG141" s="24" t="n">
        <f aca="false">SABR!AG12+$E$16*SABR!AG45</f>
        <v>0.6001</v>
      </c>
      <c r="AH141" s="24" t="n">
        <f aca="false">SABR!AH12+$E$16*SABR!AH45</f>
        <v>0.5837</v>
      </c>
      <c r="AI141" s="24" t="n">
        <f aca="false">SABR!AI12+$E$16*SABR!AI45</f>
        <v>0.5582</v>
      </c>
      <c r="AJ141" s="24" t="n">
        <f aca="false">SABR!AJ12+$E$16*SABR!AJ45</f>
        <v>0.5295</v>
      </c>
      <c r="AL141" s="35" t="s">
        <v>77</v>
      </c>
      <c r="AM141" s="37" t="n">
        <f aca="false">C141*(1+(((2-3*O141^2)/24*AA141^2)+(O141*AA141*C141/4))*3)</f>
        <v>0.513002391255188</v>
      </c>
      <c r="AN141" s="37" t="n">
        <f aca="false">D141*(1+(((2-3*P141^2)/24*AB141^2)+(P141*AB141*D141/4))*3)</f>
        <v>0.482512269256215</v>
      </c>
      <c r="AO141" s="37" t="n">
        <f aca="false">E141*(1+(((2-3*Q141^2)/24*AC141^2)+(Q141*AC141*E141/4))*3)</f>
        <v>0.460483043787401</v>
      </c>
      <c r="AP141" s="37" t="n">
        <f aca="false">F141*(1+(((2-3*R141^2)/24*AD141^2)+(R141*AD141*F141/4))*3)</f>
        <v>0.46213226331629</v>
      </c>
      <c r="AQ141" s="37" t="n">
        <f aca="false">G141*(1+(((2-3*S141^2)/24*AE141^2)+(S141*AE141*G141/4))*3)</f>
        <v>0.434584179852247</v>
      </c>
      <c r="AR141" s="37" t="n">
        <f aca="false">H141*(1+(((2-3*T141^2)/24*AF141^2)+(T141*AF141*H141/4))*3)</f>
        <v>0.409247628333316</v>
      </c>
      <c r="AS141" s="37" t="n">
        <f aca="false">I141*(1+(((2-3*U141^2)/24*AG141^2)+(U141*AG141*I141/4))*3)</f>
        <v>0.397489577359774</v>
      </c>
      <c r="AT141" s="37" t="n">
        <f aca="false">J141*(1+(((2-3*V141^2)/24*AH141^2)+(V141*AH141*J141/4))*3)</f>
        <v>0.368437944606152</v>
      </c>
      <c r="AU141" s="37" t="n">
        <f aca="false">K141*(1+(((2-3*W141^2)/24*AI141^2)+(W141*AI141*K141/4))*3)</f>
        <v>0.358735504558541</v>
      </c>
      <c r="AV141" s="37" t="n">
        <f aca="false">L141*(1+(((2-3*X141^2)/24*AJ141^2)+(X141*AJ141*L141/4))*3)</f>
        <v>0.348862862808447</v>
      </c>
    </row>
    <row r="142" customFormat="false" ht="15" hidden="false" customHeight="true" outlineLevel="0" collapsed="false">
      <c r="B142" s="35" t="s">
        <v>78</v>
      </c>
      <c r="C142" s="24" t="n">
        <f aca="false">SABR!C13+$C$16*SABR!C46</f>
        <v>0.4501956</v>
      </c>
      <c r="D142" s="24" t="n">
        <f aca="false">SABR!D13+$C$16*SABR!D46</f>
        <v>0.437686</v>
      </c>
      <c r="E142" s="24" t="n">
        <f aca="false">SABR!E13+$C$16*SABR!E46</f>
        <v>0.4201432</v>
      </c>
      <c r="F142" s="24" t="n">
        <f aca="false">SABR!F13+$C$16*SABR!F46</f>
        <v>0.411076</v>
      </c>
      <c r="G142" s="24" t="n">
        <f aca="false">SABR!G13+$C$16*SABR!G46</f>
        <v>0.3988296</v>
      </c>
      <c r="H142" s="24" t="n">
        <f aca="false">SABR!H13+$C$16*SABR!H46</f>
        <v>0.3709728</v>
      </c>
      <c r="I142" s="24" t="n">
        <f aca="false">SABR!I13+$C$16*SABR!I46</f>
        <v>0.363254</v>
      </c>
      <c r="J142" s="24" t="n">
        <f aca="false">SABR!J13+$C$16*SABR!J46</f>
        <v>0.347102</v>
      </c>
      <c r="K142" s="24" t="n">
        <f aca="false">SABR!K13+$C$16*SABR!K46</f>
        <v>0.32879</v>
      </c>
      <c r="L142" s="24" t="n">
        <f aca="false">SABR!L13+$C$16*SABR!L46</f>
        <v>0.2996552</v>
      </c>
      <c r="N142" s="35" t="s">
        <v>78</v>
      </c>
      <c r="O142" s="24" t="n">
        <f aca="false">SABR!O13+$D$16*SABR!O46</f>
        <v>-0.2389</v>
      </c>
      <c r="P142" s="24" t="n">
        <f aca="false">SABR!P13+$D$16*SABR!P46</f>
        <v>-0.2194</v>
      </c>
      <c r="Q142" s="24" t="n">
        <f aca="false">SABR!Q13+$D$16*SABR!Q46</f>
        <v>-0.2005</v>
      </c>
      <c r="R142" s="24" t="n">
        <f aca="false">SABR!R13+$D$16*SABR!R46</f>
        <v>-0.1809</v>
      </c>
      <c r="S142" s="24" t="n">
        <f aca="false">SABR!S13+$D$16*SABR!S46</f>
        <v>-0.1531</v>
      </c>
      <c r="T142" s="24" t="n">
        <f aca="false">SABR!T13+$D$16*SABR!T46</f>
        <v>-0.1281</v>
      </c>
      <c r="U142" s="24" t="n">
        <f aca="false">SABR!U13+$D$16*SABR!U46</f>
        <v>-0.1099</v>
      </c>
      <c r="V142" s="24" t="n">
        <f aca="false">SABR!V13+$D$16*SABR!V46</f>
        <v>-0.0976</v>
      </c>
      <c r="W142" s="24" t="n">
        <f aca="false">SABR!W13+$D$16*SABR!W46</f>
        <v>-0.0747</v>
      </c>
      <c r="X142" s="24" t="n">
        <f aca="false">SABR!X13+$D$16*SABR!X46</f>
        <v>-0.0523</v>
      </c>
      <c r="Z142" s="35" t="s">
        <v>78</v>
      </c>
      <c r="AA142" s="24" t="n">
        <f aca="false">SABR!AA13+$E$16*SABR!AA46</f>
        <v>0.7084</v>
      </c>
      <c r="AB142" s="24" t="n">
        <f aca="false">SABR!AB13+$E$16*SABR!AB46</f>
        <v>0.6977</v>
      </c>
      <c r="AC142" s="24" t="n">
        <f aca="false">SABR!AC13+$E$16*SABR!AC46</f>
        <v>0.6804</v>
      </c>
      <c r="AD142" s="24" t="n">
        <f aca="false">SABR!AD13+$E$16*SABR!AD46</f>
        <v>0.6556</v>
      </c>
      <c r="AE142" s="24" t="n">
        <f aca="false">SABR!AE13+$E$16*SABR!AE46</f>
        <v>0.6328</v>
      </c>
      <c r="AF142" s="24" t="n">
        <f aca="false">SABR!AF13+$E$16*SABR!AF46</f>
        <v>0.6051</v>
      </c>
      <c r="AG142" s="24" t="n">
        <f aca="false">SABR!AG13+$E$16*SABR!AG46</f>
        <v>0.5769</v>
      </c>
      <c r="AH142" s="24" t="n">
        <f aca="false">SABR!AH13+$E$16*SABR!AH46</f>
        <v>0.5669</v>
      </c>
      <c r="AI142" s="24" t="n">
        <f aca="false">SABR!AI13+$E$16*SABR!AI46</f>
        <v>0.5355</v>
      </c>
      <c r="AJ142" s="24" t="n">
        <f aca="false">SABR!AJ13+$E$16*SABR!AJ46</f>
        <v>0.5227</v>
      </c>
      <c r="AL142" s="35" t="s">
        <v>78</v>
      </c>
      <c r="AM142" s="37" t="n">
        <f aca="false">C142*(1+(((2-3*O142^2)/24*AA142^2)+(O142*AA142*C142/4))*5)</f>
        <v>0.493395620287793</v>
      </c>
      <c r="AN142" s="37" t="n">
        <f aca="false">D142*(1+(((2-3*P142^2)/24*AB142^2)+(P142*AB142*D142/4))*5)</f>
        <v>0.483395068068607</v>
      </c>
      <c r="AO142" s="37" t="n">
        <f aca="false">E142*(1+(((2-3*Q142^2)/24*AC142^2)+(Q142*AC142*E142/4))*5)</f>
        <v>0.466197966330514</v>
      </c>
      <c r="AP142" s="37" t="n">
        <f aca="false">F142*(1+(((2-3*R142^2)/24*AD142^2)+(R142*AD142*F142/4))*5)</f>
        <v>0.456029677359562</v>
      </c>
      <c r="AQ142" s="37" t="n">
        <f aca="false">G142*(1+(((2-3*S142^2)/24*AE142^2)+(S142*AE142*G142/4))*5)</f>
        <v>0.443770866806522</v>
      </c>
      <c r="AR142" s="37" t="n">
        <f aca="false">H142*(1+(((2-3*T142^2)/24*AF142^2)+(T142*AF142*H142/4))*5)</f>
        <v>0.412841339126461</v>
      </c>
      <c r="AS142" s="37" t="n">
        <f aca="false">I142*(1+(((2-3*U142^2)/24*AG142^2)+(U142*AG142*I142/4))*5)</f>
        <v>0.402257139339866</v>
      </c>
      <c r="AT142" s="37" t="n">
        <f aca="false">J142*(1+(((2-3*V142^2)/24*AH142^2)+(V142*AH142*J142/4))*5)</f>
        <v>0.384584490911535</v>
      </c>
      <c r="AU142" s="37" t="n">
        <f aca="false">K142*(1+(((2-3*W142^2)/24*AI142^2)+(W142*AI142*K142/4))*5)</f>
        <v>0.362340745808973</v>
      </c>
      <c r="AV142" s="37" t="n">
        <f aca="false">L142*(1+(((2-3*X142^2)/24*AJ142^2)+(X142*AJ142*L142/4))*5)</f>
        <v>0.330559526511092</v>
      </c>
    </row>
    <row r="143" customFormat="false" ht="15" hidden="false" customHeight="true" outlineLevel="0" collapsed="false">
      <c r="B143" s="35" t="s">
        <v>79</v>
      </c>
      <c r="C143" s="24" t="n">
        <f aca="false">SABR!C14+$C$16*SABR!C47</f>
        <v>0.4516504</v>
      </c>
      <c r="D143" s="24" t="n">
        <f aca="false">SABR!D14+$C$16*SABR!D47</f>
        <v>0.4226684</v>
      </c>
      <c r="E143" s="24" t="n">
        <f aca="false">SABR!E14+$C$16*SABR!E47</f>
        <v>0.4055256</v>
      </c>
      <c r="F143" s="24" t="n">
        <f aca="false">SABR!F14+$C$16*SABR!F47</f>
        <v>0.3987308</v>
      </c>
      <c r="G143" s="24" t="n">
        <f aca="false">SABR!G14+$C$16*SABR!G47</f>
        <v>0.3768488</v>
      </c>
      <c r="H143" s="24" t="n">
        <f aca="false">SABR!H14+$C$16*SABR!H47</f>
        <v>0.3483864</v>
      </c>
      <c r="I143" s="24" t="n">
        <f aca="false">SABR!I14+$C$16*SABR!I47</f>
        <v>0.3296812</v>
      </c>
      <c r="J143" s="24" t="n">
        <f aca="false">SABR!J14+$C$16*SABR!J47</f>
        <v>0.3126348</v>
      </c>
      <c r="K143" s="24" t="n">
        <f aca="false">SABR!K14+$C$16*SABR!K47</f>
        <v>0.31063</v>
      </c>
      <c r="L143" s="24" t="n">
        <f aca="false">SABR!L14+$C$16*SABR!L47</f>
        <v>0.2911468</v>
      </c>
      <c r="N143" s="35" t="s">
        <v>79</v>
      </c>
      <c r="O143" s="24" t="n">
        <f aca="false">SABR!O14+$D$16*SABR!O47</f>
        <v>-0.221</v>
      </c>
      <c r="P143" s="24" t="n">
        <f aca="false">SABR!P14+$D$16*SABR!P47</f>
        <v>-0.1879</v>
      </c>
      <c r="Q143" s="24" t="n">
        <f aca="false">SABR!Q14+$D$16*SABR!Q47</f>
        <v>-0.1654</v>
      </c>
      <c r="R143" s="24" t="n">
        <f aca="false">SABR!R14+$D$16*SABR!R47</f>
        <v>-0.1524</v>
      </c>
      <c r="S143" s="24" t="n">
        <f aca="false">SABR!S14+$D$16*SABR!S47</f>
        <v>-0.1391</v>
      </c>
      <c r="T143" s="24" t="n">
        <f aca="false">SABR!T14+$D$16*SABR!T47</f>
        <v>-0.1157</v>
      </c>
      <c r="U143" s="24" t="n">
        <f aca="false">SABR!U14+$D$16*SABR!U47</f>
        <v>-0.1046</v>
      </c>
      <c r="V143" s="24" t="n">
        <f aca="false">SABR!V14+$D$16*SABR!V47</f>
        <v>-0.0875</v>
      </c>
      <c r="W143" s="24" t="n">
        <f aca="false">SABR!W14+$D$16*SABR!W47</f>
        <v>-0.0489</v>
      </c>
      <c r="X143" s="24" t="n">
        <f aca="false">SABR!X14+$D$16*SABR!X47</f>
        <v>-0.0359</v>
      </c>
      <c r="Z143" s="35" t="s">
        <v>79</v>
      </c>
      <c r="AA143" s="24" t="n">
        <f aca="false">SABR!AA14+$E$16*SABR!AA47</f>
        <v>0.695</v>
      </c>
      <c r="AB143" s="24" t="n">
        <f aca="false">SABR!AB14+$E$16*SABR!AB47</f>
        <v>0.6809</v>
      </c>
      <c r="AC143" s="24" t="n">
        <f aca="false">SABR!AC14+$E$16*SABR!AC47</f>
        <v>0.6487</v>
      </c>
      <c r="AD143" s="24" t="n">
        <f aca="false">SABR!AD14+$E$16*SABR!AD47</f>
        <v>0.6352</v>
      </c>
      <c r="AE143" s="24" t="n">
        <f aca="false">SABR!AE14+$E$16*SABR!AE47</f>
        <v>0.6121</v>
      </c>
      <c r="AF143" s="24" t="n">
        <f aca="false">SABR!AF14+$E$16*SABR!AF47</f>
        <v>0.5776</v>
      </c>
      <c r="AG143" s="24" t="n">
        <f aca="false">SABR!AG14+$E$16*SABR!AG47</f>
        <v>0.5561</v>
      </c>
      <c r="AH143" s="24" t="n">
        <f aca="false">SABR!AH14+$E$16*SABR!AH47</f>
        <v>0.5347</v>
      </c>
      <c r="AI143" s="24" t="n">
        <f aca="false">SABR!AI14+$E$16*SABR!AI47</f>
        <v>0.5115</v>
      </c>
      <c r="AJ143" s="24" t="n">
        <f aca="false">SABR!AJ14+$E$16*SABR!AJ47</f>
        <v>0.4962</v>
      </c>
      <c r="AL143" s="35" t="s">
        <v>79</v>
      </c>
      <c r="AM143" s="37" t="n">
        <f aca="false">C143*(1+(((2-3*O143^2)/24*AA143^2)+(O143*AA143*C143/4))*10)</f>
        <v>0.541801375925614</v>
      </c>
      <c r="AN143" s="37" t="n">
        <f aca="false">D143*(1+(((2-3*P143^2)/24*AB143^2)+(P143*AB143*D143/4))*10)</f>
        <v>0.520178502074932</v>
      </c>
      <c r="AO143" s="37" t="n">
        <f aca="false">E143*(1+(((2-3*Q143^2)/24*AC143^2)+(Q143*AC143*E143/4))*10)</f>
        <v>0.497786319497975</v>
      </c>
      <c r="AP143" s="37" t="n">
        <f aca="false">F143*(1+(((2-3*R143^2)/24*AD143^2)+(R143*AD143*F143/4))*10)</f>
        <v>0.489649927233579</v>
      </c>
      <c r="AQ143" s="37" t="n">
        <f aca="false">G143*(1+(((2-3*S143^2)/24*AE143^2)+(S143*AE143*G143/4))*10)</f>
        <v>0.460865402738561</v>
      </c>
      <c r="AR143" s="37" t="n">
        <f aca="false">H143*(1+(((2-3*T143^2)/24*AF143^2)+(T143*AF143*H143/4))*10)</f>
        <v>0.423021360729903</v>
      </c>
      <c r="AS143" s="37" t="n">
        <f aca="false">I143*(1+(((2-3*U143^2)/24*AG143^2)+(U143*AG143*I143/4))*10)</f>
        <v>0.397441999535194</v>
      </c>
      <c r="AT143" s="37" t="n">
        <f aca="false">J143*(1+(((2-3*V143^2)/24*AH143^2)+(V143*AH143*J143/4))*10)</f>
        <v>0.374833397189821</v>
      </c>
      <c r="AU143" s="37" t="n">
        <f aca="false">K143*(1+(((2-3*W143^2)/24*AI143^2)+(W143*AI143*K143/4))*10)</f>
        <v>0.372079102201217</v>
      </c>
      <c r="AV143" s="37" t="n">
        <f aca="false">L143*(1+(((2-3*X143^2)/24*AJ143^2)+(X143*AJ143*L143/4))*10)</f>
        <v>0.346993451979508</v>
      </c>
    </row>
    <row r="144" customFormat="false" ht="15" hidden="false" customHeight="true" outlineLevel="0" collapsed="false">
      <c r="B144" s="35" t="s">
        <v>80</v>
      </c>
      <c r="C144" s="24" t="n">
        <f aca="false">SABR!C15+$C$16*SABR!C48</f>
        <v>0.419858</v>
      </c>
      <c r="D144" s="24" t="n">
        <f aca="false">SABR!D15+$C$16*SABR!D48</f>
        <v>0.4054932</v>
      </c>
      <c r="E144" s="24" t="n">
        <f aca="false">SABR!E15+$C$16*SABR!E48</f>
        <v>0.3825688</v>
      </c>
      <c r="F144" s="24" t="n">
        <f aca="false">SABR!F15+$C$16*SABR!F48</f>
        <v>0.3807512</v>
      </c>
      <c r="G144" s="24" t="n">
        <f aca="false">SABR!G15+$C$16*SABR!G48</f>
        <v>0.3517184</v>
      </c>
      <c r="H144" s="24" t="n">
        <f aca="false">SABR!H15+$C$16*SABR!H48</f>
        <v>0.3367044</v>
      </c>
      <c r="I144" s="24" t="n">
        <f aca="false">SABR!I15+$C$16*SABR!I48</f>
        <v>0.3216396</v>
      </c>
      <c r="J144" s="24" t="n">
        <f aca="false">SABR!J15+$C$16*SABR!J48</f>
        <v>0.3104552</v>
      </c>
      <c r="K144" s="24" t="n">
        <f aca="false">SABR!K15+$C$16*SABR!K48</f>
        <v>0.283126</v>
      </c>
      <c r="L144" s="24" t="n">
        <f aca="false">SABR!L15+$C$16*SABR!L48</f>
        <v>0.27638</v>
      </c>
      <c r="N144" s="35" t="s">
        <v>80</v>
      </c>
      <c r="O144" s="24" t="n">
        <f aca="false">SABR!O15+$D$16*SABR!O48</f>
        <v>-0.1944</v>
      </c>
      <c r="P144" s="24" t="n">
        <f aca="false">SABR!P15+$D$16*SABR!P48</f>
        <v>-0.1744</v>
      </c>
      <c r="Q144" s="24" t="n">
        <f aca="false">SABR!Q15+$D$16*SABR!Q48</f>
        <v>-0.1551</v>
      </c>
      <c r="R144" s="24" t="n">
        <f aca="false">SABR!R15+$D$16*SABR!R48</f>
        <v>-0.1457</v>
      </c>
      <c r="S144" s="24" t="n">
        <f aca="false">SABR!S15+$D$16*SABR!S48</f>
        <v>-0.1179</v>
      </c>
      <c r="T144" s="24" t="n">
        <f aca="false">SABR!T15+$D$16*SABR!T48</f>
        <v>-0.1036</v>
      </c>
      <c r="U144" s="24" t="n">
        <f aca="false">SABR!U15+$D$16*SABR!U48</f>
        <v>-0.0877</v>
      </c>
      <c r="V144" s="24" t="n">
        <f aca="false">SABR!V15+$D$16*SABR!V48</f>
        <v>-0.0523</v>
      </c>
      <c r="W144" s="24" t="n">
        <f aca="false">SABR!W15+$D$16*SABR!W48</f>
        <v>-0.0454</v>
      </c>
      <c r="X144" s="24" t="n">
        <f aca="false">SABR!X15+$D$16*SABR!X48</f>
        <v>-0.02</v>
      </c>
      <c r="Z144" s="35" t="s">
        <v>80</v>
      </c>
      <c r="AA144" s="24" t="n">
        <f aca="false">SABR!AA15+$E$16*SABR!AA48</f>
        <v>0.6767</v>
      </c>
      <c r="AB144" s="24" t="n">
        <f aca="false">SABR!AB15+$E$16*SABR!AB48</f>
        <v>0.6511</v>
      </c>
      <c r="AC144" s="24" t="n">
        <f aca="false">SABR!AC15+$E$16*SABR!AC48</f>
        <v>0.6243</v>
      </c>
      <c r="AD144" s="24" t="n">
        <f aca="false">SABR!AD15+$E$16*SABR!AD48</f>
        <v>0.6059</v>
      </c>
      <c r="AE144" s="24" t="n">
        <f aca="false">SABR!AE15+$E$16*SABR!AE48</f>
        <v>0.5844</v>
      </c>
      <c r="AF144" s="24" t="n">
        <f aca="false">SABR!AF15+$E$16*SABR!AF48</f>
        <v>0.5668</v>
      </c>
      <c r="AG144" s="24" t="n">
        <f aca="false">SABR!AG15+$E$16*SABR!AG48</f>
        <v>0.531</v>
      </c>
      <c r="AH144" s="24" t="n">
        <f aca="false">SABR!AH15+$E$16*SABR!AH48</f>
        <v>0.5179</v>
      </c>
      <c r="AI144" s="24" t="n">
        <f aca="false">SABR!AI15+$E$16*SABR!AI48</f>
        <v>0.4894</v>
      </c>
      <c r="AJ144" s="24" t="n">
        <f aca="false">SABR!AJ15+$E$16*SABR!AJ48</f>
        <v>0.4678</v>
      </c>
      <c r="AL144" s="35" t="s">
        <v>80</v>
      </c>
      <c r="AM144" s="37" t="n">
        <f aca="false">C144*(1+(((2-3*O144^2)/24*AA144^2)+(O144*AA144*C144/4))*20)</f>
        <v>0.606181906234464</v>
      </c>
      <c r="AN144" s="37" t="n">
        <f aca="false">D144*(1+(((2-3*P144^2)/24*AB144^2)+(P144*AB144*D144/4))*20)</f>
        <v>0.585570488111912</v>
      </c>
      <c r="AO144" s="37" t="n">
        <f aca="false">E144*(1+(((2-3*Q144^2)/24*AC144^2)+(Q144*AC144*E144/4))*20)</f>
        <v>0.551253295516571</v>
      </c>
      <c r="AP144" s="37" t="n">
        <f aca="false">F144*(1+(((2-3*R144^2)/24*AD144^2)+(R144*AD144*F144/4))*20)</f>
        <v>0.542308468409548</v>
      </c>
      <c r="AQ144" s="37" t="n">
        <f aca="false">G144*(1+(((2-3*S144^2)/24*AE144^2)+(S144*AE144*G144/4))*20)</f>
        <v>0.505127058535742</v>
      </c>
      <c r="AR144" s="37" t="n">
        <f aca="false">H144*(1+(((2-3*T144^2)/24*AF144^2)+(T144*AF144*H144/4))*20)</f>
        <v>0.480800283644479</v>
      </c>
      <c r="AS144" s="37" t="n">
        <f aca="false">I144*(1+(((2-3*U144^2)/24*AG144^2)+(U144*AG144*I144/4))*20)</f>
        <v>0.446957367819143</v>
      </c>
      <c r="AT144" s="37" t="n">
        <f aca="false">J144*(1+(((2-3*V144^2)/24*AH144^2)+(V144*AH144*J144/4))*20)</f>
        <v>0.435616658592765</v>
      </c>
      <c r="AU144" s="37" t="n">
        <f aca="false">K144*(1+(((2-3*W144^2)/24*AI144^2)+(W144*AI144*K144/4))*20)</f>
        <v>0.386891548820937</v>
      </c>
      <c r="AV144" s="37" t="n">
        <f aca="false">L144*(1+(((2-3*X144^2)/24*AJ144^2)+(X144*AJ144*L144/4))*20)</f>
        <v>0.373549728331662</v>
      </c>
    </row>
    <row r="145" customFormat="false" ht="15" hidden="false" customHeight="true" outlineLevel="0" collapsed="false">
      <c r="B145" s="35" t="s">
        <v>81</v>
      </c>
      <c r="C145" s="24" t="n">
        <f aca="false">SABR!C16+$C$16*SABR!C49</f>
        <v>0.4124104</v>
      </c>
      <c r="D145" s="24" t="n">
        <f aca="false">SABR!D16+$C$16*SABR!D49</f>
        <v>0.3901976</v>
      </c>
      <c r="E145" s="24" t="n">
        <f aca="false">SABR!E16+$C$16*SABR!E49</f>
        <v>0.3733648</v>
      </c>
      <c r="F145" s="24" t="n">
        <f aca="false">SABR!F16+$C$16*SABR!F49</f>
        <v>0.3600944</v>
      </c>
      <c r="G145" s="24" t="n">
        <f aca="false">SABR!G16+$C$16*SABR!G49</f>
        <v>0.345418</v>
      </c>
      <c r="H145" s="24" t="n">
        <f aca="false">SABR!H16+$C$16*SABR!H49</f>
        <v>0.3188028</v>
      </c>
      <c r="I145" s="24" t="n">
        <f aca="false">SABR!I16+$C$16*SABR!I49</f>
        <v>0.3046552</v>
      </c>
      <c r="J145" s="24" t="n">
        <f aca="false">SABR!J16+$C$16*SABR!J49</f>
        <v>0.28478</v>
      </c>
      <c r="K145" s="24" t="n">
        <f aca="false">SABR!K16+$C$16*SABR!K49</f>
        <v>0.26828</v>
      </c>
      <c r="L145" s="24" t="n">
        <f aca="false">SABR!L16+$C$16*SABR!L49</f>
        <v>0.25528</v>
      </c>
      <c r="N145" s="35" t="s">
        <v>81</v>
      </c>
      <c r="O145" s="24" t="n">
        <f aca="false">SABR!O16+$D$16*SABR!O49</f>
        <v>-0.176</v>
      </c>
      <c r="P145" s="24" t="n">
        <f aca="false">SABR!P16+$D$16*SABR!P49</f>
        <v>-0.1549</v>
      </c>
      <c r="Q145" s="24" t="n">
        <f aca="false">SABR!Q16+$D$16*SABR!Q49</f>
        <v>-0.1366</v>
      </c>
      <c r="R145" s="24" t="n">
        <f aca="false">SABR!R16+$D$16*SABR!R49</f>
        <v>-0.1078</v>
      </c>
      <c r="S145" s="24" t="n">
        <f aca="false">SABR!S16+$D$16*SABR!S49</f>
        <v>-0.0932</v>
      </c>
      <c r="T145" s="24" t="n">
        <f aca="false">SABR!T16+$D$16*SABR!T49</f>
        <v>-0.0702</v>
      </c>
      <c r="U145" s="24" t="n">
        <f aca="false">SABR!U16+$D$16*SABR!U49</f>
        <v>-0.0495</v>
      </c>
      <c r="V145" s="24" t="n">
        <f aca="false">SABR!V16+$D$16*SABR!V49</f>
        <v>-0.0437</v>
      </c>
      <c r="W145" s="24" t="n">
        <f aca="false">SABR!W16+$D$16*SABR!W49</f>
        <v>-0.0183</v>
      </c>
      <c r="X145" s="24" t="n">
        <f aca="false">SABR!X16+$D$16*SABR!X49</f>
        <v>0.0089</v>
      </c>
      <c r="Z145" s="35" t="s">
        <v>81</v>
      </c>
      <c r="AA145" s="24" t="n">
        <f aca="false">SABR!AA16+$E$16*SABR!AA49</f>
        <v>0.6568</v>
      </c>
      <c r="AB145" s="24" t="n">
        <f aca="false">SABR!AB16+$E$16*SABR!AB49</f>
        <v>0.6205</v>
      </c>
      <c r="AC145" s="24" t="n">
        <f aca="false">SABR!AC16+$E$16*SABR!AC49</f>
        <v>0.598</v>
      </c>
      <c r="AD145" s="24" t="n">
        <f aca="false">SABR!AD16+$E$16*SABR!AD49</f>
        <v>0.5822</v>
      </c>
      <c r="AE145" s="24" t="n">
        <f aca="false">SABR!AE16+$E$16*SABR!AE49</f>
        <v>0.5526</v>
      </c>
      <c r="AF145" s="24" t="n">
        <f aca="false">SABR!AF16+$E$16*SABR!AF49</f>
        <v>0.5337</v>
      </c>
      <c r="AG145" s="24" t="n">
        <f aca="false">SABR!AG16+$E$16*SABR!AG49</f>
        <v>0.5081</v>
      </c>
      <c r="AH145" s="24" t="n">
        <f aca="false">SABR!AH16+$E$16*SABR!AH49</f>
        <v>0.4978</v>
      </c>
      <c r="AI145" s="24" t="n">
        <f aca="false">SABR!AI16+$E$16*SABR!AI49</f>
        <v>0.4779</v>
      </c>
      <c r="AJ145" s="24" t="n">
        <f aca="false">SABR!AJ16+$E$16*SABR!AJ49</f>
        <v>0.4579</v>
      </c>
      <c r="AL145" s="35" t="s">
        <v>81</v>
      </c>
      <c r="AM145" s="37" t="n">
        <f aca="false">C145*(1+(((2-3*O145^2)/24*AA145^2)+(O145*AA145*C145/4))*30)</f>
        <v>0.689057711152475</v>
      </c>
      <c r="AN145" s="37" t="n">
        <f aca="false">D145*(1+(((2-3*P145^2)/24*AB145^2)+(P145*AB145*D145/4))*30)</f>
        <v>0.642510027059256</v>
      </c>
      <c r="AO145" s="37" t="n">
        <f aca="false">E145*(1+(((2-3*Q145^2)/24*AC145^2)+(Q145*AC145*E145/4))*30)</f>
        <v>0.612409721010268</v>
      </c>
      <c r="AP145" s="37" t="n">
        <f aca="false">F145*(1+(((2-3*R145^2)/24*AD145^2)+(R145*AD145*F145/4))*30)</f>
        <v>0.598880710251553</v>
      </c>
      <c r="AQ145" s="37" t="n">
        <f aca="false">G145*(1+(((2-3*S145^2)/24*AE145^2)+(S145*AE145*G145/4))*30)</f>
        <v>0.55959317137009</v>
      </c>
      <c r="AR145" s="37" t="n">
        <f aca="false">H145*(1+(((2-3*T145^2)/24*AF145^2)+(T145*AF145*H145/4))*30)</f>
        <v>0.51558193065914</v>
      </c>
      <c r="AS145" s="37" t="n">
        <f aca="false">I145*(1+(((2-3*U145^2)/24*AG145^2)+(U145*AG145*I145/4))*30)</f>
        <v>0.483053403281606</v>
      </c>
      <c r="AT145" s="37" t="n">
        <f aca="false">J145*(1+(((2-3*V145^2)/24*AH145^2)+(V145*AH145*J145/4))*30)</f>
        <v>0.447467553256418</v>
      </c>
      <c r="AU145" s="37" t="n">
        <f aca="false">K145*(1+(((2-3*W145^2)/24*AI145^2)+(W145*AI145*K145/4))*30)</f>
        <v>0.416662246054571</v>
      </c>
      <c r="AV145" s="37" t="n">
        <f aca="false">L145*(1+(((2-3*X145^2)/24*AJ145^2)+(X145*AJ145*L145/4))*30)</f>
        <v>0.391068877877394</v>
      </c>
    </row>
    <row r="147" customFormat="false" ht="15" hidden="false" customHeight="true" outlineLevel="0" collapsed="false">
      <c r="A147" s="28" t="s">
        <v>162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</row>
    <row r="148" customFormat="false" ht="15" hidden="false" customHeight="true" outlineLevel="0" collapsed="false">
      <c r="B148" s="28" t="s">
        <v>136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N148" s="28" t="s">
        <v>137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Z148" s="28" t="s">
        <v>138</v>
      </c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L148" s="34" t="s">
        <v>139</v>
      </c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</row>
    <row r="149" customFormat="false" ht="15" hidden="false" customHeight="true" outlineLevel="0" collapsed="false">
      <c r="B149" s="18" t="s">
        <v>140</v>
      </c>
      <c r="C149" s="12" t="s">
        <v>141</v>
      </c>
      <c r="D149" s="12" t="s">
        <v>74</v>
      </c>
      <c r="E149" s="12" t="s">
        <v>75</v>
      </c>
      <c r="F149" s="12" t="s">
        <v>30</v>
      </c>
      <c r="G149" s="12" t="s">
        <v>76</v>
      </c>
      <c r="H149" s="12" t="s">
        <v>77</v>
      </c>
      <c r="I149" s="12" t="s">
        <v>78</v>
      </c>
      <c r="J149" s="12" t="s">
        <v>79</v>
      </c>
      <c r="K149" s="12" t="s">
        <v>80</v>
      </c>
      <c r="L149" s="12" t="s">
        <v>81</v>
      </c>
      <c r="N149" s="18" t="s">
        <v>140</v>
      </c>
      <c r="O149" s="12" t="s">
        <v>141</v>
      </c>
      <c r="P149" s="12" t="s">
        <v>74</v>
      </c>
      <c r="Q149" s="12" t="s">
        <v>75</v>
      </c>
      <c r="R149" s="12" t="s">
        <v>30</v>
      </c>
      <c r="S149" s="12" t="s">
        <v>76</v>
      </c>
      <c r="T149" s="12" t="s">
        <v>77</v>
      </c>
      <c r="U149" s="12" t="s">
        <v>78</v>
      </c>
      <c r="V149" s="12" t="s">
        <v>79</v>
      </c>
      <c r="W149" s="12" t="s">
        <v>80</v>
      </c>
      <c r="X149" s="12" t="s">
        <v>81</v>
      </c>
      <c r="Z149" s="18" t="s">
        <v>140</v>
      </c>
      <c r="AA149" s="12" t="s">
        <v>141</v>
      </c>
      <c r="AB149" s="12" t="s">
        <v>74</v>
      </c>
      <c r="AC149" s="12" t="s">
        <v>75</v>
      </c>
      <c r="AD149" s="12" t="s">
        <v>30</v>
      </c>
      <c r="AE149" s="12" t="s">
        <v>76</v>
      </c>
      <c r="AF149" s="12" t="s">
        <v>77</v>
      </c>
      <c r="AG149" s="12" t="s">
        <v>78</v>
      </c>
      <c r="AH149" s="12" t="s">
        <v>79</v>
      </c>
      <c r="AI149" s="12" t="s">
        <v>80</v>
      </c>
      <c r="AJ149" s="12" t="s">
        <v>81</v>
      </c>
      <c r="AL149" s="18" t="s">
        <v>140</v>
      </c>
      <c r="AM149" s="12" t="s">
        <v>141</v>
      </c>
      <c r="AN149" s="12" t="s">
        <v>74</v>
      </c>
      <c r="AO149" s="12" t="s">
        <v>75</v>
      </c>
      <c r="AP149" s="12" t="s">
        <v>30</v>
      </c>
      <c r="AQ149" s="12" t="s">
        <v>76</v>
      </c>
      <c r="AR149" s="12" t="s">
        <v>77</v>
      </c>
      <c r="AS149" s="12" t="s">
        <v>78</v>
      </c>
      <c r="AT149" s="12" t="s">
        <v>79</v>
      </c>
      <c r="AU149" s="12" t="s">
        <v>80</v>
      </c>
      <c r="AV149" s="12" t="s">
        <v>81</v>
      </c>
    </row>
    <row r="150" customFormat="false" ht="15" hidden="false" customHeight="true" outlineLevel="0" collapsed="false">
      <c r="B150" s="35" t="s">
        <v>141</v>
      </c>
      <c r="C150" s="24" t="n">
        <f aca="false">SABR!C7+$C$17*SABR!C40</f>
        <v>0.5599484</v>
      </c>
      <c r="D150" s="24" t="n">
        <f aca="false">SABR!D7+$C$17*SABR!D40</f>
        <v>0.5391512</v>
      </c>
      <c r="E150" s="24" t="n">
        <f aca="false">SABR!E7+$C$17*SABR!E40</f>
        <v>0.531628</v>
      </c>
      <c r="F150" s="24" t="n">
        <f aca="false">SABR!F7+$C$17*SABR!F40</f>
        <v>0.502656</v>
      </c>
      <c r="G150" s="24" t="n">
        <f aca="false">SABR!G7+$C$17*SABR!G40</f>
        <v>0.4944908</v>
      </c>
      <c r="H150" s="24" t="n">
        <f aca="false">SABR!H7+$C$17*SABR!H40</f>
        <v>0.4735508</v>
      </c>
      <c r="I150" s="24" t="n">
        <f aca="false">SABR!I7+$C$17*SABR!I40</f>
        <v>0.450356</v>
      </c>
      <c r="J150" s="24" t="n">
        <f aca="false">SABR!J7+$C$17*SABR!J40</f>
        <v>0.4419</v>
      </c>
      <c r="K150" s="24" t="n">
        <f aca="false">SABR!K7+$C$17*SABR!K40</f>
        <v>0.41496</v>
      </c>
      <c r="L150" s="24" t="n">
        <f aca="false">SABR!L7+$C$17*SABR!L40</f>
        <v>0.4054368</v>
      </c>
      <c r="N150" s="35" t="s">
        <v>141</v>
      </c>
      <c r="O150" s="24" t="n">
        <f aca="false">SABR!O7+$D$17*SABR!O40</f>
        <v>-0.3586</v>
      </c>
      <c r="P150" s="24" t="n">
        <f aca="false">SABR!P7+$D$17*SABR!P40</f>
        <v>-0.3387</v>
      </c>
      <c r="Q150" s="24" t="n">
        <f aca="false">SABR!Q7+$D$17*SABR!Q40</f>
        <v>-0.3126</v>
      </c>
      <c r="R150" s="24" t="n">
        <f aca="false">SABR!R7+$D$17*SABR!R40</f>
        <v>-0.2851</v>
      </c>
      <c r="S150" s="24" t="n">
        <f aca="false">SABR!S7+$D$17*SABR!S40</f>
        <v>-0.2797</v>
      </c>
      <c r="T150" s="24" t="n">
        <f aca="false">SABR!T7+$D$17*SABR!T40</f>
        <v>-0.2583</v>
      </c>
      <c r="U150" s="24" t="n">
        <f aca="false">SABR!U7+$D$17*SABR!U40</f>
        <v>-0.2308</v>
      </c>
      <c r="V150" s="24" t="n">
        <f aca="false">SABR!V7+$D$17*SABR!V40</f>
        <v>-0.2049</v>
      </c>
      <c r="W150" s="24" t="n">
        <f aca="false">SABR!W7+$D$17*SABR!W40</f>
        <v>-0.1929</v>
      </c>
      <c r="X150" s="24" t="n">
        <f aca="false">SABR!X7+$D$17*SABR!X40</f>
        <v>-0.1771</v>
      </c>
      <c r="Z150" s="35" t="s">
        <v>141</v>
      </c>
      <c r="AA150" s="24" t="n">
        <f aca="false">SABR!AA7+$E$17*SABR!AA40</f>
        <v>0.8595</v>
      </c>
      <c r="AB150" s="24" t="n">
        <f aca="false">SABR!AB7+$E$17*SABR!AB40</f>
        <v>0.8187</v>
      </c>
      <c r="AC150" s="24" t="n">
        <f aca="false">SABR!AC7+$E$17*SABR!AC40</f>
        <v>0.8127</v>
      </c>
      <c r="AD150" s="24" t="n">
        <f aca="false">SABR!AD7+$E$17*SABR!AD40</f>
        <v>0.7791</v>
      </c>
      <c r="AE150" s="24" t="n">
        <f aca="false">SABR!AE7+$E$17*SABR!AE40</f>
        <v>0.754</v>
      </c>
      <c r="AF150" s="24" t="n">
        <f aca="false">SABR!AF7+$E$17*SABR!AF40</f>
        <v>0.7312</v>
      </c>
      <c r="AG150" s="24" t="n">
        <f aca="false">SABR!AG7+$E$17*SABR!AG40</f>
        <v>0.7128</v>
      </c>
      <c r="AH150" s="24" t="n">
        <f aca="false">SABR!AH7+$E$17*SABR!AH40</f>
        <v>0.7008</v>
      </c>
      <c r="AI150" s="24" t="n">
        <f aca="false">SABR!AI7+$E$17*SABR!AI40</f>
        <v>0.6658</v>
      </c>
      <c r="AJ150" s="24" t="n">
        <f aca="false">SABR!AJ7+$E$17*SABR!AJ40</f>
        <v>0.6516</v>
      </c>
      <c r="AL150" s="35" t="s">
        <v>141</v>
      </c>
      <c r="AM150" s="37" t="n">
        <f aca="false">C150*(1+(((2-3*O150^2)/24*AA150^2)+(O150*AA150*C150/4))*0.0833333333333333)</f>
        <v>0.560253601449135</v>
      </c>
      <c r="AN150" s="37" t="n">
        <f aca="false">D150*(1+(((2-3*P150^2)/24*AB150^2)+(P150*AB150*D150/4))*0.0833333333333333)</f>
        <v>0.539549656426061</v>
      </c>
      <c r="AO150" s="37" t="n">
        <f aca="false">E150*(1+(((2-3*Q150^2)/24*AC150^2)+(Q150*AC150*E150/4))*0.0833333333333333)</f>
        <v>0.532213118854752</v>
      </c>
      <c r="AP150" s="37" t="n">
        <f aca="false">F150*(1+(((2-3*R150^2)/24*AD150^2)+(R150*AD150*F150/4))*0.0833333333333333)</f>
        <v>0.503347284472317</v>
      </c>
      <c r="AQ150" s="37" t="n">
        <f aca="false">G150*(1+(((2-3*S150^2)/24*AE150^2)+(S150*AE150*G150/4))*0.0833333333333333)</f>
        <v>0.495139635719089</v>
      </c>
      <c r="AR150" s="37" t="n">
        <f aca="false">H150*(1+(((2-3*T150^2)/24*AF150^2)+(T150*AF150*H150/4))*0.0833333333333333)</f>
        <v>0.474250698455551</v>
      </c>
      <c r="AS150" s="37" t="n">
        <f aca="false">I150*(1+(((2-3*U150^2)/24*AG150^2)+(U150*AG150*I150/4))*0.0833333333333333)</f>
        <v>0.451122907829859</v>
      </c>
      <c r="AT150" s="37" t="n">
        <f aca="false">J150*(1+(((2-3*V150^2)/24*AH150^2)+(V150*AH150*J150/4))*0.0833333333333333)</f>
        <v>0.442728038846857</v>
      </c>
      <c r="AU150" s="37" t="n">
        <f aca="false">K150*(1+(((2-3*W150^2)/24*AI150^2)+(W150*AI150*K150/4))*0.0833333333333333)</f>
        <v>0.415705382582796</v>
      </c>
      <c r="AV150" s="37" t="n">
        <f aca="false">L150*(1+(((2-3*X150^2)/24*AJ150^2)+(X150*AJ150*L150/4))*0.0833333333333333)</f>
        <v>0.406180796693844</v>
      </c>
    </row>
    <row r="151" customFormat="false" ht="15" hidden="false" customHeight="true" outlineLevel="0" collapsed="false">
      <c r="B151" s="35" t="s">
        <v>74</v>
      </c>
      <c r="C151" s="24" t="n">
        <f aca="false">SABR!C8+$C$17*SABR!C41</f>
        <v>0.5486916</v>
      </c>
      <c r="D151" s="24" t="n">
        <f aca="false">SABR!D8+$C$17*SABR!D41</f>
        <v>0.5258936</v>
      </c>
      <c r="E151" s="24" t="n">
        <f aca="false">SABR!E8+$C$17*SABR!E41</f>
        <v>0.5120628</v>
      </c>
      <c r="F151" s="24" t="n">
        <f aca="false">SABR!F8+$C$17*SABR!F41</f>
        <v>0.4847976</v>
      </c>
      <c r="G151" s="24" t="n">
        <f aca="false">SABR!G8+$C$17*SABR!G41</f>
        <v>0.4676944</v>
      </c>
      <c r="H151" s="24" t="n">
        <f aca="false">SABR!H8+$C$17*SABR!H41</f>
        <v>0.4529536</v>
      </c>
      <c r="I151" s="24" t="n">
        <f aca="false">SABR!I8+$C$17*SABR!I41</f>
        <v>0.4452244</v>
      </c>
      <c r="J151" s="24" t="n">
        <f aca="false">SABR!J8+$C$17*SABR!J41</f>
        <v>0.4225332</v>
      </c>
      <c r="K151" s="24" t="n">
        <f aca="false">SABR!K8+$C$17*SABR!K41</f>
        <v>0.4031628</v>
      </c>
      <c r="L151" s="24" t="n">
        <f aca="false">SABR!L8+$C$17*SABR!L41</f>
        <v>0.3910564</v>
      </c>
      <c r="N151" s="35" t="s">
        <v>74</v>
      </c>
      <c r="O151" s="24" t="n">
        <f aca="false">SABR!O8+$D$17*SABR!O41</f>
        <v>-0.3315</v>
      </c>
      <c r="P151" s="24" t="n">
        <f aca="false">SABR!P8+$D$17*SABR!P41</f>
        <v>-0.3151</v>
      </c>
      <c r="Q151" s="24" t="n">
        <f aca="false">SABR!Q8+$D$17*SABR!Q41</f>
        <v>-0.2858</v>
      </c>
      <c r="R151" s="24" t="n">
        <f aca="false">SABR!R8+$D$17*SABR!R41</f>
        <v>-0.2682</v>
      </c>
      <c r="S151" s="24" t="n">
        <f aca="false">SABR!S8+$D$17*SABR!S41</f>
        <v>-0.2579</v>
      </c>
      <c r="T151" s="24" t="n">
        <f aca="false">SABR!T8+$D$17*SABR!T41</f>
        <v>-0.2318</v>
      </c>
      <c r="U151" s="24" t="n">
        <f aca="false">SABR!U8+$D$17*SABR!U41</f>
        <v>-0.2134</v>
      </c>
      <c r="V151" s="24" t="n">
        <f aca="false">SABR!V8+$D$17*SABR!V41</f>
        <v>-0.1869</v>
      </c>
      <c r="W151" s="24" t="n">
        <f aca="false">SABR!W8+$D$17*SABR!W41</f>
        <v>-0.1704</v>
      </c>
      <c r="X151" s="24" t="n">
        <f aca="false">SABR!X8+$D$17*SABR!X41</f>
        <v>-0.1598</v>
      </c>
      <c r="Z151" s="35" t="s">
        <v>74</v>
      </c>
      <c r="AA151" s="24" t="n">
        <f aca="false">SABR!AA8+$E$17*SABR!AA41</f>
        <v>0.8374</v>
      </c>
      <c r="AB151" s="24" t="n">
        <f aca="false">SABR!AB8+$E$17*SABR!AB41</f>
        <v>0.7979</v>
      </c>
      <c r="AC151" s="24" t="n">
        <f aca="false">SABR!AC8+$E$17*SABR!AC41</f>
        <v>0.7817</v>
      </c>
      <c r="AD151" s="24" t="n">
        <f aca="false">SABR!AD8+$E$17*SABR!AD41</f>
        <v>0.7663</v>
      </c>
      <c r="AE151" s="24" t="n">
        <f aca="false">SABR!AE8+$E$17*SABR!AE41</f>
        <v>0.7319</v>
      </c>
      <c r="AF151" s="24" t="n">
        <f aca="false">SABR!AF8+$E$17*SABR!AF41</f>
        <v>0.7164</v>
      </c>
      <c r="AG151" s="24" t="n">
        <f aca="false">SABR!AG8+$E$17*SABR!AG41</f>
        <v>0.6852</v>
      </c>
      <c r="AH151" s="24" t="n">
        <f aca="false">SABR!AH8+$E$17*SABR!AH41</f>
        <v>0.6756</v>
      </c>
      <c r="AI151" s="24" t="n">
        <f aca="false">SABR!AI8+$E$17*SABR!AI41</f>
        <v>0.6553</v>
      </c>
      <c r="AJ151" s="24" t="n">
        <f aca="false">SABR!AJ8+$E$17*SABR!AJ41</f>
        <v>0.6292</v>
      </c>
      <c r="AL151" s="35" t="s">
        <v>74</v>
      </c>
      <c r="AM151" s="37" t="n">
        <f aca="false">C151*(1+(((2-3*O151^2)/24*AA151^2)+(O151*AA151*C151/4))*0.25)</f>
        <v>0.550162784672256</v>
      </c>
      <c r="AN151" s="37" t="n">
        <f aca="false">D151*(1+(((2-3*P151^2)/24*AB151^2)+(P151*AB151*D151/4))*0.25)</f>
        <v>0.52748409799143</v>
      </c>
      <c r="AO151" s="37" t="n">
        <f aca="false">E151*(1+(((2-3*Q151^2)/24*AC151^2)+(Q151*AC151*E151/4))*0.25)</f>
        <v>0.514121583758974</v>
      </c>
      <c r="AP151" s="37" t="n">
        <f aca="false">F151*(1+(((2-3*R151^2)/24*AD151^2)+(R151*AD151*F151/4))*0.25)</f>
        <v>0.487069560910031</v>
      </c>
      <c r="AQ151" s="37" t="n">
        <f aca="false">G151*(1+(((2-3*S151^2)/24*AE151^2)+(S151*AE151*G151/4))*0.25)</f>
        <v>0.469812588007272</v>
      </c>
      <c r="AR151" s="37" t="n">
        <f aca="false">H151*(1+(((2-3*T151^2)/24*AF151^2)+(T151*AF151*H151/4))*0.25)</f>
        <v>0.455276967243693</v>
      </c>
      <c r="AS151" s="37" t="n">
        <f aca="false">I151*(1+(((2-3*U151^2)/24*AG151^2)+(U151*AG151*I151/4))*0.25)</f>
        <v>0.447470218460433</v>
      </c>
      <c r="AT151" s="37" t="n">
        <f aca="false">J151*(1+(((2-3*V151^2)/24*AH151^2)+(V151*AH151*J151/4))*0.25)</f>
        <v>0.424931603916864</v>
      </c>
      <c r="AU151" s="37" t="n">
        <f aca="false">K151*(1+(((2-3*W151^2)/24*AI151^2)+(W151*AI151*K151/4))*0.25)</f>
        <v>0.405478129213646</v>
      </c>
      <c r="AV151" s="37" t="n">
        <f aca="false">L151*(1+(((2-3*X151^2)/24*AJ151^2)+(X151*AJ151*L151/4))*0.25)</f>
        <v>0.393197194972456</v>
      </c>
    </row>
    <row r="152" customFormat="false" ht="15" hidden="false" customHeight="true" outlineLevel="0" collapsed="false">
      <c r="B152" s="35" t="s">
        <v>75</v>
      </c>
      <c r="C152" s="24" t="n">
        <f aca="false">SABR!C9+$C$17*SABR!C42</f>
        <v>0.535876</v>
      </c>
      <c r="D152" s="24" t="n">
        <f aca="false">SABR!D9+$C$17*SABR!D42</f>
        <v>0.5073292</v>
      </c>
      <c r="E152" s="24" t="n">
        <f aca="false">SABR!E9+$C$17*SABR!E42</f>
        <v>0.497826</v>
      </c>
      <c r="F152" s="24" t="n">
        <f aca="false">SABR!F9+$C$17*SABR!F42</f>
        <v>0.4782432</v>
      </c>
      <c r="G152" s="24" t="n">
        <f aca="false">SABR!G9+$C$17*SABR!G42</f>
        <v>0.4607476</v>
      </c>
      <c r="H152" s="24" t="n">
        <f aca="false">SABR!H9+$C$17*SABR!H42</f>
        <v>0.4405976</v>
      </c>
      <c r="I152" s="24" t="n">
        <f aca="false">SABR!I9+$C$17*SABR!I42</f>
        <v>0.4306736</v>
      </c>
      <c r="J152" s="24" t="n">
        <f aca="false">SABR!J9+$C$17*SABR!J42</f>
        <v>0.4156032</v>
      </c>
      <c r="K152" s="24" t="n">
        <f aca="false">SABR!K9+$C$17*SABR!K42</f>
        <v>0.3888228</v>
      </c>
      <c r="L152" s="24" t="n">
        <f aca="false">SABR!L9+$C$17*SABR!L42</f>
        <v>0.3749064</v>
      </c>
      <c r="N152" s="35" t="s">
        <v>75</v>
      </c>
      <c r="O152" s="24" t="n">
        <f aca="false">SABR!O9+$D$17*SABR!O42</f>
        <v>-0.3199</v>
      </c>
      <c r="P152" s="24" t="n">
        <f aca="false">SABR!P9+$D$17*SABR!P42</f>
        <v>-0.2876</v>
      </c>
      <c r="Q152" s="24" t="n">
        <f aca="false">SABR!Q9+$D$17*SABR!Q42</f>
        <v>-0.2693</v>
      </c>
      <c r="R152" s="24" t="n">
        <f aca="false">SABR!R9+$D$17*SABR!R42</f>
        <v>-0.2429</v>
      </c>
      <c r="S152" s="24" t="n">
        <f aca="false">SABR!S9+$D$17*SABR!S42</f>
        <v>-0.2269</v>
      </c>
      <c r="T152" s="24" t="n">
        <f aca="false">SABR!T9+$D$17*SABR!T42</f>
        <v>-0.2182</v>
      </c>
      <c r="U152" s="24" t="n">
        <f aca="false">SABR!U9+$D$17*SABR!U42</f>
        <v>-0.1967</v>
      </c>
      <c r="V152" s="24" t="n">
        <f aca="false">SABR!V9+$D$17*SABR!V42</f>
        <v>-0.1716</v>
      </c>
      <c r="W152" s="24" t="n">
        <f aca="false">SABR!W9+$D$17*SABR!W42</f>
        <v>-0.1651</v>
      </c>
      <c r="X152" s="24" t="n">
        <f aca="false">SABR!X9+$D$17*SABR!X42</f>
        <v>-0.1369</v>
      </c>
      <c r="Z152" s="35" t="s">
        <v>75</v>
      </c>
      <c r="AA152" s="24" t="n">
        <f aca="false">SABR!AA9+$E$17*SABR!AA42</f>
        <v>0.7989</v>
      </c>
      <c r="AB152" s="24" t="n">
        <f aca="false">SABR!AB9+$E$17*SABR!AB42</f>
        <v>0.7757</v>
      </c>
      <c r="AC152" s="24" t="n">
        <f aca="false">SABR!AC9+$E$17*SABR!AC42</f>
        <v>0.7523</v>
      </c>
      <c r="AD152" s="24" t="n">
        <f aca="false">SABR!AD9+$E$17*SABR!AD42</f>
        <v>0.7443</v>
      </c>
      <c r="AE152" s="24" t="n">
        <f aca="false">SABR!AE9+$E$17*SABR!AE42</f>
        <v>0.7093</v>
      </c>
      <c r="AF152" s="24" t="n">
        <f aca="false">SABR!AF9+$E$17*SABR!AF42</f>
        <v>0.6894</v>
      </c>
      <c r="AG152" s="24" t="n">
        <f aca="false">SABR!AG9+$E$17*SABR!AG42</f>
        <v>0.67</v>
      </c>
      <c r="AH152" s="24" t="n">
        <f aca="false">SABR!AH9+$E$17*SABR!AH42</f>
        <v>0.6574</v>
      </c>
      <c r="AI152" s="24" t="n">
        <f aca="false">SABR!AI9+$E$17*SABR!AI42</f>
        <v>0.6194</v>
      </c>
      <c r="AJ152" s="24" t="n">
        <f aca="false">SABR!AJ9+$E$17*SABR!AJ42</f>
        <v>0.6045</v>
      </c>
      <c r="AL152" s="35" t="s">
        <v>75</v>
      </c>
      <c r="AM152" s="37" t="n">
        <f aca="false">C152*(1+(((2-3*O152^2)/24*AA152^2)+(O152*AA152*C152/4))*0.5)</f>
        <v>0.538765491892875</v>
      </c>
      <c r="AN152" s="37" t="n">
        <f aca="false">D152*(1+(((2-3*P152^2)/24*AB152^2)+(P152*AB152*D152/4))*0.5)</f>
        <v>0.511292998165876</v>
      </c>
      <c r="AO152" s="37" t="n">
        <f aca="false">E152*(1+(((2-3*Q152^2)/24*AC152^2)+(Q152*AC152*E152/4))*0.5)</f>
        <v>0.502012266445298</v>
      </c>
      <c r="AP152" s="37" t="n">
        <f aca="false">F152*(1+(((2-3*R152^2)/24*AD152^2)+(R152*AD152*F152/4))*0.5)</f>
        <v>0.483136609534728</v>
      </c>
      <c r="AQ152" s="37" t="n">
        <f aca="false">G152*(1+(((2-3*S152^2)/24*AE152^2)+(S152*AE152*G152/4))*0.5)</f>
        <v>0.465389545512944</v>
      </c>
      <c r="AR152" s="37" t="n">
        <f aca="false">H152*(1+(((2-3*T152^2)/24*AF152^2)+(T152*AF152*H152/4))*0.5)</f>
        <v>0.44504940676289</v>
      </c>
      <c r="AS152" s="37" t="n">
        <f aca="false">I152*(1+(((2-3*U152^2)/24*AG152^2)+(U152*AG152*I152/4))*0.5)</f>
        <v>0.435205961592435</v>
      </c>
      <c r="AT152" s="37" t="n">
        <f aca="false">J152*(1+(((2-3*V152^2)/24*AH152^2)+(V152*AH152*J152/4))*0.5)</f>
        <v>0.420320872597342</v>
      </c>
      <c r="AU152" s="37" t="n">
        <f aca="false">K152*(1+(((2-3*W152^2)/24*AI152^2)+(W152*AI152*K152/4))*0.5)</f>
        <v>0.392851705849318</v>
      </c>
      <c r="AV152" s="37" t="n">
        <f aca="false">L152*(1+(((2-3*X152^2)/24*AJ152^2)+(X152*AJ152*L152/4))*0.5)</f>
        <v>0.379000223019344</v>
      </c>
    </row>
    <row r="153" customFormat="false" ht="15" hidden="false" customHeight="true" outlineLevel="0" collapsed="false">
      <c r="B153" s="35" t="s">
        <v>30</v>
      </c>
      <c r="C153" s="24" t="n">
        <f aca="false">SABR!C10+$C$17*SABR!C43</f>
        <v>0.511962</v>
      </c>
      <c r="D153" s="24" t="n">
        <f aca="false">SABR!D10+$C$17*SABR!D43</f>
        <v>0.501332</v>
      </c>
      <c r="E153" s="24" t="n">
        <f aca="false">SABR!E10+$C$17*SABR!E43</f>
        <v>0.4829952</v>
      </c>
      <c r="F153" s="24" t="n">
        <f aca="false">SABR!F10+$C$17*SABR!F43</f>
        <v>0.46633</v>
      </c>
      <c r="G153" s="24" t="n">
        <f aca="false">SABR!G10+$C$17*SABR!G43</f>
        <v>0.4368548</v>
      </c>
      <c r="H153" s="24" t="n">
        <f aca="false">SABR!H10+$C$17*SABR!H43</f>
        <v>0.422266</v>
      </c>
      <c r="I153" s="24" t="n">
        <f aca="false">SABR!I10+$C$17*SABR!I43</f>
        <v>0.4036344</v>
      </c>
      <c r="J153" s="24" t="n">
        <f aca="false">SABR!J10+$C$17*SABR!J43</f>
        <v>0.3966616</v>
      </c>
      <c r="K153" s="24" t="n">
        <f aca="false">SABR!K10+$C$17*SABR!K43</f>
        <v>0.3810752</v>
      </c>
      <c r="L153" s="24" t="n">
        <f aca="false">SABR!L10+$C$17*SABR!L43</f>
        <v>0.3472084</v>
      </c>
      <c r="N153" s="35" t="s">
        <v>30</v>
      </c>
      <c r="O153" s="24" t="n">
        <f aca="false">SABR!O10+$D$17*SABR!O43</f>
        <v>-0.2981</v>
      </c>
      <c r="P153" s="24" t="n">
        <f aca="false">SABR!P10+$D$17*SABR!P43</f>
        <v>-0.2776</v>
      </c>
      <c r="Q153" s="24" t="n">
        <f aca="false">SABR!Q10+$D$17*SABR!Q43</f>
        <v>-0.2581</v>
      </c>
      <c r="R153" s="24" t="n">
        <f aca="false">SABR!R10+$D$17*SABR!R43</f>
        <v>-0.2336</v>
      </c>
      <c r="S153" s="24" t="n">
        <f aca="false">SABR!S10+$D$17*SABR!S43</f>
        <v>-0.2121</v>
      </c>
      <c r="T153" s="24" t="n">
        <f aca="false">SABR!T10+$D$17*SABR!T43</f>
        <v>-0.1992</v>
      </c>
      <c r="U153" s="24" t="n">
        <f aca="false">SABR!U10+$D$17*SABR!U43</f>
        <v>-0.1849</v>
      </c>
      <c r="V153" s="24" t="n">
        <f aca="false">SABR!V10+$D$17*SABR!V43</f>
        <v>-0.1572</v>
      </c>
      <c r="W153" s="24" t="n">
        <f aca="false">SABR!W10+$D$17*SABR!W43</f>
        <v>-0.1387</v>
      </c>
      <c r="X153" s="24" t="n">
        <f aca="false">SABR!X10+$D$17*SABR!X43</f>
        <v>-0.1153</v>
      </c>
      <c r="Z153" s="35" t="s">
        <v>30</v>
      </c>
      <c r="AA153" s="24" t="n">
        <f aca="false">SABR!AA10+$E$17*SABR!AA43</f>
        <v>0.7924</v>
      </c>
      <c r="AB153" s="24" t="n">
        <f aca="false">SABR!AB10+$E$17*SABR!AB43</f>
        <v>0.7649</v>
      </c>
      <c r="AC153" s="24" t="n">
        <f aca="false">SABR!AC10+$E$17*SABR!AC43</f>
        <v>0.7392</v>
      </c>
      <c r="AD153" s="24" t="n">
        <f aca="false">SABR!AD10+$E$17*SABR!AD43</f>
        <v>0.719</v>
      </c>
      <c r="AE153" s="24" t="n">
        <f aca="false">SABR!AE10+$E$17*SABR!AE43</f>
        <v>0.698</v>
      </c>
      <c r="AF153" s="24" t="n">
        <f aca="false">SABR!AF10+$E$17*SABR!AF43</f>
        <v>0.6633</v>
      </c>
      <c r="AG153" s="24" t="n">
        <f aca="false">SABR!AG10+$E$17*SABR!AG43</f>
        <v>0.658</v>
      </c>
      <c r="AH153" s="24" t="n">
        <f aca="false">SABR!AH10+$E$17*SABR!AH43</f>
        <v>0.6334</v>
      </c>
      <c r="AI153" s="24" t="n">
        <f aca="false">SABR!AI10+$E$17*SABR!AI43</f>
        <v>0.613</v>
      </c>
      <c r="AJ153" s="24" t="n">
        <f aca="false">SABR!AJ10+$E$17*SABR!AJ43</f>
        <v>0.5893</v>
      </c>
      <c r="AL153" s="35" t="s">
        <v>30</v>
      </c>
      <c r="AM153" s="37" t="n">
        <f aca="false">C153*(1+(((2-3*O153^2)/24*AA153^2)+(O153*AA153*C153/4))*1)</f>
        <v>0.519701304643183</v>
      </c>
      <c r="AN153" s="37" t="n">
        <f aca="false">D153*(1+(((2-3*P153^2)/24*AB153^2)+(P153*AB153*D153/4))*1)</f>
        <v>0.509607701900737</v>
      </c>
      <c r="AO153" s="37" t="n">
        <f aca="false">E153*(1+(((2-3*Q153^2)/24*AC153^2)+(Q153*AC153*E153/4))*1)</f>
        <v>0.49166369413331</v>
      </c>
      <c r="AP153" s="37" t="n">
        <f aca="false">F153*(1+(((2-3*R153^2)/24*AD153^2)+(R153*AD153*F153/4))*1)</f>
        <v>0.475643925220089</v>
      </c>
      <c r="AQ153" s="37" t="n">
        <f aca="false">G153*(1+(((2-3*S153^2)/24*AE153^2)+(S153*AE153*G153/4))*1)</f>
        <v>0.446331058202473</v>
      </c>
      <c r="AR153" s="37" t="n">
        <f aca="false">H153*(1+(((2-3*T153^2)/24*AF153^2)+(T153*AF153*H153/4))*1)</f>
        <v>0.430936473263982</v>
      </c>
      <c r="AS153" s="37" t="n">
        <f aca="false">I153*(1+(((2-3*U153^2)/24*AG153^2)+(U153*AG153*I153/4))*1)</f>
        <v>0.412495425154307</v>
      </c>
      <c r="AT153" s="37" t="n">
        <f aca="false">J153*(1+(((2-3*V153^2)/24*AH153^2)+(V153*AH153*J153/4))*1)</f>
        <v>0.405514980525381</v>
      </c>
      <c r="AU153" s="37" t="n">
        <f aca="false">K153*(1+(((2-3*W153^2)/24*AI153^2)+(W153*AI153*K153/4))*1)</f>
        <v>0.389577147261461</v>
      </c>
      <c r="AV153" s="37" t="n">
        <f aca="false">L153*(1+(((2-3*X153^2)/24*AJ153^2)+(X153*AJ153*L153/4))*1)</f>
        <v>0.355008288407574</v>
      </c>
    </row>
    <row r="154" customFormat="false" ht="15" hidden="false" customHeight="true" outlineLevel="0" collapsed="false">
      <c r="B154" s="35" t="s">
        <v>76</v>
      </c>
      <c r="C154" s="24" t="n">
        <f aca="false">SABR!C11+$C$17*SABR!C44</f>
        <v>0.4916496</v>
      </c>
      <c r="D154" s="24" t="n">
        <f aca="false">SABR!D11+$C$17*SABR!D44</f>
        <v>0.4742348</v>
      </c>
      <c r="E154" s="24" t="n">
        <f aca="false">SABR!E11+$C$17*SABR!E44</f>
        <v>0.4508444</v>
      </c>
      <c r="F154" s="24" t="n">
        <f aca="false">SABR!F11+$C$17*SABR!F44</f>
        <v>0.4442656</v>
      </c>
      <c r="G154" s="24" t="n">
        <f aca="false">SABR!G11+$C$17*SABR!G44</f>
        <v>0.4151072</v>
      </c>
      <c r="H154" s="24" t="n">
        <f aca="false">SABR!H11+$C$17*SABR!H44</f>
        <v>0.3980116</v>
      </c>
      <c r="I154" s="24" t="n">
        <f aca="false">SABR!I11+$C$17*SABR!I44</f>
        <v>0.3831868</v>
      </c>
      <c r="J154" s="24" t="n">
        <f aca="false">SABR!J11+$C$17*SABR!J44</f>
        <v>0.364982</v>
      </c>
      <c r="K154" s="24" t="n">
        <f aca="false">SABR!K11+$C$17*SABR!K44</f>
        <v>0.3510252</v>
      </c>
      <c r="L154" s="24" t="n">
        <f aca="false">SABR!L11+$C$17*SABR!L44</f>
        <v>0.3278944</v>
      </c>
      <c r="N154" s="35" t="s">
        <v>76</v>
      </c>
      <c r="O154" s="24" t="n">
        <f aca="false">SABR!O11+$D$17*SABR!O44</f>
        <v>-0.2822</v>
      </c>
      <c r="P154" s="24" t="n">
        <f aca="false">SABR!P11+$D$17*SABR!P44</f>
        <v>-0.2598</v>
      </c>
      <c r="Q154" s="24" t="n">
        <f aca="false">SABR!Q11+$D$17*SABR!Q44</f>
        <v>-0.2413</v>
      </c>
      <c r="R154" s="24" t="n">
        <f aca="false">SABR!R11+$D$17*SABR!R44</f>
        <v>-0.2166</v>
      </c>
      <c r="S154" s="24" t="n">
        <f aca="false">SABR!S11+$D$17*SABR!S44</f>
        <v>-0.2039</v>
      </c>
      <c r="T154" s="24" t="n">
        <f aca="false">SABR!T11+$D$17*SABR!T44</f>
        <v>-0.1675</v>
      </c>
      <c r="U154" s="24" t="n">
        <f aca="false">SABR!U11+$D$17*SABR!U44</f>
        <v>-0.1533</v>
      </c>
      <c r="V154" s="24" t="n">
        <f aca="false">SABR!V11+$D$17*SABR!V44</f>
        <v>-0.1431</v>
      </c>
      <c r="W154" s="24" t="n">
        <f aca="false">SABR!W11+$D$17*SABR!W44</f>
        <v>-0.1216</v>
      </c>
      <c r="X154" s="24" t="n">
        <f aca="false">SABR!X11+$D$17*SABR!X44</f>
        <v>-0.1003</v>
      </c>
      <c r="Z154" s="35" t="s">
        <v>76</v>
      </c>
      <c r="AA154" s="24" t="n">
        <f aca="false">SABR!AA11+$E$17*SABR!AA44</f>
        <v>0.7584</v>
      </c>
      <c r="AB154" s="24" t="n">
        <f aca="false">SABR!AB11+$E$17*SABR!AB44</f>
        <v>0.7313</v>
      </c>
      <c r="AC154" s="24" t="n">
        <f aca="false">SABR!AC11+$E$17*SABR!AC44</f>
        <v>0.7236</v>
      </c>
      <c r="AD154" s="24" t="n">
        <f aca="false">SABR!AD11+$E$17*SABR!AD44</f>
        <v>0.7043</v>
      </c>
      <c r="AE154" s="24" t="n">
        <f aca="false">SABR!AE11+$E$17*SABR!AE44</f>
        <v>0.6715</v>
      </c>
      <c r="AF154" s="24" t="n">
        <f aca="false">SABR!AF11+$E$17*SABR!AF44</f>
        <v>0.6497</v>
      </c>
      <c r="AG154" s="24" t="n">
        <f aca="false">SABR!AG11+$E$17*SABR!AG44</f>
        <v>0.6195</v>
      </c>
      <c r="AH154" s="24" t="n">
        <f aca="false">SABR!AH11+$E$17*SABR!AH44</f>
        <v>0.5976</v>
      </c>
      <c r="AI154" s="24" t="n">
        <f aca="false">SABR!AI11+$E$17*SABR!AI44</f>
        <v>0.5802</v>
      </c>
      <c r="AJ154" s="24" t="n">
        <f aca="false">SABR!AJ11+$E$17*SABR!AJ44</f>
        <v>0.5564</v>
      </c>
      <c r="AL154" s="35" t="s">
        <v>76</v>
      </c>
      <c r="AM154" s="37" t="n">
        <f aca="false">C154*(1+(((2-3*O154^2)/24*AA154^2)+(O154*AA154*C154/4))*2)</f>
        <v>0.507283578827868</v>
      </c>
      <c r="AN154" s="37" t="n">
        <f aca="false">D154*(1+(((2-3*P154^2)/24*AB154^2)+(P154*AB154*D154/4))*2)</f>
        <v>0.490860864564451</v>
      </c>
      <c r="AO154" s="37" t="n">
        <f aca="false">E154*(1+(((2-3*Q154^2)/24*AC154^2)+(Q154*AC154*E154/4))*2)</f>
        <v>0.469006527043101</v>
      </c>
      <c r="AP154" s="37" t="n">
        <f aca="false">F154*(1+(((2-3*R154^2)/24*AD154^2)+(R154*AD154*F154/4))*2)</f>
        <v>0.463354997822196</v>
      </c>
      <c r="AQ154" s="37" t="n">
        <f aca="false">G154*(1+(((2-3*S154^2)/24*AE154^2)+(S154*AE154*G154/4))*2)</f>
        <v>0.432561357132307</v>
      </c>
      <c r="AR154" s="37" t="n">
        <f aca="false">H154*(1+(((2-3*T154^2)/24*AF154^2)+(T154*AF154*H154/4))*2)</f>
        <v>0.416214349551567</v>
      </c>
      <c r="AS154" s="37" t="n">
        <f aca="false">I154*(1+(((2-3*U154^2)/24*AG154^2)+(U154*AG154*I154/4))*2)</f>
        <v>0.399860437874858</v>
      </c>
      <c r="AT154" s="37" t="n">
        <f aca="false">J154*(1+(((2-3*V154^2)/24*AH154^2)+(V154*AH154*J154/4))*2)</f>
        <v>0.380342883172911</v>
      </c>
      <c r="AU154" s="37" t="n">
        <f aca="false">K154*(1+(((2-3*W154^2)/24*AI154^2)+(W154*AI154*K154/4))*2)</f>
        <v>0.365936087555572</v>
      </c>
      <c r="AV154" s="37" t="n">
        <f aca="false">L154*(1+(((2-3*X154^2)/24*AJ154^2)+(X154*AJ154*L154/4))*2)</f>
        <v>0.34155737775335</v>
      </c>
    </row>
    <row r="155" customFormat="false" ht="15" hidden="false" customHeight="true" outlineLevel="0" collapsed="false">
      <c r="B155" s="35" t="s">
        <v>77</v>
      </c>
      <c r="C155" s="24" t="n">
        <f aca="false">SABR!C12+$C$17*SABR!C45</f>
        <v>0.4830952</v>
      </c>
      <c r="D155" s="24" t="n">
        <f aca="false">SABR!D12+$C$17*SABR!D45</f>
        <v>0.4522552</v>
      </c>
      <c r="E155" s="24" t="n">
        <f aca="false">SABR!E12+$C$17*SABR!E45</f>
        <v>0.4318472</v>
      </c>
      <c r="F155" s="24" t="n">
        <f aca="false">SABR!F12+$C$17*SABR!F45</f>
        <v>0.4332852</v>
      </c>
      <c r="G155" s="24" t="n">
        <f aca="false">SABR!G12+$C$17*SABR!G45</f>
        <v>0.4070932</v>
      </c>
      <c r="H155" s="24" t="n">
        <f aca="false">SABR!H12+$C$17*SABR!H45</f>
        <v>0.3821296</v>
      </c>
      <c r="I155" s="24" t="n">
        <f aca="false">SABR!I12+$C$17*SABR!I45</f>
        <v>0.3728004</v>
      </c>
      <c r="J155" s="24" t="n">
        <f aca="false">SABR!J12+$C$17*SABR!J45</f>
        <v>0.3449436</v>
      </c>
      <c r="K155" s="24" t="n">
        <f aca="false">SABR!K12+$C$17*SABR!K45</f>
        <v>0.3373104</v>
      </c>
      <c r="L155" s="24" t="n">
        <f aca="false">SABR!L12+$C$17*SABR!L45</f>
        <v>0.3292996</v>
      </c>
      <c r="N155" s="35" t="s">
        <v>77</v>
      </c>
      <c r="O155" s="24" t="n">
        <f aca="false">SABR!O12+$D$17*SABR!O45</f>
        <v>-0.2455</v>
      </c>
      <c r="P155" s="24" t="n">
        <f aca="false">SABR!P12+$D$17*SABR!P45</f>
        <v>-0.2294</v>
      </c>
      <c r="Q155" s="24" t="n">
        <f aca="false">SABR!Q12+$D$17*SABR!Q45</f>
        <v>-0.2187</v>
      </c>
      <c r="R155" s="24" t="n">
        <f aca="false">SABR!R12+$D$17*SABR!R45</f>
        <v>-0.1971</v>
      </c>
      <c r="S155" s="24" t="n">
        <f aca="false">SABR!S12+$D$17*SABR!S45</f>
        <v>-0.1817</v>
      </c>
      <c r="T155" s="24" t="n">
        <f aca="false">SABR!T12+$D$17*SABR!T45</f>
        <v>-0.1501</v>
      </c>
      <c r="U155" s="24" t="n">
        <f aca="false">SABR!U12+$D$17*SABR!U45</f>
        <v>-0.1355</v>
      </c>
      <c r="V155" s="24" t="n">
        <f aca="false">SABR!V12+$D$17*SABR!V45</f>
        <v>-0.1111</v>
      </c>
      <c r="W155" s="24" t="n">
        <f aca="false">SABR!W12+$D$17*SABR!W45</f>
        <v>-0.1006</v>
      </c>
      <c r="X155" s="24" t="n">
        <f aca="false">SABR!X12+$D$17*SABR!X45</f>
        <v>-0.0833</v>
      </c>
      <c r="Z155" s="35" t="s">
        <v>77</v>
      </c>
      <c r="AA155" s="24" t="n">
        <f aca="false">SABR!AA12+$E$17*SABR!AA45</f>
        <v>0.7451</v>
      </c>
      <c r="AB155" s="24" t="n">
        <f aca="false">SABR!AB12+$E$17*SABR!AB45</f>
        <v>0.7264</v>
      </c>
      <c r="AC155" s="24" t="n">
        <f aca="false">SABR!AC12+$E$17*SABR!AC45</f>
        <v>0.7015</v>
      </c>
      <c r="AD155" s="24" t="n">
        <f aca="false">SABR!AD12+$E$17*SABR!AD45</f>
        <v>0.6783</v>
      </c>
      <c r="AE155" s="24" t="n">
        <f aca="false">SABR!AE12+$E$17*SABR!AE45</f>
        <v>0.6564</v>
      </c>
      <c r="AF155" s="24" t="n">
        <f aca="false">SABR!AF12+$E$17*SABR!AF45</f>
        <v>0.6326</v>
      </c>
      <c r="AG155" s="24" t="n">
        <f aca="false">SABR!AG12+$E$17*SABR!AG45</f>
        <v>0.6001</v>
      </c>
      <c r="AH155" s="24" t="n">
        <f aca="false">SABR!AH12+$E$17*SABR!AH45</f>
        <v>0.5837</v>
      </c>
      <c r="AI155" s="24" t="n">
        <f aca="false">SABR!AI12+$E$17*SABR!AI45</f>
        <v>0.5582</v>
      </c>
      <c r="AJ155" s="24" t="n">
        <f aca="false">SABR!AJ12+$E$17*SABR!AJ45</f>
        <v>0.5295</v>
      </c>
      <c r="AL155" s="35" t="s">
        <v>77</v>
      </c>
      <c r="AM155" s="37" t="n">
        <f aca="false">C155*(1+(((2-3*O155^2)/24*AA155^2)+(O155*AA155*C155/4))*3)</f>
        <v>0.51206605711828</v>
      </c>
      <c r="AN155" s="37" t="n">
        <f aca="false">D155*(1+(((2-3*P155^2)/24*AB155^2)+(P155*AB155*D155/4))*3)</f>
        <v>0.48164266778394</v>
      </c>
      <c r="AO155" s="37" t="n">
        <f aca="false">E155*(1+(((2-3*Q155^2)/24*AC155^2)+(Q155*AC155*E155/4))*3)</f>
        <v>0.459705353770394</v>
      </c>
      <c r="AP155" s="37" t="n">
        <f aca="false">F155*(1+(((2-3*R155^2)/24*AD155^2)+(R155*AD155*F155/4))*3)</f>
        <v>0.461394435119921</v>
      </c>
      <c r="AQ155" s="37" t="n">
        <f aca="false">G155*(1+(((2-3*S155^2)/24*AE155^2)+(S155*AE155*G155/4))*3)</f>
        <v>0.433947539588325</v>
      </c>
      <c r="AR155" s="37" t="n">
        <f aca="false">H155*(1+(((2-3*T155^2)/24*AF155^2)+(T155*AF155*H155/4))*3)</f>
        <v>0.408668999765549</v>
      </c>
      <c r="AS155" s="37" t="n">
        <f aca="false">I155*(1+(((2-3*U155^2)/24*AG155^2)+(U155*AG155*I155/4))*3)</f>
        <v>0.396963550938147</v>
      </c>
      <c r="AT155" s="37" t="n">
        <f aca="false">J155*(1+(((2-3*V155^2)/24*AH155^2)+(V155*AH155*J155/4))*3)</f>
        <v>0.367993574065845</v>
      </c>
      <c r="AU155" s="37" t="n">
        <f aca="false">K155*(1+(((2-3*W155^2)/24*AI155^2)+(W155*AI155*K155/4))*3)</f>
        <v>0.358395020565072</v>
      </c>
      <c r="AV155" s="37" t="n">
        <f aca="false">L155*(1+(((2-3*X155^2)/24*AJ155^2)+(X155*AJ155*L155/4))*3)</f>
        <v>0.348553621192055</v>
      </c>
    </row>
    <row r="156" customFormat="false" ht="15" hidden="false" customHeight="true" outlineLevel="0" collapsed="false">
      <c r="B156" s="35" t="s">
        <v>78</v>
      </c>
      <c r="C156" s="24" t="n">
        <f aca="false">SABR!C13+$C$17*SABR!C46</f>
        <v>0.4493612</v>
      </c>
      <c r="D156" s="24" t="n">
        <f aca="false">SABR!D13+$C$17*SABR!D46</f>
        <v>0.436922</v>
      </c>
      <c r="E156" s="24" t="n">
        <f aca="false">SABR!E13+$C$17*SABR!E46</f>
        <v>0.4194264</v>
      </c>
      <c r="F156" s="24" t="n">
        <f aca="false">SABR!F13+$C$17*SABR!F46</f>
        <v>0.410452</v>
      </c>
      <c r="G156" s="24" t="n">
        <f aca="false">SABR!G13+$C$17*SABR!G46</f>
        <v>0.3982792</v>
      </c>
      <c r="H156" s="24" t="n">
        <f aca="false">SABR!H13+$C$17*SABR!H46</f>
        <v>0.3705056</v>
      </c>
      <c r="I156" s="24" t="n">
        <f aca="false">SABR!I13+$C$17*SABR!I46</f>
        <v>0.362858</v>
      </c>
      <c r="J156" s="24" t="n">
        <f aca="false">SABR!J13+$C$17*SABR!J46</f>
        <v>0.346754</v>
      </c>
      <c r="K156" s="24" t="n">
        <f aca="false">SABR!K13+$C$17*SABR!K46</f>
        <v>0.32853</v>
      </c>
      <c r="L156" s="24" t="n">
        <f aca="false">SABR!L13+$C$17*SABR!L46</f>
        <v>0.2994504</v>
      </c>
      <c r="N156" s="35" t="s">
        <v>78</v>
      </c>
      <c r="O156" s="24" t="n">
        <f aca="false">SABR!O13+$D$17*SABR!O46</f>
        <v>-0.2389</v>
      </c>
      <c r="P156" s="24" t="n">
        <f aca="false">SABR!P13+$D$17*SABR!P46</f>
        <v>-0.2194</v>
      </c>
      <c r="Q156" s="24" t="n">
        <f aca="false">SABR!Q13+$D$17*SABR!Q46</f>
        <v>-0.2005</v>
      </c>
      <c r="R156" s="24" t="n">
        <f aca="false">SABR!R13+$D$17*SABR!R46</f>
        <v>-0.1809</v>
      </c>
      <c r="S156" s="24" t="n">
        <f aca="false">SABR!S13+$D$17*SABR!S46</f>
        <v>-0.1531</v>
      </c>
      <c r="T156" s="24" t="n">
        <f aca="false">SABR!T13+$D$17*SABR!T46</f>
        <v>-0.1281</v>
      </c>
      <c r="U156" s="24" t="n">
        <f aca="false">SABR!U13+$D$17*SABR!U46</f>
        <v>-0.1099</v>
      </c>
      <c r="V156" s="24" t="n">
        <f aca="false">SABR!V13+$D$17*SABR!V46</f>
        <v>-0.0976</v>
      </c>
      <c r="W156" s="24" t="n">
        <f aca="false">SABR!W13+$D$17*SABR!W46</f>
        <v>-0.0747</v>
      </c>
      <c r="X156" s="24" t="n">
        <f aca="false">SABR!X13+$D$17*SABR!X46</f>
        <v>-0.0523</v>
      </c>
      <c r="Z156" s="35" t="s">
        <v>78</v>
      </c>
      <c r="AA156" s="24" t="n">
        <f aca="false">SABR!AA13+$E$17*SABR!AA46</f>
        <v>0.7084</v>
      </c>
      <c r="AB156" s="24" t="n">
        <f aca="false">SABR!AB13+$E$17*SABR!AB46</f>
        <v>0.6977</v>
      </c>
      <c r="AC156" s="24" t="n">
        <f aca="false">SABR!AC13+$E$17*SABR!AC46</f>
        <v>0.6804</v>
      </c>
      <c r="AD156" s="24" t="n">
        <f aca="false">SABR!AD13+$E$17*SABR!AD46</f>
        <v>0.6556</v>
      </c>
      <c r="AE156" s="24" t="n">
        <f aca="false">SABR!AE13+$E$17*SABR!AE46</f>
        <v>0.6328</v>
      </c>
      <c r="AF156" s="24" t="n">
        <f aca="false">SABR!AF13+$E$17*SABR!AF46</f>
        <v>0.6051</v>
      </c>
      <c r="AG156" s="24" t="n">
        <f aca="false">SABR!AG13+$E$17*SABR!AG46</f>
        <v>0.5769</v>
      </c>
      <c r="AH156" s="24" t="n">
        <f aca="false">SABR!AH13+$E$17*SABR!AH46</f>
        <v>0.5669</v>
      </c>
      <c r="AI156" s="24" t="n">
        <f aca="false">SABR!AI13+$E$17*SABR!AI46</f>
        <v>0.5355</v>
      </c>
      <c r="AJ156" s="24" t="n">
        <f aca="false">SABR!AJ13+$E$17*SABR!AJ46</f>
        <v>0.5227</v>
      </c>
      <c r="AL156" s="35" t="s">
        <v>78</v>
      </c>
      <c r="AM156" s="37" t="n">
        <f aca="false">C156*(1+(((2-3*O156^2)/24*AA156^2)+(O156*AA156*C156/4))*5)</f>
        <v>0.492560471169107</v>
      </c>
      <c r="AN156" s="37" t="n">
        <f aca="false">D156*(1+(((2-3*P156^2)/24*AB156^2)+(P156*AB156*D156/4))*5)</f>
        <v>0.482615153208099</v>
      </c>
      <c r="AO156" s="37" t="n">
        <f aca="false">E156*(1+(((2-3*Q156^2)/24*AC156^2)+(Q156*AC156*E156/4))*5)</f>
        <v>0.465453860522848</v>
      </c>
      <c r="AP156" s="37" t="n">
        <f aca="false">F156*(1+(((2-3*R156^2)/24*AD156^2)+(R156*AD156*F156/4))*5)</f>
        <v>0.455375408605319</v>
      </c>
      <c r="AQ156" s="37" t="n">
        <f aca="false">G156*(1+(((2-3*S156^2)/24*AE156^2)+(S156*AE156*G156/4))*5)</f>
        <v>0.443184993290066</v>
      </c>
      <c r="AR156" s="37" t="n">
        <f aca="false">H156*(1+(((2-3*T156^2)/24*AF156^2)+(T156*AF156*H156/4))*5)</f>
        <v>0.412338182206569</v>
      </c>
      <c r="AS156" s="37" t="n">
        <f aca="false">I156*(1+(((2-3*U156^2)/24*AG156^2)+(U156*AG156*I156/4))*5)</f>
        <v>0.401830008020171</v>
      </c>
      <c r="AT156" s="37" t="n">
        <f aca="false">J156*(1+(((2-3*V156^2)/24*AH156^2)+(V156*AH156*J156/4))*5)</f>
        <v>0.384207257229848</v>
      </c>
      <c r="AU156" s="37" t="n">
        <f aca="false">K156*(1+(((2-3*W156^2)/24*AI156^2)+(W156*AI156*K156/4))*5)</f>
        <v>0.362058485694488</v>
      </c>
      <c r="AV156" s="37" t="n">
        <f aca="false">L156*(1+(((2-3*X156^2)/24*AJ156^2)+(X156*AJ156*L156/4))*5)</f>
        <v>0.330335700533183</v>
      </c>
    </row>
    <row r="157" customFormat="false" ht="15" hidden="false" customHeight="true" outlineLevel="0" collapsed="false">
      <c r="B157" s="35" t="s">
        <v>79</v>
      </c>
      <c r="C157" s="24" t="n">
        <f aca="false">SABR!C14+$C$17*SABR!C47</f>
        <v>0.4508808</v>
      </c>
      <c r="D157" s="24" t="n">
        <f aca="false">SABR!D14+$C$17*SABR!D47</f>
        <v>0.4219668</v>
      </c>
      <c r="E157" s="24" t="n">
        <f aca="false">SABR!E14+$C$17*SABR!E47</f>
        <v>0.4048712</v>
      </c>
      <c r="F157" s="24" t="n">
        <f aca="false">SABR!F14+$C$17*SABR!F47</f>
        <v>0.3981716</v>
      </c>
      <c r="G157" s="24" t="n">
        <f aca="false">SABR!G14+$C$17*SABR!G47</f>
        <v>0.3763576</v>
      </c>
      <c r="H157" s="24" t="n">
        <f aca="false">SABR!H14+$C$17*SABR!H47</f>
        <v>0.3479528</v>
      </c>
      <c r="I157" s="24" t="n">
        <f aca="false">SABR!I14+$C$17*SABR!I47</f>
        <v>0.3293524</v>
      </c>
      <c r="J157" s="24" t="n">
        <f aca="false">SABR!J14+$C$17*SABR!J47</f>
        <v>0.3123796</v>
      </c>
      <c r="K157" s="24" t="n">
        <f aca="false">SABR!K14+$C$17*SABR!K47</f>
        <v>0.31041</v>
      </c>
      <c r="L157" s="24" t="n">
        <f aca="false">SABR!L14+$C$17*SABR!L47</f>
        <v>0.2910036</v>
      </c>
      <c r="N157" s="35" t="s">
        <v>79</v>
      </c>
      <c r="O157" s="24" t="n">
        <f aca="false">SABR!O14+$D$17*SABR!O47</f>
        <v>-0.221</v>
      </c>
      <c r="P157" s="24" t="n">
        <f aca="false">SABR!P14+$D$17*SABR!P47</f>
        <v>-0.1879</v>
      </c>
      <c r="Q157" s="24" t="n">
        <f aca="false">SABR!Q14+$D$17*SABR!Q47</f>
        <v>-0.1654</v>
      </c>
      <c r="R157" s="24" t="n">
        <f aca="false">SABR!R14+$D$17*SABR!R47</f>
        <v>-0.1524</v>
      </c>
      <c r="S157" s="24" t="n">
        <f aca="false">SABR!S14+$D$17*SABR!S47</f>
        <v>-0.1391</v>
      </c>
      <c r="T157" s="24" t="n">
        <f aca="false">SABR!T14+$D$17*SABR!T47</f>
        <v>-0.1157</v>
      </c>
      <c r="U157" s="24" t="n">
        <f aca="false">SABR!U14+$D$17*SABR!U47</f>
        <v>-0.1046</v>
      </c>
      <c r="V157" s="24" t="n">
        <f aca="false">SABR!V14+$D$17*SABR!V47</f>
        <v>-0.0875</v>
      </c>
      <c r="W157" s="24" t="n">
        <f aca="false">SABR!W14+$D$17*SABR!W47</f>
        <v>-0.0489</v>
      </c>
      <c r="X157" s="24" t="n">
        <f aca="false">SABR!X14+$D$17*SABR!X47</f>
        <v>-0.0359</v>
      </c>
      <c r="Z157" s="35" t="s">
        <v>79</v>
      </c>
      <c r="AA157" s="24" t="n">
        <f aca="false">SABR!AA14+$E$17*SABR!AA47</f>
        <v>0.695</v>
      </c>
      <c r="AB157" s="24" t="n">
        <f aca="false">SABR!AB14+$E$17*SABR!AB47</f>
        <v>0.6809</v>
      </c>
      <c r="AC157" s="24" t="n">
        <f aca="false">SABR!AC14+$E$17*SABR!AC47</f>
        <v>0.6487</v>
      </c>
      <c r="AD157" s="24" t="n">
        <f aca="false">SABR!AD14+$E$17*SABR!AD47</f>
        <v>0.6352</v>
      </c>
      <c r="AE157" s="24" t="n">
        <f aca="false">SABR!AE14+$E$17*SABR!AE47</f>
        <v>0.6121</v>
      </c>
      <c r="AF157" s="24" t="n">
        <f aca="false">SABR!AF14+$E$17*SABR!AF47</f>
        <v>0.5776</v>
      </c>
      <c r="AG157" s="24" t="n">
        <f aca="false">SABR!AG14+$E$17*SABR!AG47</f>
        <v>0.5561</v>
      </c>
      <c r="AH157" s="24" t="n">
        <f aca="false">SABR!AH14+$E$17*SABR!AH47</f>
        <v>0.5347</v>
      </c>
      <c r="AI157" s="24" t="n">
        <f aca="false">SABR!AI14+$E$17*SABR!AI47</f>
        <v>0.5115</v>
      </c>
      <c r="AJ157" s="24" t="n">
        <f aca="false">SABR!AJ14+$E$17*SABR!AJ47</f>
        <v>0.4962</v>
      </c>
      <c r="AL157" s="35" t="s">
        <v>79</v>
      </c>
      <c r="AM157" s="37" t="n">
        <f aca="false">C157*(1+(((2-3*O157^2)/24*AA157^2)+(O157*AA157*C157/4))*10)</f>
        <v>0.541011403956266</v>
      </c>
      <c r="AN157" s="37" t="n">
        <f aca="false">D157*(1+(((2-3*P157^2)/24*AB157^2)+(P157*AB157*D157/4))*10)</f>
        <v>0.519409735145283</v>
      </c>
      <c r="AO157" s="37" t="n">
        <f aca="false">E157*(1+(((2-3*Q157^2)/24*AC157^2)+(Q157*AC157*E157/4))*10)</f>
        <v>0.497054106514199</v>
      </c>
      <c r="AP157" s="37" t="n">
        <f aca="false">F157*(1+(((2-3*R157^2)/24*AD157^2)+(R157*AD157*F157/4))*10)</f>
        <v>0.48901710332895</v>
      </c>
      <c r="AQ157" s="37" t="n">
        <f aca="false">G157*(1+(((2-3*S157^2)/24*AE157^2)+(S157*AE157*G157/4))*10)</f>
        <v>0.460304042440297</v>
      </c>
      <c r="AR157" s="37" t="n">
        <f aca="false">H157*(1+(((2-3*T157^2)/24*AF157^2)+(T157*AF157*H157/4))*10)</f>
        <v>0.422520076786402</v>
      </c>
      <c r="AS157" s="37" t="n">
        <f aca="false">I157*(1+(((2-3*U157^2)/24*AG157^2)+(U157*AG157*I157/4))*10)</f>
        <v>0.397061367556012</v>
      </c>
      <c r="AT157" s="37" t="n">
        <f aca="false">J157*(1+(((2-3*V157^2)/24*AH157^2)+(V157*AH157*J157/4))*10)</f>
        <v>0.374536749643103</v>
      </c>
      <c r="AU157" s="37" t="n">
        <f aca="false">K157*(1+(((2-3*W157^2)/24*AI157^2)+(W157*AI157*K157/4))*10)</f>
        <v>0.371819851851986</v>
      </c>
      <c r="AV157" s="37" t="n">
        <f aca="false">L157*(1+(((2-3*X157^2)/24*AJ157^2)+(X157*AJ157*L157/4))*10)</f>
        <v>0.346824639716013</v>
      </c>
    </row>
    <row r="158" customFormat="false" ht="15" hidden="false" customHeight="true" outlineLevel="0" collapsed="false">
      <c r="B158" s="35" t="s">
        <v>80</v>
      </c>
      <c r="C158" s="24" t="n">
        <f aca="false">SABR!C15+$C$17*SABR!C48</f>
        <v>0.419166</v>
      </c>
      <c r="D158" s="24" t="n">
        <f aca="false">SABR!D15+$C$17*SABR!D48</f>
        <v>0.4048764</v>
      </c>
      <c r="E158" s="24" t="n">
        <f aca="false">SABR!E15+$C$17*SABR!E48</f>
        <v>0.3819976</v>
      </c>
      <c r="F158" s="24" t="n">
        <f aca="false">SABR!F15+$C$17*SABR!F48</f>
        <v>0.3802424</v>
      </c>
      <c r="G158" s="24" t="n">
        <f aca="false">SABR!G15+$C$17*SABR!G48</f>
        <v>0.3513168</v>
      </c>
      <c r="H158" s="24" t="n">
        <f aca="false">SABR!H15+$C$17*SABR!H48</f>
        <v>0.3363388</v>
      </c>
      <c r="I158" s="24" t="n">
        <f aca="false">SABR!I15+$C$17*SABR!I48</f>
        <v>0.3213492</v>
      </c>
      <c r="J158" s="24" t="n">
        <f aca="false">SABR!J15+$C$17*SABR!J48</f>
        <v>0.3102504</v>
      </c>
      <c r="K158" s="24" t="n">
        <f aca="false">SABR!K15+$C$17*SABR!K48</f>
        <v>0.283002</v>
      </c>
      <c r="L158" s="24" t="n">
        <f aca="false">SABR!L15+$C$17*SABR!L48</f>
        <v>0.27626</v>
      </c>
      <c r="N158" s="35" t="s">
        <v>80</v>
      </c>
      <c r="O158" s="24" t="n">
        <f aca="false">SABR!O15+$D$17*SABR!O48</f>
        <v>-0.1944</v>
      </c>
      <c r="P158" s="24" t="n">
        <f aca="false">SABR!P15+$D$17*SABR!P48</f>
        <v>-0.1744</v>
      </c>
      <c r="Q158" s="24" t="n">
        <f aca="false">SABR!Q15+$D$17*SABR!Q48</f>
        <v>-0.1551</v>
      </c>
      <c r="R158" s="24" t="n">
        <f aca="false">SABR!R15+$D$17*SABR!R48</f>
        <v>-0.1457</v>
      </c>
      <c r="S158" s="24" t="n">
        <f aca="false">SABR!S15+$D$17*SABR!S48</f>
        <v>-0.1179</v>
      </c>
      <c r="T158" s="24" t="n">
        <f aca="false">SABR!T15+$D$17*SABR!T48</f>
        <v>-0.1036</v>
      </c>
      <c r="U158" s="24" t="n">
        <f aca="false">SABR!U15+$D$17*SABR!U48</f>
        <v>-0.0877</v>
      </c>
      <c r="V158" s="24" t="n">
        <f aca="false">SABR!V15+$D$17*SABR!V48</f>
        <v>-0.0523</v>
      </c>
      <c r="W158" s="24" t="n">
        <f aca="false">SABR!W15+$D$17*SABR!W48</f>
        <v>-0.0454</v>
      </c>
      <c r="X158" s="24" t="n">
        <f aca="false">SABR!X15+$D$17*SABR!X48</f>
        <v>-0.02</v>
      </c>
      <c r="Z158" s="35" t="s">
        <v>80</v>
      </c>
      <c r="AA158" s="24" t="n">
        <f aca="false">SABR!AA15+$E$17*SABR!AA48</f>
        <v>0.6767</v>
      </c>
      <c r="AB158" s="24" t="n">
        <f aca="false">SABR!AB15+$E$17*SABR!AB48</f>
        <v>0.6511</v>
      </c>
      <c r="AC158" s="24" t="n">
        <f aca="false">SABR!AC15+$E$17*SABR!AC48</f>
        <v>0.6243</v>
      </c>
      <c r="AD158" s="24" t="n">
        <f aca="false">SABR!AD15+$E$17*SABR!AD48</f>
        <v>0.6059</v>
      </c>
      <c r="AE158" s="24" t="n">
        <f aca="false">SABR!AE15+$E$17*SABR!AE48</f>
        <v>0.5844</v>
      </c>
      <c r="AF158" s="24" t="n">
        <f aca="false">SABR!AF15+$E$17*SABR!AF48</f>
        <v>0.5668</v>
      </c>
      <c r="AG158" s="24" t="n">
        <f aca="false">SABR!AG15+$E$17*SABR!AG48</f>
        <v>0.531</v>
      </c>
      <c r="AH158" s="24" t="n">
        <f aca="false">SABR!AH15+$E$17*SABR!AH48</f>
        <v>0.5179</v>
      </c>
      <c r="AI158" s="24" t="n">
        <f aca="false">SABR!AI15+$E$17*SABR!AI48</f>
        <v>0.4894</v>
      </c>
      <c r="AJ158" s="24" t="n">
        <f aca="false">SABR!AJ15+$E$17*SABR!AJ48</f>
        <v>0.4678</v>
      </c>
      <c r="AL158" s="35" t="s">
        <v>80</v>
      </c>
      <c r="AM158" s="37" t="n">
        <f aca="false">C158*(1+(((2-3*O158^2)/24*AA158^2)+(O158*AA158*C158/4))*20)</f>
        <v>0.605373601140497</v>
      </c>
      <c r="AN158" s="37" t="n">
        <f aca="false">D158*(1+(((2-3*P158^2)/24*AB158^2)+(P158*AB158*D158/4))*20)</f>
        <v>0.584821555877488</v>
      </c>
      <c r="AO158" s="37" t="n">
        <f aca="false">E158*(1+(((2-3*Q158^2)/24*AC158^2)+(Q158*AC158*E158/4))*20)</f>
        <v>0.550535877562209</v>
      </c>
      <c r="AP158" s="37" t="n">
        <f aca="false">F158*(1+(((2-3*R158^2)/24*AD158^2)+(R158*AD158*F158/4))*20)</f>
        <v>0.541669174633329</v>
      </c>
      <c r="AQ158" s="37" t="n">
        <f aca="false">G158*(1+(((2-3*S158^2)/24*AE158^2)+(S158*AE158*G158/4))*20)</f>
        <v>0.504598898707219</v>
      </c>
      <c r="AR158" s="37" t="n">
        <f aca="false">H158*(1+(((2-3*T158^2)/24*AF158^2)+(T158*AF158*H158/4))*20)</f>
        <v>0.480314324566856</v>
      </c>
      <c r="AS158" s="37" t="n">
        <f aca="false">I158*(1+(((2-3*U158^2)/24*AG158^2)+(U158*AG158*I158/4))*20)</f>
        <v>0.44657555058803</v>
      </c>
      <c r="AT158" s="37" t="n">
        <f aca="false">J158*(1+(((2-3*V158^2)/24*AH158^2)+(V158*AH158*J158/4))*20)</f>
        <v>0.435337897698681</v>
      </c>
      <c r="AU158" s="37" t="n">
        <f aca="false">K158*(1+(((2-3*W158^2)/24*AI158^2)+(W158*AI158*K158/4))*20)</f>
        <v>0.386726001409132</v>
      </c>
      <c r="AV158" s="37" t="n">
        <f aca="false">L158*(1+(((2-3*X158^2)/24*AJ158^2)+(X158*AJ158*L158/4))*20)</f>
        <v>0.373389089523987</v>
      </c>
    </row>
    <row r="159" customFormat="false" ht="15" hidden="false" customHeight="true" outlineLevel="0" collapsed="false">
      <c r="B159" s="35" t="s">
        <v>81</v>
      </c>
      <c r="C159" s="24" t="n">
        <f aca="false">SABR!C16+$C$17*SABR!C49</f>
        <v>0.4118008</v>
      </c>
      <c r="D159" s="24" t="n">
        <f aca="false">SABR!D16+$C$17*SABR!D49</f>
        <v>0.3896152</v>
      </c>
      <c r="E159" s="24" t="n">
        <f aca="false">SABR!E16+$C$17*SABR!E49</f>
        <v>0.3728896</v>
      </c>
      <c r="F159" s="24" t="n">
        <f aca="false">SABR!F16+$C$17*SABR!F49</f>
        <v>0.3596688</v>
      </c>
      <c r="G159" s="24" t="n">
        <f aca="false">SABR!G16+$C$17*SABR!G49</f>
        <v>0.345086</v>
      </c>
      <c r="H159" s="24" t="n">
        <f aca="false">SABR!H16+$C$17*SABR!H49</f>
        <v>0.3185156</v>
      </c>
      <c r="I159" s="24" t="n">
        <f aca="false">SABR!I16+$C$17*SABR!I49</f>
        <v>0.3044504</v>
      </c>
      <c r="J159" s="24" t="n">
        <f aca="false">SABR!J16+$C$17*SABR!J49</f>
        <v>0.28466</v>
      </c>
      <c r="K159" s="24" t="n">
        <f aca="false">SABR!K16+$C$17*SABR!K49</f>
        <v>0.26816</v>
      </c>
      <c r="L159" s="24" t="n">
        <f aca="false">SABR!L16+$C$17*SABR!L49</f>
        <v>0.25516</v>
      </c>
      <c r="N159" s="35" t="s">
        <v>81</v>
      </c>
      <c r="O159" s="24" t="n">
        <f aca="false">SABR!O16+$D$17*SABR!O49</f>
        <v>-0.176</v>
      </c>
      <c r="P159" s="24" t="n">
        <f aca="false">SABR!P16+$D$17*SABR!P49</f>
        <v>-0.1549</v>
      </c>
      <c r="Q159" s="24" t="n">
        <f aca="false">SABR!Q16+$D$17*SABR!Q49</f>
        <v>-0.1366</v>
      </c>
      <c r="R159" s="24" t="n">
        <f aca="false">SABR!R16+$D$17*SABR!R49</f>
        <v>-0.1078</v>
      </c>
      <c r="S159" s="24" t="n">
        <f aca="false">SABR!S16+$D$17*SABR!S49</f>
        <v>-0.0932</v>
      </c>
      <c r="T159" s="24" t="n">
        <f aca="false">SABR!T16+$D$17*SABR!T49</f>
        <v>-0.0702</v>
      </c>
      <c r="U159" s="24" t="n">
        <f aca="false">SABR!U16+$D$17*SABR!U49</f>
        <v>-0.0495</v>
      </c>
      <c r="V159" s="24" t="n">
        <f aca="false">SABR!V16+$D$17*SABR!V49</f>
        <v>-0.0437</v>
      </c>
      <c r="W159" s="24" t="n">
        <f aca="false">SABR!W16+$D$17*SABR!W49</f>
        <v>-0.0183</v>
      </c>
      <c r="X159" s="24" t="n">
        <f aca="false">SABR!X16+$D$17*SABR!X49</f>
        <v>0.0089</v>
      </c>
      <c r="Z159" s="35" t="s">
        <v>81</v>
      </c>
      <c r="AA159" s="24" t="n">
        <f aca="false">SABR!AA16+$E$17*SABR!AA49</f>
        <v>0.6568</v>
      </c>
      <c r="AB159" s="24" t="n">
        <f aca="false">SABR!AB16+$E$17*SABR!AB49</f>
        <v>0.6205</v>
      </c>
      <c r="AC159" s="24" t="n">
        <f aca="false">SABR!AC16+$E$17*SABR!AC49</f>
        <v>0.598</v>
      </c>
      <c r="AD159" s="24" t="n">
        <f aca="false">SABR!AD16+$E$17*SABR!AD49</f>
        <v>0.5822</v>
      </c>
      <c r="AE159" s="24" t="n">
        <f aca="false">SABR!AE16+$E$17*SABR!AE49</f>
        <v>0.5526</v>
      </c>
      <c r="AF159" s="24" t="n">
        <f aca="false">SABR!AF16+$E$17*SABR!AF49</f>
        <v>0.5337</v>
      </c>
      <c r="AG159" s="24" t="n">
        <f aca="false">SABR!AG16+$E$17*SABR!AG49</f>
        <v>0.5081</v>
      </c>
      <c r="AH159" s="24" t="n">
        <f aca="false">SABR!AH16+$E$17*SABR!AH49</f>
        <v>0.4978</v>
      </c>
      <c r="AI159" s="24" t="n">
        <f aca="false">SABR!AI16+$E$17*SABR!AI49</f>
        <v>0.4779</v>
      </c>
      <c r="AJ159" s="24" t="n">
        <f aca="false">SABR!AJ16+$E$17*SABR!AJ49</f>
        <v>0.4579</v>
      </c>
      <c r="AL159" s="35" t="s">
        <v>81</v>
      </c>
      <c r="AM159" s="37" t="n">
        <f aca="false">C159*(1+(((2-3*O159^2)/24*AA159^2)+(O159*AA159*C159/4))*30)</f>
        <v>0.688256828154785</v>
      </c>
      <c r="AN159" s="37" t="n">
        <f aca="false">D159*(1+(((2-3*P159^2)/24*AB159^2)+(P159*AB159*D159/4))*30)</f>
        <v>0.641714604349947</v>
      </c>
      <c r="AO159" s="37" t="n">
        <f aca="false">E159*(1+(((2-3*Q159^2)/24*AC159^2)+(Q159*AC159*E159/4))*30)</f>
        <v>0.611738836622296</v>
      </c>
      <c r="AP159" s="37" t="n">
        <f aca="false">F159*(1+(((2-3*R159^2)/24*AD159^2)+(R159*AD159*F159/4))*30)</f>
        <v>0.598244939528424</v>
      </c>
      <c r="AQ159" s="37" t="n">
        <f aca="false">G159*(1+(((2-3*S159^2)/24*AE159^2)+(S159*AE159*G159/4))*30)</f>
        <v>0.559099570077395</v>
      </c>
      <c r="AR159" s="37" t="n">
        <f aca="false">H159*(1+(((2-3*T159^2)/24*AF159^2)+(T159*AF159*H159/4))*30)</f>
        <v>0.515143162761068</v>
      </c>
      <c r="AS159" s="37" t="n">
        <f aca="false">I159*(1+(((2-3*U159^2)/24*AG159^2)+(U159*AG159*I159/4))*30)</f>
        <v>0.482740439185042</v>
      </c>
      <c r="AT159" s="37" t="n">
        <f aca="false">J159*(1+(((2-3*V159^2)/24*AH159^2)+(V159*AH159*J159/4))*30)</f>
        <v>0.447284573524344</v>
      </c>
      <c r="AU159" s="37" t="n">
        <f aca="false">K159*(1+(((2-3*W159^2)/24*AI159^2)+(W159*AI159*K159/4))*30)</f>
        <v>0.416477986276032</v>
      </c>
      <c r="AV159" s="37" t="n">
        <f aca="false">L159*(1+(((2-3*X159^2)/24*AJ159^2)+(X159*AJ159*L159/4))*30)</f>
        <v>0.39088411144695</v>
      </c>
    </row>
  </sheetData>
  <mergeCells count="55">
    <mergeCell ref="A1:AU1"/>
    <mergeCell ref="A2:AU2"/>
    <mergeCell ref="A4:AU4"/>
    <mergeCell ref="B6:E6"/>
    <mergeCell ref="A19:AU19"/>
    <mergeCell ref="A21:AU21"/>
    <mergeCell ref="B22:L22"/>
    <mergeCell ref="N22:X22"/>
    <mergeCell ref="Z22:AJ22"/>
    <mergeCell ref="AL22:AV22"/>
    <mergeCell ref="A35:AU35"/>
    <mergeCell ref="B36:L36"/>
    <mergeCell ref="N36:X36"/>
    <mergeCell ref="Z36:AJ36"/>
    <mergeCell ref="AL36:AV36"/>
    <mergeCell ref="A49:AU49"/>
    <mergeCell ref="B50:L50"/>
    <mergeCell ref="N50:X50"/>
    <mergeCell ref="Z50:AJ50"/>
    <mergeCell ref="AL50:AV50"/>
    <mergeCell ref="A63:AU63"/>
    <mergeCell ref="B64:L64"/>
    <mergeCell ref="N64:X64"/>
    <mergeCell ref="Z64:AJ64"/>
    <mergeCell ref="AL64:AV64"/>
    <mergeCell ref="A77:AU77"/>
    <mergeCell ref="B78:L78"/>
    <mergeCell ref="N78:X78"/>
    <mergeCell ref="Z78:AJ78"/>
    <mergeCell ref="AL78:AV78"/>
    <mergeCell ref="A91:AU91"/>
    <mergeCell ref="B92:L92"/>
    <mergeCell ref="N92:X92"/>
    <mergeCell ref="Z92:AJ92"/>
    <mergeCell ref="AL92:AV92"/>
    <mergeCell ref="A105:AU105"/>
    <mergeCell ref="B106:L106"/>
    <mergeCell ref="N106:X106"/>
    <mergeCell ref="Z106:AJ106"/>
    <mergeCell ref="AL106:AV106"/>
    <mergeCell ref="A119:AU119"/>
    <mergeCell ref="B120:L120"/>
    <mergeCell ref="N120:X120"/>
    <mergeCell ref="Z120:AJ120"/>
    <mergeCell ref="AL120:AV120"/>
    <mergeCell ref="A133:AU133"/>
    <mergeCell ref="B134:L134"/>
    <mergeCell ref="N134:X134"/>
    <mergeCell ref="Z134:AJ134"/>
    <mergeCell ref="AL134:AV134"/>
    <mergeCell ref="A147:AU147"/>
    <mergeCell ref="B148:L148"/>
    <mergeCell ref="N148:X148"/>
    <mergeCell ref="Z148:AJ148"/>
    <mergeCell ref="AL148:AV1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32" t="s">
        <v>168</v>
      </c>
      <c r="B1" s="32"/>
      <c r="C1" s="32"/>
      <c r="D1" s="32"/>
      <c r="E1" s="32"/>
      <c r="F1" s="32"/>
      <c r="G1" s="32"/>
      <c r="H1" s="32"/>
      <c r="I1" s="32"/>
    </row>
    <row r="2" customFormat="false" ht="54.75" hidden="false" customHeight="true" outlineLevel="0" collapsed="false">
      <c r="A2" s="15" t="s">
        <v>169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true" outlineLevel="0" collapsed="false">
      <c r="A4" s="4" t="s">
        <v>26</v>
      </c>
      <c r="B4" s="39" t="n">
        <f aca="false">Trade_Info!B7</f>
        <v>10000000</v>
      </c>
    </row>
    <row r="6" customFormat="false" ht="15" hidden="false" customHeight="true" outlineLevel="0" collapsed="false">
      <c r="A6" s="4" t="s">
        <v>170</v>
      </c>
    </row>
    <row r="7" customFormat="false" ht="15" hidden="false" customHeight="true" outlineLevel="0" collapsed="false">
      <c r="A7" s="9" t="s">
        <v>171</v>
      </c>
      <c r="B7" s="40" t="n">
        <f aca="false">Curves!E8</f>
        <v>0.957768</v>
      </c>
    </row>
    <row r="8" customFormat="false" ht="15" hidden="false" customHeight="true" outlineLevel="0" collapsed="false">
      <c r="A8" s="9" t="s">
        <v>172</v>
      </c>
      <c r="B8" s="40" t="n">
        <f aca="false">Curves!E9</f>
        <v>0.96933</v>
      </c>
    </row>
    <row r="9" customFormat="false" ht="15" hidden="false" customHeight="true" outlineLevel="0" collapsed="false">
      <c r="A9" s="9" t="s">
        <v>173</v>
      </c>
      <c r="B9" s="40" t="n">
        <f aca="false">Curves!E10</f>
        <v>0.958726</v>
      </c>
    </row>
    <row r="10" customFormat="false" ht="15" hidden="false" customHeight="true" outlineLevel="0" collapsed="false">
      <c r="A10" s="9" t="s">
        <v>174</v>
      </c>
      <c r="B10" s="40" t="n">
        <f aca="false">Curves!E11</f>
        <v>0.954899</v>
      </c>
    </row>
    <row r="11" customFormat="false" ht="15" hidden="false" customHeight="true" outlineLevel="0" collapsed="false">
      <c r="A11" s="9" t="s">
        <v>175</v>
      </c>
      <c r="B11" s="40" t="n">
        <f aca="false">Curves!E12</f>
        <v>0.967393</v>
      </c>
    </row>
    <row r="12" customFormat="false" ht="15" hidden="false" customHeight="true" outlineLevel="0" collapsed="false">
      <c r="A12" s="9" t="s">
        <v>176</v>
      </c>
      <c r="B12" s="40" t="n">
        <f aca="false">Curves!E13</f>
        <v>0.960645</v>
      </c>
    </row>
    <row r="13" customFormat="false" ht="15" hidden="false" customHeight="true" outlineLevel="0" collapsed="false">
      <c r="A13" s="9" t="s">
        <v>177</v>
      </c>
      <c r="B13" s="40" t="n">
        <f aca="false">SABR!AT10</f>
        <v>0.39978211956629</v>
      </c>
    </row>
    <row r="16" customFormat="false" ht="15" hidden="false" customHeight="true" outlineLevel="0" collapsed="false">
      <c r="A16" s="41" t="s">
        <v>178</v>
      </c>
      <c r="B16" s="41"/>
      <c r="C16" s="41"/>
      <c r="D16" s="41"/>
      <c r="E16" s="41"/>
      <c r="F16" s="41"/>
      <c r="G16" s="41"/>
      <c r="H16" s="41"/>
      <c r="I16" s="41"/>
    </row>
    <row r="17" customFormat="false" ht="26.25" hidden="false" customHeight="true" outlineLevel="0" collapsed="false">
      <c r="A17" s="22" t="s">
        <v>179</v>
      </c>
      <c r="B17" s="22" t="s">
        <v>180</v>
      </c>
      <c r="C17" s="22" t="s">
        <v>181</v>
      </c>
      <c r="D17" s="22" t="s">
        <v>182</v>
      </c>
      <c r="E17" s="22" t="s">
        <v>183</v>
      </c>
      <c r="F17" s="22" t="s">
        <v>184</v>
      </c>
      <c r="G17" s="22" t="s">
        <v>185</v>
      </c>
      <c r="H17" s="22" t="s">
        <v>186</v>
      </c>
      <c r="I17" s="22" t="s">
        <v>187</v>
      </c>
    </row>
    <row r="18" customFormat="false" ht="15" hidden="false" customHeight="true" outlineLevel="0" collapsed="false">
      <c r="A18" s="4" t="s">
        <v>188</v>
      </c>
      <c r="B18" s="31" t="n">
        <f aca="false">$B$7</f>
        <v>0.957768</v>
      </c>
      <c r="C18" s="31" t="n">
        <f aca="false">$B$8</f>
        <v>0.96933</v>
      </c>
      <c r="D18" s="31" t="n">
        <f aca="false">$B$13</f>
        <v>0.39978211956629</v>
      </c>
      <c r="E18" s="31" t="n">
        <f aca="false">$B$9</f>
        <v>0.958726</v>
      </c>
      <c r="F18" s="31" t="n">
        <f aca="false">$B$10</f>
        <v>0.954899</v>
      </c>
      <c r="G18" s="31" t="n">
        <f aca="false">$B$11</f>
        <v>0.967393</v>
      </c>
      <c r="H18" s="31" t="n">
        <f aca="false">$B$12</f>
        <v>0.960645</v>
      </c>
      <c r="I18" s="42" t="n">
        <f aca="false">$B$4*B18*(C18/$B$8)*(1+0.5*(D18-$B$13))*(AVERAGE(E18,F18,G18)/B18)*(H18/$B$12)</f>
        <v>9603393.33333333</v>
      </c>
    </row>
    <row r="19" customFormat="false" ht="15" hidden="false" customHeight="true" outlineLevel="0" collapsed="false">
      <c r="A19" s="9" t="s">
        <v>117</v>
      </c>
      <c r="B19" s="23" t="n">
        <f aca="false">Curves!Q37</f>
        <v>0.95645567308242</v>
      </c>
      <c r="C19" s="23" t="n">
        <f aca="false">Curves!Q38</f>
        <v>0.968268575053369</v>
      </c>
      <c r="D19" s="43" t="n">
        <f aca="false">SABR!AT60</f>
        <v>0.406538537771067</v>
      </c>
      <c r="E19" s="23" t="n">
        <f aca="false">Curves!Q39</f>
        <v>0.958061825595622</v>
      </c>
      <c r="F19" s="23" t="n">
        <f aca="false">Curves!Q40</f>
        <v>0.949311346582243</v>
      </c>
      <c r="G19" s="23" t="n">
        <f aca="false">Curves!Q41</f>
        <v>0.962297088758501</v>
      </c>
      <c r="H19" s="23" t="n">
        <f aca="false">Curves!Q42</f>
        <v>0.958550489609229</v>
      </c>
      <c r="I19" s="42" t="n">
        <f aca="false">$B$4*B19*(C19/$B$8)*(1+0.5*(D19-$B$13))*(AVERAGE(E19,F19,G19)/B19)*(H19/$B$12)</f>
        <v>9566468.7494528</v>
      </c>
    </row>
    <row r="20" customFormat="false" ht="15" hidden="false" customHeight="true" outlineLevel="0" collapsed="false">
      <c r="A20" s="9" t="s">
        <v>118</v>
      </c>
      <c r="B20" s="23" t="n">
        <f aca="false">Curves!Q45</f>
        <v>0.953984470417811</v>
      </c>
      <c r="C20" s="23" t="n">
        <f aca="false">Curves!Q46</f>
        <v>0.968938897143004</v>
      </c>
      <c r="D20" s="43" t="n">
        <f aca="false">SABR!AT74</f>
        <v>0.408312583119033</v>
      </c>
      <c r="E20" s="23" t="n">
        <f aca="false">Curves!Q47</f>
        <v>0.954588922832977</v>
      </c>
      <c r="F20" s="23" t="n">
        <f aca="false">Curves!Q48</f>
        <v>0.952091864437955</v>
      </c>
      <c r="G20" s="23" t="n">
        <f aca="false">Curves!Q49</f>
        <v>0.964955584066973</v>
      </c>
      <c r="H20" s="23" t="n">
        <f aca="false">Curves!Q50</f>
        <v>0.957836117465444</v>
      </c>
      <c r="I20" s="42" t="n">
        <f aca="false">$B$4*B20*(C20/$B$8)*(1+0.5*(D20-$B$13))*(AVERAGE(E20,F20,G20)/B20)*(H20/$B$12)</f>
        <v>9580973.45894958</v>
      </c>
    </row>
    <row r="21" customFormat="false" ht="15" hidden="false" customHeight="true" outlineLevel="0" collapsed="false">
      <c r="A21" s="9" t="s">
        <v>119</v>
      </c>
      <c r="B21" s="23" t="n">
        <f aca="false">Curves!Q53</f>
        <v>0.953428257833193</v>
      </c>
      <c r="C21" s="23" t="n">
        <f aca="false">Curves!Q54</f>
        <v>0.967699452636081</v>
      </c>
      <c r="D21" s="43" t="n">
        <f aca="false">SABR!AT88</f>
        <v>0.407971432425642</v>
      </c>
      <c r="E21" s="23" t="n">
        <f aca="false">Curves!Q55</f>
        <v>0.954008957495664</v>
      </c>
      <c r="F21" s="23" t="n">
        <f aca="false">Curves!Q56</f>
        <v>0.953612707835657</v>
      </c>
      <c r="G21" s="23" t="n">
        <f aca="false">Curves!Q57</f>
        <v>0.961223663488055</v>
      </c>
      <c r="H21" s="23" t="n">
        <f aca="false">Curves!Q58</f>
        <v>0.95758460198965</v>
      </c>
      <c r="I21" s="42" t="n">
        <f aca="false">$B$4*B21*(C21/$B$8)*(1+0.5*(D21-$B$13))*(AVERAGE(E21,F21,G21)/B21)*(H21/$B$12)</f>
        <v>9555284.09983533</v>
      </c>
    </row>
    <row r="22" customFormat="false" ht="15" hidden="false" customHeight="true" outlineLevel="0" collapsed="false">
      <c r="A22" s="9" t="s">
        <v>120</v>
      </c>
      <c r="B22" s="23" t="n">
        <f aca="false">Curves!Q61</f>
        <v>0.953041785744194</v>
      </c>
      <c r="C22" s="23" t="n">
        <f aca="false">Curves!Q62</f>
        <v>0.965269080950153</v>
      </c>
      <c r="D22" s="43" t="n">
        <f aca="false">SABR!AT102</f>
        <v>0.413770225261134</v>
      </c>
      <c r="E22" s="23" t="n">
        <f aca="false">Curves!Q63</f>
        <v>0.95320762385314</v>
      </c>
      <c r="F22" s="23" t="n">
        <f aca="false">Curves!Q64</f>
        <v>0.946234479809646</v>
      </c>
      <c r="G22" s="23" t="n">
        <f aca="false">Curves!Q65</f>
        <v>0.960336700770215</v>
      </c>
      <c r="H22" s="23" t="n">
        <f aca="false">Curves!Q66</f>
        <v>0.962263559855125</v>
      </c>
      <c r="I22" s="42" t="n">
        <f aca="false">$B$4*B22*(C22/$B$8)*(1+0.5*(D22-$B$13))*(AVERAGE(E22,F22,G22)/B22)*(H22/$B$12)</f>
        <v>9575157.98472471</v>
      </c>
    </row>
    <row r="23" customFormat="false" ht="15" hidden="false" customHeight="true" outlineLevel="0" collapsed="false">
      <c r="A23" s="9" t="s">
        <v>121</v>
      </c>
      <c r="B23" s="23" t="n">
        <f aca="false">Curves!Q69</f>
        <v>0.955487984146696</v>
      </c>
      <c r="C23" s="23" t="n">
        <f aca="false">Curves!Q70</f>
        <v>0.964836228667716</v>
      </c>
      <c r="D23" s="43" t="n">
        <f aca="false">SABR!AT116</f>
        <v>0.41063225788842</v>
      </c>
      <c r="E23" s="23" t="n">
        <f aca="false">Curves!Q71</f>
        <v>0.9563957060858</v>
      </c>
      <c r="F23" s="23" t="n">
        <f aca="false">Curves!Q72</f>
        <v>0.945344255389449</v>
      </c>
      <c r="G23" s="23" t="n">
        <f aca="false">Curves!Q73</f>
        <v>0.960043506585016</v>
      </c>
      <c r="H23" s="23" t="n">
        <f aca="false">Curves!Q74</f>
        <v>0.956804885239764</v>
      </c>
      <c r="I23" s="42" t="n">
        <f aca="false">$B$4*B23*(C23/$B$8)*(1+0.5*(D23-$B$13))*(AVERAGE(E23,F23,G23)/B23)*(H23/$B$12)</f>
        <v>9508404.11455907</v>
      </c>
    </row>
    <row r="24" customFormat="false" ht="15" hidden="false" customHeight="true" outlineLevel="0" collapsed="false">
      <c r="A24" s="9" t="s">
        <v>122</v>
      </c>
      <c r="B24" s="23" t="n">
        <f aca="false">Curves!Q77</f>
        <v>0.954991103789659</v>
      </c>
      <c r="C24" s="23" t="n">
        <f aca="false">Curves!Q78</f>
        <v>0.96434631914572</v>
      </c>
      <c r="D24" s="43" t="n">
        <f aca="false">SABR!AT130</f>
        <v>0.411928432857369</v>
      </c>
      <c r="E24" s="23" t="n">
        <f aca="false">Curves!Q79</f>
        <v>0.952137896569466</v>
      </c>
      <c r="F24" s="23" t="n">
        <f aca="false">Curves!Q80</f>
        <v>0.944482088523894</v>
      </c>
      <c r="G24" s="23" t="n">
        <f aca="false">Curves!Q81</f>
        <v>0.958612050918359</v>
      </c>
      <c r="H24" s="23" t="n">
        <f aca="false">Curves!Q82</f>
        <v>0.958736934866277</v>
      </c>
      <c r="I24" s="42" t="n">
        <f aca="false">$B$4*B24*(C24/$B$8)*(1+0.5*(D24-$B$13))*(AVERAGE(E24,F24,G24)/B24)*(H24/$B$12)</f>
        <v>9507090.31956645</v>
      </c>
    </row>
    <row r="25" customFormat="false" ht="15" hidden="false" customHeight="true" outlineLevel="0" collapsed="false">
      <c r="A25" s="9" t="s">
        <v>123</v>
      </c>
      <c r="B25" s="23" t="n">
        <f aca="false">Curves!Q85</f>
        <v>0.954631571739291</v>
      </c>
      <c r="C25" s="23" t="n">
        <f aca="false">Curves!Q86</f>
        <v>0.963898937861947</v>
      </c>
      <c r="D25" s="43" t="n">
        <f aca="false">SABR!AT144</f>
        <v>0.417726110712245</v>
      </c>
      <c r="E25" s="23" t="n">
        <f aca="false">Curves!Q87</f>
        <v>0.951644904713199</v>
      </c>
      <c r="F25" s="23" t="n">
        <f aca="false">Curves!Q88</f>
        <v>0.950115469489328</v>
      </c>
      <c r="G25" s="23" t="n">
        <f aca="false">Curves!Q89</f>
        <v>0.957808375985025</v>
      </c>
      <c r="H25" s="23" t="n">
        <f aca="false">Curves!Q90</f>
        <v>0.956260628257328</v>
      </c>
      <c r="I25" s="42" t="n">
        <f aca="false">$B$4*B25*(C25/$B$8)*(1+0.5*(D25-$B$13))*(AVERAGE(E25,F25,G25)/B25)*(H25/$B$12)</f>
        <v>9519882.67730916</v>
      </c>
    </row>
    <row r="26" customFormat="false" ht="15" hidden="false" customHeight="true" outlineLevel="0" collapsed="false">
      <c r="A26" s="9" t="s">
        <v>124</v>
      </c>
      <c r="B26" s="23" t="n">
        <f aca="false">Curves!Q93</f>
        <v>0.950859692250137</v>
      </c>
      <c r="C26" s="23" t="n">
        <f aca="false">Curves!Q94</f>
        <v>0.972017712190285</v>
      </c>
      <c r="D26" s="43" t="n">
        <f aca="false">SABR!AT158</f>
        <v>0.415066202564148</v>
      </c>
      <c r="E26" s="23" t="n">
        <f aca="false">Curves!Q95</f>
        <v>0.950824572103433</v>
      </c>
      <c r="F26" s="23" t="n">
        <f aca="false">Curves!Q96</f>
        <v>0.942346869047631</v>
      </c>
      <c r="G26" s="23" t="n">
        <f aca="false">Curves!Q97</f>
        <v>0.957056963924134</v>
      </c>
      <c r="H26" s="23" t="n">
        <f aca="false">Curves!Q98</f>
        <v>0.960229712665626</v>
      </c>
      <c r="I26" s="42" t="n">
        <f aca="false">$B$4*B26*(C26/$B$8)*(1+0.5*(D26-$B$13))*(AVERAGE(E26,F26,G26)/B26)*(H26/$B$12)</f>
        <v>9595761.09233375</v>
      </c>
    </row>
    <row r="27" customFormat="false" ht="15" hidden="false" customHeight="true" outlineLevel="0" collapsed="false">
      <c r="A27" s="9" t="s">
        <v>125</v>
      </c>
      <c r="B27" s="23" t="n">
        <f aca="false">Curves!Q101</f>
        <v>0.950629998326299</v>
      </c>
      <c r="C27" s="23" t="n">
        <f aca="false">Curves!Q102</f>
        <v>0.963171513076289</v>
      </c>
      <c r="D27" s="43" t="n">
        <f aca="false">SABR!AT172</f>
        <v>0.417862506985643</v>
      </c>
      <c r="E27" s="23" t="n">
        <f aca="false">Curves!Q103</f>
        <v>0.950069418905633</v>
      </c>
      <c r="F27" s="23" t="n">
        <f aca="false">Curves!Q104</f>
        <v>0.941085187512815</v>
      </c>
      <c r="G27" s="23" t="n">
        <f aca="false">Curves!Q105</f>
        <v>0.956168103382636</v>
      </c>
      <c r="H27" s="23" t="n">
        <f aca="false">Curves!Q106</f>
        <v>0.955591148630945</v>
      </c>
      <c r="I27" s="42" t="n">
        <f aca="false">$B$4*B27*(C27/$B$8)*(1+0.5*(D27-$B$13))*(AVERAGE(E27,F27,G27)/B27)*(H27/$B$12)</f>
        <v>9465968.836727</v>
      </c>
    </row>
    <row r="28" customFormat="false" ht="15" hidden="false" customHeight="true" outlineLevel="0" collapsed="false">
      <c r="A28" s="9" t="s">
        <v>126</v>
      </c>
      <c r="B28" s="23" t="n">
        <f aca="false">Curves!Q109</f>
        <v>0.949924622570429</v>
      </c>
      <c r="C28" s="23" t="n">
        <f aca="false">Curves!Q110</f>
        <v>0.972647724846082</v>
      </c>
      <c r="D28" s="43" t="n">
        <f aca="false">SABR!AT186</f>
        <v>0.421340306298811</v>
      </c>
      <c r="E28" s="23" t="n">
        <f aca="false">Curves!Q111</f>
        <v>0.957237796944819</v>
      </c>
      <c r="F28" s="23" t="n">
        <f aca="false">Curves!Q112</f>
        <v>0.94825631913984</v>
      </c>
      <c r="G28" s="23" t="n">
        <f aca="false">Curves!Q113</f>
        <v>0.966039723186702</v>
      </c>
      <c r="H28" s="23" t="n">
        <f aca="false">Curves!Q114</f>
        <v>0.955213344747142</v>
      </c>
      <c r="I28" s="42" t="n">
        <f aca="false">$B$4*B28*(C28/$B$8)*(1+0.5*(D28-$B$13))*(AVERAGE(E28,F28,G28)/B28)*(H28/$B$12)</f>
        <v>9653177.90201575</v>
      </c>
    </row>
    <row r="31" customFormat="false" ht="15" hidden="false" customHeight="true" outlineLevel="0" collapsed="false">
      <c r="A31" s="44" t="s">
        <v>189</v>
      </c>
      <c r="B31" s="44"/>
      <c r="C31" s="44"/>
      <c r="D31" s="44"/>
      <c r="E31" s="44"/>
      <c r="F31" s="44"/>
      <c r="G31" s="44"/>
      <c r="H31" s="44"/>
      <c r="I31" s="44"/>
    </row>
    <row r="32" customFormat="false" ht="26.25" hidden="false" customHeight="true" outlineLevel="0" collapsed="false">
      <c r="A32" s="22" t="s">
        <v>179</v>
      </c>
      <c r="B32" s="22" t="s">
        <v>180</v>
      </c>
      <c r="C32" s="22" t="s">
        <v>181</v>
      </c>
      <c r="D32" s="22" t="s">
        <v>182</v>
      </c>
      <c r="E32" s="22" t="s">
        <v>183</v>
      </c>
      <c r="F32" s="22" t="s">
        <v>184</v>
      </c>
      <c r="G32" s="22" t="s">
        <v>185</v>
      </c>
      <c r="H32" s="22" t="s">
        <v>186</v>
      </c>
      <c r="I32" s="22" t="s">
        <v>187</v>
      </c>
    </row>
    <row r="33" customFormat="false" ht="15" hidden="false" customHeight="true" outlineLevel="0" collapsed="false">
      <c r="A33" s="4" t="s">
        <v>188</v>
      </c>
      <c r="B33" s="31" t="n">
        <f aca="false">$B$7</f>
        <v>0.957768</v>
      </c>
      <c r="C33" s="31" t="n">
        <f aca="false">$B$8</f>
        <v>0.96933</v>
      </c>
      <c r="D33" s="31" t="n">
        <f aca="false">$B$13</f>
        <v>0.39978211956629</v>
      </c>
      <c r="E33" s="31" t="n">
        <f aca="false">$B$9</f>
        <v>0.958726</v>
      </c>
      <c r="F33" s="31" t="n">
        <f aca="false">$B$10</f>
        <v>0.954899</v>
      </c>
      <c r="G33" s="31" t="n">
        <f aca="false">$B$11</f>
        <v>0.967393</v>
      </c>
      <c r="H33" s="31" t="n">
        <f aca="false">$B$12</f>
        <v>0.960645</v>
      </c>
      <c r="I33" s="42" t="n">
        <f aca="false">$B$4*B33*(C33/$B$8)*(1+0.5*(D33-$B$13))*(AVERAGE(E33,F33,G33)/B33)*(H33/$B$12)</f>
        <v>9603393.33333333</v>
      </c>
    </row>
    <row r="34" customFormat="false" ht="15" hidden="false" customHeight="true" outlineLevel="0" collapsed="false">
      <c r="A34" s="9" t="s">
        <v>117</v>
      </c>
      <c r="B34" s="23" t="n">
        <f aca="false">Curves!Q37</f>
        <v>0.95645567308242</v>
      </c>
      <c r="C34" s="23" t="n">
        <f aca="false">Curves!Q38</f>
        <v>0.968268575053369</v>
      </c>
      <c r="D34" s="43" t="n">
        <f aca="false">SABR!AT60</f>
        <v>0.406538537771067</v>
      </c>
      <c r="E34" s="31" t="n">
        <f aca="false">$B$9</f>
        <v>0.958726</v>
      </c>
      <c r="F34" s="31" t="n">
        <f aca="false">$B$10</f>
        <v>0.954899</v>
      </c>
      <c r="G34" s="31" t="n">
        <f aca="false">$B$11</f>
        <v>0.967393</v>
      </c>
      <c r="H34" s="31" t="n">
        <f aca="false">$B$12</f>
        <v>0.960645</v>
      </c>
      <c r="I34" s="42" t="n">
        <f aca="false">$B$4*B34*(C34/$B$8)*(1+0.5*(D34-$B$13))*(AVERAGE(E34,F34,G34)/B34)*(H34/$B$12)</f>
        <v>9625284.27866264</v>
      </c>
    </row>
    <row r="35" customFormat="false" ht="15" hidden="false" customHeight="true" outlineLevel="0" collapsed="false">
      <c r="A35" s="9" t="s">
        <v>118</v>
      </c>
      <c r="B35" s="23" t="n">
        <f aca="false">Curves!Q45</f>
        <v>0.953984470417811</v>
      </c>
      <c r="C35" s="23" t="n">
        <f aca="false">Curves!Q46</f>
        <v>0.968938897143004</v>
      </c>
      <c r="D35" s="43" t="n">
        <f aca="false">SABR!AT74</f>
        <v>0.408312583119033</v>
      </c>
      <c r="E35" s="31" t="n">
        <f aca="false">$B$9</f>
        <v>0.958726</v>
      </c>
      <c r="F35" s="31" t="n">
        <f aca="false">$B$10</f>
        <v>0.954899</v>
      </c>
      <c r="G35" s="31" t="n">
        <f aca="false">$B$11</f>
        <v>0.967393</v>
      </c>
      <c r="H35" s="31" t="n">
        <f aca="false">$B$12</f>
        <v>0.960645</v>
      </c>
      <c r="I35" s="42" t="n">
        <f aca="false">$B$4*B35*(C35/$B$8)*(1+0.5*(D35-$B$13))*(AVERAGE(E35,F35,G35)/B35)*(H35/$B$12)</f>
        <v>9640462.75176721</v>
      </c>
    </row>
    <row r="36" customFormat="false" ht="15" hidden="false" customHeight="true" outlineLevel="0" collapsed="false">
      <c r="A36" s="9" t="s">
        <v>119</v>
      </c>
      <c r="B36" s="23" t="n">
        <f aca="false">Curves!Q53</f>
        <v>0.953428257833193</v>
      </c>
      <c r="C36" s="23" t="n">
        <f aca="false">Curves!Q54</f>
        <v>0.967699452636081</v>
      </c>
      <c r="D36" s="43" t="n">
        <f aca="false">SABR!AT88</f>
        <v>0.407971432425642</v>
      </c>
      <c r="E36" s="31" t="n">
        <f aca="false">$B$9</f>
        <v>0.958726</v>
      </c>
      <c r="F36" s="31" t="n">
        <f aca="false">$B$10</f>
        <v>0.954899</v>
      </c>
      <c r="G36" s="31" t="n">
        <f aca="false">$B$11</f>
        <v>0.967393</v>
      </c>
      <c r="H36" s="31" t="n">
        <f aca="false">$B$12</f>
        <v>0.960645</v>
      </c>
      <c r="I36" s="42" t="n">
        <f aca="false">$B$4*B36*(C36/$B$8)*(1+0.5*(D36-$B$13))*(AVERAGE(E36,F36,G36)/B36)*(H36/$B$12)</f>
        <v>9626495.5453682</v>
      </c>
    </row>
    <row r="37" customFormat="false" ht="15" hidden="false" customHeight="true" outlineLevel="0" collapsed="false">
      <c r="A37" s="9" t="s">
        <v>120</v>
      </c>
      <c r="B37" s="23" t="n">
        <f aca="false">Curves!Q61</f>
        <v>0.953041785744194</v>
      </c>
      <c r="C37" s="23" t="n">
        <f aca="false">Curves!Q62</f>
        <v>0.965269080950153</v>
      </c>
      <c r="D37" s="43" t="n">
        <f aca="false">SABR!AT102</f>
        <v>0.413770225261134</v>
      </c>
      <c r="E37" s="31" t="n">
        <f aca="false">$B$9</f>
        <v>0.958726</v>
      </c>
      <c r="F37" s="31" t="n">
        <f aca="false">$B$10</f>
        <v>0.954899</v>
      </c>
      <c r="G37" s="31" t="n">
        <f aca="false">$B$11</f>
        <v>0.967393</v>
      </c>
      <c r="H37" s="31" t="n">
        <f aca="false">$B$12</f>
        <v>0.960645</v>
      </c>
      <c r="I37" s="42" t="n">
        <f aca="false">$B$4*B37*(C37/$B$8)*(1+0.5*(D37-$B$13))*(AVERAGE(E37,F37,G37)/B37)*(H37/$B$12)</f>
        <v>9630046.0505749</v>
      </c>
    </row>
    <row r="38" customFormat="false" ht="15" hidden="false" customHeight="true" outlineLevel="0" collapsed="false">
      <c r="A38" s="9" t="s">
        <v>121</v>
      </c>
      <c r="B38" s="23" t="n">
        <f aca="false">Curves!Q69</f>
        <v>0.955487984146696</v>
      </c>
      <c r="C38" s="23" t="n">
        <f aca="false">Curves!Q70</f>
        <v>0.964836228667716</v>
      </c>
      <c r="D38" s="43" t="n">
        <f aca="false">SABR!AT116</f>
        <v>0.41063225788842</v>
      </c>
      <c r="E38" s="31" t="n">
        <f aca="false">$B$9</f>
        <v>0.958726</v>
      </c>
      <c r="F38" s="31" t="n">
        <f aca="false">$B$10</f>
        <v>0.954899</v>
      </c>
      <c r="G38" s="31" t="n">
        <f aca="false">$B$11</f>
        <v>0.967393</v>
      </c>
      <c r="H38" s="31" t="n">
        <f aca="false">$B$12</f>
        <v>0.960645</v>
      </c>
      <c r="I38" s="42" t="n">
        <f aca="false">$B$4*B38*(C38/$B$8)*(1+0.5*(D38-$B$13))*(AVERAGE(E38,F38,G38)/B38)*(H38/$B$12)</f>
        <v>9610729.96736938</v>
      </c>
    </row>
    <row r="39" customFormat="false" ht="15" hidden="false" customHeight="true" outlineLevel="0" collapsed="false">
      <c r="A39" s="9" t="s">
        <v>122</v>
      </c>
      <c r="B39" s="23" t="n">
        <f aca="false">Curves!Q77</f>
        <v>0.954991103789659</v>
      </c>
      <c r="C39" s="23" t="n">
        <f aca="false">Curves!Q78</f>
        <v>0.96434631914572</v>
      </c>
      <c r="D39" s="43" t="n">
        <f aca="false">SABR!AT130</f>
        <v>0.411928432857369</v>
      </c>
      <c r="E39" s="31" t="n">
        <f aca="false">$B$9</f>
        <v>0.958726</v>
      </c>
      <c r="F39" s="31" t="n">
        <f aca="false">$B$10</f>
        <v>0.954899</v>
      </c>
      <c r="G39" s="31" t="n">
        <f aca="false">$B$11</f>
        <v>0.967393</v>
      </c>
      <c r="H39" s="31" t="n">
        <f aca="false">$B$12</f>
        <v>0.960645</v>
      </c>
      <c r="I39" s="42" t="n">
        <f aca="false">$B$4*B39*(C39/$B$8)*(1+0.5*(D39-$B$13))*(AVERAGE(E39,F39,G39)/B39)*(H39/$B$12)</f>
        <v>9612041.82049268</v>
      </c>
    </row>
    <row r="40" customFormat="false" ht="15" hidden="false" customHeight="true" outlineLevel="0" collapsed="false">
      <c r="A40" s="9" t="s">
        <v>123</v>
      </c>
      <c r="B40" s="23" t="n">
        <f aca="false">Curves!Q85</f>
        <v>0.954631571739291</v>
      </c>
      <c r="C40" s="23" t="n">
        <f aca="false">Curves!Q86</f>
        <v>0.963898937861947</v>
      </c>
      <c r="D40" s="43" t="n">
        <f aca="false">SABR!AT144</f>
        <v>0.417726110712245</v>
      </c>
      <c r="E40" s="31" t="n">
        <f aca="false">$B$9</f>
        <v>0.958726</v>
      </c>
      <c r="F40" s="31" t="n">
        <f aca="false">$B$10</f>
        <v>0.954899</v>
      </c>
      <c r="G40" s="31" t="n">
        <f aca="false">$B$11</f>
        <v>0.967393</v>
      </c>
      <c r="H40" s="31" t="n">
        <f aca="false">$B$12</f>
        <v>0.960645</v>
      </c>
      <c r="I40" s="42" t="n">
        <f aca="false">$B$4*B40*(C40/$B$8)*(1+0.5*(D40-$B$13))*(AVERAGE(E40,F40,G40)/B40)*(H40/$B$12)</f>
        <v>9635265.29765711</v>
      </c>
    </row>
    <row r="41" customFormat="false" ht="15" hidden="false" customHeight="true" outlineLevel="0" collapsed="false">
      <c r="A41" s="9" t="s">
        <v>124</v>
      </c>
      <c r="B41" s="23" t="n">
        <f aca="false">Curves!Q93</f>
        <v>0.950859692250137</v>
      </c>
      <c r="C41" s="23" t="n">
        <f aca="false">Curves!Q94</f>
        <v>0.972017712190285</v>
      </c>
      <c r="D41" s="43" t="n">
        <f aca="false">SABR!AT158</f>
        <v>0.415066202564148</v>
      </c>
      <c r="E41" s="31" t="n">
        <f aca="false">$B$9</f>
        <v>0.958726</v>
      </c>
      <c r="F41" s="31" t="n">
        <f aca="false">$B$10</f>
        <v>0.954899</v>
      </c>
      <c r="G41" s="31" t="n">
        <f aca="false">$B$11</f>
        <v>0.967393</v>
      </c>
      <c r="H41" s="31" t="n">
        <f aca="false">$B$12</f>
        <v>0.960645</v>
      </c>
      <c r="I41" s="42" t="n">
        <f aca="false">$B$4*B41*(C41/$B$8)*(1+0.5*(D41-$B$13))*(AVERAGE(E41,F41,G41)/B41)*(H41/$B$12)</f>
        <v>9703614.18768897</v>
      </c>
    </row>
    <row r="42" customFormat="false" ht="15" hidden="false" customHeight="true" outlineLevel="0" collapsed="false">
      <c r="A42" s="9" t="s">
        <v>125</v>
      </c>
      <c r="B42" s="23" t="n">
        <f aca="false">Curves!Q101</f>
        <v>0.950629998326299</v>
      </c>
      <c r="C42" s="23" t="n">
        <f aca="false">Curves!Q102</f>
        <v>0.963171513076289</v>
      </c>
      <c r="D42" s="43" t="n">
        <f aca="false">SABR!AT172</f>
        <v>0.417862506985643</v>
      </c>
      <c r="E42" s="31" t="n">
        <f aca="false">$B$9</f>
        <v>0.958726</v>
      </c>
      <c r="F42" s="31" t="n">
        <f aca="false">$B$10</f>
        <v>0.954899</v>
      </c>
      <c r="G42" s="31" t="n">
        <f aca="false">$B$11</f>
        <v>0.967393</v>
      </c>
      <c r="H42" s="31" t="n">
        <f aca="false">$B$12</f>
        <v>0.960645</v>
      </c>
      <c r="I42" s="42" t="n">
        <f aca="false">$B$4*B42*(C42/$B$8)*(1+0.5*(D42-$B$13))*(AVERAGE(E42,F42,G42)/B42)*(H42/$B$12)</f>
        <v>9628644.63276283</v>
      </c>
    </row>
    <row r="43" customFormat="false" ht="15" hidden="false" customHeight="true" outlineLevel="0" collapsed="false">
      <c r="A43" s="9" t="s">
        <v>126</v>
      </c>
      <c r="B43" s="23" t="n">
        <f aca="false">Curves!Q109</f>
        <v>0.949924622570429</v>
      </c>
      <c r="C43" s="23" t="n">
        <f aca="false">Curves!Q110</f>
        <v>0.972647724846082</v>
      </c>
      <c r="D43" s="43" t="n">
        <f aca="false">SABR!AT186</f>
        <v>0.421340306298811</v>
      </c>
      <c r="E43" s="31" t="n">
        <f aca="false">$B$9</f>
        <v>0.958726</v>
      </c>
      <c r="F43" s="31" t="n">
        <f aca="false">$B$10</f>
        <v>0.954899</v>
      </c>
      <c r="G43" s="31" t="n">
        <f aca="false">$B$11</f>
        <v>0.967393</v>
      </c>
      <c r="H43" s="31" t="n">
        <f aca="false">$B$12</f>
        <v>0.960645</v>
      </c>
      <c r="I43" s="42" t="n">
        <f aca="false">$B$4*B43*(C43/$B$8)*(1+0.5*(D43-$B$13))*(AVERAGE(E43,F43,G43)/B43)*(H43/$B$12)</f>
        <v>9740133.0353856</v>
      </c>
    </row>
    <row r="46" customFormat="false" ht="15" hidden="false" customHeight="true" outlineLevel="0" collapsed="false">
      <c r="A46" s="45" t="s">
        <v>190</v>
      </c>
      <c r="B46" s="45"/>
      <c r="C46" s="45"/>
      <c r="D46" s="45"/>
      <c r="E46" s="45"/>
      <c r="F46" s="45"/>
      <c r="G46" s="45"/>
      <c r="H46" s="45"/>
      <c r="I46" s="45"/>
    </row>
    <row r="47" customFormat="false" ht="26.25" hidden="false" customHeight="true" outlineLevel="0" collapsed="false">
      <c r="A47" s="22" t="s">
        <v>179</v>
      </c>
      <c r="B47" s="22" t="s">
        <v>180</v>
      </c>
      <c r="C47" s="22" t="s">
        <v>181</v>
      </c>
      <c r="D47" s="22" t="s">
        <v>182</v>
      </c>
      <c r="E47" s="22" t="s">
        <v>183</v>
      </c>
      <c r="F47" s="22" t="s">
        <v>184</v>
      </c>
      <c r="G47" s="22" t="s">
        <v>185</v>
      </c>
      <c r="H47" s="22" t="s">
        <v>186</v>
      </c>
      <c r="I47" s="22" t="s">
        <v>187</v>
      </c>
    </row>
    <row r="48" customFormat="false" ht="15" hidden="false" customHeight="true" outlineLevel="0" collapsed="false">
      <c r="A48" s="4" t="s">
        <v>188</v>
      </c>
      <c r="B48" s="31" t="n">
        <f aca="false">$B$7</f>
        <v>0.957768</v>
      </c>
      <c r="C48" s="31" t="n">
        <f aca="false">$B$8</f>
        <v>0.96933</v>
      </c>
      <c r="D48" s="31" t="n">
        <f aca="false">$B$13</f>
        <v>0.39978211956629</v>
      </c>
      <c r="E48" s="31" t="n">
        <f aca="false">$B$9</f>
        <v>0.958726</v>
      </c>
      <c r="F48" s="31" t="n">
        <f aca="false">$B$10</f>
        <v>0.954899</v>
      </c>
      <c r="G48" s="31" t="n">
        <f aca="false">$B$11</f>
        <v>0.967393</v>
      </c>
      <c r="H48" s="31" t="n">
        <f aca="false">$B$12</f>
        <v>0.960645</v>
      </c>
      <c r="I48" s="42" t="n">
        <f aca="false">$B$4*B48*(C48/$B$8)*(1+0.5*(D48-$B$13))*(AVERAGE(E48,F48,G48)/B48)*(H48/$B$12)</f>
        <v>9603393.33333333</v>
      </c>
    </row>
    <row r="49" customFormat="false" ht="15" hidden="false" customHeight="true" outlineLevel="0" collapsed="false">
      <c r="A49" s="9" t="s">
        <v>117</v>
      </c>
      <c r="B49" s="31" t="n">
        <f aca="false">$B$7</f>
        <v>0.957768</v>
      </c>
      <c r="C49" s="31" t="n">
        <f aca="false">$B$8</f>
        <v>0.96933</v>
      </c>
      <c r="D49" s="24" t="n">
        <f aca="false">$B$13</f>
        <v>0.39978211956629</v>
      </c>
      <c r="E49" s="23" t="n">
        <f aca="false">Curves!Q39</f>
        <v>0.958061825595622</v>
      </c>
      <c r="F49" s="23" t="n">
        <f aca="false">Curves!Q40</f>
        <v>0.949311346582243</v>
      </c>
      <c r="G49" s="23" t="n">
        <f aca="false">Curves!Q41</f>
        <v>0.962297088758501</v>
      </c>
      <c r="H49" s="31" t="n">
        <f aca="false">$B$12</f>
        <v>0.960645</v>
      </c>
      <c r="I49" s="42" t="n">
        <f aca="false">$B$4*B49*(C49/$B$8)*(1+0.5*(D49-$B$13))*(AVERAGE(E49,F49,G49)/B49)*(H49/$B$12)</f>
        <v>9565567.53645455</v>
      </c>
    </row>
    <row r="50" customFormat="false" ht="15" hidden="false" customHeight="true" outlineLevel="0" collapsed="false">
      <c r="A50" s="9" t="s">
        <v>118</v>
      </c>
      <c r="B50" s="31" t="n">
        <f aca="false">$B$7</f>
        <v>0.957768</v>
      </c>
      <c r="C50" s="31" t="n">
        <f aca="false">$B$8</f>
        <v>0.96933</v>
      </c>
      <c r="D50" s="24" t="n">
        <f aca="false">$B$13</f>
        <v>0.39978211956629</v>
      </c>
      <c r="E50" s="23" t="n">
        <f aca="false">Curves!Q47</f>
        <v>0.954588922832977</v>
      </c>
      <c r="F50" s="23" t="n">
        <f aca="false">Curves!Q48</f>
        <v>0.952091864437955</v>
      </c>
      <c r="G50" s="23" t="n">
        <f aca="false">Curves!Q49</f>
        <v>0.964955584066973</v>
      </c>
      <c r="H50" s="31" t="n">
        <f aca="false">$B$12</f>
        <v>0.960645</v>
      </c>
      <c r="I50" s="42" t="n">
        <f aca="false">$B$4*B50*(C50/$B$8)*(1+0.5*(D50-$B$13))*(AVERAGE(E50,F50,G50)/B50)*(H50/$B$12)</f>
        <v>9572121.23779302</v>
      </c>
    </row>
    <row r="51" customFormat="false" ht="15" hidden="false" customHeight="true" outlineLevel="0" collapsed="false">
      <c r="A51" s="9" t="s">
        <v>119</v>
      </c>
      <c r="B51" s="31" t="n">
        <f aca="false">$B$7</f>
        <v>0.957768</v>
      </c>
      <c r="C51" s="31" t="n">
        <f aca="false">$B$8</f>
        <v>0.96933</v>
      </c>
      <c r="D51" s="24" t="n">
        <f aca="false">$B$13</f>
        <v>0.39978211956629</v>
      </c>
      <c r="E51" s="23" t="n">
        <f aca="false">Curves!Q55</f>
        <v>0.954008957495664</v>
      </c>
      <c r="F51" s="23" t="n">
        <f aca="false">Curves!Q56</f>
        <v>0.953612707835657</v>
      </c>
      <c r="G51" s="23" t="n">
        <f aca="false">Curves!Q57</f>
        <v>0.961223663488055</v>
      </c>
      <c r="H51" s="31" t="n">
        <f aca="false">$B$12</f>
        <v>0.960645</v>
      </c>
      <c r="I51" s="42" t="n">
        <f aca="false">$B$4*B51*(C51/$B$8)*(1+0.5*(D51-$B$13))*(AVERAGE(E51,F51,G51)/B51)*(H51/$B$12)</f>
        <v>9562817.76273125</v>
      </c>
    </row>
    <row r="52" customFormat="false" ht="15" hidden="false" customHeight="true" outlineLevel="0" collapsed="false">
      <c r="A52" s="9" t="s">
        <v>120</v>
      </c>
      <c r="B52" s="31" t="n">
        <f aca="false">$B$7</f>
        <v>0.957768</v>
      </c>
      <c r="C52" s="31" t="n">
        <f aca="false">$B$8</f>
        <v>0.96933</v>
      </c>
      <c r="D52" s="24" t="n">
        <f aca="false">$B$13</f>
        <v>0.39978211956629</v>
      </c>
      <c r="E52" s="23" t="n">
        <f aca="false">Curves!Q63</f>
        <v>0.95320762385314</v>
      </c>
      <c r="F52" s="23" t="n">
        <f aca="false">Curves!Q64</f>
        <v>0.946234479809646</v>
      </c>
      <c r="G52" s="23" t="n">
        <f aca="false">Curves!Q65</f>
        <v>0.960336700770215</v>
      </c>
      <c r="H52" s="31" t="n">
        <f aca="false">$B$12</f>
        <v>0.960645</v>
      </c>
      <c r="I52" s="42" t="n">
        <f aca="false">$B$4*B52*(C52/$B$8)*(1+0.5*(D52-$B$13))*(AVERAGE(E52,F52,G52)/B52)*(H52/$B$12)</f>
        <v>9532596.01477667</v>
      </c>
    </row>
    <row r="53" customFormat="false" ht="15" hidden="false" customHeight="true" outlineLevel="0" collapsed="false">
      <c r="A53" s="9" t="s">
        <v>121</v>
      </c>
      <c r="B53" s="31" t="n">
        <f aca="false">$B$7</f>
        <v>0.957768</v>
      </c>
      <c r="C53" s="31" t="n">
        <f aca="false">$B$8</f>
        <v>0.96933</v>
      </c>
      <c r="D53" s="24" t="n">
        <f aca="false">$B$13</f>
        <v>0.39978211956629</v>
      </c>
      <c r="E53" s="23" t="n">
        <f aca="false">Curves!Q71</f>
        <v>0.9563957060858</v>
      </c>
      <c r="F53" s="23" t="n">
        <f aca="false">Curves!Q72</f>
        <v>0.945344255389449</v>
      </c>
      <c r="G53" s="23" t="n">
        <f aca="false">Curves!Q73</f>
        <v>0.960043506585016</v>
      </c>
      <c r="H53" s="31" t="n">
        <f aca="false">$B$12</f>
        <v>0.960645</v>
      </c>
      <c r="I53" s="42" t="n">
        <f aca="false">$B$4*B53*(C53/$B$8)*(1+0.5*(D53-$B$13))*(AVERAGE(E53,F53,G53)/B53)*(H53/$B$12)</f>
        <v>9539278.22686755</v>
      </c>
    </row>
    <row r="54" customFormat="false" ht="15" hidden="false" customHeight="true" outlineLevel="0" collapsed="false">
      <c r="A54" s="9" t="s">
        <v>122</v>
      </c>
      <c r="B54" s="31" t="n">
        <f aca="false">$B$7</f>
        <v>0.957768</v>
      </c>
      <c r="C54" s="31" t="n">
        <f aca="false">$B$8</f>
        <v>0.96933</v>
      </c>
      <c r="D54" s="24" t="n">
        <f aca="false">$B$13</f>
        <v>0.39978211956629</v>
      </c>
      <c r="E54" s="23" t="n">
        <f aca="false">Curves!Q79</f>
        <v>0.952137896569466</v>
      </c>
      <c r="F54" s="23" t="n">
        <f aca="false">Curves!Q80</f>
        <v>0.944482088523894</v>
      </c>
      <c r="G54" s="23" t="n">
        <f aca="false">Curves!Q81</f>
        <v>0.958612050918359</v>
      </c>
      <c r="H54" s="31" t="n">
        <f aca="false">$B$12</f>
        <v>0.960645</v>
      </c>
      <c r="I54" s="42" t="n">
        <f aca="false">$B$4*B54*(C54/$B$8)*(1+0.5*(D54-$B$13))*(AVERAGE(E54,F54,G54)/B54)*(H54/$B$12)</f>
        <v>9517440.12003906</v>
      </c>
    </row>
    <row r="55" customFormat="false" ht="15" hidden="false" customHeight="true" outlineLevel="0" collapsed="false">
      <c r="A55" s="9" t="s">
        <v>123</v>
      </c>
      <c r="B55" s="31" t="n">
        <f aca="false">$B$7</f>
        <v>0.957768</v>
      </c>
      <c r="C55" s="31" t="n">
        <f aca="false">$B$8</f>
        <v>0.96933</v>
      </c>
      <c r="D55" s="24" t="n">
        <f aca="false">$B$13</f>
        <v>0.39978211956629</v>
      </c>
      <c r="E55" s="23" t="n">
        <f aca="false">Curves!Q87</f>
        <v>0.951644904713199</v>
      </c>
      <c r="F55" s="23" t="n">
        <f aca="false">Curves!Q88</f>
        <v>0.950115469489328</v>
      </c>
      <c r="G55" s="23" t="n">
        <f aca="false">Curves!Q89</f>
        <v>0.957808375985025</v>
      </c>
      <c r="H55" s="31" t="n">
        <f aca="false">$B$12</f>
        <v>0.960645</v>
      </c>
      <c r="I55" s="42" t="n">
        <f aca="false">$B$4*B55*(C55/$B$8)*(1+0.5*(D55-$B$13))*(AVERAGE(E55,F55,G55)/B55)*(H55/$B$12)</f>
        <v>9531895.83395851</v>
      </c>
    </row>
    <row r="56" customFormat="false" ht="15" hidden="false" customHeight="true" outlineLevel="0" collapsed="false">
      <c r="A56" s="9" t="s">
        <v>124</v>
      </c>
      <c r="B56" s="31" t="n">
        <f aca="false">$B$7</f>
        <v>0.957768</v>
      </c>
      <c r="C56" s="31" t="n">
        <f aca="false">$B$8</f>
        <v>0.96933</v>
      </c>
      <c r="D56" s="24" t="n">
        <f aca="false">$B$13</f>
        <v>0.39978211956629</v>
      </c>
      <c r="E56" s="23" t="n">
        <f aca="false">Curves!Q95</f>
        <v>0.950824572103433</v>
      </c>
      <c r="F56" s="23" t="n">
        <f aca="false">Curves!Q96</f>
        <v>0.942346869047631</v>
      </c>
      <c r="G56" s="23" t="n">
        <f aca="false">Curves!Q97</f>
        <v>0.957056963924134</v>
      </c>
      <c r="H56" s="31" t="n">
        <f aca="false">$B$12</f>
        <v>0.960645</v>
      </c>
      <c r="I56" s="42" t="n">
        <f aca="false">$B$4*B56*(C56/$B$8)*(1+0.5*(D56-$B$13))*(AVERAGE(E56,F56,G56)/B56)*(H56/$B$12)</f>
        <v>9500761.35025066</v>
      </c>
    </row>
    <row r="57" customFormat="false" ht="15" hidden="false" customHeight="true" outlineLevel="0" collapsed="false">
      <c r="A57" s="9" t="s">
        <v>125</v>
      </c>
      <c r="B57" s="31" t="n">
        <f aca="false">$B$7</f>
        <v>0.957768</v>
      </c>
      <c r="C57" s="31" t="n">
        <f aca="false">$B$8</f>
        <v>0.96933</v>
      </c>
      <c r="D57" s="24" t="n">
        <f aca="false">$B$13</f>
        <v>0.39978211956629</v>
      </c>
      <c r="E57" s="23" t="n">
        <f aca="false">Curves!Q103</f>
        <v>0.950069418905633</v>
      </c>
      <c r="F57" s="23" t="n">
        <f aca="false">Curves!Q104</f>
        <v>0.941085187512815</v>
      </c>
      <c r="G57" s="23" t="n">
        <f aca="false">Curves!Q105</f>
        <v>0.956168103382636</v>
      </c>
      <c r="H57" s="31" t="n">
        <f aca="false">$B$12</f>
        <v>0.960645</v>
      </c>
      <c r="I57" s="42" t="n">
        <f aca="false">$B$4*B57*(C57/$B$8)*(1+0.5*(D57-$B$13))*(AVERAGE(E57,F57,G57)/B57)*(H57/$B$12)</f>
        <v>9491075.69933695</v>
      </c>
    </row>
    <row r="58" customFormat="false" ht="15" hidden="false" customHeight="true" outlineLevel="0" collapsed="false">
      <c r="A58" s="9" t="s">
        <v>126</v>
      </c>
      <c r="B58" s="31" t="n">
        <f aca="false">$B$7</f>
        <v>0.957768</v>
      </c>
      <c r="C58" s="31" t="n">
        <f aca="false">$B$8</f>
        <v>0.96933</v>
      </c>
      <c r="D58" s="24" t="n">
        <f aca="false">$B$13</f>
        <v>0.39978211956629</v>
      </c>
      <c r="E58" s="23" t="n">
        <f aca="false">Curves!Q111</f>
        <v>0.957237796944819</v>
      </c>
      <c r="F58" s="23" t="n">
        <f aca="false">Curves!Q112</f>
        <v>0.94825631913984</v>
      </c>
      <c r="G58" s="23" t="n">
        <f aca="false">Curves!Q113</f>
        <v>0.966039723186702</v>
      </c>
      <c r="H58" s="31" t="n">
        <f aca="false">$B$12</f>
        <v>0.960645</v>
      </c>
      <c r="I58" s="42" t="n">
        <f aca="false">$B$4*B58*(C58/$B$8)*(1+0.5*(D58-$B$13))*(AVERAGE(E58,F58,G58)/B58)*(H58/$B$12)</f>
        <v>9571779.46423787</v>
      </c>
    </row>
    <row r="61" customFormat="false" ht="15" hidden="false" customHeight="true" outlineLevel="0" collapsed="false">
      <c r="A61" s="46" t="s">
        <v>191</v>
      </c>
      <c r="B61" s="46"/>
      <c r="C61" s="46"/>
      <c r="D61" s="46"/>
      <c r="E61" s="46"/>
      <c r="F61" s="46"/>
      <c r="G61" s="46"/>
      <c r="H61" s="46"/>
      <c r="I61" s="46"/>
    </row>
    <row r="62" customFormat="false" ht="26.25" hidden="false" customHeight="true" outlineLevel="0" collapsed="false">
      <c r="A62" s="22" t="s">
        <v>179</v>
      </c>
      <c r="B62" s="22" t="s">
        <v>180</v>
      </c>
      <c r="C62" s="22" t="s">
        <v>181</v>
      </c>
      <c r="D62" s="22" t="s">
        <v>182</v>
      </c>
      <c r="E62" s="22" t="s">
        <v>183</v>
      </c>
      <c r="F62" s="22" t="s">
        <v>184</v>
      </c>
      <c r="G62" s="22" t="s">
        <v>185</v>
      </c>
      <c r="H62" s="22" t="s">
        <v>186</v>
      </c>
      <c r="I62" s="22" t="s">
        <v>187</v>
      </c>
    </row>
    <row r="63" customFormat="false" ht="15" hidden="false" customHeight="true" outlineLevel="0" collapsed="false">
      <c r="A63" s="4" t="s">
        <v>188</v>
      </c>
      <c r="B63" s="31" t="n">
        <f aca="false">$B$7</f>
        <v>0.957768</v>
      </c>
      <c r="C63" s="31" t="n">
        <f aca="false">$B$8</f>
        <v>0.96933</v>
      </c>
      <c r="D63" s="31" t="n">
        <f aca="false">$B$13</f>
        <v>0.39978211956629</v>
      </c>
      <c r="E63" s="31" t="n">
        <f aca="false">$B$9</f>
        <v>0.958726</v>
      </c>
      <c r="F63" s="31" t="n">
        <f aca="false">$B$10</f>
        <v>0.954899</v>
      </c>
      <c r="G63" s="31" t="n">
        <f aca="false">$B$11</f>
        <v>0.967393</v>
      </c>
      <c r="H63" s="31" t="n">
        <f aca="false">$B$12</f>
        <v>0.960645</v>
      </c>
      <c r="I63" s="42" t="n">
        <f aca="false">$B$4*B63*(C63/$B$8)*(1+0.5*(D63-$B$13))*(AVERAGE(E63,F63,G63)/B63)*(H63/$B$12)</f>
        <v>9603393.33333333</v>
      </c>
    </row>
    <row r="64" customFormat="false" ht="15" hidden="false" customHeight="true" outlineLevel="0" collapsed="false">
      <c r="A64" s="9" t="s">
        <v>117</v>
      </c>
      <c r="B64" s="31" t="n">
        <f aca="false">$B$7</f>
        <v>0.957768</v>
      </c>
      <c r="C64" s="31" t="n">
        <f aca="false">$B$8</f>
        <v>0.96933</v>
      </c>
      <c r="D64" s="24" t="n">
        <f aca="false">$B$13</f>
        <v>0.39978211956629</v>
      </c>
      <c r="E64" s="31" t="n">
        <f aca="false">$B$9</f>
        <v>0.958726</v>
      </c>
      <c r="F64" s="31" t="n">
        <f aca="false">$B$10</f>
        <v>0.954899</v>
      </c>
      <c r="G64" s="31" t="n">
        <f aca="false">$B$11</f>
        <v>0.967393</v>
      </c>
      <c r="H64" s="23" t="n">
        <f aca="false">Curves!Q42</f>
        <v>0.958550489609229</v>
      </c>
      <c r="I64" s="42" t="n">
        <f aca="false">$B$4*B64*(C64/$B$8)*(1+0.5*(D64-$B$13))*(AVERAGE(E64,F64,G64)/B64)*(H64/$B$12)</f>
        <v>9582454.89392718</v>
      </c>
    </row>
    <row r="65" customFormat="false" ht="15" hidden="false" customHeight="true" outlineLevel="0" collapsed="false">
      <c r="A65" s="9" t="s">
        <v>118</v>
      </c>
      <c r="B65" s="31" t="n">
        <f aca="false">$B$7</f>
        <v>0.957768</v>
      </c>
      <c r="C65" s="31" t="n">
        <f aca="false">$B$8</f>
        <v>0.96933</v>
      </c>
      <c r="D65" s="24" t="n">
        <f aca="false">$B$13</f>
        <v>0.39978211956629</v>
      </c>
      <c r="E65" s="31" t="n">
        <f aca="false">$B$9</f>
        <v>0.958726</v>
      </c>
      <c r="F65" s="31" t="n">
        <f aca="false">$B$10</f>
        <v>0.954899</v>
      </c>
      <c r="G65" s="31" t="n">
        <f aca="false">$B$11</f>
        <v>0.967393</v>
      </c>
      <c r="H65" s="23" t="n">
        <f aca="false">Curves!Q50</f>
        <v>0.957836117465444</v>
      </c>
      <c r="I65" s="42" t="n">
        <f aca="false">$B$4*B65*(C65/$B$8)*(1+0.5*(D65-$B$13))*(AVERAGE(E65,F65,G65)/B65)*(H65/$B$12)</f>
        <v>9575313.44554287</v>
      </c>
    </row>
    <row r="66" customFormat="false" ht="15" hidden="false" customHeight="true" outlineLevel="0" collapsed="false">
      <c r="A66" s="9" t="s">
        <v>119</v>
      </c>
      <c r="B66" s="31" t="n">
        <f aca="false">$B$7</f>
        <v>0.957768</v>
      </c>
      <c r="C66" s="31" t="n">
        <f aca="false">$B$8</f>
        <v>0.96933</v>
      </c>
      <c r="D66" s="24" t="n">
        <f aca="false">$B$13</f>
        <v>0.39978211956629</v>
      </c>
      <c r="E66" s="31" t="n">
        <f aca="false">$B$9</f>
        <v>0.958726</v>
      </c>
      <c r="F66" s="31" t="n">
        <f aca="false">$B$10</f>
        <v>0.954899</v>
      </c>
      <c r="G66" s="31" t="n">
        <f aca="false">$B$11</f>
        <v>0.967393</v>
      </c>
      <c r="H66" s="23" t="n">
        <f aca="false">Curves!Q58</f>
        <v>0.95758460198965</v>
      </c>
      <c r="I66" s="42" t="n">
        <f aca="false">$B$4*B66*(C66/$B$8)*(1+0.5*(D66-$B$13))*(AVERAGE(E66,F66,G66)/B66)*(H66/$B$12)</f>
        <v>9572799.09107949</v>
      </c>
    </row>
    <row r="67" customFormat="false" ht="15" hidden="false" customHeight="true" outlineLevel="0" collapsed="false">
      <c r="A67" s="9" t="s">
        <v>120</v>
      </c>
      <c r="B67" s="31" t="n">
        <f aca="false">$B$7</f>
        <v>0.957768</v>
      </c>
      <c r="C67" s="31" t="n">
        <f aca="false">$B$8</f>
        <v>0.96933</v>
      </c>
      <c r="D67" s="24" t="n">
        <f aca="false">$B$13</f>
        <v>0.39978211956629</v>
      </c>
      <c r="E67" s="31" t="n">
        <f aca="false">$B$9</f>
        <v>0.958726</v>
      </c>
      <c r="F67" s="31" t="n">
        <f aca="false">$B$10</f>
        <v>0.954899</v>
      </c>
      <c r="G67" s="31" t="n">
        <f aca="false">$B$11</f>
        <v>0.967393</v>
      </c>
      <c r="H67" s="23" t="n">
        <f aca="false">Curves!Q66</f>
        <v>0.962263559855125</v>
      </c>
      <c r="I67" s="42" t="n">
        <f aca="false">$B$4*B67*(C67/$B$8)*(1+0.5*(D67-$B$13))*(AVERAGE(E67,F67,G67)/B67)*(H67/$B$12)</f>
        <v>9619573.78180526</v>
      </c>
    </row>
    <row r="68" customFormat="false" ht="15" hidden="false" customHeight="true" outlineLevel="0" collapsed="false">
      <c r="A68" s="9" t="s">
        <v>121</v>
      </c>
      <c r="B68" s="31" t="n">
        <f aca="false">$B$7</f>
        <v>0.957768</v>
      </c>
      <c r="C68" s="31" t="n">
        <f aca="false">$B$8</f>
        <v>0.96933</v>
      </c>
      <c r="D68" s="24" t="n">
        <f aca="false">$B$13</f>
        <v>0.39978211956629</v>
      </c>
      <c r="E68" s="31" t="n">
        <f aca="false">$B$9</f>
        <v>0.958726</v>
      </c>
      <c r="F68" s="31" t="n">
        <f aca="false">$B$10</f>
        <v>0.954899</v>
      </c>
      <c r="G68" s="31" t="n">
        <f aca="false">$B$11</f>
        <v>0.967393</v>
      </c>
      <c r="H68" s="23" t="n">
        <f aca="false">Curves!Q74</f>
        <v>0.956804885239764</v>
      </c>
      <c r="I68" s="42" t="n">
        <f aca="false">$B$4*B68*(C68/$B$8)*(1+0.5*(D68-$B$13))*(AVERAGE(E68,F68,G68)/B68)*(H68/$B$12)</f>
        <v>9565004.40455352</v>
      </c>
    </row>
    <row r="69" customFormat="false" ht="15" hidden="false" customHeight="true" outlineLevel="0" collapsed="false">
      <c r="A69" s="9" t="s">
        <v>122</v>
      </c>
      <c r="B69" s="31" t="n">
        <f aca="false">$B$7</f>
        <v>0.957768</v>
      </c>
      <c r="C69" s="31" t="n">
        <f aca="false">$B$8</f>
        <v>0.96933</v>
      </c>
      <c r="D69" s="24" t="n">
        <f aca="false">$B$13</f>
        <v>0.39978211956629</v>
      </c>
      <c r="E69" s="31" t="n">
        <f aca="false">$B$9</f>
        <v>0.958726</v>
      </c>
      <c r="F69" s="31" t="n">
        <f aca="false">$B$10</f>
        <v>0.954899</v>
      </c>
      <c r="G69" s="31" t="n">
        <f aca="false">$B$11</f>
        <v>0.967393</v>
      </c>
      <c r="H69" s="23" t="n">
        <f aca="false">Curves!Q82</f>
        <v>0.958736934866277</v>
      </c>
      <c r="I69" s="42" t="n">
        <f aca="false">$B$4*B69*(C69/$B$8)*(1+0.5*(D69-$B$13))*(AVERAGE(E69,F69,G69)/B69)*(H69/$B$12)</f>
        <v>9584318.75324937</v>
      </c>
    </row>
    <row r="70" customFormat="false" ht="15" hidden="false" customHeight="true" outlineLevel="0" collapsed="false">
      <c r="A70" s="9" t="s">
        <v>123</v>
      </c>
      <c r="B70" s="31" t="n">
        <f aca="false">$B$7</f>
        <v>0.957768</v>
      </c>
      <c r="C70" s="31" t="n">
        <f aca="false">$B$8</f>
        <v>0.96933</v>
      </c>
      <c r="D70" s="24" t="n">
        <f aca="false">$B$13</f>
        <v>0.39978211956629</v>
      </c>
      <c r="E70" s="31" t="n">
        <f aca="false">$B$9</f>
        <v>0.958726</v>
      </c>
      <c r="F70" s="31" t="n">
        <f aca="false">$B$10</f>
        <v>0.954899</v>
      </c>
      <c r="G70" s="31" t="n">
        <f aca="false">$B$11</f>
        <v>0.967393</v>
      </c>
      <c r="H70" s="23" t="n">
        <f aca="false">Curves!Q90</f>
        <v>0.956260628257328</v>
      </c>
      <c r="I70" s="42" t="n">
        <f aca="false">$B$4*B70*(C70/$B$8)*(1+0.5*(D70-$B$13))*(AVERAGE(E70,F70,G70)/B70)*(H70/$B$12)</f>
        <v>9559563.56649498</v>
      </c>
    </row>
    <row r="71" customFormat="false" ht="15" hidden="false" customHeight="true" outlineLevel="0" collapsed="false">
      <c r="A71" s="9" t="s">
        <v>124</v>
      </c>
      <c r="B71" s="31" t="n">
        <f aca="false">$B$7</f>
        <v>0.957768</v>
      </c>
      <c r="C71" s="31" t="n">
        <f aca="false">$B$8</f>
        <v>0.96933</v>
      </c>
      <c r="D71" s="24" t="n">
        <f aca="false">$B$13</f>
        <v>0.39978211956629</v>
      </c>
      <c r="E71" s="31" t="n">
        <f aca="false">$B$9</f>
        <v>0.958726</v>
      </c>
      <c r="F71" s="31" t="n">
        <f aca="false">$B$10</f>
        <v>0.954899</v>
      </c>
      <c r="G71" s="31" t="n">
        <f aca="false">$B$11</f>
        <v>0.967393</v>
      </c>
      <c r="H71" s="23" t="n">
        <f aca="false">Curves!Q98</f>
        <v>0.960229712665626</v>
      </c>
      <c r="I71" s="42" t="n">
        <f aca="false">$B$4*B71*(C71/$B$8)*(1+0.5*(D71-$B$13))*(AVERAGE(E71,F71,G71)/B71)*(H71/$B$12)</f>
        <v>9599241.78138819</v>
      </c>
    </row>
    <row r="72" customFormat="false" ht="15" hidden="false" customHeight="true" outlineLevel="0" collapsed="false">
      <c r="A72" s="9" t="s">
        <v>125</v>
      </c>
      <c r="B72" s="31" t="n">
        <f aca="false">$B$7</f>
        <v>0.957768</v>
      </c>
      <c r="C72" s="31" t="n">
        <f aca="false">$B$8</f>
        <v>0.96933</v>
      </c>
      <c r="D72" s="24" t="n">
        <f aca="false">$B$13</f>
        <v>0.39978211956629</v>
      </c>
      <c r="E72" s="31" t="n">
        <f aca="false">$B$9</f>
        <v>0.958726</v>
      </c>
      <c r="F72" s="31" t="n">
        <f aca="false">$B$10</f>
        <v>0.954899</v>
      </c>
      <c r="G72" s="31" t="n">
        <f aca="false">$B$11</f>
        <v>0.967393</v>
      </c>
      <c r="H72" s="23" t="n">
        <f aca="false">Curves!Q106</f>
        <v>0.955591148630945</v>
      </c>
      <c r="I72" s="42" t="n">
        <f aca="false">$B$4*B72*(C72/$B$8)*(1+0.5*(D72-$B$13))*(AVERAGE(E72,F72,G72)/B72)*(H72/$B$12)</f>
        <v>9552870.90044165</v>
      </c>
    </row>
    <row r="73" customFormat="false" ht="15" hidden="false" customHeight="true" outlineLevel="0" collapsed="false">
      <c r="A73" s="9" t="s">
        <v>126</v>
      </c>
      <c r="B73" s="31" t="n">
        <f aca="false">$B$7</f>
        <v>0.957768</v>
      </c>
      <c r="C73" s="31" t="n">
        <f aca="false">$B$8</f>
        <v>0.96933</v>
      </c>
      <c r="D73" s="24" t="n">
        <f aca="false">$B$13</f>
        <v>0.39978211956629</v>
      </c>
      <c r="E73" s="31" t="n">
        <f aca="false">$B$9</f>
        <v>0.958726</v>
      </c>
      <c r="F73" s="31" t="n">
        <f aca="false">$B$10</f>
        <v>0.954899</v>
      </c>
      <c r="G73" s="31" t="n">
        <f aca="false">$B$11</f>
        <v>0.967393</v>
      </c>
      <c r="H73" s="23" t="n">
        <f aca="false">Curves!Q114</f>
        <v>0.955213344747142</v>
      </c>
      <c r="I73" s="42" t="n">
        <f aca="false">$B$4*B73*(C73/$B$8)*(1+0.5*(D73-$B$13))*(AVERAGE(E73,F73,G73)/B73)*(H73/$B$12)</f>
        <v>9549094.06373399</v>
      </c>
    </row>
  </sheetData>
  <mergeCells count="6">
    <mergeCell ref="A1:I1"/>
    <mergeCell ref="A2:I2"/>
    <mergeCell ref="A16:I16"/>
    <mergeCell ref="A31:I31"/>
    <mergeCell ref="A46:I46"/>
    <mergeCell ref="A61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5" min="2" style="1" width="16"/>
    <col collapsed="false" customWidth="true" hidden="false" outlineLevel="0" max="6" min="6" style="1" width="18"/>
    <col collapsed="false" customWidth="true" hidden="false" outlineLevel="0" max="7" min="7" style="1" width="22"/>
  </cols>
  <sheetData>
    <row r="1" customFormat="false" ht="17.25" hidden="false" customHeight="true" outlineLevel="0" collapsed="false">
      <c r="A1" s="32" t="s">
        <v>192</v>
      </c>
      <c r="B1" s="32"/>
      <c r="C1" s="32"/>
      <c r="D1" s="32"/>
      <c r="E1" s="32"/>
    </row>
    <row r="2" customFormat="false" ht="27.75" hidden="false" customHeight="true" outlineLevel="0" collapsed="false">
      <c r="A2" s="15" t="s">
        <v>193</v>
      </c>
      <c r="B2" s="15"/>
      <c r="C2" s="15"/>
      <c r="D2" s="15"/>
      <c r="E2" s="15"/>
    </row>
    <row r="4" customFormat="false" ht="26.25" hidden="false" customHeight="true" outlineLevel="0" collapsed="false">
      <c r="A4" s="18" t="s">
        <v>146</v>
      </c>
      <c r="B4" s="22" t="s">
        <v>194</v>
      </c>
      <c r="C4" s="22" t="s">
        <v>195</v>
      </c>
      <c r="D4" s="22" t="s">
        <v>196</v>
      </c>
      <c r="E4" s="22" t="s">
        <v>197</v>
      </c>
      <c r="F4" s="22" t="s">
        <v>198</v>
      </c>
      <c r="G4" s="22" t="s">
        <v>199</v>
      </c>
    </row>
    <row r="5" customFormat="false" ht="15" hidden="false" customHeight="true" outlineLevel="0" collapsed="false">
      <c r="A5" s="9" t="s">
        <v>117</v>
      </c>
      <c r="B5" s="47" t="n">
        <f aca="false">NPV_Engine!I19-NPV_Engine!I18</f>
        <v>-36924.5838805307</v>
      </c>
      <c r="C5" s="47" t="n">
        <f aca="false">NPV_Engine!I34-NPV_Engine!I33</f>
        <v>21890.9453293066</v>
      </c>
      <c r="D5" s="47" t="n">
        <f aca="false">NPV_Engine!I49-NPV_Engine!I48</f>
        <v>-37825.7968787812</v>
      </c>
      <c r="E5" s="47" t="n">
        <f aca="false">NPV_Engine!I64-NPV_Engine!I63</f>
        <v>-20938.4394061528</v>
      </c>
      <c r="F5" s="47" t="n">
        <f aca="false">C5+D5+E5</f>
        <v>-36873.2909556273</v>
      </c>
      <c r="G5" s="47" t="n">
        <f aca="false">B5-F5</f>
        <v>-51.2929249033332</v>
      </c>
    </row>
    <row r="6" customFormat="false" ht="15" hidden="false" customHeight="true" outlineLevel="0" collapsed="false">
      <c r="A6" s="9" t="s">
        <v>118</v>
      </c>
      <c r="B6" s="47" t="n">
        <f aca="false">NPV_Engine!I20-NPV_Engine!I18</f>
        <v>-22419.874383755</v>
      </c>
      <c r="C6" s="47" t="n">
        <f aca="false">NPV_Engine!I35-NPV_Engine!I33</f>
        <v>37069.4184338767</v>
      </c>
      <c r="D6" s="47" t="n">
        <f aca="false">NPV_Engine!I50-NPV_Engine!I48</f>
        <v>-31272.0955403186</v>
      </c>
      <c r="E6" s="47" t="n">
        <f aca="false">NPV_Engine!I65-NPV_Engine!I63</f>
        <v>-28079.8877904695</v>
      </c>
      <c r="F6" s="47" t="n">
        <f aca="false">C6+D6+E6</f>
        <v>-22282.5648969114</v>
      </c>
      <c r="G6" s="47" t="n">
        <f aca="false">B6-F6</f>
        <v>-137.309486843646</v>
      </c>
    </row>
    <row r="7" customFormat="false" ht="15" hidden="false" customHeight="true" outlineLevel="0" collapsed="false">
      <c r="A7" s="9" t="s">
        <v>119</v>
      </c>
      <c r="B7" s="47" t="n">
        <f aca="false">NPV_Engine!I21-NPV_Engine!I18</f>
        <v>-48109.2334980071</v>
      </c>
      <c r="C7" s="47" t="n">
        <f aca="false">NPV_Engine!I36-NPV_Engine!I33</f>
        <v>23102.2120348606</v>
      </c>
      <c r="D7" s="47" t="n">
        <f aca="false">NPV_Engine!I51-NPV_Engine!I48</f>
        <v>-40575.5706020817</v>
      </c>
      <c r="E7" s="47" t="n">
        <f aca="false">NPV_Engine!I66-NPV_Engine!I63</f>
        <v>-30594.2422538474</v>
      </c>
      <c r="F7" s="47" t="n">
        <f aca="false">C7+D7+E7</f>
        <v>-48067.6008210685</v>
      </c>
      <c r="G7" s="47" t="n">
        <f aca="false">B7-F7</f>
        <v>-41.6326769385487</v>
      </c>
    </row>
    <row r="8" customFormat="false" ht="15" hidden="false" customHeight="true" outlineLevel="0" collapsed="false">
      <c r="A8" s="9" t="s">
        <v>120</v>
      </c>
      <c r="B8" s="47" t="n">
        <f aca="false">NPV_Engine!I22-NPV_Engine!I18</f>
        <v>-28235.3486086223</v>
      </c>
      <c r="C8" s="47" t="n">
        <f aca="false">NPV_Engine!I37-NPV_Engine!I33</f>
        <v>26652.7172415666</v>
      </c>
      <c r="D8" s="47" t="n">
        <f aca="false">NPV_Engine!I52-NPV_Engine!I48</f>
        <v>-70797.3185566664</v>
      </c>
      <c r="E8" s="47" t="n">
        <f aca="false">NPV_Engine!I67-NPV_Engine!I63</f>
        <v>16180.4484719206</v>
      </c>
      <c r="F8" s="47" t="n">
        <f aca="false">C8+D8+E8</f>
        <v>-27964.1528431792</v>
      </c>
      <c r="G8" s="47" t="n">
        <f aca="false">B8-F8</f>
        <v>-271.195765443146</v>
      </c>
    </row>
    <row r="9" customFormat="false" ht="15" hidden="false" customHeight="true" outlineLevel="0" collapsed="false">
      <c r="A9" s="9" t="s">
        <v>121</v>
      </c>
      <c r="B9" s="47" t="n">
        <f aca="false">NPV_Engine!I23-NPV_Engine!I18</f>
        <v>-94989.218774261</v>
      </c>
      <c r="C9" s="47" t="n">
        <f aca="false">NPV_Engine!I38-NPV_Engine!I33</f>
        <v>7336.63403604738</v>
      </c>
      <c r="D9" s="47" t="n">
        <f aca="false">NPV_Engine!I53-NPV_Engine!I48</f>
        <v>-64115.106465783</v>
      </c>
      <c r="E9" s="47" t="n">
        <f aca="false">NPV_Engine!I68-NPV_Engine!I63</f>
        <v>-38388.9287798144</v>
      </c>
      <c r="F9" s="47" t="n">
        <f aca="false">C9+D9+E9</f>
        <v>-95167.40120955</v>
      </c>
      <c r="G9" s="47" t="n">
        <f aca="false">B9-F9</f>
        <v>178.182435289025</v>
      </c>
    </row>
    <row r="10" customFormat="false" ht="15" hidden="false" customHeight="true" outlineLevel="0" collapsed="false">
      <c r="A10" s="9" t="s">
        <v>122</v>
      </c>
      <c r="B10" s="47" t="n">
        <f aca="false">NPV_Engine!I24-NPV_Engine!I18</f>
        <v>-96303.0137668867</v>
      </c>
      <c r="C10" s="47" t="n">
        <f aca="false">NPV_Engine!I39-NPV_Engine!I33</f>
        <v>8648.4871593453</v>
      </c>
      <c r="D10" s="47" t="n">
        <f aca="false">NPV_Engine!I54-NPV_Engine!I48</f>
        <v>-85953.2132942695</v>
      </c>
      <c r="E10" s="47" t="n">
        <f aca="false">NPV_Engine!I69-NPV_Engine!I63</f>
        <v>-19074.5800839607</v>
      </c>
      <c r="F10" s="47" t="n">
        <f aca="false">C10+D10+E10</f>
        <v>-96379.3062188849</v>
      </c>
      <c r="G10" s="47" t="n">
        <f aca="false">B10-F10</f>
        <v>76.2924519982189</v>
      </c>
    </row>
    <row r="11" customFormat="false" ht="15" hidden="false" customHeight="true" outlineLevel="0" collapsed="false">
      <c r="A11" s="9" t="s">
        <v>123</v>
      </c>
      <c r="B11" s="47" t="n">
        <f aca="false">NPV_Engine!I25-NPV_Engine!I18</f>
        <v>-83510.6560241785</v>
      </c>
      <c r="C11" s="47" t="n">
        <f aca="false">NPV_Engine!I40-NPV_Engine!I33</f>
        <v>31871.9643237777</v>
      </c>
      <c r="D11" s="47" t="n">
        <f aca="false">NPV_Engine!I55-NPV_Engine!I48</f>
        <v>-71497.4993748292</v>
      </c>
      <c r="E11" s="47" t="n">
        <f aca="false">NPV_Engine!I70-NPV_Engine!I63</f>
        <v>-43829.766838355</v>
      </c>
      <c r="F11" s="47" t="n">
        <f aca="false">C11+D11+E11</f>
        <v>-83455.3018894065</v>
      </c>
      <c r="G11" s="47" t="n">
        <f aca="false">B11-F11</f>
        <v>-55.3541347719729</v>
      </c>
    </row>
    <row r="12" customFormat="false" ht="15" hidden="false" customHeight="true" outlineLevel="0" collapsed="false">
      <c r="A12" s="9" t="s">
        <v>124</v>
      </c>
      <c r="B12" s="47" t="n">
        <f aca="false">NPV_Engine!I26-NPV_Engine!I18</f>
        <v>-7632.24099958688</v>
      </c>
      <c r="C12" s="47" t="n">
        <f aca="false">NPV_Engine!I41-NPV_Engine!I33</f>
        <v>100220.854355633</v>
      </c>
      <c r="D12" s="47" t="n">
        <f aca="false">NPV_Engine!I56-NPV_Engine!I48</f>
        <v>-102631.983082671</v>
      </c>
      <c r="E12" s="47" t="n">
        <f aca="false">NPV_Engine!I71-NPV_Engine!I63</f>
        <v>-4151.55194514617</v>
      </c>
      <c r="F12" s="47" t="n">
        <f aca="false">C12+D12+E12</f>
        <v>-6562.68067218363</v>
      </c>
      <c r="G12" s="47" t="n">
        <f aca="false">B12-F12</f>
        <v>-1069.56032740325</v>
      </c>
    </row>
    <row r="13" customFormat="false" ht="15" hidden="false" customHeight="true" outlineLevel="0" collapsed="false">
      <c r="A13" s="9" t="s">
        <v>125</v>
      </c>
      <c r="B13" s="47" t="n">
        <f aca="false">NPV_Engine!I27-NPV_Engine!I18</f>
        <v>-137424.496606329</v>
      </c>
      <c r="C13" s="47" t="n">
        <f aca="false">NPV_Engine!I42-NPV_Engine!I33</f>
        <v>25251.2994294968</v>
      </c>
      <c r="D13" s="47" t="n">
        <f aca="false">NPV_Engine!I57-NPV_Engine!I48</f>
        <v>-112317.633996386</v>
      </c>
      <c r="E13" s="47" t="n">
        <f aca="false">NPV_Engine!I72-NPV_Engine!I63</f>
        <v>-50522.4328916892</v>
      </c>
      <c r="F13" s="47" t="n">
        <f aca="false">C13+D13+E13</f>
        <v>-137588.767458579</v>
      </c>
      <c r="G13" s="47" t="n">
        <f aca="false">B13-F13</f>
        <v>164.270852249116</v>
      </c>
    </row>
    <row r="14" customFormat="false" ht="15" hidden="false" customHeight="true" outlineLevel="0" collapsed="false">
      <c r="A14" s="9" t="s">
        <v>126</v>
      </c>
      <c r="B14" s="47" t="n">
        <f aca="false">NPV_Engine!I28-NPV_Engine!I18</f>
        <v>49784.5686824136</v>
      </c>
      <c r="C14" s="47" t="n">
        <f aca="false">NPV_Engine!I43-NPV_Engine!I33</f>
        <v>136739.702052264</v>
      </c>
      <c r="D14" s="47" t="n">
        <f aca="false">NPV_Engine!I58-NPV_Engine!I48</f>
        <v>-31613.8690954633</v>
      </c>
      <c r="E14" s="47" t="n">
        <f aca="false">NPV_Engine!I73-NPV_Engine!I63</f>
        <v>-54299.2695993483</v>
      </c>
      <c r="F14" s="47" t="n">
        <f aca="false">C14+D14+E14</f>
        <v>50826.5633574519</v>
      </c>
      <c r="G14" s="47" t="n">
        <f aca="false">B14-F14</f>
        <v>-1041.99467503838</v>
      </c>
    </row>
    <row r="16" customFormat="false" ht="15" hidden="false" customHeight="true" outlineLevel="0" collapsed="false">
      <c r="A16" s="4" t="s">
        <v>200</v>
      </c>
      <c r="B16" s="48" t="n">
        <f aca="false">MIN(B5:B14)</f>
        <v>-137424.496606329</v>
      </c>
      <c r="C16" s="48" t="n">
        <f aca="false">MIN(C5:C14)</f>
        <v>7336.63403604738</v>
      </c>
      <c r="D16" s="48" t="n">
        <f aca="false">MIN(D5:D14)</f>
        <v>-112317.633996386</v>
      </c>
      <c r="E16" s="48" t="n">
        <f aca="false">MIN(E5:E14)</f>
        <v>-54299.2695993483</v>
      </c>
      <c r="F16" s="49" t="n">
        <f aca="false">MIN(F5:F14)</f>
        <v>-137588.767458579</v>
      </c>
      <c r="G16" s="49" t="n">
        <f aca="false">MIN(G5:G14)</f>
        <v>-1069.56032740325</v>
      </c>
    </row>
    <row r="17" customFormat="false" ht="15" hidden="false" customHeight="true" outlineLevel="0" collapsed="false">
      <c r="A17" s="4" t="s">
        <v>201</v>
      </c>
      <c r="B17" s="48" t="n">
        <f aca="false">MAX(B5:B14)</f>
        <v>49784.5686824136</v>
      </c>
      <c r="C17" s="48" t="n">
        <f aca="false">MAX(C5:C14)</f>
        <v>136739.702052264</v>
      </c>
      <c r="D17" s="48" t="n">
        <f aca="false">MAX(D5:D14)</f>
        <v>-31272.0955403186</v>
      </c>
      <c r="E17" s="48" t="n">
        <f aca="false">MAX(E5:E14)</f>
        <v>16180.4484719206</v>
      </c>
      <c r="F17" s="49" t="n">
        <f aca="false">MAX(F5:F14)</f>
        <v>50826.5633574519</v>
      </c>
      <c r="G17" s="49" t="n">
        <f aca="false">MAX(G5:G14)</f>
        <v>178.182435289025</v>
      </c>
    </row>
    <row r="18" customFormat="false" ht="15" hidden="false" customHeight="true" outlineLevel="0" collapsed="false">
      <c r="A18" s="50" t="s">
        <v>202</v>
      </c>
      <c r="B18" s="51" t="n">
        <f aca="false">SUMPRODUCT(SMALL($B$5:$B$14,{1,2,3,4,5,6}))/6</f>
        <v>-82876.8670916989</v>
      </c>
      <c r="C18" s="51" t="n">
        <f aca="false">SUMPRODUCT(SMALL($C$5:$C$14,{1,2,3,4,5,6}))/6</f>
        <v>18813.7158717706</v>
      </c>
      <c r="D18" s="51" t="n">
        <f aca="false">SUMPRODUCT(SMALL($D$5:$D$14,{1,2,3,4,5,6}))/6</f>
        <v>-84552.1257951008</v>
      </c>
      <c r="E18" s="51" t="n">
        <f aca="false">SUMPRODUCT(SMALL($E$5:$E$14,{1,2,3,4,5,6}))/6</f>
        <v>-40952.4213589206</v>
      </c>
      <c r="F18" s="49" t="n">
        <f aca="false">SUMPRODUCT(SMALL($F$5:$F$14,{1,2,3,4,5,6}))/6</f>
        <v>-82921.9447588526</v>
      </c>
      <c r="G18" s="49" t="n">
        <f aca="false">SUMPRODUCT(SMALL($G$5:$G$14,{1,2,3,4,5,6}))/6</f>
        <v>-437.784552400621</v>
      </c>
    </row>
    <row r="20" customFormat="false" ht="39.75" hidden="false" customHeight="true" outlineLevel="0" collapsed="false">
      <c r="A20" s="15" t="s">
        <v>203</v>
      </c>
      <c r="B20" s="15"/>
      <c r="C20" s="15"/>
      <c r="D20" s="15"/>
      <c r="E20" s="15"/>
      <c r="F20" s="15"/>
      <c r="G20" s="15"/>
    </row>
  </sheetData>
  <mergeCells count="3">
    <mergeCell ref="A1:E1"/>
    <mergeCell ref="A2:E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3"/>
  </cols>
  <sheetData>
    <row r="1" customFormat="false" ht="17.25" hidden="false" customHeight="true" outlineLevel="0" collapsed="false">
      <c r="A1" s="32" t="s">
        <v>204</v>
      </c>
      <c r="B1" s="32"/>
      <c r="C1" s="32"/>
      <c r="D1" s="32"/>
      <c r="E1" s="32"/>
      <c r="F1" s="32"/>
      <c r="G1" s="32"/>
      <c r="H1" s="32"/>
      <c r="I1" s="32"/>
    </row>
    <row r="2" customFormat="false" ht="54.75" hidden="false" customHeight="true" outlineLevel="0" collapsed="false">
      <c r="A2" s="15" t="s">
        <v>205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true" outlineLevel="0" collapsed="false">
      <c r="A4" s="45" t="s">
        <v>206</v>
      </c>
      <c r="B4" s="45"/>
      <c r="C4" s="45"/>
      <c r="D4" s="45"/>
      <c r="E4" s="45"/>
      <c r="F4" s="45"/>
      <c r="G4" s="45"/>
      <c r="H4" s="45"/>
      <c r="I4" s="45"/>
      <c r="J4" s="52" t="s">
        <v>207</v>
      </c>
    </row>
    <row r="5" customFormat="false" ht="39" hidden="false" customHeight="true" outlineLevel="0" collapsed="false">
      <c r="A5" s="22" t="s">
        <v>179</v>
      </c>
      <c r="B5" s="22" t="s">
        <v>180</v>
      </c>
      <c r="C5" s="22" t="s">
        <v>181</v>
      </c>
      <c r="D5" s="22" t="s">
        <v>182</v>
      </c>
      <c r="E5" s="22" t="s">
        <v>183</v>
      </c>
      <c r="F5" s="22" t="s">
        <v>184</v>
      </c>
      <c r="G5" s="22" t="s">
        <v>185</v>
      </c>
      <c r="H5" s="22" t="s">
        <v>186</v>
      </c>
      <c r="I5" s="22" t="s">
        <v>187</v>
      </c>
    </row>
    <row r="6" customFormat="false" ht="15" hidden="false" customHeight="true" outlineLevel="0" collapsed="false">
      <c r="A6" s="4" t="s">
        <v>188</v>
      </c>
      <c r="B6" s="31" t="n">
        <f aca="false">Curves!E8</f>
        <v>0.957768</v>
      </c>
      <c r="C6" s="31" t="n">
        <f aca="false">Curves!E9</f>
        <v>0.96933</v>
      </c>
      <c r="D6" s="24" t="n">
        <f aca="false">SABR!AT10</f>
        <v>0.39978211956629</v>
      </c>
      <c r="E6" s="31" t="n">
        <f aca="false">Curves!E10</f>
        <v>0.958726</v>
      </c>
      <c r="F6" s="31" t="n">
        <f aca="false">Curves!E11</f>
        <v>0.954899</v>
      </c>
      <c r="G6" s="31" t="n">
        <f aca="false">Curves!E12</f>
        <v>0.967393</v>
      </c>
      <c r="H6" s="31" t="n">
        <f aca="false">Curves!E13</f>
        <v>0.960645</v>
      </c>
      <c r="I6" s="42" t="n">
        <f aca="false">NPV_Engine!$B$4*B6*(C6/NPV_Engine!$B$8)*(1+0.5*(D6-NPV_Engine!$B$13))*(AVERAGE(E6,F6,G6)/B6)*(H6/NPV_Engine!$B$12)</f>
        <v>9603393.33333333</v>
      </c>
    </row>
    <row r="7" customFormat="false" ht="15" hidden="false" customHeight="true" outlineLevel="0" collapsed="false">
      <c r="A7" s="9" t="s">
        <v>117</v>
      </c>
      <c r="B7" s="31" t="n">
        <f aca="false">Curves!E8</f>
        <v>0.957768</v>
      </c>
      <c r="C7" s="31" t="n">
        <f aca="false">Curves!E9</f>
        <v>0.96933</v>
      </c>
      <c r="D7" s="24" t="n">
        <f aca="false">SABR!AT10</f>
        <v>0.39978211956629</v>
      </c>
      <c r="E7" s="23" t="n">
        <f aca="false">Curves!Q39</f>
        <v>0.958061825595622</v>
      </c>
      <c r="F7" s="23" t="n">
        <f aca="false">Curves!Q40</f>
        <v>0.949311346582243</v>
      </c>
      <c r="G7" s="23" t="n">
        <f aca="false">Curves!Q41</f>
        <v>0.962297088758501</v>
      </c>
      <c r="H7" s="31" t="n">
        <f aca="false">Curves!E13</f>
        <v>0.960645</v>
      </c>
      <c r="I7" s="42" t="n">
        <f aca="false">NPV_Engine!$B$4*B7*(C7/NPV_Engine!$B$8)*(1+0.5*(D7-NPV_Engine!$B$13))*(AVERAGE(E7,F7,G7)/B7)*(H7/NPV_Engine!$B$12)</f>
        <v>9565567.53645455</v>
      </c>
    </row>
    <row r="8" customFormat="false" ht="15" hidden="false" customHeight="true" outlineLevel="0" collapsed="false">
      <c r="A8" s="9" t="s">
        <v>118</v>
      </c>
      <c r="B8" s="31" t="n">
        <f aca="false">Curves!E8</f>
        <v>0.957768</v>
      </c>
      <c r="C8" s="31" t="n">
        <f aca="false">Curves!E9</f>
        <v>0.96933</v>
      </c>
      <c r="D8" s="24" t="n">
        <f aca="false">SABR!AT10</f>
        <v>0.39978211956629</v>
      </c>
      <c r="E8" s="23" t="n">
        <f aca="false">Curves!Q47</f>
        <v>0.954588922832977</v>
      </c>
      <c r="F8" s="23" t="n">
        <f aca="false">Curves!Q48</f>
        <v>0.952091864437955</v>
      </c>
      <c r="G8" s="23" t="n">
        <f aca="false">Curves!Q49</f>
        <v>0.964955584066973</v>
      </c>
      <c r="H8" s="31" t="n">
        <f aca="false">Curves!E13</f>
        <v>0.960645</v>
      </c>
      <c r="I8" s="42" t="n">
        <f aca="false">NPV_Engine!$B$4*B8*(C8/NPV_Engine!$B$8)*(1+0.5*(D8-NPV_Engine!$B$13))*(AVERAGE(E8,F8,G8)/B8)*(H8/NPV_Engine!$B$12)</f>
        <v>9572121.23779302</v>
      </c>
    </row>
    <row r="9" customFormat="false" ht="15" hidden="false" customHeight="true" outlineLevel="0" collapsed="false">
      <c r="A9" s="9" t="s">
        <v>119</v>
      </c>
      <c r="B9" s="31" t="n">
        <f aca="false">Curves!E8</f>
        <v>0.957768</v>
      </c>
      <c r="C9" s="31" t="n">
        <f aca="false">Curves!E9</f>
        <v>0.96933</v>
      </c>
      <c r="D9" s="24" t="n">
        <f aca="false">SABR!AT10</f>
        <v>0.39978211956629</v>
      </c>
      <c r="E9" s="23" t="n">
        <f aca="false">Curves!Q55</f>
        <v>0.954008957495664</v>
      </c>
      <c r="F9" s="23" t="n">
        <f aca="false">Curves!Q56</f>
        <v>0.953612707835657</v>
      </c>
      <c r="G9" s="23" t="n">
        <f aca="false">Curves!Q57</f>
        <v>0.961223663488055</v>
      </c>
      <c r="H9" s="31" t="n">
        <f aca="false">Curves!E13</f>
        <v>0.960645</v>
      </c>
      <c r="I9" s="42" t="n">
        <f aca="false">NPV_Engine!$B$4*B9*(C9/NPV_Engine!$B$8)*(1+0.5*(D9-NPV_Engine!$B$13))*(AVERAGE(E9,F9,G9)/B9)*(H9/NPV_Engine!$B$12)</f>
        <v>9562817.76273125</v>
      </c>
    </row>
    <row r="10" customFormat="false" ht="15" hidden="false" customHeight="true" outlineLevel="0" collapsed="false">
      <c r="A10" s="9" t="s">
        <v>120</v>
      </c>
      <c r="B10" s="31" t="n">
        <f aca="false">Curves!E8</f>
        <v>0.957768</v>
      </c>
      <c r="C10" s="31" t="n">
        <f aca="false">Curves!E9</f>
        <v>0.96933</v>
      </c>
      <c r="D10" s="24" t="n">
        <f aca="false">SABR!AT10</f>
        <v>0.39978211956629</v>
      </c>
      <c r="E10" s="23" t="n">
        <f aca="false">Curves!Q63</f>
        <v>0.95320762385314</v>
      </c>
      <c r="F10" s="23" t="n">
        <f aca="false">Curves!Q64</f>
        <v>0.946234479809646</v>
      </c>
      <c r="G10" s="23" t="n">
        <f aca="false">Curves!Q65</f>
        <v>0.960336700770215</v>
      </c>
      <c r="H10" s="31" t="n">
        <f aca="false">Curves!E13</f>
        <v>0.960645</v>
      </c>
      <c r="I10" s="42" t="n">
        <f aca="false">NPV_Engine!$B$4*B10*(C10/NPV_Engine!$B$8)*(1+0.5*(D10-NPV_Engine!$B$13))*(AVERAGE(E10,F10,G10)/B10)*(H10/NPV_Engine!$B$12)</f>
        <v>9532596.01477667</v>
      </c>
    </row>
    <row r="11" customFormat="false" ht="15" hidden="false" customHeight="true" outlineLevel="0" collapsed="false">
      <c r="A11" s="9" t="s">
        <v>121</v>
      </c>
      <c r="B11" s="31" t="n">
        <f aca="false">Curves!E8</f>
        <v>0.957768</v>
      </c>
      <c r="C11" s="31" t="n">
        <f aca="false">Curves!E9</f>
        <v>0.96933</v>
      </c>
      <c r="D11" s="24" t="n">
        <f aca="false">SABR!AT10</f>
        <v>0.39978211956629</v>
      </c>
      <c r="E11" s="23" t="n">
        <f aca="false">Curves!Q71</f>
        <v>0.9563957060858</v>
      </c>
      <c r="F11" s="23" t="n">
        <f aca="false">Curves!Q72</f>
        <v>0.945344255389449</v>
      </c>
      <c r="G11" s="23" t="n">
        <f aca="false">Curves!Q73</f>
        <v>0.960043506585016</v>
      </c>
      <c r="H11" s="31" t="n">
        <f aca="false">Curves!E13</f>
        <v>0.960645</v>
      </c>
      <c r="I11" s="42" t="n">
        <f aca="false">NPV_Engine!$B$4*B11*(C11/NPV_Engine!$B$8)*(1+0.5*(D11-NPV_Engine!$B$13))*(AVERAGE(E11,F11,G11)/B11)*(H11/NPV_Engine!$B$12)</f>
        <v>9539278.22686755</v>
      </c>
    </row>
    <row r="12" customFormat="false" ht="15" hidden="false" customHeight="true" outlineLevel="0" collapsed="false">
      <c r="A12" s="9" t="s">
        <v>122</v>
      </c>
      <c r="B12" s="31" t="n">
        <f aca="false">Curves!E8</f>
        <v>0.957768</v>
      </c>
      <c r="C12" s="31" t="n">
        <f aca="false">Curves!E9</f>
        <v>0.96933</v>
      </c>
      <c r="D12" s="24" t="n">
        <f aca="false">SABR!AT10</f>
        <v>0.39978211956629</v>
      </c>
      <c r="E12" s="23" t="n">
        <f aca="false">Curves!Q79</f>
        <v>0.952137896569466</v>
      </c>
      <c r="F12" s="23" t="n">
        <f aca="false">Curves!Q80</f>
        <v>0.944482088523894</v>
      </c>
      <c r="G12" s="23" t="n">
        <f aca="false">Curves!Q81</f>
        <v>0.958612050918359</v>
      </c>
      <c r="H12" s="31" t="n">
        <f aca="false">Curves!E13</f>
        <v>0.960645</v>
      </c>
      <c r="I12" s="42" t="n">
        <f aca="false">NPV_Engine!$B$4*B12*(C12/NPV_Engine!$B$8)*(1+0.5*(D12-NPV_Engine!$B$13))*(AVERAGE(E12,F12,G12)/B12)*(H12/NPV_Engine!$B$12)</f>
        <v>9517440.12003906</v>
      </c>
    </row>
    <row r="13" customFormat="false" ht="15" hidden="false" customHeight="true" outlineLevel="0" collapsed="false">
      <c r="A13" s="9" t="s">
        <v>123</v>
      </c>
      <c r="B13" s="31" t="n">
        <f aca="false">Curves!E8</f>
        <v>0.957768</v>
      </c>
      <c r="C13" s="31" t="n">
        <f aca="false">Curves!E9</f>
        <v>0.96933</v>
      </c>
      <c r="D13" s="24" t="n">
        <f aca="false">SABR!AT10</f>
        <v>0.39978211956629</v>
      </c>
      <c r="E13" s="23" t="n">
        <f aca="false">Curves!Q87</f>
        <v>0.951644904713199</v>
      </c>
      <c r="F13" s="23" t="n">
        <f aca="false">Curves!Q88</f>
        <v>0.950115469489328</v>
      </c>
      <c r="G13" s="23" t="n">
        <f aca="false">Curves!Q89</f>
        <v>0.957808375985025</v>
      </c>
      <c r="H13" s="31" t="n">
        <f aca="false">Curves!E13</f>
        <v>0.960645</v>
      </c>
      <c r="I13" s="42" t="n">
        <f aca="false">NPV_Engine!$B$4*B13*(C13/NPV_Engine!$B$8)*(1+0.5*(D13-NPV_Engine!$B$13))*(AVERAGE(E13,F13,G13)/B13)*(H13/NPV_Engine!$B$12)</f>
        <v>9531895.83395851</v>
      </c>
    </row>
    <row r="14" customFormat="false" ht="15" hidden="false" customHeight="true" outlineLevel="0" collapsed="false">
      <c r="A14" s="9" t="s">
        <v>124</v>
      </c>
      <c r="B14" s="31" t="n">
        <f aca="false">Curves!E8</f>
        <v>0.957768</v>
      </c>
      <c r="C14" s="31" t="n">
        <f aca="false">Curves!E9</f>
        <v>0.96933</v>
      </c>
      <c r="D14" s="24" t="n">
        <f aca="false">SABR!AT10</f>
        <v>0.39978211956629</v>
      </c>
      <c r="E14" s="23" t="n">
        <f aca="false">Curves!Q95</f>
        <v>0.950824572103433</v>
      </c>
      <c r="F14" s="23" t="n">
        <f aca="false">Curves!Q96</f>
        <v>0.942346869047631</v>
      </c>
      <c r="G14" s="23" t="n">
        <f aca="false">Curves!Q97</f>
        <v>0.957056963924134</v>
      </c>
      <c r="H14" s="31" t="n">
        <f aca="false">Curves!E13</f>
        <v>0.960645</v>
      </c>
      <c r="I14" s="42" t="n">
        <f aca="false">NPV_Engine!$B$4*B14*(C14/NPV_Engine!$B$8)*(1+0.5*(D14-NPV_Engine!$B$13))*(AVERAGE(E14,F14,G14)/B14)*(H14/NPV_Engine!$B$12)</f>
        <v>9500761.35025066</v>
      </c>
    </row>
    <row r="15" customFormat="false" ht="15" hidden="false" customHeight="true" outlineLevel="0" collapsed="false">
      <c r="A15" s="9" t="s">
        <v>125</v>
      </c>
      <c r="B15" s="31" t="n">
        <f aca="false">Curves!E8</f>
        <v>0.957768</v>
      </c>
      <c r="C15" s="31" t="n">
        <f aca="false">Curves!E9</f>
        <v>0.96933</v>
      </c>
      <c r="D15" s="24" t="n">
        <f aca="false">SABR!AT10</f>
        <v>0.39978211956629</v>
      </c>
      <c r="E15" s="23" t="n">
        <f aca="false">Curves!Q103</f>
        <v>0.950069418905633</v>
      </c>
      <c r="F15" s="23" t="n">
        <f aca="false">Curves!Q104</f>
        <v>0.941085187512815</v>
      </c>
      <c r="G15" s="23" t="n">
        <f aca="false">Curves!Q105</f>
        <v>0.956168103382636</v>
      </c>
      <c r="H15" s="31" t="n">
        <f aca="false">Curves!E13</f>
        <v>0.960645</v>
      </c>
      <c r="I15" s="42" t="n">
        <f aca="false">NPV_Engine!$B$4*B15*(C15/NPV_Engine!$B$8)*(1+0.5*(D15-NPV_Engine!$B$13))*(AVERAGE(E15,F15,G15)/B15)*(H15/NPV_Engine!$B$12)</f>
        <v>9491075.69933695</v>
      </c>
    </row>
    <row r="16" customFormat="false" ht="15" hidden="false" customHeight="true" outlineLevel="0" collapsed="false">
      <c r="A16" s="9" t="s">
        <v>126</v>
      </c>
      <c r="B16" s="31" t="n">
        <f aca="false">Curves!E8</f>
        <v>0.957768</v>
      </c>
      <c r="C16" s="31" t="n">
        <f aca="false">Curves!E9</f>
        <v>0.96933</v>
      </c>
      <c r="D16" s="24" t="n">
        <f aca="false">SABR!AT10</f>
        <v>0.39978211956629</v>
      </c>
      <c r="E16" s="23" t="n">
        <f aca="false">Curves!Q111</f>
        <v>0.957237796944819</v>
      </c>
      <c r="F16" s="23" t="n">
        <f aca="false">Curves!Q112</f>
        <v>0.94825631913984</v>
      </c>
      <c r="G16" s="23" t="n">
        <f aca="false">Curves!Q113</f>
        <v>0.966039723186702</v>
      </c>
      <c r="H16" s="31" t="n">
        <f aca="false">Curves!E13</f>
        <v>0.960645</v>
      </c>
      <c r="I16" s="42" t="n">
        <f aca="false">NPV_Engine!$B$4*B16*(C16/NPV_Engine!$B$8)*(1+0.5*(D16-NPV_Engine!$B$13))*(AVERAGE(E16,F16,G16)/B16)*(H16/NPV_Engine!$B$12)</f>
        <v>9571779.46423787</v>
      </c>
    </row>
    <row r="19" customFormat="false" ht="15" hidden="false" customHeight="true" outlineLevel="0" collapsed="false">
      <c r="A19" s="45" t="s">
        <v>208</v>
      </c>
      <c r="B19" s="45"/>
      <c r="C19" s="45"/>
      <c r="D19" s="45"/>
      <c r="E19" s="45"/>
      <c r="F19" s="45"/>
      <c r="G19" s="45"/>
      <c r="H19" s="45"/>
      <c r="I19" s="45"/>
      <c r="J19" s="52" t="s">
        <v>207</v>
      </c>
    </row>
    <row r="20" customFormat="false" ht="39" hidden="false" customHeight="true" outlineLevel="0" collapsed="false">
      <c r="A20" s="22" t="s">
        <v>179</v>
      </c>
      <c r="B20" s="22" t="s">
        <v>180</v>
      </c>
      <c r="C20" s="22" t="s">
        <v>181</v>
      </c>
      <c r="D20" s="22" t="s">
        <v>182</v>
      </c>
      <c r="E20" s="22" t="s">
        <v>183</v>
      </c>
      <c r="F20" s="22" t="s">
        <v>184</v>
      </c>
      <c r="G20" s="22" t="s">
        <v>185</v>
      </c>
      <c r="H20" s="22" t="s">
        <v>186</v>
      </c>
      <c r="I20" s="22" t="s">
        <v>187</v>
      </c>
    </row>
    <row r="21" customFormat="false" ht="15" hidden="false" customHeight="true" outlineLevel="0" collapsed="false">
      <c r="A21" s="4" t="s">
        <v>188</v>
      </c>
      <c r="B21" s="31" t="n">
        <f aca="false">Curves!E8</f>
        <v>0.957768</v>
      </c>
      <c r="C21" s="31" t="n">
        <f aca="false">Curves!E9</f>
        <v>0.96933</v>
      </c>
      <c r="D21" s="24" t="n">
        <f aca="false">SABR!AT10</f>
        <v>0.39978211956629</v>
      </c>
      <c r="E21" s="31" t="n">
        <f aca="false">Curves!E10</f>
        <v>0.958726</v>
      </c>
      <c r="F21" s="31" t="n">
        <f aca="false">Curves!E11</f>
        <v>0.954899</v>
      </c>
      <c r="G21" s="31" t="n">
        <f aca="false">Curves!E12</f>
        <v>0.967393</v>
      </c>
      <c r="H21" s="31" t="n">
        <f aca="false">Curves!E13</f>
        <v>0.960645</v>
      </c>
      <c r="I21" s="42" t="n">
        <f aca="false">NPV_Engine!$B$4*B21*(C21/NPV_Engine!$B$8)*(1+0.5*(D21-NPV_Engine!$B$13))*(AVERAGE(E21,F21,G21)/B21)*(H21/NPV_Engine!$B$12)</f>
        <v>9603393.33333333</v>
      </c>
    </row>
    <row r="22" customFormat="false" ht="15" hidden="false" customHeight="true" outlineLevel="0" collapsed="false">
      <c r="A22" s="9" t="s">
        <v>117</v>
      </c>
      <c r="B22" s="31" t="n">
        <f aca="false">Curves!E8</f>
        <v>0.957768</v>
      </c>
      <c r="C22" s="31" t="n">
        <f aca="false">Curves!E9</f>
        <v>0.96933</v>
      </c>
      <c r="D22" s="24" t="n">
        <f aca="false">SABR!AT10</f>
        <v>0.39978211956629</v>
      </c>
      <c r="E22" s="23" t="n">
        <f aca="false">Curves!Q39</f>
        <v>0.958061825595622</v>
      </c>
      <c r="F22" s="23" t="n">
        <f aca="false">Curves!Q40</f>
        <v>0.949311346582243</v>
      </c>
      <c r="G22" s="23" t="n">
        <f aca="false">Curves!Q41</f>
        <v>0.962297088758501</v>
      </c>
      <c r="H22" s="31" t="n">
        <f aca="false">Curves!E13</f>
        <v>0.960645</v>
      </c>
      <c r="I22" s="42" t="n">
        <f aca="false">NPV_Engine!$B$4*B22*(C22/NPV_Engine!$B$8)*(1+0.5*(D22-NPV_Engine!$B$13))*(AVERAGE(E22,F22,G22)/B22)*(H22/NPV_Engine!$B$12)</f>
        <v>9565567.53645455</v>
      </c>
    </row>
    <row r="23" customFormat="false" ht="15" hidden="false" customHeight="true" outlineLevel="0" collapsed="false">
      <c r="A23" s="9" t="s">
        <v>118</v>
      </c>
      <c r="B23" s="31" t="n">
        <f aca="false">Curves!E8</f>
        <v>0.957768</v>
      </c>
      <c r="C23" s="31" t="n">
        <f aca="false">Curves!E9</f>
        <v>0.96933</v>
      </c>
      <c r="D23" s="24" t="n">
        <f aca="false">SABR!AT10</f>
        <v>0.39978211956629</v>
      </c>
      <c r="E23" s="23" t="n">
        <f aca="false">Curves!Q47</f>
        <v>0.954588922832977</v>
      </c>
      <c r="F23" s="23" t="n">
        <f aca="false">Curves!Q48</f>
        <v>0.952091864437955</v>
      </c>
      <c r="G23" s="23" t="n">
        <f aca="false">Curves!Q49</f>
        <v>0.964955584066973</v>
      </c>
      <c r="H23" s="31" t="n">
        <f aca="false">Curves!E13</f>
        <v>0.960645</v>
      </c>
      <c r="I23" s="42" t="n">
        <f aca="false">NPV_Engine!$B$4*B23*(C23/NPV_Engine!$B$8)*(1+0.5*(D23-NPV_Engine!$B$13))*(AVERAGE(E23,F23,G23)/B23)*(H23/NPV_Engine!$B$12)</f>
        <v>9572121.23779302</v>
      </c>
    </row>
    <row r="24" customFormat="false" ht="15" hidden="false" customHeight="true" outlineLevel="0" collapsed="false">
      <c r="A24" s="9" t="s">
        <v>119</v>
      </c>
      <c r="B24" s="31" t="n">
        <f aca="false">Curves!E8</f>
        <v>0.957768</v>
      </c>
      <c r="C24" s="31" t="n">
        <f aca="false">Curves!E9</f>
        <v>0.96933</v>
      </c>
      <c r="D24" s="24" t="n">
        <f aca="false">SABR!AT10</f>
        <v>0.39978211956629</v>
      </c>
      <c r="E24" s="23" t="n">
        <f aca="false">Curves!Q55</f>
        <v>0.954008957495664</v>
      </c>
      <c r="F24" s="23" t="n">
        <f aca="false">Curves!Q56</f>
        <v>0.953612707835657</v>
      </c>
      <c r="G24" s="23" t="n">
        <f aca="false">Curves!Q57</f>
        <v>0.961223663488055</v>
      </c>
      <c r="H24" s="31" t="n">
        <f aca="false">Curves!E13</f>
        <v>0.960645</v>
      </c>
      <c r="I24" s="42" t="n">
        <f aca="false">NPV_Engine!$B$4*B24*(C24/NPV_Engine!$B$8)*(1+0.5*(D24-NPV_Engine!$B$13))*(AVERAGE(E24,F24,G24)/B24)*(H24/NPV_Engine!$B$12)</f>
        <v>9562817.76273125</v>
      </c>
    </row>
    <row r="25" customFormat="false" ht="15" hidden="false" customHeight="true" outlineLevel="0" collapsed="false">
      <c r="A25" s="9" t="s">
        <v>120</v>
      </c>
      <c r="B25" s="31" t="n">
        <f aca="false">Curves!E8</f>
        <v>0.957768</v>
      </c>
      <c r="C25" s="31" t="n">
        <f aca="false">Curves!E9</f>
        <v>0.96933</v>
      </c>
      <c r="D25" s="24" t="n">
        <f aca="false">SABR!AT10</f>
        <v>0.39978211956629</v>
      </c>
      <c r="E25" s="23" t="n">
        <f aca="false">Curves!Q63</f>
        <v>0.95320762385314</v>
      </c>
      <c r="F25" s="23" t="n">
        <f aca="false">Curves!Q64</f>
        <v>0.946234479809646</v>
      </c>
      <c r="G25" s="23" t="n">
        <f aca="false">Curves!Q65</f>
        <v>0.960336700770215</v>
      </c>
      <c r="H25" s="31" t="n">
        <f aca="false">Curves!E13</f>
        <v>0.960645</v>
      </c>
      <c r="I25" s="42" t="n">
        <f aca="false">NPV_Engine!$B$4*B25*(C25/NPV_Engine!$B$8)*(1+0.5*(D25-NPV_Engine!$B$13))*(AVERAGE(E25,F25,G25)/B25)*(H25/NPV_Engine!$B$12)</f>
        <v>9532596.01477667</v>
      </c>
    </row>
    <row r="26" customFormat="false" ht="15" hidden="false" customHeight="true" outlineLevel="0" collapsed="false">
      <c r="A26" s="9" t="s">
        <v>121</v>
      </c>
      <c r="B26" s="31" t="n">
        <f aca="false">Curves!E8</f>
        <v>0.957768</v>
      </c>
      <c r="C26" s="31" t="n">
        <f aca="false">Curves!E9</f>
        <v>0.96933</v>
      </c>
      <c r="D26" s="24" t="n">
        <f aca="false">SABR!AT10</f>
        <v>0.39978211956629</v>
      </c>
      <c r="E26" s="23" t="n">
        <f aca="false">Curves!Q71</f>
        <v>0.9563957060858</v>
      </c>
      <c r="F26" s="23" t="n">
        <f aca="false">Curves!Q72</f>
        <v>0.945344255389449</v>
      </c>
      <c r="G26" s="23" t="n">
        <f aca="false">Curves!Q73</f>
        <v>0.960043506585016</v>
      </c>
      <c r="H26" s="31" t="n">
        <f aca="false">Curves!E13</f>
        <v>0.960645</v>
      </c>
      <c r="I26" s="42" t="n">
        <f aca="false">NPV_Engine!$B$4*B26*(C26/NPV_Engine!$B$8)*(1+0.5*(D26-NPV_Engine!$B$13))*(AVERAGE(E26,F26,G26)/B26)*(H26/NPV_Engine!$B$12)</f>
        <v>9539278.22686755</v>
      </c>
    </row>
    <row r="27" customFormat="false" ht="15" hidden="false" customHeight="true" outlineLevel="0" collapsed="false">
      <c r="A27" s="9" t="s">
        <v>122</v>
      </c>
      <c r="B27" s="31" t="n">
        <f aca="false">Curves!E8</f>
        <v>0.957768</v>
      </c>
      <c r="C27" s="31" t="n">
        <f aca="false">Curves!E9</f>
        <v>0.96933</v>
      </c>
      <c r="D27" s="24" t="n">
        <f aca="false">SABR!AT10</f>
        <v>0.39978211956629</v>
      </c>
      <c r="E27" s="23" t="n">
        <f aca="false">Curves!Q79</f>
        <v>0.952137896569466</v>
      </c>
      <c r="F27" s="23" t="n">
        <f aca="false">Curves!Q80</f>
        <v>0.944482088523894</v>
      </c>
      <c r="G27" s="23" t="n">
        <f aca="false">Curves!Q81</f>
        <v>0.958612050918359</v>
      </c>
      <c r="H27" s="31" t="n">
        <f aca="false">Curves!E13</f>
        <v>0.960645</v>
      </c>
      <c r="I27" s="42" t="n">
        <f aca="false">NPV_Engine!$B$4*B27*(C27/NPV_Engine!$B$8)*(1+0.5*(D27-NPV_Engine!$B$13))*(AVERAGE(E27,F27,G27)/B27)*(H27/NPV_Engine!$B$12)</f>
        <v>9517440.12003906</v>
      </c>
    </row>
    <row r="28" customFormat="false" ht="15" hidden="false" customHeight="true" outlineLevel="0" collapsed="false">
      <c r="A28" s="9" t="s">
        <v>123</v>
      </c>
      <c r="B28" s="31" t="n">
        <f aca="false">Curves!E8</f>
        <v>0.957768</v>
      </c>
      <c r="C28" s="31" t="n">
        <f aca="false">Curves!E9</f>
        <v>0.96933</v>
      </c>
      <c r="D28" s="24" t="n">
        <f aca="false">SABR!AT10</f>
        <v>0.39978211956629</v>
      </c>
      <c r="E28" s="23" t="n">
        <f aca="false">Curves!Q87</f>
        <v>0.951644904713199</v>
      </c>
      <c r="F28" s="23" t="n">
        <f aca="false">Curves!Q88</f>
        <v>0.950115469489328</v>
      </c>
      <c r="G28" s="23" t="n">
        <f aca="false">Curves!Q89</f>
        <v>0.957808375985025</v>
      </c>
      <c r="H28" s="31" t="n">
        <f aca="false">Curves!E13</f>
        <v>0.960645</v>
      </c>
      <c r="I28" s="42" t="n">
        <f aca="false">NPV_Engine!$B$4*B28*(C28/NPV_Engine!$B$8)*(1+0.5*(D28-NPV_Engine!$B$13))*(AVERAGE(E28,F28,G28)/B28)*(H28/NPV_Engine!$B$12)</f>
        <v>9531895.83395851</v>
      </c>
    </row>
    <row r="29" customFormat="false" ht="15" hidden="false" customHeight="true" outlineLevel="0" collapsed="false">
      <c r="A29" s="9" t="s">
        <v>124</v>
      </c>
      <c r="B29" s="31" t="n">
        <f aca="false">Curves!E8</f>
        <v>0.957768</v>
      </c>
      <c r="C29" s="31" t="n">
        <f aca="false">Curves!E9</f>
        <v>0.96933</v>
      </c>
      <c r="D29" s="24" t="n">
        <f aca="false">SABR!AT10</f>
        <v>0.39978211956629</v>
      </c>
      <c r="E29" s="23" t="n">
        <f aca="false">Curves!Q95</f>
        <v>0.950824572103433</v>
      </c>
      <c r="F29" s="23" t="n">
        <f aca="false">Curves!Q96</f>
        <v>0.942346869047631</v>
      </c>
      <c r="G29" s="23" t="n">
        <f aca="false">Curves!Q97</f>
        <v>0.957056963924134</v>
      </c>
      <c r="H29" s="31" t="n">
        <f aca="false">Curves!E13</f>
        <v>0.960645</v>
      </c>
      <c r="I29" s="42" t="n">
        <f aca="false">NPV_Engine!$B$4*B29*(C29/NPV_Engine!$B$8)*(1+0.5*(D29-NPV_Engine!$B$13))*(AVERAGE(E29,F29,G29)/B29)*(H29/NPV_Engine!$B$12)</f>
        <v>9500761.35025066</v>
      </c>
    </row>
    <row r="30" customFormat="false" ht="15" hidden="false" customHeight="true" outlineLevel="0" collapsed="false">
      <c r="A30" s="9" t="s">
        <v>125</v>
      </c>
      <c r="B30" s="31" t="n">
        <f aca="false">Curves!E8</f>
        <v>0.957768</v>
      </c>
      <c r="C30" s="31" t="n">
        <f aca="false">Curves!E9</f>
        <v>0.96933</v>
      </c>
      <c r="D30" s="24" t="n">
        <f aca="false">SABR!AT10</f>
        <v>0.39978211956629</v>
      </c>
      <c r="E30" s="23" t="n">
        <f aca="false">Curves!Q103</f>
        <v>0.950069418905633</v>
      </c>
      <c r="F30" s="23" t="n">
        <f aca="false">Curves!Q104</f>
        <v>0.941085187512815</v>
      </c>
      <c r="G30" s="23" t="n">
        <f aca="false">Curves!Q105</f>
        <v>0.956168103382636</v>
      </c>
      <c r="H30" s="31" t="n">
        <f aca="false">Curves!E13</f>
        <v>0.960645</v>
      </c>
      <c r="I30" s="42" t="n">
        <f aca="false">NPV_Engine!$B$4*B30*(C30/NPV_Engine!$B$8)*(1+0.5*(D30-NPV_Engine!$B$13))*(AVERAGE(E30,F30,G30)/B30)*(H30/NPV_Engine!$B$12)</f>
        <v>9491075.69933695</v>
      </c>
    </row>
    <row r="31" customFormat="false" ht="15" hidden="false" customHeight="true" outlineLevel="0" collapsed="false">
      <c r="A31" s="9" t="s">
        <v>126</v>
      </c>
      <c r="B31" s="31" t="n">
        <f aca="false">Curves!E8</f>
        <v>0.957768</v>
      </c>
      <c r="C31" s="31" t="n">
        <f aca="false">Curves!E9</f>
        <v>0.96933</v>
      </c>
      <c r="D31" s="24" t="n">
        <f aca="false">SABR!AT10</f>
        <v>0.39978211956629</v>
      </c>
      <c r="E31" s="23" t="n">
        <f aca="false">Curves!Q111</f>
        <v>0.957237796944819</v>
      </c>
      <c r="F31" s="23" t="n">
        <f aca="false">Curves!Q112</f>
        <v>0.94825631913984</v>
      </c>
      <c r="G31" s="23" t="n">
        <f aca="false">Curves!Q113</f>
        <v>0.966039723186702</v>
      </c>
      <c r="H31" s="31" t="n">
        <f aca="false">Curves!E13</f>
        <v>0.960645</v>
      </c>
      <c r="I31" s="42" t="n">
        <f aca="false">NPV_Engine!$B$4*B31*(C31/NPV_Engine!$B$8)*(1+0.5*(D31-NPV_Engine!$B$13))*(AVERAGE(E31,F31,G31)/B31)*(H31/NPV_Engine!$B$12)</f>
        <v>9571779.46423787</v>
      </c>
    </row>
    <row r="34" customFormat="false" ht="15" hidden="false" customHeight="true" outlineLevel="0" collapsed="false">
      <c r="A34" s="45" t="s">
        <v>209</v>
      </c>
      <c r="B34" s="45"/>
      <c r="C34" s="45"/>
      <c r="D34" s="45"/>
      <c r="E34" s="45"/>
      <c r="F34" s="45"/>
      <c r="G34" s="45"/>
      <c r="H34" s="45"/>
      <c r="I34" s="45"/>
      <c r="J34" s="52" t="s">
        <v>210</v>
      </c>
    </row>
    <row r="35" customFormat="false" ht="39" hidden="false" customHeight="true" outlineLevel="0" collapsed="false">
      <c r="A35" s="22" t="s">
        <v>179</v>
      </c>
      <c r="B35" s="22" t="s">
        <v>180</v>
      </c>
      <c r="C35" s="22" t="s">
        <v>181</v>
      </c>
      <c r="D35" s="22" t="s">
        <v>182</v>
      </c>
      <c r="E35" s="22" t="s">
        <v>183</v>
      </c>
      <c r="F35" s="22" t="s">
        <v>184</v>
      </c>
      <c r="G35" s="22" t="s">
        <v>185</v>
      </c>
      <c r="H35" s="22" t="s">
        <v>186</v>
      </c>
      <c r="I35" s="22" t="s">
        <v>187</v>
      </c>
    </row>
    <row r="36" customFormat="false" ht="15" hidden="false" customHeight="true" outlineLevel="0" collapsed="false">
      <c r="A36" s="4" t="s">
        <v>188</v>
      </c>
      <c r="B36" s="31" t="n">
        <f aca="false">Curves!E8</f>
        <v>0.957768</v>
      </c>
      <c r="C36" s="31" t="n">
        <f aca="false">Curves!E9</f>
        <v>0.96933</v>
      </c>
      <c r="D36" s="24" t="n">
        <f aca="false">SABR!AT10</f>
        <v>0.39978211956629</v>
      </c>
      <c r="E36" s="31" t="n">
        <f aca="false">Curves!E10</f>
        <v>0.958726</v>
      </c>
      <c r="F36" s="31" t="n">
        <f aca="false">Curves!E11</f>
        <v>0.954899</v>
      </c>
      <c r="G36" s="31" t="n">
        <f aca="false">Curves!E12</f>
        <v>0.967393</v>
      </c>
      <c r="H36" s="31" t="n">
        <f aca="false">Curves!E13</f>
        <v>0.960645</v>
      </c>
      <c r="I36" s="42" t="n">
        <f aca="false">NPV_Engine!$B$4*B36*(C36/NPV_Engine!$B$8)*(1+0.5*(D36-NPV_Engine!$B$13))*(AVERAGE(E36,F36,G36)/B36)*(H36/NPV_Engine!$B$12)</f>
        <v>9603393.33333333</v>
      </c>
    </row>
    <row r="37" customFormat="false" ht="15" hidden="false" customHeight="true" outlineLevel="0" collapsed="false">
      <c r="A37" s="9" t="s">
        <v>117</v>
      </c>
      <c r="B37" s="31" t="n">
        <f aca="false">Curves!E8</f>
        <v>0.957768</v>
      </c>
      <c r="C37" s="31" t="n">
        <f aca="false">Curves!E9</f>
        <v>0.96933</v>
      </c>
      <c r="D37" s="24" t="n">
        <f aca="false">SABR!AT10</f>
        <v>0.39978211956629</v>
      </c>
      <c r="E37" s="31" t="n">
        <f aca="false">Curves!E10</f>
        <v>0.958726</v>
      </c>
      <c r="F37" s="23" t="n">
        <f aca="false">Curves!Q40</f>
        <v>0.949311346582243</v>
      </c>
      <c r="G37" s="31" t="n">
        <f aca="false">Curves!E12</f>
        <v>0.967393</v>
      </c>
      <c r="H37" s="31" t="n">
        <f aca="false">Curves!E13</f>
        <v>0.960645</v>
      </c>
      <c r="I37" s="42" t="n">
        <f aca="false">NPV_Engine!$B$4*B37*(C37/NPV_Engine!$B$8)*(1+0.5*(D37-NPV_Engine!$B$13))*(AVERAGE(E37,F37,G37)/B37)*(H37/NPV_Engine!$B$12)</f>
        <v>9584767.82194081</v>
      </c>
    </row>
    <row r="38" customFormat="false" ht="15" hidden="false" customHeight="true" outlineLevel="0" collapsed="false">
      <c r="A38" s="9" t="s">
        <v>118</v>
      </c>
      <c r="B38" s="31" t="n">
        <f aca="false">Curves!E8</f>
        <v>0.957768</v>
      </c>
      <c r="C38" s="31" t="n">
        <f aca="false">Curves!E9</f>
        <v>0.96933</v>
      </c>
      <c r="D38" s="24" t="n">
        <f aca="false">SABR!AT10</f>
        <v>0.39978211956629</v>
      </c>
      <c r="E38" s="31" t="n">
        <f aca="false">Curves!E10</f>
        <v>0.958726</v>
      </c>
      <c r="F38" s="23" t="n">
        <f aca="false">Curves!Q48</f>
        <v>0.952091864437955</v>
      </c>
      <c r="G38" s="31" t="n">
        <f aca="false">Curves!E12</f>
        <v>0.967393</v>
      </c>
      <c r="H38" s="31" t="n">
        <f aca="false">Curves!E13</f>
        <v>0.960645</v>
      </c>
      <c r="I38" s="42" t="n">
        <f aca="false">NPV_Engine!$B$4*B38*(C38/NPV_Engine!$B$8)*(1+0.5*(D38-NPV_Engine!$B$13))*(AVERAGE(E38,F38,G38)/B38)*(H38/NPV_Engine!$B$12)</f>
        <v>9594036.21479318</v>
      </c>
    </row>
    <row r="39" customFormat="false" ht="15" hidden="false" customHeight="true" outlineLevel="0" collapsed="false">
      <c r="A39" s="9" t="s">
        <v>119</v>
      </c>
      <c r="B39" s="31" t="n">
        <f aca="false">Curves!E8</f>
        <v>0.957768</v>
      </c>
      <c r="C39" s="31" t="n">
        <f aca="false">Curves!E9</f>
        <v>0.96933</v>
      </c>
      <c r="D39" s="24" t="n">
        <f aca="false">SABR!AT10</f>
        <v>0.39978211956629</v>
      </c>
      <c r="E39" s="31" t="n">
        <f aca="false">Curves!E10</f>
        <v>0.958726</v>
      </c>
      <c r="F39" s="23" t="n">
        <f aca="false">Curves!Q56</f>
        <v>0.953612707835657</v>
      </c>
      <c r="G39" s="31" t="n">
        <f aca="false">Curves!E12</f>
        <v>0.967393</v>
      </c>
      <c r="H39" s="31" t="n">
        <f aca="false">Curves!E13</f>
        <v>0.960645</v>
      </c>
      <c r="I39" s="42" t="n">
        <f aca="false">NPV_Engine!$B$4*B39*(C39/NPV_Engine!$B$8)*(1+0.5*(D39-NPV_Engine!$B$13))*(AVERAGE(E39,F39,G39)/B39)*(H39/NPV_Engine!$B$12)</f>
        <v>9599105.69278552</v>
      </c>
    </row>
    <row r="40" customFormat="false" ht="15" hidden="false" customHeight="true" outlineLevel="0" collapsed="false">
      <c r="A40" s="9" t="s">
        <v>120</v>
      </c>
      <c r="B40" s="31" t="n">
        <f aca="false">Curves!E8</f>
        <v>0.957768</v>
      </c>
      <c r="C40" s="31" t="n">
        <f aca="false">Curves!E9</f>
        <v>0.96933</v>
      </c>
      <c r="D40" s="24" t="n">
        <f aca="false">SABR!AT10</f>
        <v>0.39978211956629</v>
      </c>
      <c r="E40" s="31" t="n">
        <f aca="false">Curves!E10</f>
        <v>0.958726</v>
      </c>
      <c r="F40" s="23" t="n">
        <f aca="false">Curves!Q64</f>
        <v>0.946234479809646</v>
      </c>
      <c r="G40" s="31" t="n">
        <f aca="false">Curves!E12</f>
        <v>0.967393</v>
      </c>
      <c r="H40" s="31" t="n">
        <f aca="false">Curves!E13</f>
        <v>0.960645</v>
      </c>
      <c r="I40" s="42" t="n">
        <f aca="false">NPV_Engine!$B$4*B40*(C40/NPV_Engine!$B$8)*(1+0.5*(D40-NPV_Engine!$B$13))*(AVERAGE(E40,F40,G40)/B40)*(H40/NPV_Engine!$B$12)</f>
        <v>9574511.59936549</v>
      </c>
    </row>
    <row r="41" customFormat="false" ht="15" hidden="false" customHeight="true" outlineLevel="0" collapsed="false">
      <c r="A41" s="9" t="s">
        <v>121</v>
      </c>
      <c r="B41" s="31" t="n">
        <f aca="false">Curves!E8</f>
        <v>0.957768</v>
      </c>
      <c r="C41" s="31" t="n">
        <f aca="false">Curves!E9</f>
        <v>0.96933</v>
      </c>
      <c r="D41" s="24" t="n">
        <f aca="false">SABR!AT10</f>
        <v>0.39978211956629</v>
      </c>
      <c r="E41" s="31" t="n">
        <f aca="false">Curves!E10</f>
        <v>0.958726</v>
      </c>
      <c r="F41" s="23" t="n">
        <f aca="false">Curves!Q72</f>
        <v>0.945344255389449</v>
      </c>
      <c r="G41" s="31" t="n">
        <f aca="false">Curves!E12</f>
        <v>0.967393</v>
      </c>
      <c r="H41" s="31" t="n">
        <f aca="false">Curves!E13</f>
        <v>0.960645</v>
      </c>
      <c r="I41" s="42" t="n">
        <f aca="false">NPV_Engine!$B$4*B41*(C41/NPV_Engine!$B$8)*(1+0.5*(D41-NPV_Engine!$B$13))*(AVERAGE(E41,F41,G41)/B41)*(H41/NPV_Engine!$B$12)</f>
        <v>9571544.1846315</v>
      </c>
    </row>
    <row r="42" customFormat="false" ht="15" hidden="false" customHeight="true" outlineLevel="0" collapsed="false">
      <c r="A42" s="9" t="s">
        <v>122</v>
      </c>
      <c r="B42" s="31" t="n">
        <f aca="false">Curves!E8</f>
        <v>0.957768</v>
      </c>
      <c r="C42" s="31" t="n">
        <f aca="false">Curves!E9</f>
        <v>0.96933</v>
      </c>
      <c r="D42" s="24" t="n">
        <f aca="false">SABR!AT10</f>
        <v>0.39978211956629</v>
      </c>
      <c r="E42" s="31" t="n">
        <f aca="false">Curves!E10</f>
        <v>0.958726</v>
      </c>
      <c r="F42" s="23" t="n">
        <f aca="false">Curves!Q80</f>
        <v>0.944482088523894</v>
      </c>
      <c r="G42" s="31" t="n">
        <f aca="false">Curves!E12</f>
        <v>0.967393</v>
      </c>
      <c r="H42" s="31" t="n">
        <f aca="false">Curves!E13</f>
        <v>0.960645</v>
      </c>
      <c r="I42" s="42" t="n">
        <f aca="false">NPV_Engine!$B$4*B42*(C42/NPV_Engine!$B$8)*(1+0.5*(D42-NPV_Engine!$B$13))*(AVERAGE(E42,F42,G42)/B42)*(H42/NPV_Engine!$B$12)</f>
        <v>9568670.29507965</v>
      </c>
    </row>
    <row r="43" customFormat="false" ht="15" hidden="false" customHeight="true" outlineLevel="0" collapsed="false">
      <c r="A43" s="9" t="s">
        <v>123</v>
      </c>
      <c r="B43" s="31" t="n">
        <f aca="false">Curves!E8</f>
        <v>0.957768</v>
      </c>
      <c r="C43" s="31" t="n">
        <f aca="false">Curves!E9</f>
        <v>0.96933</v>
      </c>
      <c r="D43" s="24" t="n">
        <f aca="false">SABR!AT10</f>
        <v>0.39978211956629</v>
      </c>
      <c r="E43" s="31" t="n">
        <f aca="false">Curves!E10</f>
        <v>0.958726</v>
      </c>
      <c r="F43" s="23" t="n">
        <f aca="false">Curves!Q88</f>
        <v>0.950115469489328</v>
      </c>
      <c r="G43" s="31" t="n">
        <f aca="false">Curves!E12</f>
        <v>0.967393</v>
      </c>
      <c r="H43" s="31" t="n">
        <f aca="false">Curves!E13</f>
        <v>0.960645</v>
      </c>
      <c r="I43" s="42" t="n">
        <f aca="false">NPV_Engine!$B$4*B43*(C43/NPV_Engine!$B$8)*(1+0.5*(D43-NPV_Engine!$B$13))*(AVERAGE(E43,F43,G43)/B43)*(H43/NPV_Engine!$B$12)</f>
        <v>9587448.23163109</v>
      </c>
    </row>
    <row r="44" customFormat="false" ht="15" hidden="false" customHeight="true" outlineLevel="0" collapsed="false">
      <c r="A44" s="9" t="s">
        <v>124</v>
      </c>
      <c r="B44" s="31" t="n">
        <f aca="false">Curves!E8</f>
        <v>0.957768</v>
      </c>
      <c r="C44" s="31" t="n">
        <f aca="false">Curves!E9</f>
        <v>0.96933</v>
      </c>
      <c r="D44" s="24" t="n">
        <f aca="false">SABR!AT10</f>
        <v>0.39978211956629</v>
      </c>
      <c r="E44" s="31" t="n">
        <f aca="false">Curves!E10</f>
        <v>0.958726</v>
      </c>
      <c r="F44" s="23" t="n">
        <f aca="false">Curves!Q96</f>
        <v>0.942346869047631</v>
      </c>
      <c r="G44" s="31" t="n">
        <f aca="false">Curves!E12</f>
        <v>0.967393</v>
      </c>
      <c r="H44" s="31" t="n">
        <f aca="false">Curves!E13</f>
        <v>0.960645</v>
      </c>
      <c r="I44" s="42" t="n">
        <f aca="false">NPV_Engine!$B$4*B44*(C44/NPV_Engine!$B$8)*(1+0.5*(D44-NPV_Engine!$B$13))*(AVERAGE(E44,F44,G44)/B44)*(H44/NPV_Engine!$B$12)</f>
        <v>9561552.89682544</v>
      </c>
    </row>
    <row r="45" customFormat="false" ht="15" hidden="false" customHeight="true" outlineLevel="0" collapsed="false">
      <c r="A45" s="9" t="s">
        <v>125</v>
      </c>
      <c r="B45" s="31" t="n">
        <f aca="false">Curves!E8</f>
        <v>0.957768</v>
      </c>
      <c r="C45" s="31" t="n">
        <f aca="false">Curves!E9</f>
        <v>0.96933</v>
      </c>
      <c r="D45" s="24" t="n">
        <f aca="false">SABR!AT10</f>
        <v>0.39978211956629</v>
      </c>
      <c r="E45" s="31" t="n">
        <f aca="false">Curves!E10</f>
        <v>0.958726</v>
      </c>
      <c r="F45" s="23" t="n">
        <f aca="false">Curves!Q104</f>
        <v>0.941085187512815</v>
      </c>
      <c r="G45" s="31" t="n">
        <f aca="false">Curves!E12</f>
        <v>0.967393</v>
      </c>
      <c r="H45" s="31" t="n">
        <f aca="false">Curves!E13</f>
        <v>0.960645</v>
      </c>
      <c r="I45" s="42" t="n">
        <f aca="false">NPV_Engine!$B$4*B45*(C45/NPV_Engine!$B$8)*(1+0.5*(D45-NPV_Engine!$B$13))*(AVERAGE(E45,F45,G45)/B45)*(H45/NPV_Engine!$B$12)</f>
        <v>9557347.29170938</v>
      </c>
    </row>
    <row r="46" customFormat="false" ht="15" hidden="false" customHeight="true" outlineLevel="0" collapsed="false">
      <c r="A46" s="9" t="s">
        <v>126</v>
      </c>
      <c r="B46" s="31" t="n">
        <f aca="false">Curves!E8</f>
        <v>0.957768</v>
      </c>
      <c r="C46" s="31" t="n">
        <f aca="false">Curves!E9</f>
        <v>0.96933</v>
      </c>
      <c r="D46" s="24" t="n">
        <f aca="false">SABR!AT10</f>
        <v>0.39978211956629</v>
      </c>
      <c r="E46" s="31" t="n">
        <f aca="false">Curves!E10</f>
        <v>0.958726</v>
      </c>
      <c r="F46" s="23" t="n">
        <f aca="false">Curves!Q112</f>
        <v>0.94825631913984</v>
      </c>
      <c r="G46" s="31" t="n">
        <f aca="false">Curves!E12</f>
        <v>0.967393</v>
      </c>
      <c r="H46" s="31" t="n">
        <f aca="false">Curves!E13</f>
        <v>0.960645</v>
      </c>
      <c r="I46" s="42" t="n">
        <f aca="false">NPV_Engine!$B$4*B46*(C46/NPV_Engine!$B$8)*(1+0.5*(D46-NPV_Engine!$B$13))*(AVERAGE(E46,F46,G46)/B46)*(H46/NPV_Engine!$B$12)</f>
        <v>9581251.06379947</v>
      </c>
    </row>
    <row r="49" customFormat="false" ht="15" hidden="false" customHeight="true" outlineLevel="0" collapsed="false">
      <c r="A49" s="44" t="s">
        <v>211</v>
      </c>
      <c r="B49" s="44"/>
      <c r="C49" s="44"/>
      <c r="D49" s="44"/>
      <c r="E49" s="44"/>
      <c r="F49" s="44"/>
      <c r="G49" s="44"/>
      <c r="H49" s="44"/>
      <c r="I49" s="44"/>
      <c r="J49" s="52" t="s">
        <v>212</v>
      </c>
    </row>
    <row r="50" customFormat="false" ht="39" hidden="false" customHeight="true" outlineLevel="0" collapsed="false">
      <c r="A50" s="22" t="s">
        <v>179</v>
      </c>
      <c r="B50" s="22" t="s">
        <v>180</v>
      </c>
      <c r="C50" s="22" t="s">
        <v>181</v>
      </c>
      <c r="D50" s="22" t="s">
        <v>182</v>
      </c>
      <c r="E50" s="22" t="s">
        <v>183</v>
      </c>
      <c r="F50" s="22" t="s">
        <v>184</v>
      </c>
      <c r="G50" s="22" t="s">
        <v>185</v>
      </c>
      <c r="H50" s="22" t="s">
        <v>186</v>
      </c>
      <c r="I50" s="22" t="s">
        <v>187</v>
      </c>
    </row>
    <row r="51" customFormat="false" ht="15" hidden="false" customHeight="true" outlineLevel="0" collapsed="false">
      <c r="A51" s="4" t="s">
        <v>188</v>
      </c>
      <c r="B51" s="31" t="n">
        <f aca="false">Curves!E8</f>
        <v>0.957768</v>
      </c>
      <c r="C51" s="31" t="n">
        <f aca="false">Curves!E9</f>
        <v>0.96933</v>
      </c>
      <c r="D51" s="24" t="n">
        <f aca="false">SABR!AT10</f>
        <v>0.39978211956629</v>
      </c>
      <c r="E51" s="31" t="n">
        <f aca="false">Curves!E10</f>
        <v>0.958726</v>
      </c>
      <c r="F51" s="31" t="n">
        <f aca="false">Curves!E11</f>
        <v>0.954899</v>
      </c>
      <c r="G51" s="31" t="n">
        <f aca="false">Curves!E12</f>
        <v>0.967393</v>
      </c>
      <c r="H51" s="31" t="n">
        <f aca="false">Curves!E13</f>
        <v>0.960645</v>
      </c>
      <c r="I51" s="42" t="n">
        <f aca="false">NPV_Engine!$B$4*B51*(C51/NPV_Engine!$B$8)*(1+0.5*(D51-NPV_Engine!$B$13))*(AVERAGE(E51,F51,G51)/B51)*(H51/NPV_Engine!$B$12)</f>
        <v>9603393.33333333</v>
      </c>
    </row>
    <row r="52" customFormat="false" ht="15" hidden="false" customHeight="true" outlineLevel="0" collapsed="false">
      <c r="A52" s="9" t="s">
        <v>117</v>
      </c>
      <c r="B52" s="23" t="n">
        <f aca="false">Curves!Q37</f>
        <v>0.95645567308242</v>
      </c>
      <c r="C52" s="23" t="n">
        <f aca="false">Curves!Q38</f>
        <v>0.968268575053369</v>
      </c>
      <c r="D52" s="43" t="n">
        <f aca="false">SABR!AT60</f>
        <v>0.406538537771067</v>
      </c>
      <c r="E52" s="31" t="n">
        <f aca="false">Curves!E10</f>
        <v>0.958726</v>
      </c>
      <c r="F52" s="31" t="n">
        <f aca="false">Curves!E11</f>
        <v>0.954899</v>
      </c>
      <c r="G52" s="31" t="n">
        <f aca="false">Curves!E12</f>
        <v>0.967393</v>
      </c>
      <c r="H52" s="31" t="n">
        <f aca="false">Curves!E13</f>
        <v>0.960645</v>
      </c>
      <c r="I52" s="42" t="n">
        <f aca="false">NPV_Engine!$B$4*B52*(C52/NPV_Engine!$B$8)*(1+0.5*(D52-NPV_Engine!$B$13))*(AVERAGE(E52,F52,G52)/B52)*(H52/NPV_Engine!$B$12)</f>
        <v>9625284.27866264</v>
      </c>
    </row>
    <row r="53" customFormat="false" ht="15" hidden="false" customHeight="true" outlineLevel="0" collapsed="false">
      <c r="A53" s="9" t="s">
        <v>118</v>
      </c>
      <c r="B53" s="23" t="n">
        <f aca="false">Curves!Q45</f>
        <v>0.953984470417811</v>
      </c>
      <c r="C53" s="23" t="n">
        <f aca="false">Curves!Q46</f>
        <v>0.968938897143004</v>
      </c>
      <c r="D53" s="43" t="n">
        <f aca="false">SABR!AT74</f>
        <v>0.408312583119033</v>
      </c>
      <c r="E53" s="31" t="n">
        <f aca="false">Curves!E10</f>
        <v>0.958726</v>
      </c>
      <c r="F53" s="31" t="n">
        <f aca="false">Curves!E11</f>
        <v>0.954899</v>
      </c>
      <c r="G53" s="31" t="n">
        <f aca="false">Curves!E12</f>
        <v>0.967393</v>
      </c>
      <c r="H53" s="31" t="n">
        <f aca="false">Curves!E13</f>
        <v>0.960645</v>
      </c>
      <c r="I53" s="42" t="n">
        <f aca="false">NPV_Engine!$B$4*B53*(C53/NPV_Engine!$B$8)*(1+0.5*(D53-NPV_Engine!$B$13))*(AVERAGE(E53,F53,G53)/B53)*(H53/NPV_Engine!$B$12)</f>
        <v>9640462.75176721</v>
      </c>
    </row>
    <row r="54" customFormat="false" ht="15" hidden="false" customHeight="true" outlineLevel="0" collapsed="false">
      <c r="A54" s="9" t="s">
        <v>119</v>
      </c>
      <c r="B54" s="23" t="n">
        <f aca="false">Curves!Q53</f>
        <v>0.953428257833193</v>
      </c>
      <c r="C54" s="23" t="n">
        <f aca="false">Curves!Q54</f>
        <v>0.967699452636081</v>
      </c>
      <c r="D54" s="43" t="n">
        <f aca="false">SABR!AT88</f>
        <v>0.407971432425642</v>
      </c>
      <c r="E54" s="31" t="n">
        <f aca="false">Curves!E10</f>
        <v>0.958726</v>
      </c>
      <c r="F54" s="31" t="n">
        <f aca="false">Curves!E11</f>
        <v>0.954899</v>
      </c>
      <c r="G54" s="31" t="n">
        <f aca="false">Curves!E12</f>
        <v>0.967393</v>
      </c>
      <c r="H54" s="31" t="n">
        <f aca="false">Curves!E13</f>
        <v>0.960645</v>
      </c>
      <c r="I54" s="42" t="n">
        <f aca="false">NPV_Engine!$B$4*B54*(C54/NPV_Engine!$B$8)*(1+0.5*(D54-NPV_Engine!$B$13))*(AVERAGE(E54,F54,G54)/B54)*(H54/NPV_Engine!$B$12)</f>
        <v>9626495.5453682</v>
      </c>
    </row>
    <row r="55" customFormat="false" ht="15" hidden="false" customHeight="true" outlineLevel="0" collapsed="false">
      <c r="A55" s="9" t="s">
        <v>120</v>
      </c>
      <c r="B55" s="23" t="n">
        <f aca="false">Curves!Q61</f>
        <v>0.953041785744194</v>
      </c>
      <c r="C55" s="23" t="n">
        <f aca="false">Curves!Q62</f>
        <v>0.965269080950153</v>
      </c>
      <c r="D55" s="43" t="n">
        <f aca="false">SABR!AT102</f>
        <v>0.413770225261134</v>
      </c>
      <c r="E55" s="31" t="n">
        <f aca="false">Curves!E10</f>
        <v>0.958726</v>
      </c>
      <c r="F55" s="31" t="n">
        <f aca="false">Curves!E11</f>
        <v>0.954899</v>
      </c>
      <c r="G55" s="31" t="n">
        <f aca="false">Curves!E12</f>
        <v>0.967393</v>
      </c>
      <c r="H55" s="31" t="n">
        <f aca="false">Curves!E13</f>
        <v>0.960645</v>
      </c>
      <c r="I55" s="42" t="n">
        <f aca="false">NPV_Engine!$B$4*B55*(C55/NPV_Engine!$B$8)*(1+0.5*(D55-NPV_Engine!$B$13))*(AVERAGE(E55,F55,G55)/B55)*(H55/NPV_Engine!$B$12)</f>
        <v>9630046.0505749</v>
      </c>
    </row>
    <row r="56" customFormat="false" ht="15" hidden="false" customHeight="true" outlineLevel="0" collapsed="false">
      <c r="A56" s="9" t="s">
        <v>121</v>
      </c>
      <c r="B56" s="23" t="n">
        <f aca="false">Curves!Q69</f>
        <v>0.955487984146696</v>
      </c>
      <c r="C56" s="23" t="n">
        <f aca="false">Curves!Q70</f>
        <v>0.964836228667716</v>
      </c>
      <c r="D56" s="43" t="n">
        <f aca="false">SABR!AT116</f>
        <v>0.41063225788842</v>
      </c>
      <c r="E56" s="31" t="n">
        <f aca="false">Curves!E10</f>
        <v>0.958726</v>
      </c>
      <c r="F56" s="31" t="n">
        <f aca="false">Curves!E11</f>
        <v>0.954899</v>
      </c>
      <c r="G56" s="31" t="n">
        <f aca="false">Curves!E12</f>
        <v>0.967393</v>
      </c>
      <c r="H56" s="31" t="n">
        <f aca="false">Curves!E13</f>
        <v>0.960645</v>
      </c>
      <c r="I56" s="42" t="n">
        <f aca="false">NPV_Engine!$B$4*B56*(C56/NPV_Engine!$B$8)*(1+0.5*(D56-NPV_Engine!$B$13))*(AVERAGE(E56,F56,G56)/B56)*(H56/NPV_Engine!$B$12)</f>
        <v>9610729.96736938</v>
      </c>
    </row>
    <row r="57" customFormat="false" ht="15" hidden="false" customHeight="true" outlineLevel="0" collapsed="false">
      <c r="A57" s="9" t="s">
        <v>122</v>
      </c>
      <c r="B57" s="23" t="n">
        <f aca="false">Curves!Q77</f>
        <v>0.954991103789659</v>
      </c>
      <c r="C57" s="23" t="n">
        <f aca="false">Curves!Q78</f>
        <v>0.96434631914572</v>
      </c>
      <c r="D57" s="43" t="n">
        <f aca="false">SABR!AT130</f>
        <v>0.411928432857369</v>
      </c>
      <c r="E57" s="31" t="n">
        <f aca="false">Curves!E10</f>
        <v>0.958726</v>
      </c>
      <c r="F57" s="31" t="n">
        <f aca="false">Curves!E11</f>
        <v>0.954899</v>
      </c>
      <c r="G57" s="31" t="n">
        <f aca="false">Curves!E12</f>
        <v>0.967393</v>
      </c>
      <c r="H57" s="31" t="n">
        <f aca="false">Curves!E13</f>
        <v>0.960645</v>
      </c>
      <c r="I57" s="42" t="n">
        <f aca="false">NPV_Engine!$B$4*B57*(C57/NPV_Engine!$B$8)*(1+0.5*(D57-NPV_Engine!$B$13))*(AVERAGE(E57,F57,G57)/B57)*(H57/NPV_Engine!$B$12)</f>
        <v>9612041.82049268</v>
      </c>
    </row>
    <row r="58" customFormat="false" ht="15" hidden="false" customHeight="true" outlineLevel="0" collapsed="false">
      <c r="A58" s="9" t="s">
        <v>123</v>
      </c>
      <c r="B58" s="23" t="n">
        <f aca="false">Curves!Q85</f>
        <v>0.954631571739291</v>
      </c>
      <c r="C58" s="23" t="n">
        <f aca="false">Curves!Q86</f>
        <v>0.963898937861947</v>
      </c>
      <c r="D58" s="43" t="n">
        <f aca="false">SABR!AT144</f>
        <v>0.417726110712245</v>
      </c>
      <c r="E58" s="31" t="n">
        <f aca="false">Curves!E10</f>
        <v>0.958726</v>
      </c>
      <c r="F58" s="31" t="n">
        <f aca="false">Curves!E11</f>
        <v>0.954899</v>
      </c>
      <c r="G58" s="31" t="n">
        <f aca="false">Curves!E12</f>
        <v>0.967393</v>
      </c>
      <c r="H58" s="31" t="n">
        <f aca="false">Curves!E13</f>
        <v>0.960645</v>
      </c>
      <c r="I58" s="42" t="n">
        <f aca="false">NPV_Engine!$B$4*B58*(C58/NPV_Engine!$B$8)*(1+0.5*(D58-NPV_Engine!$B$13))*(AVERAGE(E58,F58,G58)/B58)*(H58/NPV_Engine!$B$12)</f>
        <v>9635265.29765711</v>
      </c>
    </row>
    <row r="59" customFormat="false" ht="15" hidden="false" customHeight="true" outlineLevel="0" collapsed="false">
      <c r="A59" s="9" t="s">
        <v>124</v>
      </c>
      <c r="B59" s="23" t="n">
        <f aca="false">Curves!Q93</f>
        <v>0.950859692250137</v>
      </c>
      <c r="C59" s="23" t="n">
        <f aca="false">Curves!Q94</f>
        <v>0.972017712190285</v>
      </c>
      <c r="D59" s="43" t="n">
        <f aca="false">SABR!AT158</f>
        <v>0.415066202564148</v>
      </c>
      <c r="E59" s="31" t="n">
        <f aca="false">Curves!E10</f>
        <v>0.958726</v>
      </c>
      <c r="F59" s="31" t="n">
        <f aca="false">Curves!E11</f>
        <v>0.954899</v>
      </c>
      <c r="G59" s="31" t="n">
        <f aca="false">Curves!E12</f>
        <v>0.967393</v>
      </c>
      <c r="H59" s="31" t="n">
        <f aca="false">Curves!E13</f>
        <v>0.960645</v>
      </c>
      <c r="I59" s="42" t="n">
        <f aca="false">NPV_Engine!$B$4*B59*(C59/NPV_Engine!$B$8)*(1+0.5*(D59-NPV_Engine!$B$13))*(AVERAGE(E59,F59,G59)/B59)*(H59/NPV_Engine!$B$12)</f>
        <v>9703614.18768897</v>
      </c>
    </row>
    <row r="60" customFormat="false" ht="15" hidden="false" customHeight="true" outlineLevel="0" collapsed="false">
      <c r="A60" s="9" t="s">
        <v>125</v>
      </c>
      <c r="B60" s="23" t="n">
        <f aca="false">Curves!Q101</f>
        <v>0.950629998326299</v>
      </c>
      <c r="C60" s="23" t="n">
        <f aca="false">Curves!Q102</f>
        <v>0.963171513076289</v>
      </c>
      <c r="D60" s="43" t="n">
        <f aca="false">SABR!AT172</f>
        <v>0.417862506985643</v>
      </c>
      <c r="E60" s="31" t="n">
        <f aca="false">Curves!E10</f>
        <v>0.958726</v>
      </c>
      <c r="F60" s="31" t="n">
        <f aca="false">Curves!E11</f>
        <v>0.954899</v>
      </c>
      <c r="G60" s="31" t="n">
        <f aca="false">Curves!E12</f>
        <v>0.967393</v>
      </c>
      <c r="H60" s="31" t="n">
        <f aca="false">Curves!E13</f>
        <v>0.960645</v>
      </c>
      <c r="I60" s="42" t="n">
        <f aca="false">NPV_Engine!$B$4*B60*(C60/NPV_Engine!$B$8)*(1+0.5*(D60-NPV_Engine!$B$13))*(AVERAGE(E60,F60,G60)/B60)*(H60/NPV_Engine!$B$12)</f>
        <v>9628644.63276283</v>
      </c>
    </row>
    <row r="61" customFormat="false" ht="15" hidden="false" customHeight="true" outlineLevel="0" collapsed="false">
      <c r="A61" s="9" t="s">
        <v>126</v>
      </c>
      <c r="B61" s="23" t="n">
        <f aca="false">Curves!Q109</f>
        <v>0.949924622570429</v>
      </c>
      <c r="C61" s="23" t="n">
        <f aca="false">Curves!Q110</f>
        <v>0.972647724846082</v>
      </c>
      <c r="D61" s="43" t="n">
        <f aca="false">SABR!AT186</f>
        <v>0.421340306298811</v>
      </c>
      <c r="E61" s="31" t="n">
        <f aca="false">Curves!E10</f>
        <v>0.958726</v>
      </c>
      <c r="F61" s="31" t="n">
        <f aca="false">Curves!E11</f>
        <v>0.954899</v>
      </c>
      <c r="G61" s="31" t="n">
        <f aca="false">Curves!E12</f>
        <v>0.967393</v>
      </c>
      <c r="H61" s="31" t="n">
        <f aca="false">Curves!E13</f>
        <v>0.960645</v>
      </c>
      <c r="I61" s="42" t="n">
        <f aca="false">NPV_Engine!$B$4*B61*(C61/NPV_Engine!$B$8)*(1+0.5*(D61-NPV_Engine!$B$13))*(AVERAGE(E61,F61,G61)/B61)*(H61/NPV_Engine!$B$12)</f>
        <v>9740133.0353856</v>
      </c>
    </row>
    <row r="64" customFormat="false" ht="15" hidden="false" customHeight="true" outlineLevel="0" collapsed="false">
      <c r="A64" s="44" t="s">
        <v>213</v>
      </c>
      <c r="B64" s="44"/>
      <c r="C64" s="44"/>
      <c r="D64" s="44"/>
      <c r="E64" s="44"/>
      <c r="F64" s="44"/>
      <c r="G64" s="44"/>
      <c r="H64" s="44"/>
      <c r="I64" s="44"/>
      <c r="J64" s="52" t="s">
        <v>214</v>
      </c>
    </row>
    <row r="65" customFormat="false" ht="39" hidden="false" customHeight="true" outlineLevel="0" collapsed="false">
      <c r="A65" s="22" t="s">
        <v>179</v>
      </c>
      <c r="B65" s="22" t="s">
        <v>180</v>
      </c>
      <c r="C65" s="22" t="s">
        <v>181</v>
      </c>
      <c r="D65" s="22" t="s">
        <v>182</v>
      </c>
      <c r="E65" s="22" t="s">
        <v>183</v>
      </c>
      <c r="F65" s="22" t="s">
        <v>184</v>
      </c>
      <c r="G65" s="22" t="s">
        <v>185</v>
      </c>
      <c r="H65" s="22" t="s">
        <v>186</v>
      </c>
      <c r="I65" s="22" t="s">
        <v>187</v>
      </c>
    </row>
    <row r="66" customFormat="false" ht="15" hidden="false" customHeight="true" outlineLevel="0" collapsed="false">
      <c r="A66" s="4" t="s">
        <v>188</v>
      </c>
      <c r="B66" s="31" t="n">
        <f aca="false">Curves!E8</f>
        <v>0.957768</v>
      </c>
      <c r="C66" s="31" t="n">
        <f aca="false">Curves!E9</f>
        <v>0.96933</v>
      </c>
      <c r="D66" s="24" t="n">
        <f aca="false">SABR!AT10</f>
        <v>0.39978211956629</v>
      </c>
      <c r="E66" s="31" t="n">
        <f aca="false">Curves!E10</f>
        <v>0.958726</v>
      </c>
      <c r="F66" s="31" t="n">
        <f aca="false">Curves!E11</f>
        <v>0.954899</v>
      </c>
      <c r="G66" s="31" t="n">
        <f aca="false">Curves!E12</f>
        <v>0.967393</v>
      </c>
      <c r="H66" s="31" t="n">
        <f aca="false">Curves!E13</f>
        <v>0.960645</v>
      </c>
      <c r="I66" s="42" t="n">
        <f aca="false">NPV_Engine!$B$4*B66*(C66/NPV_Engine!$B$8)*(1+0.5*(D66-NPV_Engine!$B$13))*(AVERAGE(E66,F66,G66)/B66)*(H66/NPV_Engine!$B$12)</f>
        <v>9603393.33333333</v>
      </c>
    </row>
    <row r="67" customFormat="false" ht="15" hidden="false" customHeight="true" outlineLevel="0" collapsed="false">
      <c r="A67" s="9" t="s">
        <v>117</v>
      </c>
      <c r="B67" s="31" t="n">
        <f aca="false">Curves!E8</f>
        <v>0.957768</v>
      </c>
      <c r="C67" s="31" t="n">
        <f aca="false">Curves!E9</f>
        <v>0.96933</v>
      </c>
      <c r="D67" s="43" t="n">
        <f aca="false">SABR!AT60</f>
        <v>0.406538537771067</v>
      </c>
      <c r="E67" s="31" t="n">
        <f aca="false">Curves!E10</f>
        <v>0.958726</v>
      </c>
      <c r="F67" s="31" t="n">
        <f aca="false">Curves!E11</f>
        <v>0.954899</v>
      </c>
      <c r="G67" s="31" t="n">
        <f aca="false">Curves!E12</f>
        <v>0.967393</v>
      </c>
      <c r="H67" s="31" t="n">
        <f aca="false">Curves!E13</f>
        <v>0.960645</v>
      </c>
      <c r="I67" s="42" t="n">
        <f aca="false">NPV_Engine!$B$4*B67*(C67/NPV_Engine!$B$8)*(1+0.5*(D67-NPV_Engine!$B$13))*(AVERAGE(E67,F67,G67)/B67)*(H67/NPV_Engine!$B$12)</f>
        <v>9635835.60410582</v>
      </c>
    </row>
    <row r="68" customFormat="false" ht="15" hidden="false" customHeight="true" outlineLevel="0" collapsed="false">
      <c r="A68" s="9" t="s">
        <v>118</v>
      </c>
      <c r="B68" s="31" t="n">
        <f aca="false">Curves!E8</f>
        <v>0.957768</v>
      </c>
      <c r="C68" s="31" t="n">
        <f aca="false">Curves!E9</f>
        <v>0.96933</v>
      </c>
      <c r="D68" s="43" t="n">
        <f aca="false">SABR!AT74</f>
        <v>0.408312583119033</v>
      </c>
      <c r="E68" s="31" t="n">
        <f aca="false">Curves!E10</f>
        <v>0.958726</v>
      </c>
      <c r="F68" s="31" t="n">
        <f aca="false">Curves!E11</f>
        <v>0.954899</v>
      </c>
      <c r="G68" s="31" t="n">
        <f aca="false">Curves!E12</f>
        <v>0.967393</v>
      </c>
      <c r="H68" s="31" t="n">
        <f aca="false">Curves!E13</f>
        <v>0.960645</v>
      </c>
      <c r="I68" s="42" t="n">
        <f aca="false">NPV_Engine!$B$4*B68*(C68/NPV_Engine!$B$8)*(1+0.5*(D68-NPV_Engine!$B$13))*(AVERAGE(E68,F68,G68)/B68)*(H68/NPV_Engine!$B$12)</f>
        <v>9644354.03173966</v>
      </c>
    </row>
    <row r="69" customFormat="false" ht="15" hidden="false" customHeight="true" outlineLevel="0" collapsed="false">
      <c r="A69" s="9" t="s">
        <v>119</v>
      </c>
      <c r="B69" s="31" t="n">
        <f aca="false">Curves!E8</f>
        <v>0.957768</v>
      </c>
      <c r="C69" s="31" t="n">
        <f aca="false">Curves!E9</f>
        <v>0.96933</v>
      </c>
      <c r="D69" s="43" t="n">
        <f aca="false">SABR!AT88</f>
        <v>0.407971432425642</v>
      </c>
      <c r="E69" s="31" t="n">
        <f aca="false">Curves!E10</f>
        <v>0.958726</v>
      </c>
      <c r="F69" s="31" t="n">
        <f aca="false">Curves!E11</f>
        <v>0.954899</v>
      </c>
      <c r="G69" s="31" t="n">
        <f aca="false">Curves!E12</f>
        <v>0.967393</v>
      </c>
      <c r="H69" s="31" t="n">
        <f aca="false">Curves!E13</f>
        <v>0.960645</v>
      </c>
      <c r="I69" s="42" t="n">
        <f aca="false">NPV_Engine!$B$4*B69*(C69/NPV_Engine!$B$8)*(1+0.5*(D69-NPV_Engine!$B$13))*(AVERAGE(E69,F69,G69)/B69)*(H69/NPV_Engine!$B$12)</f>
        <v>9642715.92959238</v>
      </c>
    </row>
    <row r="70" customFormat="false" ht="15" hidden="false" customHeight="true" outlineLevel="0" collapsed="false">
      <c r="A70" s="9" t="s">
        <v>120</v>
      </c>
      <c r="B70" s="31" t="n">
        <f aca="false">Curves!E8</f>
        <v>0.957768</v>
      </c>
      <c r="C70" s="31" t="n">
        <f aca="false">Curves!E9</f>
        <v>0.96933</v>
      </c>
      <c r="D70" s="43" t="n">
        <f aca="false">SABR!AT102</f>
        <v>0.413770225261134</v>
      </c>
      <c r="E70" s="31" t="n">
        <f aca="false">Curves!E10</f>
        <v>0.958726</v>
      </c>
      <c r="F70" s="31" t="n">
        <f aca="false">Curves!E11</f>
        <v>0.954899</v>
      </c>
      <c r="G70" s="31" t="n">
        <f aca="false">Curves!E12</f>
        <v>0.967393</v>
      </c>
      <c r="H70" s="31" t="n">
        <f aca="false">Curves!E13</f>
        <v>0.960645</v>
      </c>
      <c r="I70" s="42" t="n">
        <f aca="false">NPV_Engine!$B$4*B70*(C70/NPV_Engine!$B$8)*(1+0.5*(D70-NPV_Engine!$B$13))*(AVERAGE(E70,F70,G70)/B70)*(H70/NPV_Engine!$B$12)</f>
        <v>9670559.97382125</v>
      </c>
    </row>
    <row r="71" customFormat="false" ht="15" hidden="false" customHeight="true" outlineLevel="0" collapsed="false">
      <c r="A71" s="9" t="s">
        <v>121</v>
      </c>
      <c r="B71" s="31" t="n">
        <f aca="false">Curves!E8</f>
        <v>0.957768</v>
      </c>
      <c r="C71" s="31" t="n">
        <f aca="false">Curves!E9</f>
        <v>0.96933</v>
      </c>
      <c r="D71" s="43" t="n">
        <f aca="false">SABR!AT116</f>
        <v>0.41063225788842</v>
      </c>
      <c r="E71" s="31" t="n">
        <f aca="false">Curves!E10</f>
        <v>0.958726</v>
      </c>
      <c r="F71" s="31" t="n">
        <f aca="false">Curves!E11</f>
        <v>0.954899</v>
      </c>
      <c r="G71" s="31" t="n">
        <f aca="false">Curves!E12</f>
        <v>0.967393</v>
      </c>
      <c r="H71" s="31" t="n">
        <f aca="false">Curves!E13</f>
        <v>0.960645</v>
      </c>
      <c r="I71" s="42" t="n">
        <f aca="false">NPV_Engine!$B$4*B71*(C71/NPV_Engine!$B$8)*(1+0.5*(D71-NPV_Engine!$B$13))*(AVERAGE(E71,F71,G71)/B71)*(H71/NPV_Engine!$B$12)</f>
        <v>9655492.40634758</v>
      </c>
    </row>
    <row r="72" customFormat="false" ht="15" hidden="false" customHeight="true" outlineLevel="0" collapsed="false">
      <c r="A72" s="9" t="s">
        <v>122</v>
      </c>
      <c r="B72" s="31" t="n">
        <f aca="false">Curves!E8</f>
        <v>0.957768</v>
      </c>
      <c r="C72" s="31" t="n">
        <f aca="false">Curves!E9</f>
        <v>0.96933</v>
      </c>
      <c r="D72" s="43" t="n">
        <f aca="false">SABR!AT130</f>
        <v>0.411928432857369</v>
      </c>
      <c r="E72" s="31" t="n">
        <f aca="false">Curves!E10</f>
        <v>0.958726</v>
      </c>
      <c r="F72" s="31" t="n">
        <f aca="false">Curves!E11</f>
        <v>0.954899</v>
      </c>
      <c r="G72" s="31" t="n">
        <f aca="false">Curves!E12</f>
        <v>0.967393</v>
      </c>
      <c r="H72" s="31" t="n">
        <f aca="false">Curves!E13</f>
        <v>0.960645</v>
      </c>
      <c r="I72" s="42" t="n">
        <f aca="false">NPV_Engine!$B$4*B72*(C72/NPV_Engine!$B$8)*(1+0.5*(D72-NPV_Engine!$B$13))*(AVERAGE(E72,F72,G72)/B72)*(H72/NPV_Engine!$B$12)</f>
        <v>9661716.2453754</v>
      </c>
    </row>
    <row r="73" customFormat="false" ht="15" hidden="false" customHeight="true" outlineLevel="0" collapsed="false">
      <c r="A73" s="9" t="s">
        <v>123</v>
      </c>
      <c r="B73" s="31" t="n">
        <f aca="false">Curves!E8</f>
        <v>0.957768</v>
      </c>
      <c r="C73" s="31" t="n">
        <f aca="false">Curves!E9</f>
        <v>0.96933</v>
      </c>
      <c r="D73" s="43" t="n">
        <f aca="false">SABR!AT144</f>
        <v>0.417726110712245</v>
      </c>
      <c r="E73" s="31" t="n">
        <f aca="false">Curves!E10</f>
        <v>0.958726</v>
      </c>
      <c r="F73" s="31" t="n">
        <f aca="false">Curves!E11</f>
        <v>0.954899</v>
      </c>
      <c r="G73" s="31" t="n">
        <f aca="false">Curves!E12</f>
        <v>0.967393</v>
      </c>
      <c r="H73" s="31" t="n">
        <f aca="false">Curves!E13</f>
        <v>0.960645</v>
      </c>
      <c r="I73" s="42" t="n">
        <f aca="false">NPV_Engine!$B$4*B73*(C73/NPV_Engine!$B$8)*(1+0.5*(D73-NPV_Engine!$B$13))*(AVERAGE(E73,F73,G73)/B73)*(H73/NPV_Engine!$B$12)</f>
        <v>9689554.93580556</v>
      </c>
    </row>
    <row r="74" customFormat="false" ht="15" hidden="false" customHeight="true" outlineLevel="0" collapsed="false">
      <c r="A74" s="9" t="s">
        <v>124</v>
      </c>
      <c r="B74" s="31" t="n">
        <f aca="false">Curves!E8</f>
        <v>0.957768</v>
      </c>
      <c r="C74" s="31" t="n">
        <f aca="false">Curves!E9</f>
        <v>0.96933</v>
      </c>
      <c r="D74" s="43" t="n">
        <f aca="false">SABR!AT158</f>
        <v>0.415066202564148</v>
      </c>
      <c r="E74" s="31" t="n">
        <f aca="false">Curves!E10</f>
        <v>0.958726</v>
      </c>
      <c r="F74" s="31" t="n">
        <f aca="false">Curves!E11</f>
        <v>0.954899</v>
      </c>
      <c r="G74" s="31" t="n">
        <f aca="false">Curves!E12</f>
        <v>0.967393</v>
      </c>
      <c r="H74" s="31" t="n">
        <f aca="false">Curves!E13</f>
        <v>0.960645</v>
      </c>
      <c r="I74" s="42" t="n">
        <f aca="false">NPV_Engine!$B$4*B74*(C74/NPV_Engine!$B$8)*(1+0.5*(D74-NPV_Engine!$B$13))*(AVERAGE(E74,F74,G74)/B74)*(H74/NPV_Engine!$B$12)</f>
        <v>9676782.86371721</v>
      </c>
    </row>
    <row r="75" customFormat="false" ht="15" hidden="false" customHeight="true" outlineLevel="0" collapsed="false">
      <c r="A75" s="9" t="s">
        <v>125</v>
      </c>
      <c r="B75" s="31" t="n">
        <f aca="false">Curves!E8</f>
        <v>0.957768</v>
      </c>
      <c r="C75" s="31" t="n">
        <f aca="false">Curves!E9</f>
        <v>0.96933</v>
      </c>
      <c r="D75" s="43" t="n">
        <f aca="false">SABR!AT172</f>
        <v>0.417862506985643</v>
      </c>
      <c r="E75" s="31" t="n">
        <f aca="false">Curves!E10</f>
        <v>0.958726</v>
      </c>
      <c r="F75" s="31" t="n">
        <f aca="false">Curves!E11</f>
        <v>0.954899</v>
      </c>
      <c r="G75" s="31" t="n">
        <f aca="false">Curves!E12</f>
        <v>0.967393</v>
      </c>
      <c r="H75" s="31" t="n">
        <f aca="false">Curves!E13</f>
        <v>0.960645</v>
      </c>
      <c r="I75" s="42" t="n">
        <f aca="false">NPV_Engine!$B$4*B75*(C75/NPV_Engine!$B$8)*(1+0.5*(D75-NPV_Engine!$B$13))*(AVERAGE(E75,F75,G75)/B75)*(H75/NPV_Engine!$B$12)</f>
        <v>9690209.86933688</v>
      </c>
    </row>
    <row r="76" customFormat="false" ht="15" hidden="false" customHeight="true" outlineLevel="0" collapsed="false">
      <c r="A76" s="9" t="s">
        <v>126</v>
      </c>
      <c r="B76" s="31" t="n">
        <f aca="false">Curves!E8</f>
        <v>0.957768</v>
      </c>
      <c r="C76" s="31" t="n">
        <f aca="false">Curves!E9</f>
        <v>0.96933</v>
      </c>
      <c r="D76" s="43" t="n">
        <f aca="false">SABR!AT186</f>
        <v>0.421340306298811</v>
      </c>
      <c r="E76" s="31" t="n">
        <f aca="false">Curves!E10</f>
        <v>0.958726</v>
      </c>
      <c r="F76" s="31" t="n">
        <f aca="false">Curves!E11</f>
        <v>0.954899</v>
      </c>
      <c r="G76" s="31" t="n">
        <f aca="false">Curves!E12</f>
        <v>0.967393</v>
      </c>
      <c r="H76" s="31" t="n">
        <f aca="false">Curves!E13</f>
        <v>0.960645</v>
      </c>
      <c r="I76" s="42" t="n">
        <f aca="false">NPV_Engine!$B$4*B76*(C76/NPV_Engine!$B$8)*(1+0.5*(D76-NPV_Engine!$B$13))*(AVERAGE(E76,F76,G76)/B76)*(H76/NPV_Engine!$B$12)</f>
        <v>9706909.20670626</v>
      </c>
    </row>
    <row r="79" customFormat="false" ht="15" hidden="false" customHeight="true" outlineLevel="0" collapsed="false">
      <c r="A79" s="44" t="s">
        <v>215</v>
      </c>
      <c r="B79" s="44"/>
      <c r="C79" s="44"/>
      <c r="D79" s="44"/>
      <c r="E79" s="44"/>
      <c r="F79" s="44"/>
      <c r="G79" s="44"/>
      <c r="H79" s="44"/>
      <c r="I79" s="44"/>
      <c r="J79" s="52" t="s">
        <v>214</v>
      </c>
    </row>
    <row r="80" customFormat="false" ht="39" hidden="false" customHeight="true" outlineLevel="0" collapsed="false">
      <c r="A80" s="22" t="s">
        <v>179</v>
      </c>
      <c r="B80" s="22" t="s">
        <v>180</v>
      </c>
      <c r="C80" s="22" t="s">
        <v>181</v>
      </c>
      <c r="D80" s="22" t="s">
        <v>182</v>
      </c>
      <c r="E80" s="22" t="s">
        <v>183</v>
      </c>
      <c r="F80" s="22" t="s">
        <v>184</v>
      </c>
      <c r="G80" s="22" t="s">
        <v>185</v>
      </c>
      <c r="H80" s="22" t="s">
        <v>186</v>
      </c>
      <c r="I80" s="22" t="s">
        <v>187</v>
      </c>
    </row>
    <row r="81" customFormat="false" ht="15" hidden="false" customHeight="true" outlineLevel="0" collapsed="false">
      <c r="A81" s="4" t="s">
        <v>188</v>
      </c>
      <c r="B81" s="31" t="n">
        <f aca="false">Curves!E8</f>
        <v>0.957768</v>
      </c>
      <c r="C81" s="31" t="n">
        <f aca="false">Curves!E9</f>
        <v>0.96933</v>
      </c>
      <c r="D81" s="24" t="n">
        <f aca="false">SABR!AT10</f>
        <v>0.39978211956629</v>
      </c>
      <c r="E81" s="31" t="n">
        <f aca="false">Curves!E10</f>
        <v>0.958726</v>
      </c>
      <c r="F81" s="31" t="n">
        <f aca="false">Curves!E11</f>
        <v>0.954899</v>
      </c>
      <c r="G81" s="31" t="n">
        <f aca="false">Curves!E12</f>
        <v>0.967393</v>
      </c>
      <c r="H81" s="31" t="n">
        <f aca="false">Curves!E13</f>
        <v>0.960645</v>
      </c>
      <c r="I81" s="42" t="n">
        <f aca="false">NPV_Engine!$B$4*B81*(C81/NPV_Engine!$B$8)*(1+0.5*(D81-NPV_Engine!$B$13))*(AVERAGE(E81,F81,G81)/B81)*(H81/NPV_Engine!$B$12)</f>
        <v>9603393.33333333</v>
      </c>
    </row>
    <row r="82" customFormat="false" ht="15" hidden="false" customHeight="true" outlineLevel="0" collapsed="false">
      <c r="A82" s="9" t="s">
        <v>117</v>
      </c>
      <c r="B82" s="31" t="n">
        <f aca="false">Curves!E8</f>
        <v>0.957768</v>
      </c>
      <c r="C82" s="31" t="n">
        <f aca="false">Curves!E9</f>
        <v>0.96933</v>
      </c>
      <c r="D82" s="43" t="n">
        <f aca="false">SABR!AT60</f>
        <v>0.406538537771067</v>
      </c>
      <c r="E82" s="31" t="n">
        <f aca="false">Curves!E10</f>
        <v>0.958726</v>
      </c>
      <c r="F82" s="31" t="n">
        <f aca="false">Curves!E11</f>
        <v>0.954899</v>
      </c>
      <c r="G82" s="31" t="n">
        <f aca="false">Curves!E12</f>
        <v>0.967393</v>
      </c>
      <c r="H82" s="31" t="n">
        <f aca="false">Curves!E13</f>
        <v>0.960645</v>
      </c>
      <c r="I82" s="42" t="n">
        <f aca="false">NPV_Engine!$B$4*B82*(C82/NPV_Engine!$B$8)*(1+0.5*(D82-NPV_Engine!$B$13))*(AVERAGE(E82,F82,G82)/B82)*(H82/NPV_Engine!$B$12)</f>
        <v>9635835.60410582</v>
      </c>
    </row>
    <row r="83" customFormat="false" ht="15" hidden="false" customHeight="true" outlineLevel="0" collapsed="false">
      <c r="A83" s="9" t="s">
        <v>118</v>
      </c>
      <c r="B83" s="31" t="n">
        <f aca="false">Curves!E8</f>
        <v>0.957768</v>
      </c>
      <c r="C83" s="31" t="n">
        <f aca="false">Curves!E9</f>
        <v>0.96933</v>
      </c>
      <c r="D83" s="43" t="n">
        <f aca="false">SABR!AT74</f>
        <v>0.408312583119033</v>
      </c>
      <c r="E83" s="31" t="n">
        <f aca="false">Curves!E10</f>
        <v>0.958726</v>
      </c>
      <c r="F83" s="31" t="n">
        <f aca="false">Curves!E11</f>
        <v>0.954899</v>
      </c>
      <c r="G83" s="31" t="n">
        <f aca="false">Curves!E12</f>
        <v>0.967393</v>
      </c>
      <c r="H83" s="31" t="n">
        <f aca="false">Curves!E13</f>
        <v>0.960645</v>
      </c>
      <c r="I83" s="42" t="n">
        <f aca="false">NPV_Engine!$B$4*B83*(C83/NPV_Engine!$B$8)*(1+0.5*(D83-NPV_Engine!$B$13))*(AVERAGE(E83,F83,G83)/B83)*(H83/NPV_Engine!$B$12)</f>
        <v>9644354.03173966</v>
      </c>
    </row>
    <row r="84" customFormat="false" ht="15" hidden="false" customHeight="true" outlineLevel="0" collapsed="false">
      <c r="A84" s="9" t="s">
        <v>119</v>
      </c>
      <c r="B84" s="31" t="n">
        <f aca="false">Curves!E8</f>
        <v>0.957768</v>
      </c>
      <c r="C84" s="31" t="n">
        <f aca="false">Curves!E9</f>
        <v>0.96933</v>
      </c>
      <c r="D84" s="43" t="n">
        <f aca="false">SABR!AT88</f>
        <v>0.407971432425642</v>
      </c>
      <c r="E84" s="31" t="n">
        <f aca="false">Curves!E10</f>
        <v>0.958726</v>
      </c>
      <c r="F84" s="31" t="n">
        <f aca="false">Curves!E11</f>
        <v>0.954899</v>
      </c>
      <c r="G84" s="31" t="n">
        <f aca="false">Curves!E12</f>
        <v>0.967393</v>
      </c>
      <c r="H84" s="31" t="n">
        <f aca="false">Curves!E13</f>
        <v>0.960645</v>
      </c>
      <c r="I84" s="42" t="n">
        <f aca="false">NPV_Engine!$B$4*B84*(C84/NPV_Engine!$B$8)*(1+0.5*(D84-NPV_Engine!$B$13))*(AVERAGE(E84,F84,G84)/B84)*(H84/NPV_Engine!$B$12)</f>
        <v>9642715.92959238</v>
      </c>
    </row>
    <row r="85" customFormat="false" ht="15" hidden="false" customHeight="true" outlineLevel="0" collapsed="false">
      <c r="A85" s="9" t="s">
        <v>120</v>
      </c>
      <c r="B85" s="31" t="n">
        <f aca="false">Curves!E8</f>
        <v>0.957768</v>
      </c>
      <c r="C85" s="31" t="n">
        <f aca="false">Curves!E9</f>
        <v>0.96933</v>
      </c>
      <c r="D85" s="43" t="n">
        <f aca="false">SABR!AT102</f>
        <v>0.413770225261134</v>
      </c>
      <c r="E85" s="31" t="n">
        <f aca="false">Curves!E10</f>
        <v>0.958726</v>
      </c>
      <c r="F85" s="31" t="n">
        <f aca="false">Curves!E11</f>
        <v>0.954899</v>
      </c>
      <c r="G85" s="31" t="n">
        <f aca="false">Curves!E12</f>
        <v>0.967393</v>
      </c>
      <c r="H85" s="31" t="n">
        <f aca="false">Curves!E13</f>
        <v>0.960645</v>
      </c>
      <c r="I85" s="42" t="n">
        <f aca="false">NPV_Engine!$B$4*B85*(C85/NPV_Engine!$B$8)*(1+0.5*(D85-NPV_Engine!$B$13))*(AVERAGE(E85,F85,G85)/B85)*(H85/NPV_Engine!$B$12)</f>
        <v>9670559.97382125</v>
      </c>
    </row>
    <row r="86" customFormat="false" ht="15" hidden="false" customHeight="true" outlineLevel="0" collapsed="false">
      <c r="A86" s="9" t="s">
        <v>121</v>
      </c>
      <c r="B86" s="31" t="n">
        <f aca="false">Curves!E8</f>
        <v>0.957768</v>
      </c>
      <c r="C86" s="31" t="n">
        <f aca="false">Curves!E9</f>
        <v>0.96933</v>
      </c>
      <c r="D86" s="43" t="n">
        <f aca="false">SABR!AT116</f>
        <v>0.41063225788842</v>
      </c>
      <c r="E86" s="31" t="n">
        <f aca="false">Curves!E10</f>
        <v>0.958726</v>
      </c>
      <c r="F86" s="31" t="n">
        <f aca="false">Curves!E11</f>
        <v>0.954899</v>
      </c>
      <c r="G86" s="31" t="n">
        <f aca="false">Curves!E12</f>
        <v>0.967393</v>
      </c>
      <c r="H86" s="31" t="n">
        <f aca="false">Curves!E13</f>
        <v>0.960645</v>
      </c>
      <c r="I86" s="42" t="n">
        <f aca="false">NPV_Engine!$B$4*B86*(C86/NPV_Engine!$B$8)*(1+0.5*(D86-NPV_Engine!$B$13))*(AVERAGE(E86,F86,G86)/B86)*(H86/NPV_Engine!$B$12)</f>
        <v>9655492.40634758</v>
      </c>
    </row>
    <row r="87" customFormat="false" ht="15" hidden="false" customHeight="true" outlineLevel="0" collapsed="false">
      <c r="A87" s="9" t="s">
        <v>122</v>
      </c>
      <c r="B87" s="31" t="n">
        <f aca="false">Curves!E8</f>
        <v>0.957768</v>
      </c>
      <c r="C87" s="31" t="n">
        <f aca="false">Curves!E9</f>
        <v>0.96933</v>
      </c>
      <c r="D87" s="43" t="n">
        <f aca="false">SABR!AT130</f>
        <v>0.411928432857369</v>
      </c>
      <c r="E87" s="31" t="n">
        <f aca="false">Curves!E10</f>
        <v>0.958726</v>
      </c>
      <c r="F87" s="31" t="n">
        <f aca="false">Curves!E11</f>
        <v>0.954899</v>
      </c>
      <c r="G87" s="31" t="n">
        <f aca="false">Curves!E12</f>
        <v>0.967393</v>
      </c>
      <c r="H87" s="31" t="n">
        <f aca="false">Curves!E13</f>
        <v>0.960645</v>
      </c>
      <c r="I87" s="42" t="n">
        <f aca="false">NPV_Engine!$B$4*B87*(C87/NPV_Engine!$B$8)*(1+0.5*(D87-NPV_Engine!$B$13))*(AVERAGE(E87,F87,G87)/B87)*(H87/NPV_Engine!$B$12)</f>
        <v>9661716.2453754</v>
      </c>
    </row>
    <row r="88" customFormat="false" ht="15" hidden="false" customHeight="true" outlineLevel="0" collapsed="false">
      <c r="A88" s="9" t="s">
        <v>123</v>
      </c>
      <c r="B88" s="31" t="n">
        <f aca="false">Curves!E8</f>
        <v>0.957768</v>
      </c>
      <c r="C88" s="31" t="n">
        <f aca="false">Curves!E9</f>
        <v>0.96933</v>
      </c>
      <c r="D88" s="43" t="n">
        <f aca="false">SABR!AT144</f>
        <v>0.417726110712245</v>
      </c>
      <c r="E88" s="31" t="n">
        <f aca="false">Curves!E10</f>
        <v>0.958726</v>
      </c>
      <c r="F88" s="31" t="n">
        <f aca="false">Curves!E11</f>
        <v>0.954899</v>
      </c>
      <c r="G88" s="31" t="n">
        <f aca="false">Curves!E12</f>
        <v>0.967393</v>
      </c>
      <c r="H88" s="31" t="n">
        <f aca="false">Curves!E13</f>
        <v>0.960645</v>
      </c>
      <c r="I88" s="42" t="n">
        <f aca="false">NPV_Engine!$B$4*B88*(C88/NPV_Engine!$B$8)*(1+0.5*(D88-NPV_Engine!$B$13))*(AVERAGE(E88,F88,G88)/B88)*(H88/NPV_Engine!$B$12)</f>
        <v>9689554.93580556</v>
      </c>
    </row>
    <row r="89" customFormat="false" ht="15" hidden="false" customHeight="true" outlineLevel="0" collapsed="false">
      <c r="A89" s="9" t="s">
        <v>124</v>
      </c>
      <c r="B89" s="31" t="n">
        <f aca="false">Curves!E8</f>
        <v>0.957768</v>
      </c>
      <c r="C89" s="31" t="n">
        <f aca="false">Curves!E9</f>
        <v>0.96933</v>
      </c>
      <c r="D89" s="43" t="n">
        <f aca="false">SABR!AT158</f>
        <v>0.415066202564148</v>
      </c>
      <c r="E89" s="31" t="n">
        <f aca="false">Curves!E10</f>
        <v>0.958726</v>
      </c>
      <c r="F89" s="31" t="n">
        <f aca="false">Curves!E11</f>
        <v>0.954899</v>
      </c>
      <c r="G89" s="31" t="n">
        <f aca="false">Curves!E12</f>
        <v>0.967393</v>
      </c>
      <c r="H89" s="31" t="n">
        <f aca="false">Curves!E13</f>
        <v>0.960645</v>
      </c>
      <c r="I89" s="42" t="n">
        <f aca="false">NPV_Engine!$B$4*B89*(C89/NPV_Engine!$B$8)*(1+0.5*(D89-NPV_Engine!$B$13))*(AVERAGE(E89,F89,G89)/B89)*(H89/NPV_Engine!$B$12)</f>
        <v>9676782.86371721</v>
      </c>
    </row>
    <row r="90" customFormat="false" ht="15" hidden="false" customHeight="true" outlineLevel="0" collapsed="false">
      <c r="A90" s="9" t="s">
        <v>125</v>
      </c>
      <c r="B90" s="31" t="n">
        <f aca="false">Curves!E8</f>
        <v>0.957768</v>
      </c>
      <c r="C90" s="31" t="n">
        <f aca="false">Curves!E9</f>
        <v>0.96933</v>
      </c>
      <c r="D90" s="43" t="n">
        <f aca="false">SABR!AT172</f>
        <v>0.417862506985643</v>
      </c>
      <c r="E90" s="31" t="n">
        <f aca="false">Curves!E10</f>
        <v>0.958726</v>
      </c>
      <c r="F90" s="31" t="n">
        <f aca="false">Curves!E11</f>
        <v>0.954899</v>
      </c>
      <c r="G90" s="31" t="n">
        <f aca="false">Curves!E12</f>
        <v>0.967393</v>
      </c>
      <c r="H90" s="31" t="n">
        <f aca="false">Curves!E13</f>
        <v>0.960645</v>
      </c>
      <c r="I90" s="42" t="n">
        <f aca="false">NPV_Engine!$B$4*B90*(C90/NPV_Engine!$B$8)*(1+0.5*(D90-NPV_Engine!$B$13))*(AVERAGE(E90,F90,G90)/B90)*(H90/NPV_Engine!$B$12)</f>
        <v>9690209.86933688</v>
      </c>
    </row>
    <row r="91" customFormat="false" ht="15" hidden="false" customHeight="true" outlineLevel="0" collapsed="false">
      <c r="A91" s="9" t="s">
        <v>126</v>
      </c>
      <c r="B91" s="31" t="n">
        <f aca="false">Curves!E8</f>
        <v>0.957768</v>
      </c>
      <c r="C91" s="31" t="n">
        <f aca="false">Curves!E9</f>
        <v>0.96933</v>
      </c>
      <c r="D91" s="43" t="n">
        <f aca="false">SABR!AT186</f>
        <v>0.421340306298811</v>
      </c>
      <c r="E91" s="31" t="n">
        <f aca="false">Curves!E10</f>
        <v>0.958726</v>
      </c>
      <c r="F91" s="31" t="n">
        <f aca="false">Curves!E11</f>
        <v>0.954899</v>
      </c>
      <c r="G91" s="31" t="n">
        <f aca="false">Curves!E12</f>
        <v>0.967393</v>
      </c>
      <c r="H91" s="31" t="n">
        <f aca="false">Curves!E13</f>
        <v>0.960645</v>
      </c>
      <c r="I91" s="42" t="n">
        <f aca="false">NPV_Engine!$B$4*B91*(C91/NPV_Engine!$B$8)*(1+0.5*(D91-NPV_Engine!$B$13))*(AVERAGE(E91,F91,G91)/B91)*(H91/NPV_Engine!$B$12)</f>
        <v>9706909.20670626</v>
      </c>
    </row>
    <row r="94" customFormat="false" ht="15" hidden="false" customHeight="true" outlineLevel="0" collapsed="false">
      <c r="A94" s="44" t="s">
        <v>216</v>
      </c>
      <c r="B94" s="44"/>
      <c r="C94" s="44"/>
      <c r="D94" s="44"/>
      <c r="E94" s="44"/>
      <c r="F94" s="44"/>
      <c r="G94" s="44"/>
      <c r="H94" s="44"/>
      <c r="I94" s="44"/>
      <c r="J94" s="52" t="s">
        <v>214</v>
      </c>
    </row>
    <row r="95" customFormat="false" ht="39" hidden="false" customHeight="true" outlineLevel="0" collapsed="false">
      <c r="A95" s="22" t="s">
        <v>179</v>
      </c>
      <c r="B95" s="22" t="s">
        <v>180</v>
      </c>
      <c r="C95" s="22" t="s">
        <v>181</v>
      </c>
      <c r="D95" s="22" t="s">
        <v>182</v>
      </c>
      <c r="E95" s="22" t="s">
        <v>183</v>
      </c>
      <c r="F95" s="22" t="s">
        <v>184</v>
      </c>
      <c r="G95" s="22" t="s">
        <v>185</v>
      </c>
      <c r="H95" s="22" t="s">
        <v>186</v>
      </c>
      <c r="I95" s="22" t="s">
        <v>187</v>
      </c>
    </row>
    <row r="96" customFormat="false" ht="15" hidden="false" customHeight="true" outlineLevel="0" collapsed="false">
      <c r="A96" s="4" t="s">
        <v>188</v>
      </c>
      <c r="B96" s="31" t="n">
        <f aca="false">Curves!E8</f>
        <v>0.957768</v>
      </c>
      <c r="C96" s="31" t="n">
        <f aca="false">Curves!E9</f>
        <v>0.96933</v>
      </c>
      <c r="D96" s="24" t="n">
        <f aca="false">SABR!AT10</f>
        <v>0.39978211956629</v>
      </c>
      <c r="E96" s="31" t="n">
        <f aca="false">Curves!E10</f>
        <v>0.958726</v>
      </c>
      <c r="F96" s="31" t="n">
        <f aca="false">Curves!E11</f>
        <v>0.954899</v>
      </c>
      <c r="G96" s="31" t="n">
        <f aca="false">Curves!E12</f>
        <v>0.967393</v>
      </c>
      <c r="H96" s="31" t="n">
        <f aca="false">Curves!E13</f>
        <v>0.960645</v>
      </c>
      <c r="I96" s="42" t="n">
        <f aca="false">NPV_Engine!$B$4*B96*(C96/NPV_Engine!$B$8)*(1+0.5*(D96-NPV_Engine!$B$13))*(AVERAGE(E96,F96,G96)/B96)*(H96/NPV_Engine!$B$12)</f>
        <v>9603393.33333333</v>
      </c>
    </row>
    <row r="97" customFormat="false" ht="15" hidden="false" customHeight="true" outlineLevel="0" collapsed="false">
      <c r="A97" s="9" t="s">
        <v>117</v>
      </c>
      <c r="B97" s="31" t="n">
        <f aca="false">Curves!E8</f>
        <v>0.957768</v>
      </c>
      <c r="C97" s="31" t="n">
        <f aca="false">Curves!E9</f>
        <v>0.96933</v>
      </c>
      <c r="D97" s="43" t="n">
        <f aca="false">SABR!AT60</f>
        <v>0.406538537771067</v>
      </c>
      <c r="E97" s="31" t="n">
        <f aca="false">Curves!E10</f>
        <v>0.958726</v>
      </c>
      <c r="F97" s="31" t="n">
        <f aca="false">Curves!E11</f>
        <v>0.954899</v>
      </c>
      <c r="G97" s="31" t="n">
        <f aca="false">Curves!E12</f>
        <v>0.967393</v>
      </c>
      <c r="H97" s="31" t="n">
        <f aca="false">Curves!E13</f>
        <v>0.960645</v>
      </c>
      <c r="I97" s="42" t="n">
        <f aca="false">NPV_Engine!$B$4*B97*(C97/NPV_Engine!$B$8)*(1+0.5*(D97-NPV_Engine!$B$13))*(AVERAGE(E97,F97,G97)/B97)*(H97/NPV_Engine!$B$12)</f>
        <v>9635835.60410582</v>
      </c>
    </row>
    <row r="98" customFormat="false" ht="15" hidden="false" customHeight="true" outlineLevel="0" collapsed="false">
      <c r="A98" s="9" t="s">
        <v>118</v>
      </c>
      <c r="B98" s="31" t="n">
        <f aca="false">Curves!E8</f>
        <v>0.957768</v>
      </c>
      <c r="C98" s="31" t="n">
        <f aca="false">Curves!E9</f>
        <v>0.96933</v>
      </c>
      <c r="D98" s="43" t="n">
        <f aca="false">SABR!AT74</f>
        <v>0.408312583119033</v>
      </c>
      <c r="E98" s="31" t="n">
        <f aca="false">Curves!E10</f>
        <v>0.958726</v>
      </c>
      <c r="F98" s="31" t="n">
        <f aca="false">Curves!E11</f>
        <v>0.954899</v>
      </c>
      <c r="G98" s="31" t="n">
        <f aca="false">Curves!E12</f>
        <v>0.967393</v>
      </c>
      <c r="H98" s="31" t="n">
        <f aca="false">Curves!E13</f>
        <v>0.960645</v>
      </c>
      <c r="I98" s="42" t="n">
        <f aca="false">NPV_Engine!$B$4*B98*(C98/NPV_Engine!$B$8)*(1+0.5*(D98-NPV_Engine!$B$13))*(AVERAGE(E98,F98,G98)/B98)*(H98/NPV_Engine!$B$12)</f>
        <v>9644354.03173966</v>
      </c>
    </row>
    <row r="99" customFormat="false" ht="15" hidden="false" customHeight="true" outlineLevel="0" collapsed="false">
      <c r="A99" s="9" t="s">
        <v>119</v>
      </c>
      <c r="B99" s="31" t="n">
        <f aca="false">Curves!E8</f>
        <v>0.957768</v>
      </c>
      <c r="C99" s="31" t="n">
        <f aca="false">Curves!E9</f>
        <v>0.96933</v>
      </c>
      <c r="D99" s="43" t="n">
        <f aca="false">SABR!AT88</f>
        <v>0.407971432425642</v>
      </c>
      <c r="E99" s="31" t="n">
        <f aca="false">Curves!E10</f>
        <v>0.958726</v>
      </c>
      <c r="F99" s="31" t="n">
        <f aca="false">Curves!E11</f>
        <v>0.954899</v>
      </c>
      <c r="G99" s="31" t="n">
        <f aca="false">Curves!E12</f>
        <v>0.967393</v>
      </c>
      <c r="H99" s="31" t="n">
        <f aca="false">Curves!E13</f>
        <v>0.960645</v>
      </c>
      <c r="I99" s="42" t="n">
        <f aca="false">NPV_Engine!$B$4*B99*(C99/NPV_Engine!$B$8)*(1+0.5*(D99-NPV_Engine!$B$13))*(AVERAGE(E99,F99,G99)/B99)*(H99/NPV_Engine!$B$12)</f>
        <v>9642715.92959238</v>
      </c>
    </row>
    <row r="100" customFormat="false" ht="15" hidden="false" customHeight="true" outlineLevel="0" collapsed="false">
      <c r="A100" s="9" t="s">
        <v>120</v>
      </c>
      <c r="B100" s="31" t="n">
        <f aca="false">Curves!E8</f>
        <v>0.957768</v>
      </c>
      <c r="C100" s="31" t="n">
        <f aca="false">Curves!E9</f>
        <v>0.96933</v>
      </c>
      <c r="D100" s="43" t="n">
        <f aca="false">SABR!AT102</f>
        <v>0.413770225261134</v>
      </c>
      <c r="E100" s="31" t="n">
        <f aca="false">Curves!E10</f>
        <v>0.958726</v>
      </c>
      <c r="F100" s="31" t="n">
        <f aca="false">Curves!E11</f>
        <v>0.954899</v>
      </c>
      <c r="G100" s="31" t="n">
        <f aca="false">Curves!E12</f>
        <v>0.967393</v>
      </c>
      <c r="H100" s="31" t="n">
        <f aca="false">Curves!E13</f>
        <v>0.960645</v>
      </c>
      <c r="I100" s="42" t="n">
        <f aca="false">NPV_Engine!$B$4*B100*(C100/NPV_Engine!$B$8)*(1+0.5*(D100-NPV_Engine!$B$13))*(AVERAGE(E100,F100,G100)/B100)*(H100/NPV_Engine!$B$12)</f>
        <v>9670559.97382125</v>
      </c>
    </row>
    <row r="101" customFormat="false" ht="15" hidden="false" customHeight="true" outlineLevel="0" collapsed="false">
      <c r="A101" s="9" t="s">
        <v>121</v>
      </c>
      <c r="B101" s="31" t="n">
        <f aca="false">Curves!E8</f>
        <v>0.957768</v>
      </c>
      <c r="C101" s="31" t="n">
        <f aca="false">Curves!E9</f>
        <v>0.96933</v>
      </c>
      <c r="D101" s="43" t="n">
        <f aca="false">SABR!AT116</f>
        <v>0.41063225788842</v>
      </c>
      <c r="E101" s="31" t="n">
        <f aca="false">Curves!E10</f>
        <v>0.958726</v>
      </c>
      <c r="F101" s="31" t="n">
        <f aca="false">Curves!E11</f>
        <v>0.954899</v>
      </c>
      <c r="G101" s="31" t="n">
        <f aca="false">Curves!E12</f>
        <v>0.967393</v>
      </c>
      <c r="H101" s="31" t="n">
        <f aca="false">Curves!E13</f>
        <v>0.960645</v>
      </c>
      <c r="I101" s="42" t="n">
        <f aca="false">NPV_Engine!$B$4*B101*(C101/NPV_Engine!$B$8)*(1+0.5*(D101-NPV_Engine!$B$13))*(AVERAGE(E101,F101,G101)/B101)*(H101/NPV_Engine!$B$12)</f>
        <v>9655492.40634758</v>
      </c>
    </row>
    <row r="102" customFormat="false" ht="15" hidden="false" customHeight="true" outlineLevel="0" collapsed="false">
      <c r="A102" s="9" t="s">
        <v>122</v>
      </c>
      <c r="B102" s="31" t="n">
        <f aca="false">Curves!E8</f>
        <v>0.957768</v>
      </c>
      <c r="C102" s="31" t="n">
        <f aca="false">Curves!E9</f>
        <v>0.96933</v>
      </c>
      <c r="D102" s="43" t="n">
        <f aca="false">SABR!AT130</f>
        <v>0.411928432857369</v>
      </c>
      <c r="E102" s="31" t="n">
        <f aca="false">Curves!E10</f>
        <v>0.958726</v>
      </c>
      <c r="F102" s="31" t="n">
        <f aca="false">Curves!E11</f>
        <v>0.954899</v>
      </c>
      <c r="G102" s="31" t="n">
        <f aca="false">Curves!E12</f>
        <v>0.967393</v>
      </c>
      <c r="H102" s="31" t="n">
        <f aca="false">Curves!E13</f>
        <v>0.960645</v>
      </c>
      <c r="I102" s="42" t="n">
        <f aca="false">NPV_Engine!$B$4*B102*(C102/NPV_Engine!$B$8)*(1+0.5*(D102-NPV_Engine!$B$13))*(AVERAGE(E102,F102,G102)/B102)*(H102/NPV_Engine!$B$12)</f>
        <v>9661716.2453754</v>
      </c>
    </row>
    <row r="103" customFormat="false" ht="15" hidden="false" customHeight="true" outlineLevel="0" collapsed="false">
      <c r="A103" s="9" t="s">
        <v>123</v>
      </c>
      <c r="B103" s="31" t="n">
        <f aca="false">Curves!E8</f>
        <v>0.957768</v>
      </c>
      <c r="C103" s="31" t="n">
        <f aca="false">Curves!E9</f>
        <v>0.96933</v>
      </c>
      <c r="D103" s="43" t="n">
        <f aca="false">SABR!AT144</f>
        <v>0.417726110712245</v>
      </c>
      <c r="E103" s="31" t="n">
        <f aca="false">Curves!E10</f>
        <v>0.958726</v>
      </c>
      <c r="F103" s="31" t="n">
        <f aca="false">Curves!E11</f>
        <v>0.954899</v>
      </c>
      <c r="G103" s="31" t="n">
        <f aca="false">Curves!E12</f>
        <v>0.967393</v>
      </c>
      <c r="H103" s="31" t="n">
        <f aca="false">Curves!E13</f>
        <v>0.960645</v>
      </c>
      <c r="I103" s="42" t="n">
        <f aca="false">NPV_Engine!$B$4*B103*(C103/NPV_Engine!$B$8)*(1+0.5*(D103-NPV_Engine!$B$13))*(AVERAGE(E103,F103,G103)/B103)*(H103/NPV_Engine!$B$12)</f>
        <v>9689554.93580556</v>
      </c>
    </row>
    <row r="104" customFormat="false" ht="15" hidden="false" customHeight="true" outlineLevel="0" collapsed="false">
      <c r="A104" s="9" t="s">
        <v>124</v>
      </c>
      <c r="B104" s="31" t="n">
        <f aca="false">Curves!E8</f>
        <v>0.957768</v>
      </c>
      <c r="C104" s="31" t="n">
        <f aca="false">Curves!E9</f>
        <v>0.96933</v>
      </c>
      <c r="D104" s="43" t="n">
        <f aca="false">SABR!AT158</f>
        <v>0.415066202564148</v>
      </c>
      <c r="E104" s="31" t="n">
        <f aca="false">Curves!E10</f>
        <v>0.958726</v>
      </c>
      <c r="F104" s="31" t="n">
        <f aca="false">Curves!E11</f>
        <v>0.954899</v>
      </c>
      <c r="G104" s="31" t="n">
        <f aca="false">Curves!E12</f>
        <v>0.967393</v>
      </c>
      <c r="H104" s="31" t="n">
        <f aca="false">Curves!E13</f>
        <v>0.960645</v>
      </c>
      <c r="I104" s="42" t="n">
        <f aca="false">NPV_Engine!$B$4*B104*(C104/NPV_Engine!$B$8)*(1+0.5*(D104-NPV_Engine!$B$13))*(AVERAGE(E104,F104,G104)/B104)*(H104/NPV_Engine!$B$12)</f>
        <v>9676782.86371721</v>
      </c>
    </row>
    <row r="105" customFormat="false" ht="15" hidden="false" customHeight="true" outlineLevel="0" collapsed="false">
      <c r="A105" s="9" t="s">
        <v>125</v>
      </c>
      <c r="B105" s="31" t="n">
        <f aca="false">Curves!E8</f>
        <v>0.957768</v>
      </c>
      <c r="C105" s="31" t="n">
        <f aca="false">Curves!E9</f>
        <v>0.96933</v>
      </c>
      <c r="D105" s="43" t="n">
        <f aca="false">SABR!AT172</f>
        <v>0.417862506985643</v>
      </c>
      <c r="E105" s="31" t="n">
        <f aca="false">Curves!E10</f>
        <v>0.958726</v>
      </c>
      <c r="F105" s="31" t="n">
        <f aca="false">Curves!E11</f>
        <v>0.954899</v>
      </c>
      <c r="G105" s="31" t="n">
        <f aca="false">Curves!E12</f>
        <v>0.967393</v>
      </c>
      <c r="H105" s="31" t="n">
        <f aca="false">Curves!E13</f>
        <v>0.960645</v>
      </c>
      <c r="I105" s="42" t="n">
        <f aca="false">NPV_Engine!$B$4*B105*(C105/NPV_Engine!$B$8)*(1+0.5*(D105-NPV_Engine!$B$13))*(AVERAGE(E105,F105,G105)/B105)*(H105/NPV_Engine!$B$12)</f>
        <v>9690209.86933688</v>
      </c>
    </row>
    <row r="106" customFormat="false" ht="15" hidden="false" customHeight="true" outlineLevel="0" collapsed="false">
      <c r="A106" s="9" t="s">
        <v>126</v>
      </c>
      <c r="B106" s="31" t="n">
        <f aca="false">Curves!E8</f>
        <v>0.957768</v>
      </c>
      <c r="C106" s="31" t="n">
        <f aca="false">Curves!E9</f>
        <v>0.96933</v>
      </c>
      <c r="D106" s="43" t="n">
        <f aca="false">SABR!AT186</f>
        <v>0.421340306298811</v>
      </c>
      <c r="E106" s="31" t="n">
        <f aca="false">Curves!E10</f>
        <v>0.958726</v>
      </c>
      <c r="F106" s="31" t="n">
        <f aca="false">Curves!E11</f>
        <v>0.954899</v>
      </c>
      <c r="G106" s="31" t="n">
        <f aca="false">Curves!E12</f>
        <v>0.967393</v>
      </c>
      <c r="H106" s="31" t="n">
        <f aca="false">Curves!E13</f>
        <v>0.960645</v>
      </c>
      <c r="I106" s="42" t="n">
        <f aca="false">NPV_Engine!$B$4*B106*(C106/NPV_Engine!$B$8)*(1+0.5*(D106-NPV_Engine!$B$13))*(AVERAGE(E106,F106,G106)/B106)*(H106/NPV_Engine!$B$12)</f>
        <v>9706909.20670626</v>
      </c>
    </row>
    <row r="109" customFormat="false" ht="15" hidden="false" customHeight="true" outlineLevel="0" collapsed="false">
      <c r="A109" s="46" t="s">
        <v>217</v>
      </c>
      <c r="B109" s="46"/>
      <c r="C109" s="46"/>
      <c r="D109" s="46"/>
      <c r="E109" s="46"/>
      <c r="F109" s="46"/>
      <c r="G109" s="46"/>
      <c r="H109" s="46"/>
      <c r="I109" s="46"/>
      <c r="J109" s="52" t="s">
        <v>218</v>
      </c>
    </row>
    <row r="110" customFormat="false" ht="39" hidden="false" customHeight="true" outlineLevel="0" collapsed="false">
      <c r="A110" s="22" t="s">
        <v>179</v>
      </c>
      <c r="B110" s="22" t="s">
        <v>180</v>
      </c>
      <c r="C110" s="22" t="s">
        <v>181</v>
      </c>
      <c r="D110" s="22" t="s">
        <v>182</v>
      </c>
      <c r="E110" s="22" t="s">
        <v>183</v>
      </c>
      <c r="F110" s="22" t="s">
        <v>184</v>
      </c>
      <c r="G110" s="22" t="s">
        <v>185</v>
      </c>
      <c r="H110" s="22" t="s">
        <v>186</v>
      </c>
      <c r="I110" s="22" t="s">
        <v>187</v>
      </c>
    </row>
    <row r="111" customFormat="false" ht="15" hidden="false" customHeight="true" outlineLevel="0" collapsed="false">
      <c r="A111" s="4" t="s">
        <v>188</v>
      </c>
      <c r="B111" s="31" t="n">
        <f aca="false">Curves!E8</f>
        <v>0.957768</v>
      </c>
      <c r="C111" s="31" t="n">
        <f aca="false">Curves!E9</f>
        <v>0.96933</v>
      </c>
      <c r="D111" s="24" t="n">
        <f aca="false">SABR!AT10</f>
        <v>0.39978211956629</v>
      </c>
      <c r="E111" s="31" t="n">
        <f aca="false">Curves!E10</f>
        <v>0.958726</v>
      </c>
      <c r="F111" s="31" t="n">
        <f aca="false">Curves!E11</f>
        <v>0.954899</v>
      </c>
      <c r="G111" s="31" t="n">
        <f aca="false">Curves!E12</f>
        <v>0.967393</v>
      </c>
      <c r="H111" s="31" t="n">
        <f aca="false">Curves!E13</f>
        <v>0.960645</v>
      </c>
      <c r="I111" s="42" t="n">
        <f aca="false">NPV_Engine!$B$4*B111*(C111/NPV_Engine!$B$8)*(1+0.5*(D111-NPV_Engine!$B$13))*(AVERAGE(E111,F111,G111)/B111)*(H111/NPV_Engine!$B$12)</f>
        <v>9603393.33333333</v>
      </c>
    </row>
    <row r="112" customFormat="false" ht="15" hidden="false" customHeight="true" outlineLevel="0" collapsed="false">
      <c r="A112" s="9" t="s">
        <v>117</v>
      </c>
      <c r="B112" s="31" t="n">
        <f aca="false">Curves!E8</f>
        <v>0.957768</v>
      </c>
      <c r="C112" s="31" t="n">
        <f aca="false">Curves!E9</f>
        <v>0.96933</v>
      </c>
      <c r="D112" s="24" t="n">
        <f aca="false">SABR!AT10</f>
        <v>0.39978211956629</v>
      </c>
      <c r="E112" s="31" t="n">
        <f aca="false">Curves!E10</f>
        <v>0.958726</v>
      </c>
      <c r="F112" s="31" t="n">
        <f aca="false">Curves!E11</f>
        <v>0.954899</v>
      </c>
      <c r="G112" s="31" t="n">
        <f aca="false">Curves!E12</f>
        <v>0.967393</v>
      </c>
      <c r="H112" s="23" t="n">
        <f aca="false">Curves!Q42</f>
        <v>0.958550489609229</v>
      </c>
      <c r="I112" s="42" t="n">
        <f aca="false">NPV_Engine!$B$4*B112*(C112/NPV_Engine!$B$8)*(1+0.5*(D112-NPV_Engine!$B$13))*(AVERAGE(E112,F112,G112)/B112)*(H112/NPV_Engine!$B$12)</f>
        <v>9582454.89392718</v>
      </c>
    </row>
    <row r="113" customFormat="false" ht="15" hidden="false" customHeight="true" outlineLevel="0" collapsed="false">
      <c r="A113" s="9" t="s">
        <v>118</v>
      </c>
      <c r="B113" s="31" t="n">
        <f aca="false">Curves!E8</f>
        <v>0.957768</v>
      </c>
      <c r="C113" s="31" t="n">
        <f aca="false">Curves!E9</f>
        <v>0.96933</v>
      </c>
      <c r="D113" s="24" t="n">
        <f aca="false">SABR!AT10</f>
        <v>0.39978211956629</v>
      </c>
      <c r="E113" s="31" t="n">
        <f aca="false">Curves!E10</f>
        <v>0.958726</v>
      </c>
      <c r="F113" s="31" t="n">
        <f aca="false">Curves!E11</f>
        <v>0.954899</v>
      </c>
      <c r="G113" s="31" t="n">
        <f aca="false">Curves!E12</f>
        <v>0.967393</v>
      </c>
      <c r="H113" s="23" t="n">
        <f aca="false">Curves!Q50</f>
        <v>0.957836117465444</v>
      </c>
      <c r="I113" s="42" t="n">
        <f aca="false">NPV_Engine!$B$4*B113*(C113/NPV_Engine!$B$8)*(1+0.5*(D113-NPV_Engine!$B$13))*(AVERAGE(E113,F113,G113)/B113)*(H113/NPV_Engine!$B$12)</f>
        <v>9575313.44554287</v>
      </c>
    </row>
    <row r="114" customFormat="false" ht="15" hidden="false" customHeight="true" outlineLevel="0" collapsed="false">
      <c r="A114" s="9" t="s">
        <v>119</v>
      </c>
      <c r="B114" s="31" t="n">
        <f aca="false">Curves!E8</f>
        <v>0.957768</v>
      </c>
      <c r="C114" s="31" t="n">
        <f aca="false">Curves!E9</f>
        <v>0.96933</v>
      </c>
      <c r="D114" s="24" t="n">
        <f aca="false">SABR!AT10</f>
        <v>0.39978211956629</v>
      </c>
      <c r="E114" s="31" t="n">
        <f aca="false">Curves!E10</f>
        <v>0.958726</v>
      </c>
      <c r="F114" s="31" t="n">
        <f aca="false">Curves!E11</f>
        <v>0.954899</v>
      </c>
      <c r="G114" s="31" t="n">
        <f aca="false">Curves!E12</f>
        <v>0.967393</v>
      </c>
      <c r="H114" s="23" t="n">
        <f aca="false">Curves!Q58</f>
        <v>0.95758460198965</v>
      </c>
      <c r="I114" s="42" t="n">
        <f aca="false">NPV_Engine!$B$4*B114*(C114/NPV_Engine!$B$8)*(1+0.5*(D114-NPV_Engine!$B$13))*(AVERAGE(E114,F114,G114)/B114)*(H114/NPV_Engine!$B$12)</f>
        <v>9572799.09107949</v>
      </c>
    </row>
    <row r="115" customFormat="false" ht="15" hidden="false" customHeight="true" outlineLevel="0" collapsed="false">
      <c r="A115" s="9" t="s">
        <v>120</v>
      </c>
      <c r="B115" s="31" t="n">
        <f aca="false">Curves!E8</f>
        <v>0.957768</v>
      </c>
      <c r="C115" s="31" t="n">
        <f aca="false">Curves!E9</f>
        <v>0.96933</v>
      </c>
      <c r="D115" s="24" t="n">
        <f aca="false">SABR!AT10</f>
        <v>0.39978211956629</v>
      </c>
      <c r="E115" s="31" t="n">
        <f aca="false">Curves!E10</f>
        <v>0.958726</v>
      </c>
      <c r="F115" s="31" t="n">
        <f aca="false">Curves!E11</f>
        <v>0.954899</v>
      </c>
      <c r="G115" s="31" t="n">
        <f aca="false">Curves!E12</f>
        <v>0.967393</v>
      </c>
      <c r="H115" s="23" t="n">
        <f aca="false">Curves!Q66</f>
        <v>0.962263559855125</v>
      </c>
      <c r="I115" s="42" t="n">
        <f aca="false">NPV_Engine!$B$4*B115*(C115/NPV_Engine!$B$8)*(1+0.5*(D115-NPV_Engine!$B$13))*(AVERAGE(E115,F115,G115)/B115)*(H115/NPV_Engine!$B$12)</f>
        <v>9619573.78180526</v>
      </c>
    </row>
    <row r="116" customFormat="false" ht="15" hidden="false" customHeight="true" outlineLevel="0" collapsed="false">
      <c r="A116" s="9" t="s">
        <v>121</v>
      </c>
      <c r="B116" s="31" t="n">
        <f aca="false">Curves!E8</f>
        <v>0.957768</v>
      </c>
      <c r="C116" s="31" t="n">
        <f aca="false">Curves!E9</f>
        <v>0.96933</v>
      </c>
      <c r="D116" s="24" t="n">
        <f aca="false">SABR!AT10</f>
        <v>0.39978211956629</v>
      </c>
      <c r="E116" s="31" t="n">
        <f aca="false">Curves!E10</f>
        <v>0.958726</v>
      </c>
      <c r="F116" s="31" t="n">
        <f aca="false">Curves!E11</f>
        <v>0.954899</v>
      </c>
      <c r="G116" s="31" t="n">
        <f aca="false">Curves!E12</f>
        <v>0.967393</v>
      </c>
      <c r="H116" s="23" t="n">
        <f aca="false">Curves!Q74</f>
        <v>0.956804885239764</v>
      </c>
      <c r="I116" s="42" t="n">
        <f aca="false">NPV_Engine!$B$4*B116*(C116/NPV_Engine!$B$8)*(1+0.5*(D116-NPV_Engine!$B$13))*(AVERAGE(E116,F116,G116)/B116)*(H116/NPV_Engine!$B$12)</f>
        <v>9565004.40455352</v>
      </c>
    </row>
    <row r="117" customFormat="false" ht="15" hidden="false" customHeight="true" outlineLevel="0" collapsed="false">
      <c r="A117" s="9" t="s">
        <v>122</v>
      </c>
      <c r="B117" s="31" t="n">
        <f aca="false">Curves!E8</f>
        <v>0.957768</v>
      </c>
      <c r="C117" s="31" t="n">
        <f aca="false">Curves!E9</f>
        <v>0.96933</v>
      </c>
      <c r="D117" s="24" t="n">
        <f aca="false">SABR!AT10</f>
        <v>0.39978211956629</v>
      </c>
      <c r="E117" s="31" t="n">
        <f aca="false">Curves!E10</f>
        <v>0.958726</v>
      </c>
      <c r="F117" s="31" t="n">
        <f aca="false">Curves!E11</f>
        <v>0.954899</v>
      </c>
      <c r="G117" s="31" t="n">
        <f aca="false">Curves!E12</f>
        <v>0.967393</v>
      </c>
      <c r="H117" s="23" t="n">
        <f aca="false">Curves!Q82</f>
        <v>0.958736934866277</v>
      </c>
      <c r="I117" s="42" t="n">
        <f aca="false">NPV_Engine!$B$4*B117*(C117/NPV_Engine!$B$8)*(1+0.5*(D117-NPV_Engine!$B$13))*(AVERAGE(E117,F117,G117)/B117)*(H117/NPV_Engine!$B$12)</f>
        <v>9584318.75324937</v>
      </c>
    </row>
    <row r="118" customFormat="false" ht="15" hidden="false" customHeight="true" outlineLevel="0" collapsed="false">
      <c r="A118" s="9" t="s">
        <v>123</v>
      </c>
      <c r="B118" s="31" t="n">
        <f aca="false">Curves!E8</f>
        <v>0.957768</v>
      </c>
      <c r="C118" s="31" t="n">
        <f aca="false">Curves!E9</f>
        <v>0.96933</v>
      </c>
      <c r="D118" s="24" t="n">
        <f aca="false">SABR!AT10</f>
        <v>0.39978211956629</v>
      </c>
      <c r="E118" s="31" t="n">
        <f aca="false">Curves!E10</f>
        <v>0.958726</v>
      </c>
      <c r="F118" s="31" t="n">
        <f aca="false">Curves!E11</f>
        <v>0.954899</v>
      </c>
      <c r="G118" s="31" t="n">
        <f aca="false">Curves!E12</f>
        <v>0.967393</v>
      </c>
      <c r="H118" s="23" t="n">
        <f aca="false">Curves!Q90</f>
        <v>0.956260628257328</v>
      </c>
      <c r="I118" s="42" t="n">
        <f aca="false">NPV_Engine!$B$4*B118*(C118/NPV_Engine!$B$8)*(1+0.5*(D118-NPV_Engine!$B$13))*(AVERAGE(E118,F118,G118)/B118)*(H118/NPV_Engine!$B$12)</f>
        <v>9559563.56649498</v>
      </c>
    </row>
    <row r="119" customFormat="false" ht="15" hidden="false" customHeight="true" outlineLevel="0" collapsed="false">
      <c r="A119" s="9" t="s">
        <v>124</v>
      </c>
      <c r="B119" s="31" t="n">
        <f aca="false">Curves!E8</f>
        <v>0.957768</v>
      </c>
      <c r="C119" s="31" t="n">
        <f aca="false">Curves!E9</f>
        <v>0.96933</v>
      </c>
      <c r="D119" s="24" t="n">
        <f aca="false">SABR!AT10</f>
        <v>0.39978211956629</v>
      </c>
      <c r="E119" s="31" t="n">
        <f aca="false">Curves!E10</f>
        <v>0.958726</v>
      </c>
      <c r="F119" s="31" t="n">
        <f aca="false">Curves!E11</f>
        <v>0.954899</v>
      </c>
      <c r="G119" s="31" t="n">
        <f aca="false">Curves!E12</f>
        <v>0.967393</v>
      </c>
      <c r="H119" s="23" t="n">
        <f aca="false">Curves!Q98</f>
        <v>0.960229712665626</v>
      </c>
      <c r="I119" s="42" t="n">
        <f aca="false">NPV_Engine!$B$4*B119*(C119/NPV_Engine!$B$8)*(1+0.5*(D119-NPV_Engine!$B$13))*(AVERAGE(E119,F119,G119)/B119)*(H119/NPV_Engine!$B$12)</f>
        <v>9599241.78138819</v>
      </c>
    </row>
    <row r="120" customFormat="false" ht="15" hidden="false" customHeight="true" outlineLevel="0" collapsed="false">
      <c r="A120" s="9" t="s">
        <v>125</v>
      </c>
      <c r="B120" s="31" t="n">
        <f aca="false">Curves!E8</f>
        <v>0.957768</v>
      </c>
      <c r="C120" s="31" t="n">
        <f aca="false">Curves!E9</f>
        <v>0.96933</v>
      </c>
      <c r="D120" s="24" t="n">
        <f aca="false">SABR!AT10</f>
        <v>0.39978211956629</v>
      </c>
      <c r="E120" s="31" t="n">
        <f aca="false">Curves!E10</f>
        <v>0.958726</v>
      </c>
      <c r="F120" s="31" t="n">
        <f aca="false">Curves!E11</f>
        <v>0.954899</v>
      </c>
      <c r="G120" s="31" t="n">
        <f aca="false">Curves!E12</f>
        <v>0.967393</v>
      </c>
      <c r="H120" s="23" t="n">
        <f aca="false">Curves!Q106</f>
        <v>0.955591148630945</v>
      </c>
      <c r="I120" s="42" t="n">
        <f aca="false">NPV_Engine!$B$4*B120*(C120/NPV_Engine!$B$8)*(1+0.5*(D120-NPV_Engine!$B$13))*(AVERAGE(E120,F120,G120)/B120)*(H120/NPV_Engine!$B$12)</f>
        <v>9552870.90044165</v>
      </c>
    </row>
    <row r="121" customFormat="false" ht="15" hidden="false" customHeight="true" outlineLevel="0" collapsed="false">
      <c r="A121" s="9" t="s">
        <v>126</v>
      </c>
      <c r="B121" s="31" t="n">
        <f aca="false">Curves!E8</f>
        <v>0.957768</v>
      </c>
      <c r="C121" s="31" t="n">
        <f aca="false">Curves!E9</f>
        <v>0.96933</v>
      </c>
      <c r="D121" s="24" t="n">
        <f aca="false">SABR!AT10</f>
        <v>0.39978211956629</v>
      </c>
      <c r="E121" s="31" t="n">
        <f aca="false">Curves!E10</f>
        <v>0.958726</v>
      </c>
      <c r="F121" s="31" t="n">
        <f aca="false">Curves!E11</f>
        <v>0.954899</v>
      </c>
      <c r="G121" s="31" t="n">
        <f aca="false">Curves!E12</f>
        <v>0.967393</v>
      </c>
      <c r="H121" s="23" t="n">
        <f aca="false">Curves!Q114</f>
        <v>0.955213344747142</v>
      </c>
      <c r="I121" s="42" t="n">
        <f aca="false">NPV_Engine!$B$4*B121*(C121/NPV_Engine!$B$8)*(1+0.5*(D121-NPV_Engine!$B$13))*(AVERAGE(E121,F121,G121)/B121)*(H121/NPV_Engine!$B$12)</f>
        <v>9549094.06373399</v>
      </c>
    </row>
    <row r="124" customFormat="false" ht="15" hidden="false" customHeight="true" outlineLevel="0" collapsed="false">
      <c r="A124" s="41" t="s">
        <v>219</v>
      </c>
      <c r="B124" s="41"/>
      <c r="C124" s="41"/>
      <c r="D124" s="41"/>
      <c r="E124" s="41"/>
      <c r="F124" s="41"/>
      <c r="G124" s="41"/>
      <c r="H124" s="41"/>
      <c r="I124" s="41"/>
      <c r="J124" s="52" t="s">
        <v>220</v>
      </c>
    </row>
    <row r="125" customFormat="false" ht="39" hidden="false" customHeight="true" outlineLevel="0" collapsed="false">
      <c r="A125" s="22" t="s">
        <v>179</v>
      </c>
      <c r="B125" s="22" t="s">
        <v>180</v>
      </c>
      <c r="C125" s="22" t="s">
        <v>181</v>
      </c>
      <c r="D125" s="22" t="s">
        <v>182</v>
      </c>
      <c r="E125" s="22" t="s">
        <v>183</v>
      </c>
      <c r="F125" s="22" t="s">
        <v>184</v>
      </c>
      <c r="G125" s="22" t="s">
        <v>185</v>
      </c>
      <c r="H125" s="22" t="s">
        <v>186</v>
      </c>
      <c r="I125" s="22" t="s">
        <v>187</v>
      </c>
    </row>
    <row r="126" customFormat="false" ht="15" hidden="false" customHeight="true" outlineLevel="0" collapsed="false">
      <c r="A126" s="4" t="s">
        <v>188</v>
      </c>
      <c r="B126" s="31" t="n">
        <f aca="false">Curves!E8</f>
        <v>0.957768</v>
      </c>
      <c r="C126" s="31" t="n">
        <f aca="false">Curves!E9</f>
        <v>0.96933</v>
      </c>
      <c r="D126" s="24" t="n">
        <f aca="false">SABR!AT10</f>
        <v>0.39978211956629</v>
      </c>
      <c r="E126" s="31" t="n">
        <f aca="false">Curves!E10</f>
        <v>0.958726</v>
      </c>
      <c r="F126" s="31" t="n">
        <f aca="false">Curves!E11</f>
        <v>0.954899</v>
      </c>
      <c r="G126" s="31" t="n">
        <f aca="false">Curves!E12</f>
        <v>0.967393</v>
      </c>
      <c r="H126" s="31" t="n">
        <f aca="false">Curves!E13</f>
        <v>0.960645</v>
      </c>
      <c r="I126" s="42" t="n">
        <f aca="false">NPV_Engine!$B$4*B126*(C126/NPV_Engine!$B$8)*(1+0.5*(D126-NPV_Engine!$B$13))*(AVERAGE(E126,F126,G126)/B126)*(H126/NPV_Engine!$B$12)</f>
        <v>9603393.33333333</v>
      </c>
    </row>
    <row r="127" customFormat="false" ht="15" hidden="false" customHeight="true" outlineLevel="0" collapsed="false">
      <c r="A127" s="9" t="s">
        <v>117</v>
      </c>
      <c r="B127" s="23" t="n">
        <f aca="false">Curves!Q37</f>
        <v>0.95645567308242</v>
      </c>
      <c r="C127" s="23" t="n">
        <f aca="false">Curves!Q38</f>
        <v>0.968268575053369</v>
      </c>
      <c r="D127" s="43" t="n">
        <f aca="false">SABR!AT60</f>
        <v>0.406538537771067</v>
      </c>
      <c r="E127" s="23" t="n">
        <f aca="false">Curves!Q39</f>
        <v>0.958061825595622</v>
      </c>
      <c r="F127" s="23" t="n">
        <f aca="false">Curves!Q40</f>
        <v>0.949311346582243</v>
      </c>
      <c r="G127" s="23" t="n">
        <f aca="false">Curves!Q41</f>
        <v>0.962297088758501</v>
      </c>
      <c r="H127" s="23" t="n">
        <f aca="false">Curves!Q42</f>
        <v>0.958550489609229</v>
      </c>
      <c r="I127" s="42" t="n">
        <f aca="false">NPV_Engine!$B$4*B127*(C127/NPV_Engine!$B$8)*(1+0.5*(D127-NPV_Engine!$B$13))*(AVERAGE(E127,F127,G127)/B127)*(H127/NPV_Engine!$B$12)</f>
        <v>9566468.7494528</v>
      </c>
    </row>
    <row r="128" customFormat="false" ht="15" hidden="false" customHeight="true" outlineLevel="0" collapsed="false">
      <c r="A128" s="9" t="s">
        <v>118</v>
      </c>
      <c r="B128" s="23" t="n">
        <f aca="false">Curves!Q45</f>
        <v>0.953984470417811</v>
      </c>
      <c r="C128" s="23" t="n">
        <f aca="false">Curves!Q46</f>
        <v>0.968938897143004</v>
      </c>
      <c r="D128" s="43" t="n">
        <f aca="false">SABR!AT74</f>
        <v>0.408312583119033</v>
      </c>
      <c r="E128" s="23" t="n">
        <f aca="false">Curves!Q47</f>
        <v>0.954588922832977</v>
      </c>
      <c r="F128" s="23" t="n">
        <f aca="false">Curves!Q48</f>
        <v>0.952091864437955</v>
      </c>
      <c r="G128" s="23" t="n">
        <f aca="false">Curves!Q49</f>
        <v>0.964955584066973</v>
      </c>
      <c r="H128" s="23" t="n">
        <f aca="false">Curves!Q50</f>
        <v>0.957836117465444</v>
      </c>
      <c r="I128" s="42" t="n">
        <f aca="false">NPV_Engine!$B$4*B128*(C128/NPV_Engine!$B$8)*(1+0.5*(D128-NPV_Engine!$B$13))*(AVERAGE(E128,F128,G128)/B128)*(H128/NPV_Engine!$B$12)</f>
        <v>9580973.45894958</v>
      </c>
    </row>
    <row r="129" customFormat="false" ht="15" hidden="false" customHeight="true" outlineLevel="0" collapsed="false">
      <c r="A129" s="9" t="s">
        <v>119</v>
      </c>
      <c r="B129" s="23" t="n">
        <f aca="false">Curves!Q53</f>
        <v>0.953428257833193</v>
      </c>
      <c r="C129" s="23" t="n">
        <f aca="false">Curves!Q54</f>
        <v>0.967699452636081</v>
      </c>
      <c r="D129" s="43" t="n">
        <f aca="false">SABR!AT88</f>
        <v>0.407971432425642</v>
      </c>
      <c r="E129" s="23" t="n">
        <f aca="false">Curves!Q55</f>
        <v>0.954008957495664</v>
      </c>
      <c r="F129" s="23" t="n">
        <f aca="false">Curves!Q56</f>
        <v>0.953612707835657</v>
      </c>
      <c r="G129" s="23" t="n">
        <f aca="false">Curves!Q57</f>
        <v>0.961223663488055</v>
      </c>
      <c r="H129" s="23" t="n">
        <f aca="false">Curves!Q58</f>
        <v>0.95758460198965</v>
      </c>
      <c r="I129" s="42" t="n">
        <f aca="false">NPV_Engine!$B$4*B129*(C129/NPV_Engine!$B$8)*(1+0.5*(D129-NPV_Engine!$B$13))*(AVERAGE(E129,F129,G129)/B129)*(H129/NPV_Engine!$B$12)</f>
        <v>9555284.09983533</v>
      </c>
    </row>
    <row r="130" customFormat="false" ht="15" hidden="false" customHeight="true" outlineLevel="0" collapsed="false">
      <c r="A130" s="9" t="s">
        <v>120</v>
      </c>
      <c r="B130" s="23" t="n">
        <f aca="false">Curves!Q61</f>
        <v>0.953041785744194</v>
      </c>
      <c r="C130" s="23" t="n">
        <f aca="false">Curves!Q62</f>
        <v>0.965269080950153</v>
      </c>
      <c r="D130" s="43" t="n">
        <f aca="false">SABR!AT102</f>
        <v>0.413770225261134</v>
      </c>
      <c r="E130" s="23" t="n">
        <f aca="false">Curves!Q63</f>
        <v>0.95320762385314</v>
      </c>
      <c r="F130" s="23" t="n">
        <f aca="false">Curves!Q64</f>
        <v>0.946234479809646</v>
      </c>
      <c r="G130" s="23" t="n">
        <f aca="false">Curves!Q65</f>
        <v>0.960336700770215</v>
      </c>
      <c r="H130" s="23" t="n">
        <f aca="false">Curves!Q66</f>
        <v>0.962263559855125</v>
      </c>
      <c r="I130" s="42" t="n">
        <f aca="false">NPV_Engine!$B$4*B130*(C130/NPV_Engine!$B$8)*(1+0.5*(D130-NPV_Engine!$B$13))*(AVERAGE(E130,F130,G130)/B130)*(H130/NPV_Engine!$B$12)</f>
        <v>9575157.98472471</v>
      </c>
    </row>
    <row r="131" customFormat="false" ht="15" hidden="false" customHeight="true" outlineLevel="0" collapsed="false">
      <c r="A131" s="9" t="s">
        <v>121</v>
      </c>
      <c r="B131" s="23" t="n">
        <f aca="false">Curves!Q69</f>
        <v>0.955487984146696</v>
      </c>
      <c r="C131" s="23" t="n">
        <f aca="false">Curves!Q70</f>
        <v>0.964836228667716</v>
      </c>
      <c r="D131" s="43" t="n">
        <f aca="false">SABR!AT116</f>
        <v>0.41063225788842</v>
      </c>
      <c r="E131" s="23" t="n">
        <f aca="false">Curves!Q71</f>
        <v>0.9563957060858</v>
      </c>
      <c r="F131" s="23" t="n">
        <f aca="false">Curves!Q72</f>
        <v>0.945344255389449</v>
      </c>
      <c r="G131" s="23" t="n">
        <f aca="false">Curves!Q73</f>
        <v>0.960043506585016</v>
      </c>
      <c r="H131" s="23" t="n">
        <f aca="false">Curves!Q74</f>
        <v>0.956804885239764</v>
      </c>
      <c r="I131" s="42" t="n">
        <f aca="false">NPV_Engine!$B$4*B131*(C131/NPV_Engine!$B$8)*(1+0.5*(D131-NPV_Engine!$B$13))*(AVERAGE(E131,F131,G131)/B131)*(H131/NPV_Engine!$B$12)</f>
        <v>9508404.11455907</v>
      </c>
    </row>
    <row r="132" customFormat="false" ht="15" hidden="false" customHeight="true" outlineLevel="0" collapsed="false">
      <c r="A132" s="9" t="s">
        <v>122</v>
      </c>
      <c r="B132" s="23" t="n">
        <f aca="false">Curves!Q77</f>
        <v>0.954991103789659</v>
      </c>
      <c r="C132" s="23" t="n">
        <f aca="false">Curves!Q78</f>
        <v>0.96434631914572</v>
      </c>
      <c r="D132" s="43" t="n">
        <f aca="false">SABR!AT130</f>
        <v>0.411928432857369</v>
      </c>
      <c r="E132" s="23" t="n">
        <f aca="false">Curves!Q79</f>
        <v>0.952137896569466</v>
      </c>
      <c r="F132" s="23" t="n">
        <f aca="false">Curves!Q80</f>
        <v>0.944482088523894</v>
      </c>
      <c r="G132" s="23" t="n">
        <f aca="false">Curves!Q81</f>
        <v>0.958612050918359</v>
      </c>
      <c r="H132" s="23" t="n">
        <f aca="false">Curves!Q82</f>
        <v>0.958736934866277</v>
      </c>
      <c r="I132" s="42" t="n">
        <f aca="false">NPV_Engine!$B$4*B132*(C132/NPV_Engine!$B$8)*(1+0.5*(D132-NPV_Engine!$B$13))*(AVERAGE(E132,F132,G132)/B132)*(H132/NPV_Engine!$B$12)</f>
        <v>9507090.31956645</v>
      </c>
    </row>
    <row r="133" customFormat="false" ht="15" hidden="false" customHeight="true" outlineLevel="0" collapsed="false">
      <c r="A133" s="9" t="s">
        <v>123</v>
      </c>
      <c r="B133" s="23" t="n">
        <f aca="false">Curves!Q85</f>
        <v>0.954631571739291</v>
      </c>
      <c r="C133" s="23" t="n">
        <f aca="false">Curves!Q86</f>
        <v>0.963898937861947</v>
      </c>
      <c r="D133" s="43" t="n">
        <f aca="false">SABR!AT144</f>
        <v>0.417726110712245</v>
      </c>
      <c r="E133" s="23" t="n">
        <f aca="false">Curves!Q87</f>
        <v>0.951644904713199</v>
      </c>
      <c r="F133" s="23" t="n">
        <f aca="false">Curves!Q88</f>
        <v>0.950115469489328</v>
      </c>
      <c r="G133" s="23" t="n">
        <f aca="false">Curves!Q89</f>
        <v>0.957808375985025</v>
      </c>
      <c r="H133" s="23" t="n">
        <f aca="false">Curves!Q90</f>
        <v>0.956260628257328</v>
      </c>
      <c r="I133" s="42" t="n">
        <f aca="false">NPV_Engine!$B$4*B133*(C133/NPV_Engine!$B$8)*(1+0.5*(D133-NPV_Engine!$B$13))*(AVERAGE(E133,F133,G133)/B133)*(H133/NPV_Engine!$B$12)</f>
        <v>9519882.67730916</v>
      </c>
    </row>
    <row r="134" customFormat="false" ht="15" hidden="false" customHeight="true" outlineLevel="0" collapsed="false">
      <c r="A134" s="9" t="s">
        <v>124</v>
      </c>
      <c r="B134" s="23" t="n">
        <f aca="false">Curves!Q93</f>
        <v>0.950859692250137</v>
      </c>
      <c r="C134" s="23" t="n">
        <f aca="false">Curves!Q94</f>
        <v>0.972017712190285</v>
      </c>
      <c r="D134" s="43" t="n">
        <f aca="false">SABR!AT158</f>
        <v>0.415066202564148</v>
      </c>
      <c r="E134" s="23" t="n">
        <f aca="false">Curves!Q95</f>
        <v>0.950824572103433</v>
      </c>
      <c r="F134" s="23" t="n">
        <f aca="false">Curves!Q96</f>
        <v>0.942346869047631</v>
      </c>
      <c r="G134" s="23" t="n">
        <f aca="false">Curves!Q97</f>
        <v>0.957056963924134</v>
      </c>
      <c r="H134" s="23" t="n">
        <f aca="false">Curves!Q98</f>
        <v>0.960229712665626</v>
      </c>
      <c r="I134" s="42" t="n">
        <f aca="false">NPV_Engine!$B$4*B134*(C134/NPV_Engine!$B$8)*(1+0.5*(D134-NPV_Engine!$B$13))*(AVERAGE(E134,F134,G134)/B134)*(H134/NPV_Engine!$B$12)</f>
        <v>9595761.09233375</v>
      </c>
    </row>
    <row r="135" customFormat="false" ht="15" hidden="false" customHeight="true" outlineLevel="0" collapsed="false">
      <c r="A135" s="9" t="s">
        <v>125</v>
      </c>
      <c r="B135" s="23" t="n">
        <f aca="false">Curves!Q101</f>
        <v>0.950629998326299</v>
      </c>
      <c r="C135" s="23" t="n">
        <f aca="false">Curves!Q102</f>
        <v>0.963171513076289</v>
      </c>
      <c r="D135" s="43" t="n">
        <f aca="false">SABR!AT172</f>
        <v>0.417862506985643</v>
      </c>
      <c r="E135" s="23" t="n">
        <f aca="false">Curves!Q103</f>
        <v>0.950069418905633</v>
      </c>
      <c r="F135" s="23" t="n">
        <f aca="false">Curves!Q104</f>
        <v>0.941085187512815</v>
      </c>
      <c r="G135" s="23" t="n">
        <f aca="false">Curves!Q105</f>
        <v>0.956168103382636</v>
      </c>
      <c r="H135" s="23" t="n">
        <f aca="false">Curves!Q106</f>
        <v>0.955591148630945</v>
      </c>
      <c r="I135" s="42" t="n">
        <f aca="false">NPV_Engine!$B$4*B135*(C135/NPV_Engine!$B$8)*(1+0.5*(D135-NPV_Engine!$B$13))*(AVERAGE(E135,F135,G135)/B135)*(H135/NPV_Engine!$B$12)</f>
        <v>9465968.836727</v>
      </c>
    </row>
    <row r="136" customFormat="false" ht="15" hidden="false" customHeight="true" outlineLevel="0" collapsed="false">
      <c r="A136" s="9" t="s">
        <v>126</v>
      </c>
      <c r="B136" s="23" t="n">
        <f aca="false">Curves!Q109</f>
        <v>0.949924622570429</v>
      </c>
      <c r="C136" s="23" t="n">
        <f aca="false">Curves!Q110</f>
        <v>0.972647724846082</v>
      </c>
      <c r="D136" s="43" t="n">
        <f aca="false">SABR!AT186</f>
        <v>0.421340306298811</v>
      </c>
      <c r="E136" s="23" t="n">
        <f aca="false">Curves!Q111</f>
        <v>0.957237796944819</v>
      </c>
      <c r="F136" s="23" t="n">
        <f aca="false">Curves!Q112</f>
        <v>0.94825631913984</v>
      </c>
      <c r="G136" s="23" t="n">
        <f aca="false">Curves!Q113</f>
        <v>0.966039723186702</v>
      </c>
      <c r="H136" s="23" t="n">
        <f aca="false">Curves!Q114</f>
        <v>0.955213344747142</v>
      </c>
      <c r="I136" s="42" t="n">
        <f aca="false">NPV_Engine!$B$4*B136*(C136/NPV_Engine!$B$8)*(1+0.5*(D136-NPV_Engine!$B$13))*(AVERAGE(E136,F136,G136)/B136)*(H136/NPV_Engine!$B$12)</f>
        <v>9653177.90201575</v>
      </c>
    </row>
    <row r="139" customFormat="false" ht="15" hidden="false" customHeight="true" outlineLevel="0" collapsed="false">
      <c r="A139" s="41" t="s">
        <v>221</v>
      </c>
      <c r="B139" s="41"/>
      <c r="C139" s="41"/>
      <c r="D139" s="41"/>
      <c r="E139" s="41"/>
      <c r="F139" s="41"/>
      <c r="G139" s="41"/>
      <c r="H139" s="41"/>
      <c r="I139" s="41"/>
      <c r="J139" s="52" t="s">
        <v>222</v>
      </c>
    </row>
    <row r="140" customFormat="false" ht="39" hidden="false" customHeight="true" outlineLevel="0" collapsed="false">
      <c r="A140" s="22" t="s">
        <v>179</v>
      </c>
      <c r="B140" s="22" t="s">
        <v>180</v>
      </c>
      <c r="C140" s="22" t="s">
        <v>181</v>
      </c>
      <c r="D140" s="22" t="s">
        <v>182</v>
      </c>
      <c r="E140" s="22" t="s">
        <v>183</v>
      </c>
      <c r="F140" s="22" t="s">
        <v>184</v>
      </c>
      <c r="G140" s="22" t="s">
        <v>185</v>
      </c>
      <c r="H140" s="22" t="s">
        <v>186</v>
      </c>
      <c r="I140" s="22" t="s">
        <v>187</v>
      </c>
    </row>
    <row r="141" customFormat="false" ht="15" hidden="false" customHeight="true" outlineLevel="0" collapsed="false">
      <c r="A141" s="4" t="s">
        <v>188</v>
      </c>
      <c r="B141" s="31" t="n">
        <f aca="false">Curves!E8</f>
        <v>0.957768</v>
      </c>
      <c r="C141" s="31" t="n">
        <f aca="false">Curves!E9</f>
        <v>0.96933</v>
      </c>
      <c r="D141" s="24" t="n">
        <f aca="false">SABR!AT10</f>
        <v>0.39978211956629</v>
      </c>
      <c r="E141" s="31" t="n">
        <f aca="false">Curves!E10</f>
        <v>0.958726</v>
      </c>
      <c r="F141" s="31" t="n">
        <f aca="false">Curves!E11</f>
        <v>0.954899</v>
      </c>
      <c r="G141" s="31" t="n">
        <f aca="false">Curves!E12</f>
        <v>0.967393</v>
      </c>
      <c r="H141" s="31" t="n">
        <f aca="false">Curves!E13</f>
        <v>0.960645</v>
      </c>
      <c r="I141" s="42" t="n">
        <f aca="false">NPV_Engine!$B$4*B141*(C141/NPV_Engine!$B$8)*(1+0.5*(D141-NPV_Engine!$B$13))*(AVERAGE(E141,F141,G141)/B141)*(H141/NPV_Engine!$B$12)</f>
        <v>9603393.33333333</v>
      </c>
    </row>
    <row r="142" customFormat="false" ht="15" hidden="false" customHeight="true" outlineLevel="0" collapsed="false">
      <c r="A142" s="9" t="s">
        <v>117</v>
      </c>
      <c r="B142" s="31" t="n">
        <f aca="false">Curves!E8</f>
        <v>0.957768</v>
      </c>
      <c r="C142" s="31" t="n">
        <f aca="false">Curves!E9</f>
        <v>0.96933</v>
      </c>
      <c r="D142" s="43" t="n">
        <f aca="false">SABR!AT60</f>
        <v>0.406538537771067</v>
      </c>
      <c r="E142" s="23" t="n">
        <f aca="false">Curves!Q39</f>
        <v>0.958061825595622</v>
      </c>
      <c r="F142" s="23" t="n">
        <f aca="false">Curves!Q40</f>
        <v>0.949311346582243</v>
      </c>
      <c r="G142" s="23" t="n">
        <f aca="false">Curves!Q41</f>
        <v>0.962297088758501</v>
      </c>
      <c r="H142" s="31" t="n">
        <f aca="false">Curves!E13</f>
        <v>0.960645</v>
      </c>
      <c r="I142" s="42" t="n">
        <f aca="false">NPV_Engine!$B$4*B142*(C142/NPV_Engine!$B$8)*(1+0.5*(D142-NPV_Engine!$B$13))*(AVERAGE(E142,F142,G142)/B142)*(H142/NPV_Engine!$B$12)</f>
        <v>9597882.02377572</v>
      </c>
    </row>
    <row r="143" customFormat="false" ht="15" hidden="false" customHeight="true" outlineLevel="0" collapsed="false">
      <c r="A143" s="9" t="s">
        <v>118</v>
      </c>
      <c r="B143" s="31" t="n">
        <f aca="false">Curves!E8</f>
        <v>0.957768</v>
      </c>
      <c r="C143" s="31" t="n">
        <f aca="false">Curves!E9</f>
        <v>0.96933</v>
      </c>
      <c r="D143" s="43" t="n">
        <f aca="false">SABR!AT74</f>
        <v>0.408312583119033</v>
      </c>
      <c r="E143" s="23" t="n">
        <f aca="false">Curves!Q47</f>
        <v>0.954588922832977</v>
      </c>
      <c r="F143" s="23" t="n">
        <f aca="false">Curves!Q48</f>
        <v>0.952091864437955</v>
      </c>
      <c r="G143" s="23" t="n">
        <f aca="false">Curves!Q49</f>
        <v>0.964955584066973</v>
      </c>
      <c r="H143" s="31" t="n">
        <f aca="false">Curves!E13</f>
        <v>0.960645</v>
      </c>
      <c r="I143" s="42" t="n">
        <f aca="false">NPV_Engine!$B$4*B143*(C143/NPV_Engine!$B$8)*(1+0.5*(D143-NPV_Engine!$B$13))*(AVERAGE(E143,F143,G143)/B143)*(H143/NPV_Engine!$B$12)</f>
        <v>9612948.55346373</v>
      </c>
    </row>
    <row r="144" customFormat="false" ht="15" hidden="false" customHeight="true" outlineLevel="0" collapsed="false">
      <c r="A144" s="9" t="s">
        <v>119</v>
      </c>
      <c r="B144" s="31" t="n">
        <f aca="false">Curves!E8</f>
        <v>0.957768</v>
      </c>
      <c r="C144" s="31" t="n">
        <f aca="false">Curves!E9</f>
        <v>0.96933</v>
      </c>
      <c r="D144" s="43" t="n">
        <f aca="false">SABR!AT88</f>
        <v>0.407971432425642</v>
      </c>
      <c r="E144" s="23" t="n">
        <f aca="false">Curves!Q55</f>
        <v>0.954008957495664</v>
      </c>
      <c r="F144" s="23" t="n">
        <f aca="false">Curves!Q56</f>
        <v>0.953612707835657</v>
      </c>
      <c r="G144" s="23" t="n">
        <f aca="false">Curves!Q57</f>
        <v>0.961223663488055</v>
      </c>
      <c r="H144" s="31" t="n">
        <f aca="false">Curves!E13</f>
        <v>0.960645</v>
      </c>
      <c r="I144" s="42" t="n">
        <f aca="false">NPV_Engine!$B$4*B144*(C144/NPV_Engine!$B$8)*(1+0.5*(D144-NPV_Engine!$B$13))*(AVERAGE(E144,F144,G144)/B144)*(H144/NPV_Engine!$B$12)</f>
        <v>9601974.21596924</v>
      </c>
    </row>
    <row r="145" customFormat="false" ht="15" hidden="false" customHeight="true" outlineLevel="0" collapsed="false">
      <c r="A145" s="9" t="s">
        <v>120</v>
      </c>
      <c r="B145" s="31" t="n">
        <f aca="false">Curves!E8</f>
        <v>0.957768</v>
      </c>
      <c r="C145" s="31" t="n">
        <f aca="false">Curves!E9</f>
        <v>0.96933</v>
      </c>
      <c r="D145" s="43" t="n">
        <f aca="false">SABR!AT102</f>
        <v>0.413770225261134</v>
      </c>
      <c r="E145" s="23" t="n">
        <f aca="false">Curves!Q63</f>
        <v>0.95320762385314</v>
      </c>
      <c r="F145" s="23" t="n">
        <f aca="false">Curves!Q64</f>
        <v>0.946234479809646</v>
      </c>
      <c r="G145" s="23" t="n">
        <f aca="false">Curves!Q65</f>
        <v>0.960336700770215</v>
      </c>
      <c r="H145" s="31" t="n">
        <f aca="false">Curves!E13</f>
        <v>0.960645</v>
      </c>
      <c r="I145" s="42" t="n">
        <f aca="false">NPV_Engine!$B$4*B145*(C145/NPV_Engine!$B$8)*(1+0.5*(D145-NPV_Engine!$B$13))*(AVERAGE(E145,F145,G145)/B145)*(H145/NPV_Engine!$B$12)</f>
        <v>9599267.49507714</v>
      </c>
    </row>
    <row r="146" customFormat="false" ht="15" hidden="false" customHeight="true" outlineLevel="0" collapsed="false">
      <c r="A146" s="9" t="s">
        <v>121</v>
      </c>
      <c r="B146" s="31" t="n">
        <f aca="false">Curves!E8</f>
        <v>0.957768</v>
      </c>
      <c r="C146" s="31" t="n">
        <f aca="false">Curves!E9</f>
        <v>0.96933</v>
      </c>
      <c r="D146" s="43" t="n">
        <f aca="false">SABR!AT116</f>
        <v>0.41063225788842</v>
      </c>
      <c r="E146" s="23" t="n">
        <f aca="false">Curves!Q71</f>
        <v>0.9563957060858</v>
      </c>
      <c r="F146" s="23" t="n">
        <f aca="false">Curves!Q72</f>
        <v>0.945344255389449</v>
      </c>
      <c r="G146" s="23" t="n">
        <f aca="false">Curves!Q73</f>
        <v>0.960043506585016</v>
      </c>
      <c r="H146" s="31" t="n">
        <f aca="false">Curves!E13</f>
        <v>0.960645</v>
      </c>
      <c r="I146" s="42" t="n">
        <f aca="false">NPV_Engine!$B$4*B146*(C146/NPV_Engine!$B$8)*(1+0.5*(D146-NPV_Engine!$B$13))*(AVERAGE(E146,F146,G146)/B146)*(H146/NPV_Engine!$B$12)</f>
        <v>9591029.47099495</v>
      </c>
    </row>
    <row r="147" customFormat="false" ht="15" hidden="false" customHeight="true" outlineLevel="0" collapsed="false">
      <c r="A147" s="9" t="s">
        <v>122</v>
      </c>
      <c r="B147" s="31" t="n">
        <f aca="false">Curves!E8</f>
        <v>0.957768</v>
      </c>
      <c r="C147" s="31" t="n">
        <f aca="false">Curves!E9</f>
        <v>0.96933</v>
      </c>
      <c r="D147" s="43" t="n">
        <f aca="false">SABR!AT130</f>
        <v>0.411928432857369</v>
      </c>
      <c r="E147" s="23" t="n">
        <f aca="false">Curves!Q79</f>
        <v>0.952137896569466</v>
      </c>
      <c r="F147" s="23" t="n">
        <f aca="false">Curves!Q80</f>
        <v>0.944482088523894</v>
      </c>
      <c r="G147" s="23" t="n">
        <f aca="false">Curves!Q81</f>
        <v>0.958612050918359</v>
      </c>
      <c r="H147" s="31" t="n">
        <f aca="false">Curves!E13</f>
        <v>0.960645</v>
      </c>
      <c r="I147" s="42" t="n">
        <f aca="false">NPV_Engine!$B$4*B147*(C147/NPV_Engine!$B$8)*(1+0.5*(D147-NPV_Engine!$B$13))*(AVERAGE(E147,F147,G147)/B147)*(H147/NPV_Engine!$B$12)</f>
        <v>9575241.02475261</v>
      </c>
    </row>
    <row r="148" customFormat="false" ht="15" hidden="false" customHeight="true" outlineLevel="0" collapsed="false">
      <c r="A148" s="9" t="s">
        <v>123</v>
      </c>
      <c r="B148" s="31" t="n">
        <f aca="false">Curves!E8</f>
        <v>0.957768</v>
      </c>
      <c r="C148" s="31" t="n">
        <f aca="false">Curves!E9</f>
        <v>0.96933</v>
      </c>
      <c r="D148" s="43" t="n">
        <f aca="false">SABR!AT144</f>
        <v>0.417726110712245</v>
      </c>
      <c r="E148" s="23" t="n">
        <f aca="false">Curves!Q87</f>
        <v>0.951644904713199</v>
      </c>
      <c r="F148" s="23" t="n">
        <f aca="false">Curves!Q88</f>
        <v>0.950115469489328</v>
      </c>
      <c r="G148" s="23" t="n">
        <f aca="false">Curves!Q89</f>
        <v>0.957808375985025</v>
      </c>
      <c r="H148" s="31" t="n">
        <f aca="false">Curves!E13</f>
        <v>0.960645</v>
      </c>
      <c r="I148" s="42" t="n">
        <f aca="false">NPV_Engine!$B$4*B148*(C148/NPV_Engine!$B$8)*(1+0.5*(D148-NPV_Engine!$B$13))*(AVERAGE(E148,F148,G148)/B148)*(H148/NPV_Engine!$B$12)</f>
        <v>9617415.96118286</v>
      </c>
    </row>
    <row r="149" customFormat="false" ht="15" hidden="false" customHeight="true" outlineLevel="0" collapsed="false">
      <c r="A149" s="9" t="s">
        <v>124</v>
      </c>
      <c r="B149" s="31" t="n">
        <f aca="false">Curves!E8</f>
        <v>0.957768</v>
      </c>
      <c r="C149" s="31" t="n">
        <f aca="false">Curves!E9</f>
        <v>0.96933</v>
      </c>
      <c r="D149" s="43" t="n">
        <f aca="false">SABR!AT158</f>
        <v>0.415066202564148</v>
      </c>
      <c r="E149" s="23" t="n">
        <f aca="false">Curves!Q95</f>
        <v>0.950824572103433</v>
      </c>
      <c r="F149" s="23" t="n">
        <f aca="false">Curves!Q96</f>
        <v>0.942346869047631</v>
      </c>
      <c r="G149" s="23" t="n">
        <f aca="false">Curves!Q97</f>
        <v>0.957056963924134</v>
      </c>
      <c r="H149" s="31" t="n">
        <f aca="false">Curves!E13</f>
        <v>0.960645</v>
      </c>
      <c r="I149" s="42" t="n">
        <f aca="false">NPV_Engine!$B$4*B149*(C149/NPV_Engine!$B$8)*(1+0.5*(D149-NPV_Engine!$B$13))*(AVERAGE(E149,F149,G149)/B149)*(H149/NPV_Engine!$B$12)</f>
        <v>9573366.5627607</v>
      </c>
    </row>
    <row r="150" customFormat="false" ht="15" hidden="false" customHeight="true" outlineLevel="0" collapsed="false">
      <c r="A150" s="9" t="s">
        <v>125</v>
      </c>
      <c r="B150" s="31" t="n">
        <f aca="false">Curves!E8</f>
        <v>0.957768</v>
      </c>
      <c r="C150" s="31" t="n">
        <f aca="false">Curves!E9</f>
        <v>0.96933</v>
      </c>
      <c r="D150" s="43" t="n">
        <f aca="false">SABR!AT172</f>
        <v>0.417862506985643</v>
      </c>
      <c r="E150" s="23" t="n">
        <f aca="false">Curves!Q103</f>
        <v>0.950069418905633</v>
      </c>
      <c r="F150" s="23" t="n">
        <f aca="false">Curves!Q104</f>
        <v>0.941085187512815</v>
      </c>
      <c r="G150" s="23" t="n">
        <f aca="false">Curves!Q105</f>
        <v>0.956168103382636</v>
      </c>
      <c r="H150" s="31" t="n">
        <f aca="false">Curves!E13</f>
        <v>0.960645</v>
      </c>
      <c r="I150" s="42" t="n">
        <f aca="false">NPV_Engine!$B$4*B150*(C150/NPV_Engine!$B$8)*(1+0.5*(D150-NPV_Engine!$B$13))*(AVERAGE(E150,F150,G150)/B150)*(H150/NPV_Engine!$B$12)</f>
        <v>9576876.86217215</v>
      </c>
    </row>
    <row r="151" customFormat="false" ht="15" hidden="false" customHeight="true" outlineLevel="0" collapsed="false">
      <c r="A151" s="9" t="s">
        <v>126</v>
      </c>
      <c r="B151" s="31" t="n">
        <f aca="false">Curves!E8</f>
        <v>0.957768</v>
      </c>
      <c r="C151" s="31" t="n">
        <f aca="false">Curves!E9</f>
        <v>0.96933</v>
      </c>
      <c r="D151" s="43" t="n">
        <f aca="false">SABR!AT186</f>
        <v>0.421340306298811</v>
      </c>
      <c r="E151" s="23" t="n">
        <f aca="false">Curves!Q111</f>
        <v>0.957237796944819</v>
      </c>
      <c r="F151" s="23" t="n">
        <f aca="false">Curves!Q112</f>
        <v>0.94825631913984</v>
      </c>
      <c r="G151" s="23" t="n">
        <f aca="false">Curves!Q113</f>
        <v>0.966039723186702</v>
      </c>
      <c r="H151" s="31" t="n">
        <f aca="false">Curves!E13</f>
        <v>0.960645</v>
      </c>
      <c r="I151" s="42" t="n">
        <f aca="false">NPV_Engine!$B$4*B151*(C151/NPV_Engine!$B$8)*(1+0.5*(D151-NPV_Engine!$B$13))*(AVERAGE(E151,F151,G151)/B151)*(H151/NPV_Engine!$B$12)</f>
        <v>9674954.56876415</v>
      </c>
    </row>
    <row r="154" customFormat="false" ht="15" hidden="false" customHeight="true" outlineLevel="0" collapsed="false">
      <c r="A154" s="41" t="s">
        <v>223</v>
      </c>
      <c r="B154" s="41"/>
      <c r="C154" s="41"/>
      <c r="D154" s="41"/>
      <c r="E154" s="41"/>
      <c r="F154" s="41"/>
      <c r="G154" s="41"/>
      <c r="H154" s="41"/>
      <c r="I154" s="41"/>
      <c r="J154" s="52" t="s">
        <v>224</v>
      </c>
    </row>
    <row r="155" customFormat="false" ht="39" hidden="false" customHeight="true" outlineLevel="0" collapsed="false">
      <c r="A155" s="22" t="s">
        <v>179</v>
      </c>
      <c r="B155" s="22" t="s">
        <v>180</v>
      </c>
      <c r="C155" s="22" t="s">
        <v>181</v>
      </c>
      <c r="D155" s="22" t="s">
        <v>182</v>
      </c>
      <c r="E155" s="22" t="s">
        <v>183</v>
      </c>
      <c r="F155" s="22" t="s">
        <v>184</v>
      </c>
      <c r="G155" s="22" t="s">
        <v>185</v>
      </c>
      <c r="H155" s="22" t="s">
        <v>186</v>
      </c>
      <c r="I155" s="22" t="s">
        <v>187</v>
      </c>
    </row>
    <row r="156" customFormat="false" ht="15" hidden="false" customHeight="true" outlineLevel="0" collapsed="false">
      <c r="A156" s="4" t="s">
        <v>188</v>
      </c>
      <c r="B156" s="31" t="n">
        <f aca="false">Curves!E8</f>
        <v>0.957768</v>
      </c>
      <c r="C156" s="31" t="n">
        <f aca="false">Curves!E9</f>
        <v>0.96933</v>
      </c>
      <c r="D156" s="24" t="n">
        <f aca="false">SABR!AT10</f>
        <v>0.39978211956629</v>
      </c>
      <c r="E156" s="31" t="n">
        <f aca="false">Curves!E10</f>
        <v>0.958726</v>
      </c>
      <c r="F156" s="31" t="n">
        <f aca="false">Curves!E11</f>
        <v>0.954899</v>
      </c>
      <c r="G156" s="31" t="n">
        <f aca="false">Curves!E12</f>
        <v>0.967393</v>
      </c>
      <c r="H156" s="31" t="n">
        <f aca="false">Curves!E13</f>
        <v>0.960645</v>
      </c>
      <c r="I156" s="42" t="n">
        <f aca="false">NPV_Engine!$B$4*B156*(C156/NPV_Engine!$B$8)*(1+0.5*(D156-NPV_Engine!$B$13))*(AVERAGE(E156,F156,G156)/B156)*(H156/NPV_Engine!$B$12)</f>
        <v>9603393.33333333</v>
      </c>
    </row>
    <row r="157" customFormat="false" ht="15" hidden="false" customHeight="true" outlineLevel="0" collapsed="false">
      <c r="A157" s="9" t="s">
        <v>117</v>
      </c>
      <c r="B157" s="31" t="n">
        <f aca="false">Curves!E8</f>
        <v>0.957768</v>
      </c>
      <c r="C157" s="31" t="n">
        <f aca="false">Curves!E9</f>
        <v>0.96933</v>
      </c>
      <c r="D157" s="43" t="n">
        <f aca="false">SABR!AT60</f>
        <v>0.406538537771067</v>
      </c>
      <c r="E157" s="31" t="n">
        <f aca="false">Curves!E10</f>
        <v>0.958726</v>
      </c>
      <c r="F157" s="23" t="n">
        <f aca="false">Curves!Q40</f>
        <v>0.949311346582243</v>
      </c>
      <c r="G157" s="31" t="n">
        <f aca="false">Curves!E12</f>
        <v>0.967393</v>
      </c>
      <c r="H157" s="31" t="n">
        <f aca="false">Curves!E13</f>
        <v>0.960645</v>
      </c>
      <c r="I157" s="42" t="n">
        <f aca="false">NPV_Engine!$B$4*B157*(C157/NPV_Engine!$B$8)*(1+0.5*(D157-NPV_Engine!$B$13))*(AVERAGE(E157,F157,G157)/B157)*(H157/NPV_Engine!$B$12)</f>
        <v>9617147.17184117</v>
      </c>
    </row>
    <row r="158" customFormat="false" ht="15" hidden="false" customHeight="true" outlineLevel="0" collapsed="false">
      <c r="A158" s="9" t="s">
        <v>118</v>
      </c>
      <c r="B158" s="31" t="n">
        <f aca="false">Curves!E8</f>
        <v>0.957768</v>
      </c>
      <c r="C158" s="31" t="n">
        <f aca="false">Curves!E9</f>
        <v>0.96933</v>
      </c>
      <c r="D158" s="43" t="n">
        <f aca="false">SABR!AT74</f>
        <v>0.408312583119033</v>
      </c>
      <c r="E158" s="31" t="n">
        <f aca="false">Curves!E10</f>
        <v>0.958726</v>
      </c>
      <c r="F158" s="23" t="n">
        <f aca="false">Curves!Q48</f>
        <v>0.952091864437955</v>
      </c>
      <c r="G158" s="31" t="n">
        <f aca="false">Curves!E12</f>
        <v>0.967393</v>
      </c>
      <c r="H158" s="31" t="n">
        <f aca="false">Curves!E13</f>
        <v>0.960645</v>
      </c>
      <c r="I158" s="42" t="n">
        <f aca="false">NPV_Engine!$B$4*B158*(C158/NPV_Engine!$B$8)*(1+0.5*(D158-NPV_Engine!$B$13))*(AVERAGE(E158,F158,G158)/B158)*(H158/NPV_Engine!$B$12)</f>
        <v>9634957.00292018</v>
      </c>
    </row>
    <row r="159" customFormat="false" ht="15" hidden="false" customHeight="true" outlineLevel="0" collapsed="false">
      <c r="A159" s="9" t="s">
        <v>119</v>
      </c>
      <c r="B159" s="31" t="n">
        <f aca="false">Curves!E8</f>
        <v>0.957768</v>
      </c>
      <c r="C159" s="31" t="n">
        <f aca="false">Curves!E9</f>
        <v>0.96933</v>
      </c>
      <c r="D159" s="43" t="n">
        <f aca="false">SABR!AT88</f>
        <v>0.407971432425642</v>
      </c>
      <c r="E159" s="31" t="n">
        <f aca="false">Curves!E10</f>
        <v>0.958726</v>
      </c>
      <c r="F159" s="23" t="n">
        <f aca="false">Curves!Q56</f>
        <v>0.953612707835657</v>
      </c>
      <c r="G159" s="31" t="n">
        <f aca="false">Curves!E12</f>
        <v>0.967393</v>
      </c>
      <c r="H159" s="31" t="n">
        <f aca="false">Curves!E13</f>
        <v>0.960645</v>
      </c>
      <c r="I159" s="42" t="n">
        <f aca="false">NPV_Engine!$B$4*B159*(C159/NPV_Engine!$B$8)*(1+0.5*(D159-NPV_Engine!$B$13))*(AVERAGE(E159,F159,G159)/B159)*(H159/NPV_Engine!$B$12)</f>
        <v>9638410.73262963</v>
      </c>
    </row>
    <row r="160" customFormat="false" ht="15" hidden="false" customHeight="true" outlineLevel="0" collapsed="false">
      <c r="A160" s="9" t="s">
        <v>120</v>
      </c>
      <c r="B160" s="31" t="n">
        <f aca="false">Curves!E8</f>
        <v>0.957768</v>
      </c>
      <c r="C160" s="31" t="n">
        <f aca="false">Curves!E9</f>
        <v>0.96933</v>
      </c>
      <c r="D160" s="43" t="n">
        <f aca="false">SABR!AT102</f>
        <v>0.413770225261134</v>
      </c>
      <c r="E160" s="31" t="n">
        <f aca="false">Curves!E10</f>
        <v>0.958726</v>
      </c>
      <c r="F160" s="23" t="n">
        <f aca="false">Curves!Q64</f>
        <v>0.946234479809646</v>
      </c>
      <c r="G160" s="31" t="n">
        <f aca="false">Curves!E12</f>
        <v>0.967393</v>
      </c>
      <c r="H160" s="31" t="n">
        <f aca="false">Curves!E13</f>
        <v>0.960645</v>
      </c>
      <c r="I160" s="42" t="n">
        <f aca="false">NPV_Engine!$B$4*B160*(C160/NPV_Engine!$B$8)*(1+0.5*(D160-NPV_Engine!$B$13))*(AVERAGE(E160,F160,G160)/B160)*(H160/NPV_Engine!$B$12)</f>
        <v>9641476.2394797</v>
      </c>
    </row>
    <row r="161" customFormat="false" ht="15" hidden="false" customHeight="true" outlineLevel="0" collapsed="false">
      <c r="A161" s="9" t="s">
        <v>121</v>
      </c>
      <c r="B161" s="31" t="n">
        <f aca="false">Curves!E8</f>
        <v>0.957768</v>
      </c>
      <c r="C161" s="31" t="n">
        <f aca="false">Curves!E9</f>
        <v>0.96933</v>
      </c>
      <c r="D161" s="43" t="n">
        <f aca="false">SABR!AT116</f>
        <v>0.41063225788842</v>
      </c>
      <c r="E161" s="31" t="n">
        <f aca="false">Curves!E10</f>
        <v>0.958726</v>
      </c>
      <c r="F161" s="23" t="n">
        <f aca="false">Curves!Q72</f>
        <v>0.945344255389449</v>
      </c>
      <c r="G161" s="31" t="n">
        <f aca="false">Curves!E12</f>
        <v>0.967393</v>
      </c>
      <c r="H161" s="31" t="n">
        <f aca="false">Curves!E13</f>
        <v>0.960645</v>
      </c>
      <c r="I161" s="42" t="n">
        <f aca="false">NPV_Engine!$B$4*B161*(C161/NPV_Engine!$B$8)*(1+0.5*(D161-NPV_Engine!$B$13))*(AVERAGE(E161,F161,G161)/B161)*(H161/NPV_Engine!$B$12)</f>
        <v>9623470.47381131</v>
      </c>
    </row>
    <row r="162" customFormat="false" ht="15" hidden="false" customHeight="true" outlineLevel="0" collapsed="false">
      <c r="A162" s="9" t="s">
        <v>122</v>
      </c>
      <c r="B162" s="31" t="n">
        <f aca="false">Curves!E8</f>
        <v>0.957768</v>
      </c>
      <c r="C162" s="31" t="n">
        <f aca="false">Curves!E9</f>
        <v>0.96933</v>
      </c>
      <c r="D162" s="43" t="n">
        <f aca="false">SABR!AT130</f>
        <v>0.411928432857369</v>
      </c>
      <c r="E162" s="31" t="n">
        <f aca="false">Curves!E10</f>
        <v>0.958726</v>
      </c>
      <c r="F162" s="23" t="n">
        <f aca="false">Curves!Q80</f>
        <v>0.944482088523894</v>
      </c>
      <c r="G162" s="31" t="n">
        <f aca="false">Curves!E12</f>
        <v>0.967393</v>
      </c>
      <c r="H162" s="31" t="n">
        <f aca="false">Curves!E13</f>
        <v>0.960645</v>
      </c>
      <c r="I162" s="42" t="n">
        <f aca="false">NPV_Engine!$B$4*B162*(C162/NPV_Engine!$B$8)*(1+0.5*(D162-NPV_Engine!$B$13))*(AVERAGE(E162,F162,G162)/B162)*(H162/NPV_Engine!$B$12)</f>
        <v>9626782.32867119</v>
      </c>
    </row>
    <row r="163" customFormat="false" ht="15" hidden="false" customHeight="true" outlineLevel="0" collapsed="false">
      <c r="A163" s="9" t="s">
        <v>123</v>
      </c>
      <c r="B163" s="31" t="n">
        <f aca="false">Curves!E8</f>
        <v>0.957768</v>
      </c>
      <c r="C163" s="31" t="n">
        <f aca="false">Curves!E9</f>
        <v>0.96933</v>
      </c>
      <c r="D163" s="43" t="n">
        <f aca="false">SABR!AT144</f>
        <v>0.417726110712245</v>
      </c>
      <c r="E163" s="31" t="n">
        <f aca="false">Curves!E10</f>
        <v>0.958726</v>
      </c>
      <c r="F163" s="23" t="n">
        <f aca="false">Curves!Q88</f>
        <v>0.950115469489328</v>
      </c>
      <c r="G163" s="31" t="n">
        <f aca="false">Curves!E12</f>
        <v>0.967393</v>
      </c>
      <c r="H163" s="31" t="n">
        <f aca="false">Curves!E13</f>
        <v>0.960645</v>
      </c>
      <c r="I163" s="42" t="n">
        <f aca="false">NPV_Engine!$B$4*B163*(C163/NPV_Engine!$B$8)*(1+0.5*(D163-NPV_Engine!$B$13))*(AVERAGE(E163,F163,G163)/B163)*(H163/NPV_Engine!$B$12)</f>
        <v>9673466.77472143</v>
      </c>
    </row>
    <row r="164" customFormat="false" ht="15" hidden="false" customHeight="true" outlineLevel="0" collapsed="false">
      <c r="A164" s="9" t="s">
        <v>124</v>
      </c>
      <c r="B164" s="31" t="n">
        <f aca="false">Curves!E8</f>
        <v>0.957768</v>
      </c>
      <c r="C164" s="31" t="n">
        <f aca="false">Curves!E9</f>
        <v>0.96933</v>
      </c>
      <c r="D164" s="43" t="n">
        <f aca="false">SABR!AT158</f>
        <v>0.415066202564148</v>
      </c>
      <c r="E164" s="31" t="n">
        <f aca="false">Curves!E10</f>
        <v>0.958726</v>
      </c>
      <c r="F164" s="23" t="n">
        <f aca="false">Curves!Q96</f>
        <v>0.942346869047631</v>
      </c>
      <c r="G164" s="31" t="n">
        <f aca="false">Curves!E12</f>
        <v>0.967393</v>
      </c>
      <c r="H164" s="31" t="n">
        <f aca="false">Curves!E13</f>
        <v>0.960645</v>
      </c>
      <c r="I164" s="42" t="n">
        <f aca="false">NPV_Engine!$B$4*B164*(C164/NPV_Engine!$B$8)*(1+0.5*(D164-NPV_Engine!$B$13))*(AVERAGE(E164,F164,G164)/B164)*(H164/NPV_Engine!$B$12)</f>
        <v>9634622.68085718</v>
      </c>
    </row>
    <row r="165" customFormat="false" ht="15" hidden="false" customHeight="true" outlineLevel="0" collapsed="false">
      <c r="A165" s="9" t="s">
        <v>125</v>
      </c>
      <c r="B165" s="31" t="n">
        <f aca="false">Curves!E8</f>
        <v>0.957768</v>
      </c>
      <c r="C165" s="31" t="n">
        <f aca="false">Curves!E9</f>
        <v>0.96933</v>
      </c>
      <c r="D165" s="43" t="n">
        <f aca="false">SABR!AT172</f>
        <v>0.417862506985643</v>
      </c>
      <c r="E165" s="31" t="n">
        <f aca="false">Curves!E10</f>
        <v>0.958726</v>
      </c>
      <c r="F165" s="23" t="n">
        <f aca="false">Curves!Q104</f>
        <v>0.941085187512815</v>
      </c>
      <c r="G165" s="31" t="n">
        <f aca="false">Curves!E12</f>
        <v>0.967393</v>
      </c>
      <c r="H165" s="31" t="n">
        <f aca="false">Curves!E13</f>
        <v>0.960645</v>
      </c>
      <c r="I165" s="42" t="n">
        <f aca="false">NPV_Engine!$B$4*B165*(C165/NPV_Engine!$B$8)*(1+0.5*(D165-NPV_Engine!$B$13))*(AVERAGE(E165,F165,G165)/B165)*(H165/NPV_Engine!$B$12)</f>
        <v>9643747.56257709</v>
      </c>
    </row>
    <row r="166" customFormat="false" ht="15" hidden="false" customHeight="true" outlineLevel="0" collapsed="false">
      <c r="A166" s="9" t="s">
        <v>126</v>
      </c>
      <c r="B166" s="31" t="n">
        <f aca="false">Curves!E8</f>
        <v>0.957768</v>
      </c>
      <c r="C166" s="31" t="n">
        <f aca="false">Curves!E9</f>
        <v>0.96933</v>
      </c>
      <c r="D166" s="43" t="n">
        <f aca="false">SABR!AT186</f>
        <v>0.421340306298811</v>
      </c>
      <c r="E166" s="31" t="n">
        <f aca="false">Curves!E10</f>
        <v>0.958726</v>
      </c>
      <c r="F166" s="23" t="n">
        <f aca="false">Curves!Q112</f>
        <v>0.94825631913984</v>
      </c>
      <c r="G166" s="31" t="n">
        <f aca="false">Curves!E12</f>
        <v>0.967393</v>
      </c>
      <c r="H166" s="31" t="n">
        <f aca="false">Curves!E13</f>
        <v>0.960645</v>
      </c>
      <c r="I166" s="42" t="n">
        <f aca="false">NPV_Engine!$B$4*B166*(C166/NPV_Engine!$B$8)*(1+0.5*(D166-NPV_Engine!$B$13))*(AVERAGE(E166,F166,G166)/B166)*(H166/NPV_Engine!$B$12)</f>
        <v>9684528.26358174</v>
      </c>
    </row>
    <row r="169" customFormat="false" ht="15" hidden="false" customHeight="true" outlineLevel="0" collapsed="false">
      <c r="A169" s="41" t="s">
        <v>225</v>
      </c>
      <c r="B169" s="41"/>
      <c r="C169" s="41"/>
      <c r="D169" s="41"/>
      <c r="E169" s="41"/>
      <c r="F169" s="41"/>
      <c r="G169" s="41"/>
      <c r="H169" s="41"/>
      <c r="I169" s="41"/>
      <c r="J169" s="52" t="s">
        <v>214</v>
      </c>
    </row>
    <row r="170" customFormat="false" ht="39" hidden="false" customHeight="true" outlineLevel="0" collapsed="false">
      <c r="A170" s="22" t="s">
        <v>179</v>
      </c>
      <c r="B170" s="22" t="s">
        <v>180</v>
      </c>
      <c r="C170" s="22" t="s">
        <v>181</v>
      </c>
      <c r="D170" s="22" t="s">
        <v>182</v>
      </c>
      <c r="E170" s="22" t="s">
        <v>183</v>
      </c>
      <c r="F170" s="22" t="s">
        <v>184</v>
      </c>
      <c r="G170" s="22" t="s">
        <v>185</v>
      </c>
      <c r="H170" s="22" t="s">
        <v>186</v>
      </c>
      <c r="I170" s="22" t="s">
        <v>187</v>
      </c>
    </row>
    <row r="171" customFormat="false" ht="15" hidden="false" customHeight="true" outlineLevel="0" collapsed="false">
      <c r="A171" s="4" t="s">
        <v>188</v>
      </c>
      <c r="B171" s="31" t="n">
        <f aca="false">Curves!E8</f>
        <v>0.957768</v>
      </c>
      <c r="C171" s="31" t="n">
        <f aca="false">Curves!E9</f>
        <v>0.96933</v>
      </c>
      <c r="D171" s="24" t="n">
        <f aca="false">SABR!AT10</f>
        <v>0.39978211956629</v>
      </c>
      <c r="E171" s="31" t="n">
        <f aca="false">Curves!E10</f>
        <v>0.958726</v>
      </c>
      <c r="F171" s="31" t="n">
        <f aca="false">Curves!E11</f>
        <v>0.954899</v>
      </c>
      <c r="G171" s="31" t="n">
        <f aca="false">Curves!E12</f>
        <v>0.967393</v>
      </c>
      <c r="H171" s="31" t="n">
        <f aca="false">Curves!E13</f>
        <v>0.960645</v>
      </c>
      <c r="I171" s="42" t="n">
        <f aca="false">NPV_Engine!$B$4*B171*(C171/NPV_Engine!$B$8)*(1+0.5*(D171-NPV_Engine!$B$13))*(AVERAGE(E171,F171,G171)/B171)*(H171/NPV_Engine!$B$12)</f>
        <v>9603393.33333333</v>
      </c>
    </row>
    <row r="172" customFormat="false" ht="15" hidden="false" customHeight="true" outlineLevel="0" collapsed="false">
      <c r="A172" s="9" t="s">
        <v>117</v>
      </c>
      <c r="B172" s="31" t="n">
        <f aca="false">Curves!E8</f>
        <v>0.957768</v>
      </c>
      <c r="C172" s="31" t="n">
        <f aca="false">Curves!E9</f>
        <v>0.96933</v>
      </c>
      <c r="D172" s="43" t="n">
        <f aca="false">SABR!AT60</f>
        <v>0.406538537771067</v>
      </c>
      <c r="E172" s="31" t="n">
        <f aca="false">Curves!E10</f>
        <v>0.958726</v>
      </c>
      <c r="F172" s="31" t="n">
        <f aca="false">Curves!E11</f>
        <v>0.954899</v>
      </c>
      <c r="G172" s="31" t="n">
        <f aca="false">Curves!E12</f>
        <v>0.967393</v>
      </c>
      <c r="H172" s="31" t="n">
        <f aca="false">Curves!E13</f>
        <v>0.960645</v>
      </c>
      <c r="I172" s="42" t="n">
        <f aca="false">NPV_Engine!$B$4*B172*(C172/NPV_Engine!$B$8)*(1+0.5*(D172-NPV_Engine!$B$13))*(AVERAGE(E172,F172,G172)/B172)*(H172/NPV_Engine!$B$12)</f>
        <v>9635835.60410582</v>
      </c>
    </row>
    <row r="173" customFormat="false" ht="15" hidden="false" customHeight="true" outlineLevel="0" collapsed="false">
      <c r="A173" s="9" t="s">
        <v>118</v>
      </c>
      <c r="B173" s="31" t="n">
        <f aca="false">Curves!E8</f>
        <v>0.957768</v>
      </c>
      <c r="C173" s="31" t="n">
        <f aca="false">Curves!E9</f>
        <v>0.96933</v>
      </c>
      <c r="D173" s="43" t="n">
        <f aca="false">SABR!AT74</f>
        <v>0.408312583119033</v>
      </c>
      <c r="E173" s="31" t="n">
        <f aca="false">Curves!E10</f>
        <v>0.958726</v>
      </c>
      <c r="F173" s="31" t="n">
        <f aca="false">Curves!E11</f>
        <v>0.954899</v>
      </c>
      <c r="G173" s="31" t="n">
        <f aca="false">Curves!E12</f>
        <v>0.967393</v>
      </c>
      <c r="H173" s="31" t="n">
        <f aca="false">Curves!E13</f>
        <v>0.960645</v>
      </c>
      <c r="I173" s="42" t="n">
        <f aca="false">NPV_Engine!$B$4*B173*(C173/NPV_Engine!$B$8)*(1+0.5*(D173-NPV_Engine!$B$13))*(AVERAGE(E173,F173,G173)/B173)*(H173/NPV_Engine!$B$12)</f>
        <v>9644354.03173966</v>
      </c>
    </row>
    <row r="174" customFormat="false" ht="15" hidden="false" customHeight="true" outlineLevel="0" collapsed="false">
      <c r="A174" s="9" t="s">
        <v>119</v>
      </c>
      <c r="B174" s="31" t="n">
        <f aca="false">Curves!E8</f>
        <v>0.957768</v>
      </c>
      <c r="C174" s="31" t="n">
        <f aca="false">Curves!E9</f>
        <v>0.96933</v>
      </c>
      <c r="D174" s="43" t="n">
        <f aca="false">SABR!AT88</f>
        <v>0.407971432425642</v>
      </c>
      <c r="E174" s="31" t="n">
        <f aca="false">Curves!E10</f>
        <v>0.958726</v>
      </c>
      <c r="F174" s="31" t="n">
        <f aca="false">Curves!E11</f>
        <v>0.954899</v>
      </c>
      <c r="G174" s="31" t="n">
        <f aca="false">Curves!E12</f>
        <v>0.967393</v>
      </c>
      <c r="H174" s="31" t="n">
        <f aca="false">Curves!E13</f>
        <v>0.960645</v>
      </c>
      <c r="I174" s="42" t="n">
        <f aca="false">NPV_Engine!$B$4*B174*(C174/NPV_Engine!$B$8)*(1+0.5*(D174-NPV_Engine!$B$13))*(AVERAGE(E174,F174,G174)/B174)*(H174/NPV_Engine!$B$12)</f>
        <v>9642715.92959238</v>
      </c>
    </row>
    <row r="175" customFormat="false" ht="15" hidden="false" customHeight="true" outlineLevel="0" collapsed="false">
      <c r="A175" s="9" t="s">
        <v>120</v>
      </c>
      <c r="B175" s="31" t="n">
        <f aca="false">Curves!E8</f>
        <v>0.957768</v>
      </c>
      <c r="C175" s="31" t="n">
        <f aca="false">Curves!E9</f>
        <v>0.96933</v>
      </c>
      <c r="D175" s="43" t="n">
        <f aca="false">SABR!AT102</f>
        <v>0.413770225261134</v>
      </c>
      <c r="E175" s="31" t="n">
        <f aca="false">Curves!E10</f>
        <v>0.958726</v>
      </c>
      <c r="F175" s="31" t="n">
        <f aca="false">Curves!E11</f>
        <v>0.954899</v>
      </c>
      <c r="G175" s="31" t="n">
        <f aca="false">Curves!E12</f>
        <v>0.967393</v>
      </c>
      <c r="H175" s="31" t="n">
        <f aca="false">Curves!E13</f>
        <v>0.960645</v>
      </c>
      <c r="I175" s="42" t="n">
        <f aca="false">NPV_Engine!$B$4*B175*(C175/NPV_Engine!$B$8)*(1+0.5*(D175-NPV_Engine!$B$13))*(AVERAGE(E175,F175,G175)/B175)*(H175/NPV_Engine!$B$12)</f>
        <v>9670559.97382125</v>
      </c>
    </row>
    <row r="176" customFormat="false" ht="15" hidden="false" customHeight="true" outlineLevel="0" collapsed="false">
      <c r="A176" s="9" t="s">
        <v>121</v>
      </c>
      <c r="B176" s="31" t="n">
        <f aca="false">Curves!E8</f>
        <v>0.957768</v>
      </c>
      <c r="C176" s="31" t="n">
        <f aca="false">Curves!E9</f>
        <v>0.96933</v>
      </c>
      <c r="D176" s="43" t="n">
        <f aca="false">SABR!AT116</f>
        <v>0.41063225788842</v>
      </c>
      <c r="E176" s="31" t="n">
        <f aca="false">Curves!E10</f>
        <v>0.958726</v>
      </c>
      <c r="F176" s="31" t="n">
        <f aca="false">Curves!E11</f>
        <v>0.954899</v>
      </c>
      <c r="G176" s="31" t="n">
        <f aca="false">Curves!E12</f>
        <v>0.967393</v>
      </c>
      <c r="H176" s="31" t="n">
        <f aca="false">Curves!E13</f>
        <v>0.960645</v>
      </c>
      <c r="I176" s="42" t="n">
        <f aca="false">NPV_Engine!$B$4*B176*(C176/NPV_Engine!$B$8)*(1+0.5*(D176-NPV_Engine!$B$13))*(AVERAGE(E176,F176,G176)/B176)*(H176/NPV_Engine!$B$12)</f>
        <v>9655492.40634758</v>
      </c>
    </row>
    <row r="177" customFormat="false" ht="15" hidden="false" customHeight="true" outlineLevel="0" collapsed="false">
      <c r="A177" s="9" t="s">
        <v>122</v>
      </c>
      <c r="B177" s="31" t="n">
        <f aca="false">Curves!E8</f>
        <v>0.957768</v>
      </c>
      <c r="C177" s="31" t="n">
        <f aca="false">Curves!E9</f>
        <v>0.96933</v>
      </c>
      <c r="D177" s="43" t="n">
        <f aca="false">SABR!AT130</f>
        <v>0.411928432857369</v>
      </c>
      <c r="E177" s="31" t="n">
        <f aca="false">Curves!E10</f>
        <v>0.958726</v>
      </c>
      <c r="F177" s="31" t="n">
        <f aca="false">Curves!E11</f>
        <v>0.954899</v>
      </c>
      <c r="G177" s="31" t="n">
        <f aca="false">Curves!E12</f>
        <v>0.967393</v>
      </c>
      <c r="H177" s="31" t="n">
        <f aca="false">Curves!E13</f>
        <v>0.960645</v>
      </c>
      <c r="I177" s="42" t="n">
        <f aca="false">NPV_Engine!$B$4*B177*(C177/NPV_Engine!$B$8)*(1+0.5*(D177-NPV_Engine!$B$13))*(AVERAGE(E177,F177,G177)/B177)*(H177/NPV_Engine!$B$12)</f>
        <v>9661716.2453754</v>
      </c>
    </row>
    <row r="178" customFormat="false" ht="15" hidden="false" customHeight="true" outlineLevel="0" collapsed="false">
      <c r="A178" s="9" t="s">
        <v>123</v>
      </c>
      <c r="B178" s="31" t="n">
        <f aca="false">Curves!E8</f>
        <v>0.957768</v>
      </c>
      <c r="C178" s="31" t="n">
        <f aca="false">Curves!E9</f>
        <v>0.96933</v>
      </c>
      <c r="D178" s="43" t="n">
        <f aca="false">SABR!AT144</f>
        <v>0.417726110712245</v>
      </c>
      <c r="E178" s="31" t="n">
        <f aca="false">Curves!E10</f>
        <v>0.958726</v>
      </c>
      <c r="F178" s="31" t="n">
        <f aca="false">Curves!E11</f>
        <v>0.954899</v>
      </c>
      <c r="G178" s="31" t="n">
        <f aca="false">Curves!E12</f>
        <v>0.967393</v>
      </c>
      <c r="H178" s="31" t="n">
        <f aca="false">Curves!E13</f>
        <v>0.960645</v>
      </c>
      <c r="I178" s="42" t="n">
        <f aca="false">NPV_Engine!$B$4*B178*(C178/NPV_Engine!$B$8)*(1+0.5*(D178-NPV_Engine!$B$13))*(AVERAGE(E178,F178,G178)/B178)*(H178/NPV_Engine!$B$12)</f>
        <v>9689554.93580556</v>
      </c>
    </row>
    <row r="179" customFormat="false" ht="15" hidden="false" customHeight="true" outlineLevel="0" collapsed="false">
      <c r="A179" s="9" t="s">
        <v>124</v>
      </c>
      <c r="B179" s="31" t="n">
        <f aca="false">Curves!E8</f>
        <v>0.957768</v>
      </c>
      <c r="C179" s="31" t="n">
        <f aca="false">Curves!E9</f>
        <v>0.96933</v>
      </c>
      <c r="D179" s="43" t="n">
        <f aca="false">SABR!AT158</f>
        <v>0.415066202564148</v>
      </c>
      <c r="E179" s="31" t="n">
        <f aca="false">Curves!E10</f>
        <v>0.958726</v>
      </c>
      <c r="F179" s="31" t="n">
        <f aca="false">Curves!E11</f>
        <v>0.954899</v>
      </c>
      <c r="G179" s="31" t="n">
        <f aca="false">Curves!E12</f>
        <v>0.967393</v>
      </c>
      <c r="H179" s="31" t="n">
        <f aca="false">Curves!E13</f>
        <v>0.960645</v>
      </c>
      <c r="I179" s="42" t="n">
        <f aca="false">NPV_Engine!$B$4*B179*(C179/NPV_Engine!$B$8)*(1+0.5*(D179-NPV_Engine!$B$13))*(AVERAGE(E179,F179,G179)/B179)*(H179/NPV_Engine!$B$12)</f>
        <v>9676782.86371721</v>
      </c>
    </row>
    <row r="180" customFormat="false" ht="15" hidden="false" customHeight="true" outlineLevel="0" collapsed="false">
      <c r="A180" s="9" t="s">
        <v>125</v>
      </c>
      <c r="B180" s="31" t="n">
        <f aca="false">Curves!E8</f>
        <v>0.957768</v>
      </c>
      <c r="C180" s="31" t="n">
        <f aca="false">Curves!E9</f>
        <v>0.96933</v>
      </c>
      <c r="D180" s="43" t="n">
        <f aca="false">SABR!AT172</f>
        <v>0.417862506985643</v>
      </c>
      <c r="E180" s="31" t="n">
        <f aca="false">Curves!E10</f>
        <v>0.958726</v>
      </c>
      <c r="F180" s="31" t="n">
        <f aca="false">Curves!E11</f>
        <v>0.954899</v>
      </c>
      <c r="G180" s="31" t="n">
        <f aca="false">Curves!E12</f>
        <v>0.967393</v>
      </c>
      <c r="H180" s="31" t="n">
        <f aca="false">Curves!E13</f>
        <v>0.960645</v>
      </c>
      <c r="I180" s="42" t="n">
        <f aca="false">NPV_Engine!$B$4*B180*(C180/NPV_Engine!$B$8)*(1+0.5*(D180-NPV_Engine!$B$13))*(AVERAGE(E180,F180,G180)/B180)*(H180/NPV_Engine!$B$12)</f>
        <v>9690209.86933688</v>
      </c>
    </row>
    <row r="181" customFormat="false" ht="15" hidden="false" customHeight="true" outlineLevel="0" collapsed="false">
      <c r="A181" s="9" t="s">
        <v>126</v>
      </c>
      <c r="B181" s="31" t="n">
        <f aca="false">Curves!E8</f>
        <v>0.957768</v>
      </c>
      <c r="C181" s="31" t="n">
        <f aca="false">Curves!E9</f>
        <v>0.96933</v>
      </c>
      <c r="D181" s="43" t="n">
        <f aca="false">SABR!AT186</f>
        <v>0.421340306298811</v>
      </c>
      <c r="E181" s="31" t="n">
        <f aca="false">Curves!E10</f>
        <v>0.958726</v>
      </c>
      <c r="F181" s="31" t="n">
        <f aca="false">Curves!E11</f>
        <v>0.954899</v>
      </c>
      <c r="G181" s="31" t="n">
        <f aca="false">Curves!E12</f>
        <v>0.967393</v>
      </c>
      <c r="H181" s="31" t="n">
        <f aca="false">Curves!E13</f>
        <v>0.960645</v>
      </c>
      <c r="I181" s="42" t="n">
        <f aca="false">NPV_Engine!$B$4*B181*(C181/NPV_Engine!$B$8)*(1+0.5*(D181-NPV_Engine!$B$13))*(AVERAGE(E181,F181,G181)/B181)*(H181/NPV_Engine!$B$12)</f>
        <v>9706909.20670626</v>
      </c>
    </row>
  </sheetData>
  <mergeCells count="14">
    <mergeCell ref="A1:I1"/>
    <mergeCell ref="A2:I2"/>
    <mergeCell ref="A4:I4"/>
    <mergeCell ref="A19:I19"/>
    <mergeCell ref="A34:I34"/>
    <mergeCell ref="A49:I49"/>
    <mergeCell ref="A64:I64"/>
    <mergeCell ref="A79:I79"/>
    <mergeCell ref="A94:I94"/>
    <mergeCell ref="A109:I109"/>
    <mergeCell ref="A124:I124"/>
    <mergeCell ref="A139:I139"/>
    <mergeCell ref="A154:I154"/>
    <mergeCell ref="A169:I1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5"/>
  </cols>
  <sheetData>
    <row r="1" customFormat="false" ht="17.25" hidden="false" customHeight="true" outlineLevel="0" collapsed="false">
      <c r="A1" s="32" t="s">
        <v>226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customFormat="false" ht="39.75" hidden="false" customHeight="true" outlineLevel="0" collapsed="false">
      <c r="A2" s="15" t="s">
        <v>227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26.25" hidden="false" customHeight="true" outlineLevel="0" collapsed="false">
      <c r="A4" s="18" t="s">
        <v>146</v>
      </c>
      <c r="B4" s="22" t="s">
        <v>228</v>
      </c>
      <c r="C4" s="22" t="s">
        <v>229</v>
      </c>
      <c r="D4" s="22" t="s">
        <v>230</v>
      </c>
      <c r="E4" s="22" t="s">
        <v>231</v>
      </c>
      <c r="F4" s="22" t="s">
        <v>232</v>
      </c>
      <c r="G4" s="22" t="s">
        <v>233</v>
      </c>
      <c r="H4" s="22" t="s">
        <v>234</v>
      </c>
      <c r="I4" s="22" t="s">
        <v>235</v>
      </c>
      <c r="J4" s="22" t="s">
        <v>236</v>
      </c>
      <c r="K4" s="22" t="s">
        <v>237</v>
      </c>
      <c r="L4" s="22" t="s">
        <v>238</v>
      </c>
      <c r="M4" s="22" t="s">
        <v>239</v>
      </c>
    </row>
    <row r="5" customFormat="false" ht="15" hidden="false" customHeight="true" outlineLevel="0" collapsed="false">
      <c r="A5" s="9" t="s">
        <v>117</v>
      </c>
      <c r="B5" s="47" t="n">
        <f aca="false">LH_NPV_Engine!I7-LH_NPV_Engine!I6</f>
        <v>-37825.7968787812</v>
      </c>
      <c r="C5" s="47" t="n">
        <f aca="false">LH_NPV_Engine!I22-LH_NPV_Engine!I21</f>
        <v>-37825.7968787812</v>
      </c>
      <c r="D5" s="47" t="n">
        <f aca="false">LH_NPV_Engine!I37-LH_NPV_Engine!I36</f>
        <v>-18625.5113925245</v>
      </c>
      <c r="E5" s="47" t="n">
        <f aca="false">LH_NPV_Engine!I52-LH_NPV_Engine!I51</f>
        <v>21890.9453293066</v>
      </c>
      <c r="F5" s="47" t="n">
        <f aca="false">LH_NPV_Engine!I67-LH_NPV_Engine!I66</f>
        <v>32442.2707724832</v>
      </c>
      <c r="G5" s="47" t="n">
        <f aca="false">LH_NPV_Engine!I82-LH_NPV_Engine!I81</f>
        <v>32442.2707724832</v>
      </c>
      <c r="H5" s="47" t="n">
        <f aca="false">LH_NPV_Engine!I97-LH_NPV_Engine!I96</f>
        <v>32442.2707724832</v>
      </c>
      <c r="I5" s="47" t="n">
        <f aca="false">LH_NPV_Engine!I112-LH_NPV_Engine!I111</f>
        <v>-20938.4394061528</v>
      </c>
      <c r="J5" s="47" t="n">
        <f aca="false">LH_NPV_Engine!I127-LH_NPV_Engine!I126</f>
        <v>-36924.5838805307</v>
      </c>
      <c r="K5" s="47" t="n">
        <f aca="false">LH_NPV_Engine!I142-LH_NPV_Engine!I141</f>
        <v>-5511.30955761857</v>
      </c>
      <c r="L5" s="47" t="n">
        <f aca="false">LH_NPV_Engine!I157-LH_NPV_Engine!I156</f>
        <v>13753.8385078348</v>
      </c>
      <c r="M5" s="47" t="n">
        <f aca="false">LH_NPV_Engine!I172-LH_NPV_Engine!I171</f>
        <v>32442.2707724832</v>
      </c>
    </row>
    <row r="6" customFormat="false" ht="15" hidden="false" customHeight="true" outlineLevel="0" collapsed="false">
      <c r="A6" s="9" t="s">
        <v>118</v>
      </c>
      <c r="B6" s="47" t="n">
        <f aca="false">LH_NPV_Engine!I8-LH_NPV_Engine!I6</f>
        <v>-31272.0955403186</v>
      </c>
      <c r="C6" s="47" t="n">
        <f aca="false">LH_NPV_Engine!I23-LH_NPV_Engine!I21</f>
        <v>-31272.0955403186</v>
      </c>
      <c r="D6" s="47" t="n">
        <f aca="false">LH_NPV_Engine!I38-LH_NPV_Engine!I36</f>
        <v>-9357.11854015105</v>
      </c>
      <c r="E6" s="47" t="n">
        <f aca="false">LH_NPV_Engine!I53-LH_NPV_Engine!I51</f>
        <v>37069.4184338767</v>
      </c>
      <c r="F6" s="47" t="n">
        <f aca="false">LH_NPV_Engine!I68-LH_NPV_Engine!I66</f>
        <v>40960.6984063257</v>
      </c>
      <c r="G6" s="47" t="n">
        <f aca="false">LH_NPV_Engine!I83-LH_NPV_Engine!I81</f>
        <v>40960.6984063257</v>
      </c>
      <c r="H6" s="47" t="n">
        <f aca="false">LH_NPV_Engine!I98-LH_NPV_Engine!I96</f>
        <v>40960.6984063257</v>
      </c>
      <c r="I6" s="47" t="n">
        <f aca="false">LH_NPV_Engine!I113-LH_NPV_Engine!I111</f>
        <v>-28079.8877904695</v>
      </c>
      <c r="J6" s="47" t="n">
        <f aca="false">LH_NPV_Engine!I128-LH_NPV_Engine!I126</f>
        <v>-22419.874383755</v>
      </c>
      <c r="K6" s="47" t="n">
        <f aca="false">LH_NPV_Engine!I143-LH_NPV_Engine!I141</f>
        <v>9555.22013039514</v>
      </c>
      <c r="L6" s="47" t="n">
        <f aca="false">LH_NPV_Engine!I158-LH_NPV_Engine!I156</f>
        <v>31563.6695868429</v>
      </c>
      <c r="M6" s="47" t="n">
        <f aca="false">LH_NPV_Engine!I173-LH_NPV_Engine!I171</f>
        <v>40960.6984063257</v>
      </c>
    </row>
    <row r="7" customFormat="false" ht="15" hidden="false" customHeight="true" outlineLevel="0" collapsed="false">
      <c r="A7" s="9" t="s">
        <v>119</v>
      </c>
      <c r="B7" s="47" t="n">
        <f aca="false">LH_NPV_Engine!I9-LH_NPV_Engine!I6</f>
        <v>-40575.5706020817</v>
      </c>
      <c r="C7" s="47" t="n">
        <f aca="false">LH_NPV_Engine!I24-LH_NPV_Engine!I21</f>
        <v>-40575.5706020817</v>
      </c>
      <c r="D7" s="47" t="n">
        <f aca="false">LH_NPV_Engine!I39-LH_NPV_Engine!I36</f>
        <v>-4287.64054781012</v>
      </c>
      <c r="E7" s="47" t="n">
        <f aca="false">LH_NPV_Engine!I54-LH_NPV_Engine!I51</f>
        <v>23102.2120348606</v>
      </c>
      <c r="F7" s="47" t="n">
        <f aca="false">LH_NPV_Engine!I69-LH_NPV_Engine!I66</f>
        <v>39322.5962590408</v>
      </c>
      <c r="G7" s="47" t="n">
        <f aca="false">LH_NPV_Engine!I84-LH_NPV_Engine!I81</f>
        <v>39322.5962590408</v>
      </c>
      <c r="H7" s="47" t="n">
        <f aca="false">LH_NPV_Engine!I99-LH_NPV_Engine!I96</f>
        <v>39322.5962590408</v>
      </c>
      <c r="I7" s="47" t="n">
        <f aca="false">LH_NPV_Engine!I114-LH_NPV_Engine!I111</f>
        <v>-30594.2422538474</v>
      </c>
      <c r="J7" s="47" t="n">
        <f aca="false">LH_NPV_Engine!I129-LH_NPV_Engine!I126</f>
        <v>-48109.2334980071</v>
      </c>
      <c r="K7" s="47" t="n">
        <f aca="false">LH_NPV_Engine!I144-LH_NPV_Engine!I141</f>
        <v>-1419.11736409552</v>
      </c>
      <c r="L7" s="47" t="n">
        <f aca="false">LH_NPV_Engine!I159-LH_NPV_Engine!I156</f>
        <v>35017.399296293</v>
      </c>
      <c r="M7" s="47" t="n">
        <f aca="false">LH_NPV_Engine!I174-LH_NPV_Engine!I171</f>
        <v>39322.5962590408</v>
      </c>
    </row>
    <row r="8" customFormat="false" ht="15" hidden="false" customHeight="true" outlineLevel="0" collapsed="false">
      <c r="A8" s="9" t="s">
        <v>120</v>
      </c>
      <c r="B8" s="47" t="n">
        <f aca="false">LH_NPV_Engine!I10-LH_NPV_Engine!I6</f>
        <v>-70797.3185566664</v>
      </c>
      <c r="C8" s="47" t="n">
        <f aca="false">LH_NPV_Engine!I25-LH_NPV_Engine!I21</f>
        <v>-70797.3185566664</v>
      </c>
      <c r="D8" s="47" t="n">
        <f aca="false">LH_NPV_Engine!I40-LH_NPV_Engine!I36</f>
        <v>-28881.7339678481</v>
      </c>
      <c r="E8" s="47" t="n">
        <f aca="false">LH_NPV_Engine!I55-LH_NPV_Engine!I51</f>
        <v>26652.7172415666</v>
      </c>
      <c r="F8" s="47" t="n">
        <f aca="false">LH_NPV_Engine!I70-LH_NPV_Engine!I66</f>
        <v>67166.640487913</v>
      </c>
      <c r="G8" s="47" t="n">
        <f aca="false">LH_NPV_Engine!I85-LH_NPV_Engine!I81</f>
        <v>67166.640487913</v>
      </c>
      <c r="H8" s="47" t="n">
        <f aca="false">LH_NPV_Engine!I100-LH_NPV_Engine!I96</f>
        <v>67166.640487913</v>
      </c>
      <c r="I8" s="47" t="n">
        <f aca="false">LH_NPV_Engine!I115-LH_NPV_Engine!I111</f>
        <v>16180.4484719206</v>
      </c>
      <c r="J8" s="47" t="n">
        <f aca="false">LH_NPV_Engine!I130-LH_NPV_Engine!I126</f>
        <v>-28235.3486086223</v>
      </c>
      <c r="K8" s="47" t="n">
        <f aca="false">LH_NPV_Engine!I145-LH_NPV_Engine!I141</f>
        <v>-4125.83825619519</v>
      </c>
      <c r="L8" s="47" t="n">
        <f aca="false">LH_NPV_Engine!I160-LH_NPV_Engine!I156</f>
        <v>38082.906146368</v>
      </c>
      <c r="M8" s="47" t="n">
        <f aca="false">LH_NPV_Engine!I175-LH_NPV_Engine!I171</f>
        <v>67166.640487913</v>
      </c>
    </row>
    <row r="9" customFormat="false" ht="15" hidden="false" customHeight="true" outlineLevel="0" collapsed="false">
      <c r="A9" s="9" t="s">
        <v>121</v>
      </c>
      <c r="B9" s="47" t="n">
        <f aca="false">LH_NPV_Engine!I11-LH_NPV_Engine!I6</f>
        <v>-64115.106465783</v>
      </c>
      <c r="C9" s="47" t="n">
        <f aca="false">LH_NPV_Engine!I26-LH_NPV_Engine!I21</f>
        <v>-64115.106465783</v>
      </c>
      <c r="D9" s="47" t="n">
        <f aca="false">LH_NPV_Engine!I41-LH_NPV_Engine!I36</f>
        <v>-31849.1487018373</v>
      </c>
      <c r="E9" s="47" t="n">
        <f aca="false">LH_NPV_Engine!I56-LH_NPV_Engine!I51</f>
        <v>7336.63403604738</v>
      </c>
      <c r="F9" s="47" t="n">
        <f aca="false">LH_NPV_Engine!I71-LH_NPV_Engine!I66</f>
        <v>52099.0730142444</v>
      </c>
      <c r="G9" s="47" t="n">
        <f aca="false">LH_NPV_Engine!I86-LH_NPV_Engine!I81</f>
        <v>52099.0730142444</v>
      </c>
      <c r="H9" s="47" t="n">
        <f aca="false">LH_NPV_Engine!I101-LH_NPV_Engine!I96</f>
        <v>52099.0730142444</v>
      </c>
      <c r="I9" s="47" t="n">
        <f aca="false">LH_NPV_Engine!I116-LH_NPV_Engine!I111</f>
        <v>-38388.9287798144</v>
      </c>
      <c r="J9" s="47" t="n">
        <f aca="false">LH_NPV_Engine!I131-LH_NPV_Engine!I126</f>
        <v>-94989.218774261</v>
      </c>
      <c r="K9" s="47" t="n">
        <f aca="false">LH_NPV_Engine!I146-LH_NPV_Engine!I141</f>
        <v>-12363.8623383865</v>
      </c>
      <c r="L9" s="47" t="n">
        <f aca="false">LH_NPV_Engine!I161-LH_NPV_Engine!I156</f>
        <v>20077.1404779777</v>
      </c>
      <c r="M9" s="47" t="n">
        <f aca="false">LH_NPV_Engine!I176-LH_NPV_Engine!I171</f>
        <v>52099.0730142444</v>
      </c>
    </row>
    <row r="10" customFormat="false" ht="15" hidden="false" customHeight="true" outlineLevel="0" collapsed="false">
      <c r="A10" s="9" t="s">
        <v>122</v>
      </c>
      <c r="B10" s="47" t="n">
        <f aca="false">LH_NPV_Engine!I12-LH_NPV_Engine!I6</f>
        <v>-85953.2132942695</v>
      </c>
      <c r="C10" s="47" t="n">
        <f aca="false">LH_NPV_Engine!I27-LH_NPV_Engine!I21</f>
        <v>-85953.2132942695</v>
      </c>
      <c r="D10" s="47" t="n">
        <f aca="false">LH_NPV_Engine!I42-LH_NPV_Engine!I36</f>
        <v>-34723.0382536892</v>
      </c>
      <c r="E10" s="47" t="n">
        <f aca="false">LH_NPV_Engine!I57-LH_NPV_Engine!I51</f>
        <v>8648.4871593453</v>
      </c>
      <c r="F10" s="47" t="n">
        <f aca="false">LH_NPV_Engine!I72-LH_NPV_Engine!I66</f>
        <v>58322.9120420646</v>
      </c>
      <c r="G10" s="47" t="n">
        <f aca="false">LH_NPV_Engine!I87-LH_NPV_Engine!I81</f>
        <v>58322.9120420646</v>
      </c>
      <c r="H10" s="47" t="n">
        <f aca="false">LH_NPV_Engine!I102-LH_NPV_Engine!I96</f>
        <v>58322.9120420646</v>
      </c>
      <c r="I10" s="47" t="n">
        <f aca="false">LH_NPV_Engine!I117-LH_NPV_Engine!I111</f>
        <v>-19074.5800839607</v>
      </c>
      <c r="J10" s="47" t="n">
        <f aca="false">LH_NPV_Engine!I132-LH_NPV_Engine!I126</f>
        <v>-96303.0137668867</v>
      </c>
      <c r="K10" s="47" t="n">
        <f aca="false">LH_NPV_Engine!I147-LH_NPV_Engine!I141</f>
        <v>-28152.3085807282</v>
      </c>
      <c r="L10" s="47" t="n">
        <f aca="false">LH_NPV_Engine!I162-LH_NPV_Engine!I156</f>
        <v>23388.9953378513</v>
      </c>
      <c r="M10" s="47" t="n">
        <f aca="false">LH_NPV_Engine!I177-LH_NPV_Engine!I171</f>
        <v>58322.9120420646</v>
      </c>
    </row>
    <row r="11" customFormat="false" ht="15" hidden="false" customHeight="true" outlineLevel="0" collapsed="false">
      <c r="A11" s="9" t="s">
        <v>123</v>
      </c>
      <c r="B11" s="47" t="n">
        <f aca="false">LH_NPV_Engine!I13-LH_NPV_Engine!I6</f>
        <v>-71497.4993748292</v>
      </c>
      <c r="C11" s="47" t="n">
        <f aca="false">LH_NPV_Engine!I28-LH_NPV_Engine!I21</f>
        <v>-71497.4993748292</v>
      </c>
      <c r="D11" s="47" t="n">
        <f aca="false">LH_NPV_Engine!I43-LH_NPV_Engine!I36</f>
        <v>-15945.1017022412</v>
      </c>
      <c r="E11" s="47" t="n">
        <f aca="false">LH_NPV_Engine!I58-LH_NPV_Engine!I51</f>
        <v>31871.9643237777</v>
      </c>
      <c r="F11" s="47" t="n">
        <f aca="false">LH_NPV_Engine!I73-LH_NPV_Engine!I66</f>
        <v>86161.6024722252</v>
      </c>
      <c r="G11" s="47" t="n">
        <f aca="false">LH_NPV_Engine!I88-LH_NPV_Engine!I81</f>
        <v>86161.6024722252</v>
      </c>
      <c r="H11" s="47" t="n">
        <f aca="false">LH_NPV_Engine!I103-LH_NPV_Engine!I96</f>
        <v>86161.6024722252</v>
      </c>
      <c r="I11" s="47" t="n">
        <f aca="false">LH_NPV_Engine!I118-LH_NPV_Engine!I111</f>
        <v>-43829.766838355</v>
      </c>
      <c r="J11" s="47" t="n">
        <f aca="false">LH_NPV_Engine!I133-LH_NPV_Engine!I126</f>
        <v>-83510.6560241785</v>
      </c>
      <c r="K11" s="47" t="n">
        <f aca="false">LH_NPV_Engine!I148-LH_NPV_Engine!I141</f>
        <v>14022.6278495267</v>
      </c>
      <c r="L11" s="47" t="n">
        <f aca="false">LH_NPV_Engine!I163-LH_NPV_Engine!I156</f>
        <v>70073.4413881004</v>
      </c>
      <c r="M11" s="47" t="n">
        <f aca="false">LH_NPV_Engine!I178-LH_NPV_Engine!I171</f>
        <v>86161.6024722252</v>
      </c>
    </row>
    <row r="12" customFormat="false" ht="15" hidden="false" customHeight="true" outlineLevel="0" collapsed="false">
      <c r="A12" s="9" t="s">
        <v>124</v>
      </c>
      <c r="B12" s="47" t="n">
        <f aca="false">LH_NPV_Engine!I14-LH_NPV_Engine!I6</f>
        <v>-102631.983082671</v>
      </c>
      <c r="C12" s="47" t="n">
        <f aca="false">LH_NPV_Engine!I29-LH_NPV_Engine!I21</f>
        <v>-102631.983082671</v>
      </c>
      <c r="D12" s="47" t="n">
        <f aca="false">LH_NPV_Engine!I44-LH_NPV_Engine!I36</f>
        <v>-41840.4365078956</v>
      </c>
      <c r="E12" s="47" t="n">
        <f aca="false">LH_NPV_Engine!I59-LH_NPV_Engine!I51</f>
        <v>100220.854355633</v>
      </c>
      <c r="F12" s="47" t="n">
        <f aca="false">LH_NPV_Engine!I74-LH_NPV_Engine!I66</f>
        <v>73389.5303838719</v>
      </c>
      <c r="G12" s="47" t="n">
        <f aca="false">LH_NPV_Engine!I89-LH_NPV_Engine!I81</f>
        <v>73389.5303838719</v>
      </c>
      <c r="H12" s="47" t="n">
        <f aca="false">LH_NPV_Engine!I104-LH_NPV_Engine!I96</f>
        <v>73389.5303838719</v>
      </c>
      <c r="I12" s="47" t="n">
        <f aca="false">LH_NPV_Engine!I119-LH_NPV_Engine!I111</f>
        <v>-4151.55194514617</v>
      </c>
      <c r="J12" s="47" t="n">
        <f aca="false">LH_NPV_Engine!I134-LH_NPV_Engine!I126</f>
        <v>-7632.24099958688</v>
      </c>
      <c r="K12" s="47" t="n">
        <f aca="false">LH_NPV_Engine!I149-LH_NPV_Engine!I141</f>
        <v>-30026.7705726344</v>
      </c>
      <c r="L12" s="47" t="n">
        <f aca="false">LH_NPV_Engine!I164-LH_NPV_Engine!I156</f>
        <v>31229.3475238495</v>
      </c>
      <c r="M12" s="47" t="n">
        <f aca="false">LH_NPV_Engine!I179-LH_NPV_Engine!I171</f>
        <v>73389.5303838719</v>
      </c>
    </row>
    <row r="13" customFormat="false" ht="15" hidden="false" customHeight="true" outlineLevel="0" collapsed="false">
      <c r="A13" s="9" t="s">
        <v>125</v>
      </c>
      <c r="B13" s="47" t="n">
        <f aca="false">LH_NPV_Engine!I15-LH_NPV_Engine!I6</f>
        <v>-112317.633996386</v>
      </c>
      <c r="C13" s="47" t="n">
        <f aca="false">LH_NPV_Engine!I30-LH_NPV_Engine!I21</f>
        <v>-112317.633996386</v>
      </c>
      <c r="D13" s="47" t="n">
        <f aca="false">LH_NPV_Engine!I45-LH_NPV_Engine!I36</f>
        <v>-46046.04162395</v>
      </c>
      <c r="E13" s="47" t="n">
        <f aca="false">LH_NPV_Engine!I60-LH_NPV_Engine!I51</f>
        <v>25251.2994294968</v>
      </c>
      <c r="F13" s="47" t="n">
        <f aca="false">LH_NPV_Engine!I75-LH_NPV_Engine!I66</f>
        <v>86816.5360035468</v>
      </c>
      <c r="G13" s="47" t="n">
        <f aca="false">LH_NPV_Engine!I90-LH_NPV_Engine!I81</f>
        <v>86816.5360035468</v>
      </c>
      <c r="H13" s="47" t="n">
        <f aca="false">LH_NPV_Engine!I105-LH_NPV_Engine!I96</f>
        <v>86816.5360035468</v>
      </c>
      <c r="I13" s="47" t="n">
        <f aca="false">LH_NPV_Engine!I120-LH_NPV_Engine!I111</f>
        <v>-50522.4328916892</v>
      </c>
      <c r="J13" s="47" t="n">
        <f aca="false">LH_NPV_Engine!I135-LH_NPV_Engine!I126</f>
        <v>-137424.496606329</v>
      </c>
      <c r="K13" s="47" t="n">
        <f aca="false">LH_NPV_Engine!I150-LH_NPV_Engine!I141</f>
        <v>-26516.4711611811</v>
      </c>
      <c r="L13" s="47" t="n">
        <f aca="false">LH_NPV_Engine!I165-LH_NPV_Engine!I156</f>
        <v>40354.2292437516</v>
      </c>
      <c r="M13" s="47" t="n">
        <f aca="false">LH_NPV_Engine!I180-LH_NPV_Engine!I171</f>
        <v>86816.5360035468</v>
      </c>
    </row>
    <row r="14" customFormat="false" ht="15" hidden="false" customHeight="true" outlineLevel="0" collapsed="false">
      <c r="A14" s="9" t="s">
        <v>126</v>
      </c>
      <c r="B14" s="47" t="n">
        <f aca="false">LH_NPV_Engine!I16-LH_NPV_Engine!I6</f>
        <v>-31613.8690954633</v>
      </c>
      <c r="C14" s="47" t="n">
        <f aca="false">LH_NPV_Engine!I31-LH_NPV_Engine!I21</f>
        <v>-31613.8690954633</v>
      </c>
      <c r="D14" s="47" t="n">
        <f aca="false">LH_NPV_Engine!I46-LH_NPV_Engine!I36</f>
        <v>-22142.269533867</v>
      </c>
      <c r="E14" s="47" t="n">
        <f aca="false">LH_NPV_Engine!I61-LH_NPV_Engine!I51</f>
        <v>136739.702052264</v>
      </c>
      <c r="F14" s="47" t="n">
        <f aca="false">LH_NPV_Engine!I76-LH_NPV_Engine!I66</f>
        <v>103515.873372922</v>
      </c>
      <c r="G14" s="47" t="n">
        <f aca="false">LH_NPV_Engine!I91-LH_NPV_Engine!I81</f>
        <v>103515.873372922</v>
      </c>
      <c r="H14" s="47" t="n">
        <f aca="false">LH_NPV_Engine!I106-LH_NPV_Engine!I96</f>
        <v>103515.873372922</v>
      </c>
      <c r="I14" s="47" t="n">
        <f aca="false">LH_NPV_Engine!I121-LH_NPV_Engine!I111</f>
        <v>-54299.2695993483</v>
      </c>
      <c r="J14" s="47" t="n">
        <f aca="false">LH_NPV_Engine!I136-LH_NPV_Engine!I126</f>
        <v>49784.5686824136</v>
      </c>
      <c r="K14" s="47" t="n">
        <f aca="false">LH_NPV_Engine!I151-LH_NPV_Engine!I141</f>
        <v>71561.2354308106</v>
      </c>
      <c r="L14" s="47" t="n">
        <f aca="false">LH_NPV_Engine!I166-LH_NPV_Engine!I156</f>
        <v>81134.9302484077</v>
      </c>
      <c r="M14" s="47" t="n">
        <f aca="false">LH_NPV_Engine!I181-LH_NPV_Engine!I171</f>
        <v>103515.873372922</v>
      </c>
    </row>
    <row r="16" customFormat="false" ht="15" hidden="false" customHeight="true" outlineLevel="0" collapsed="false">
      <c r="A16" s="4" t="s">
        <v>200</v>
      </c>
      <c r="B16" s="48" t="n">
        <f aca="false">MIN(B5:B14)</f>
        <v>-112317.633996386</v>
      </c>
      <c r="C16" s="48" t="n">
        <f aca="false">MIN(C5:C14)</f>
        <v>-112317.633996386</v>
      </c>
      <c r="D16" s="48" t="n">
        <f aca="false">MIN(D5:D14)</f>
        <v>-46046.04162395</v>
      </c>
      <c r="E16" s="48" t="n">
        <f aca="false">MIN(E5:E14)</f>
        <v>7336.63403604738</v>
      </c>
      <c r="F16" s="48" t="n">
        <f aca="false">MIN(F5:F14)</f>
        <v>32442.2707724832</v>
      </c>
      <c r="G16" s="48" t="n">
        <f aca="false">MIN(G5:G14)</f>
        <v>32442.2707724832</v>
      </c>
      <c r="H16" s="48" t="n">
        <f aca="false">MIN(H5:H14)</f>
        <v>32442.2707724832</v>
      </c>
      <c r="I16" s="48" t="n">
        <f aca="false">MIN(I5:I14)</f>
        <v>-54299.2695993483</v>
      </c>
      <c r="J16" s="48" t="n">
        <f aca="false">MIN(J5:J14)</f>
        <v>-137424.496606329</v>
      </c>
      <c r="K16" s="48" t="n">
        <f aca="false">MIN(K5:K14)</f>
        <v>-30026.7705726344</v>
      </c>
      <c r="L16" s="48" t="n">
        <f aca="false">MIN(L5:L14)</f>
        <v>13753.8385078348</v>
      </c>
      <c r="M16" s="48" t="n">
        <f aca="false">MIN(M5:M14)</f>
        <v>32442.2707724832</v>
      </c>
    </row>
    <row r="17" customFormat="false" ht="15" hidden="false" customHeight="true" outlineLevel="0" collapsed="false">
      <c r="A17" s="4" t="s">
        <v>201</v>
      </c>
      <c r="B17" s="48" t="n">
        <f aca="false">MAX(B5:B14)</f>
        <v>-31272.0955403186</v>
      </c>
      <c r="C17" s="48" t="n">
        <f aca="false">MAX(C5:C14)</f>
        <v>-31272.0955403186</v>
      </c>
      <c r="D17" s="48" t="n">
        <f aca="false">MAX(D5:D14)</f>
        <v>-4287.64054781012</v>
      </c>
      <c r="E17" s="48" t="n">
        <f aca="false">MAX(E5:E14)</f>
        <v>136739.702052264</v>
      </c>
      <c r="F17" s="48" t="n">
        <f aca="false">MAX(F5:F14)</f>
        <v>103515.873372922</v>
      </c>
      <c r="G17" s="48" t="n">
        <f aca="false">MAX(G5:G14)</f>
        <v>103515.873372922</v>
      </c>
      <c r="H17" s="48" t="n">
        <f aca="false">MAX(H5:H14)</f>
        <v>103515.873372922</v>
      </c>
      <c r="I17" s="48" t="n">
        <f aca="false">MAX(I5:I14)</f>
        <v>16180.4484719206</v>
      </c>
      <c r="J17" s="48" t="n">
        <f aca="false">MAX(J5:J14)</f>
        <v>49784.5686824136</v>
      </c>
      <c r="K17" s="48" t="n">
        <f aca="false">MAX(K5:K14)</f>
        <v>71561.2354308106</v>
      </c>
      <c r="L17" s="48" t="n">
        <f aca="false">MAX(L5:L14)</f>
        <v>81134.9302484077</v>
      </c>
      <c r="M17" s="48" t="n">
        <f aca="false">MAX(M5:M14)</f>
        <v>103515.873372922</v>
      </c>
    </row>
    <row r="18" customFormat="false" ht="15" hidden="false" customHeight="true" outlineLevel="0" collapsed="false">
      <c r="A18" s="4" t="s">
        <v>202</v>
      </c>
      <c r="B18" s="48" t="n">
        <f aca="false">SUMPRODUCT(SMALL($B$5:$B$14,{1,2,3,4,5,6}))/6</f>
        <v>-84552.1257951008</v>
      </c>
      <c r="C18" s="48" t="n">
        <f aca="false">SUMPRODUCT(SMALL($C$5:$C$14,{1,2,3,4,5,6}))/6</f>
        <v>-84552.1257951008</v>
      </c>
      <c r="D18" s="48" t="n">
        <f aca="false">SUMPRODUCT(SMALL($D$5:$D$14,{1,2,3,4,5,6}))/6</f>
        <v>-34247.1114315145</v>
      </c>
      <c r="E18" s="48" t="n">
        <f aca="false">SUMPRODUCT(SMALL($E$5:$E$14,{1,2,3,4,5,6}))/6</f>
        <v>18813.7158717706</v>
      </c>
      <c r="F18" s="48" t="n">
        <f aca="false">SUMPRODUCT(SMALL($F$5:$F$14,{1,2,3,4,5,6}))/6</f>
        <v>48385.6984970119</v>
      </c>
      <c r="G18" s="48" t="n">
        <f aca="false">SUMPRODUCT(SMALL($G$5:$G$14,{1,2,3,4,5,6}))/6</f>
        <v>48385.6984970119</v>
      </c>
      <c r="H18" s="48" t="n">
        <f aca="false">SUMPRODUCT(SMALL($H$5:$H$14,{1,2,3,4,5,6}))/6</f>
        <v>48385.6984970119</v>
      </c>
      <c r="I18" s="48" t="n">
        <f aca="false">SUMPRODUCT(SMALL($I$5:$I$14,{1,2,3,4,5,6}))/6</f>
        <v>-40952.4213589206</v>
      </c>
      <c r="J18" s="48" t="n">
        <f aca="false">SUMPRODUCT(SMALL($J$5:$J$14,{1,2,3,4,5,6}))/6</f>
        <v>-82876.8670916989</v>
      </c>
      <c r="K18" s="48" t="n">
        <f aca="false">SUMPRODUCT(SMALL($K$5:$K$14,{1,2,3,4,5,6}))/6</f>
        <v>-17782.7600777907</v>
      </c>
      <c r="L18" s="48" t="n">
        <f aca="false">SUMPRODUCT(SMALL($L$5:$L$14,{1,2,3,4,5,6}))/6</f>
        <v>25838.3984551082</v>
      </c>
      <c r="M18" s="48" t="n">
        <f aca="false">SUMPRODUCT(SMALL($M$5:$M$14,{1,2,3,4,5,6}))/6</f>
        <v>48385.6984970119</v>
      </c>
    </row>
    <row r="20" customFormat="false" ht="39.75" hidden="false" customHeight="true" outlineLevel="0" collapsed="false">
      <c r="A20" s="15" t="s">
        <v>240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</sheetData>
  <mergeCells count="3">
    <mergeCell ref="A1:M1"/>
    <mergeCell ref="A2:M2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5"/>
  </cols>
  <sheetData>
    <row r="1" customFormat="false" ht="17.25" hidden="false" customHeight="true" outlineLevel="0" collapsed="false">
      <c r="A1" s="32" t="s">
        <v>241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customFormat="false" ht="39.75" hidden="false" customHeight="true" outlineLevel="0" collapsed="false">
      <c r="A2" s="15" t="s">
        <v>242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15" hidden="false" customHeight="true" outlineLevel="0" collapsed="false">
      <c r="A4" s="17" t="s">
        <v>243</v>
      </c>
      <c r="B4" s="17"/>
      <c r="C4" s="17"/>
      <c r="D4" s="17"/>
      <c r="E4" s="17"/>
      <c r="F4" s="17"/>
    </row>
    <row r="5" customFormat="false" ht="39" hidden="false" customHeight="true" outlineLevel="0" collapsed="false">
      <c r="A5" s="22" t="s">
        <v>19</v>
      </c>
      <c r="B5" s="22" t="s">
        <v>73</v>
      </c>
      <c r="C5" s="22" t="s">
        <v>35</v>
      </c>
      <c r="D5" s="22" t="s">
        <v>244</v>
      </c>
      <c r="E5" s="22" t="s">
        <v>245</v>
      </c>
      <c r="F5" s="22" t="s">
        <v>246</v>
      </c>
    </row>
    <row r="6" customFormat="false" ht="15" hidden="false" customHeight="true" outlineLevel="0" collapsed="false">
      <c r="A6" s="13" t="s">
        <v>247</v>
      </c>
      <c r="B6" s="14" t="s">
        <v>47</v>
      </c>
      <c r="C6" s="14" t="s">
        <v>43</v>
      </c>
      <c r="D6" s="53" t="n">
        <v>8</v>
      </c>
      <c r="E6" s="13" t="n">
        <v>10</v>
      </c>
      <c r="F6" s="14" t="n">
        <v>60</v>
      </c>
    </row>
    <row r="7" customFormat="false" ht="15" hidden="false" customHeight="true" outlineLevel="0" collapsed="false">
      <c r="A7" s="13" t="s">
        <v>248</v>
      </c>
      <c r="B7" s="14" t="s">
        <v>47</v>
      </c>
      <c r="C7" s="14" t="s">
        <v>43</v>
      </c>
      <c r="D7" s="53" t="n">
        <v>17</v>
      </c>
      <c r="E7" s="13" t="n">
        <v>20</v>
      </c>
      <c r="F7" s="14" t="n">
        <v>60</v>
      </c>
    </row>
    <row r="8" customFormat="false" ht="15" hidden="false" customHeight="true" outlineLevel="0" collapsed="false">
      <c r="A8" s="13" t="s">
        <v>249</v>
      </c>
      <c r="B8" s="14" t="s">
        <v>47</v>
      </c>
      <c r="C8" s="14" t="s">
        <v>43</v>
      </c>
      <c r="D8" s="53" t="n">
        <v>30</v>
      </c>
      <c r="E8" s="13" t="n">
        <v>40</v>
      </c>
      <c r="F8" s="14" t="n">
        <v>60</v>
      </c>
    </row>
    <row r="9" customFormat="false" ht="15" hidden="false" customHeight="true" outlineLevel="0" collapsed="false">
      <c r="A9" s="13" t="s">
        <v>250</v>
      </c>
      <c r="B9" s="14" t="s">
        <v>47</v>
      </c>
      <c r="C9" s="14" t="s">
        <v>43</v>
      </c>
      <c r="D9" s="53" t="n">
        <v>50</v>
      </c>
      <c r="E9" s="13" t="n">
        <v>60</v>
      </c>
      <c r="F9" s="14" t="n">
        <v>60</v>
      </c>
    </row>
    <row r="12" customFormat="false" ht="15" hidden="false" customHeight="true" outlineLevel="0" collapsed="false">
      <c r="A12" s="17" t="s">
        <v>251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true" outlineLevel="0" collapsed="false">
      <c r="A13" s="18" t="s">
        <v>19</v>
      </c>
      <c r="B13" s="22" t="s">
        <v>252</v>
      </c>
      <c r="C13" s="22" t="s">
        <v>253</v>
      </c>
      <c r="D13" s="22" t="s">
        <v>254</v>
      </c>
      <c r="E13" s="22" t="s">
        <v>255</v>
      </c>
      <c r="F13" s="22" t="s">
        <v>256</v>
      </c>
      <c r="G13" s="22" t="s">
        <v>257</v>
      </c>
      <c r="H13" s="22" t="s">
        <v>258</v>
      </c>
      <c r="I13" s="22" t="s">
        <v>259</v>
      </c>
      <c r="J13" s="22" t="s">
        <v>260</v>
      </c>
      <c r="K13" s="22" t="s">
        <v>261</v>
      </c>
      <c r="L13" s="22" t="s">
        <v>262</v>
      </c>
      <c r="M13" s="22" t="s">
        <v>263</v>
      </c>
    </row>
    <row r="14" customFormat="false" ht="15" hidden="false" customHeight="true" outlineLevel="0" collapsed="false">
      <c r="A14" s="4" t="s">
        <v>247</v>
      </c>
      <c r="B14" s="54" t="n">
        <f aca="false">LH_PnL_Summary!B5</f>
        <v>-37825.7968787812</v>
      </c>
      <c r="C14" s="54" t="n">
        <f aca="false">LH_PnL_Summary!C5</f>
        <v>-37825.7968787812</v>
      </c>
      <c r="D14" s="54" t="n">
        <f aca="false">LH_PnL_Summary!D5</f>
        <v>-18625.5113925245</v>
      </c>
      <c r="E14" s="54" t="n">
        <f aca="false">LH_PnL_Summary!E5</f>
        <v>21890.9453293066</v>
      </c>
      <c r="F14" s="55" t="n">
        <v>0</v>
      </c>
      <c r="G14" s="55" t="n">
        <v>0</v>
      </c>
      <c r="H14" s="55" t="n">
        <v>0</v>
      </c>
      <c r="I14" s="54" t="n">
        <f aca="false">LH_PnL_Summary!I5</f>
        <v>-20938.4394061528</v>
      </c>
      <c r="J14" s="54" t="n">
        <f aca="false">LH_PnL_Summary!J5</f>
        <v>-36924.5838805307</v>
      </c>
      <c r="K14" s="54" t="n">
        <f aca="false">LH_PnL_Summary!B5</f>
        <v>-37825.7968787812</v>
      </c>
      <c r="L14" s="54" t="n">
        <f aca="false">LH_PnL_Summary!D5</f>
        <v>-18625.5113925245</v>
      </c>
      <c r="M14" s="55" t="n">
        <v>0</v>
      </c>
    </row>
    <row r="15" customFormat="false" ht="15" hidden="false" customHeight="true" outlineLevel="0" collapsed="false">
      <c r="A15" s="4" t="s">
        <v>248</v>
      </c>
      <c r="B15" s="54" t="n">
        <f aca="false">LH_PnL_Summary!B5</f>
        <v>-37825.7968787812</v>
      </c>
      <c r="C15" s="54" t="n">
        <f aca="false">LH_PnL_Summary!C5</f>
        <v>-37825.7968787812</v>
      </c>
      <c r="D15" s="54" t="n">
        <f aca="false">LH_PnL_Summary!D5</f>
        <v>-18625.5113925245</v>
      </c>
      <c r="E15" s="54" t="n">
        <f aca="false">LH_PnL_Summary!E5</f>
        <v>21890.9453293066</v>
      </c>
      <c r="F15" s="54" t="n">
        <f aca="false">LH_PnL_Summary!F5</f>
        <v>32442.2707724832</v>
      </c>
      <c r="G15" s="55" t="n">
        <v>0</v>
      </c>
      <c r="H15" s="55" t="n">
        <v>0</v>
      </c>
      <c r="I15" s="54" t="n">
        <f aca="false">LH_PnL_Summary!I5</f>
        <v>-20938.4394061528</v>
      </c>
      <c r="J15" s="54" t="n">
        <f aca="false">LH_PnL_Summary!J5</f>
        <v>-36924.5838805307</v>
      </c>
      <c r="K15" s="54" t="n">
        <f aca="false">LH_PnL_Summary!K5</f>
        <v>-5511.30955761857</v>
      </c>
      <c r="L15" s="54" t="n">
        <f aca="false">LH_PnL_Summary!D5</f>
        <v>-18625.5113925245</v>
      </c>
      <c r="M15" s="55" t="n">
        <v>0</v>
      </c>
    </row>
    <row r="16" customFormat="false" ht="15" hidden="false" customHeight="true" outlineLevel="0" collapsed="false">
      <c r="A16" s="4" t="s">
        <v>249</v>
      </c>
      <c r="B16" s="54" t="n">
        <f aca="false">LH_PnL_Summary!B5</f>
        <v>-37825.7968787812</v>
      </c>
      <c r="C16" s="54" t="n">
        <f aca="false">LH_PnL_Summary!C5</f>
        <v>-37825.7968787812</v>
      </c>
      <c r="D16" s="54" t="n">
        <f aca="false">LH_PnL_Summary!D5</f>
        <v>-18625.5113925245</v>
      </c>
      <c r="E16" s="54" t="n">
        <f aca="false">LH_PnL_Summary!E5</f>
        <v>21890.9453293066</v>
      </c>
      <c r="F16" s="54" t="n">
        <f aca="false">LH_PnL_Summary!F5</f>
        <v>32442.2707724832</v>
      </c>
      <c r="G16" s="54" t="n">
        <f aca="false">LH_PnL_Summary!G5</f>
        <v>32442.2707724832</v>
      </c>
      <c r="H16" s="55" t="n">
        <v>0</v>
      </c>
      <c r="I16" s="54" t="n">
        <f aca="false">LH_PnL_Summary!I5</f>
        <v>-20938.4394061528</v>
      </c>
      <c r="J16" s="54" t="n">
        <f aca="false">LH_PnL_Summary!J5</f>
        <v>-36924.5838805307</v>
      </c>
      <c r="K16" s="54" t="n">
        <f aca="false">LH_PnL_Summary!K5</f>
        <v>-5511.30955761857</v>
      </c>
      <c r="L16" s="54" t="n">
        <f aca="false">LH_PnL_Summary!L5</f>
        <v>13753.8385078348</v>
      </c>
      <c r="M16" s="55" t="n">
        <v>0</v>
      </c>
    </row>
    <row r="17" customFormat="false" ht="15" hidden="false" customHeight="true" outlineLevel="0" collapsed="false">
      <c r="A17" s="4" t="s">
        <v>250</v>
      </c>
      <c r="B17" s="54" t="n">
        <f aca="false">LH_PnL_Summary!B5</f>
        <v>-37825.7968787812</v>
      </c>
      <c r="C17" s="54" t="n">
        <f aca="false">LH_PnL_Summary!C5</f>
        <v>-37825.7968787812</v>
      </c>
      <c r="D17" s="54" t="n">
        <f aca="false">LH_PnL_Summary!D5</f>
        <v>-18625.5113925245</v>
      </c>
      <c r="E17" s="54" t="n">
        <f aca="false">LH_PnL_Summary!E5</f>
        <v>21890.9453293066</v>
      </c>
      <c r="F17" s="54" t="n">
        <f aca="false">LH_PnL_Summary!F5</f>
        <v>32442.2707724832</v>
      </c>
      <c r="G17" s="54" t="n">
        <f aca="false">LH_PnL_Summary!G5</f>
        <v>32442.2707724832</v>
      </c>
      <c r="H17" s="54" t="n">
        <f aca="false">LH_PnL_Summary!H5</f>
        <v>32442.2707724832</v>
      </c>
      <c r="I17" s="54" t="n">
        <f aca="false">LH_PnL_Summary!I5</f>
        <v>-20938.4394061528</v>
      </c>
      <c r="J17" s="54" t="n">
        <f aca="false">LH_PnL_Summary!J5</f>
        <v>-36924.5838805307</v>
      </c>
      <c r="K17" s="54" t="n">
        <f aca="false">LH_PnL_Summary!K5</f>
        <v>-5511.30955761857</v>
      </c>
      <c r="L17" s="54" t="n">
        <f aca="false">LH_PnL_Summary!L5</f>
        <v>13753.8385078348</v>
      </c>
      <c r="M17" s="54" t="n">
        <f aca="false">LH_PnL_Summary!M5</f>
        <v>32442.2707724832</v>
      </c>
    </row>
    <row r="19" customFormat="false" ht="39.75" hidden="false" customHeight="true" outlineLevel="0" collapsed="false">
      <c r="A19" s="15" t="s">
        <v>264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</sheetData>
  <mergeCells count="5">
    <mergeCell ref="A1:M1"/>
    <mergeCell ref="A2:M2"/>
    <mergeCell ref="A4:F4"/>
    <mergeCell ref="A12:M12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56" t="s">
        <v>265</v>
      </c>
      <c r="B1" s="56"/>
      <c r="C1" s="56"/>
      <c r="D1" s="56"/>
      <c r="E1" s="56"/>
      <c r="F1" s="56"/>
      <c r="G1" s="56"/>
      <c r="H1" s="56"/>
      <c r="I1" s="56"/>
    </row>
    <row r="2" customFormat="false" ht="54.75" hidden="false" customHeight="true" outlineLevel="0" collapsed="false">
      <c r="A2" s="15" t="s">
        <v>266</v>
      </c>
      <c r="B2" s="15"/>
      <c r="C2" s="15"/>
      <c r="D2" s="15"/>
      <c r="E2" s="15"/>
      <c r="F2" s="15"/>
      <c r="G2" s="15"/>
      <c r="H2" s="15"/>
      <c r="I2" s="15"/>
    </row>
    <row r="4" customFormat="false" ht="15" hidden="false" customHeight="false" outlineLevel="0" collapsed="false">
      <c r="A4" s="57" t="s">
        <v>267</v>
      </c>
      <c r="B4" s="57"/>
      <c r="C4" s="57"/>
      <c r="D4" s="57"/>
      <c r="E4" s="57"/>
      <c r="F4" s="57"/>
      <c r="G4" s="57"/>
      <c r="H4" s="57"/>
      <c r="I4" s="57"/>
      <c r="J4" s="58" t="s">
        <v>268</v>
      </c>
    </row>
    <row r="5" customFormat="false" ht="39.55" hidden="false" customHeight="false" outlineLevel="0" collapsed="false">
      <c r="A5" s="22" t="s">
        <v>179</v>
      </c>
      <c r="B5" s="22" t="s">
        <v>180</v>
      </c>
      <c r="C5" s="22" t="s">
        <v>181</v>
      </c>
      <c r="D5" s="22" t="s">
        <v>182</v>
      </c>
      <c r="E5" s="22" t="s">
        <v>183</v>
      </c>
      <c r="F5" s="22" t="s">
        <v>184</v>
      </c>
      <c r="G5" s="22" t="s">
        <v>185</v>
      </c>
      <c r="H5" s="22" t="s">
        <v>186</v>
      </c>
      <c r="I5" s="22" t="s">
        <v>187</v>
      </c>
    </row>
    <row r="6" customFormat="false" ht="15" hidden="false" customHeight="false" outlineLevel="0" collapsed="false">
      <c r="A6" s="59" t="s">
        <v>188</v>
      </c>
      <c r="B6" s="60" t="n">
        <f aca="false">Curves!E8</f>
        <v>0.957768</v>
      </c>
      <c r="C6" s="60" t="n">
        <f aca="false">Curves!E9</f>
        <v>0.96933</v>
      </c>
      <c r="D6" s="61" t="n">
        <f aca="false">SABR!AT10</f>
        <v>0.39978211956629</v>
      </c>
      <c r="E6" s="60" t="n">
        <f aca="false">Curves!E10</f>
        <v>0.958726</v>
      </c>
      <c r="F6" s="60" t="n">
        <f aca="false">Curves!E11</f>
        <v>0.954899</v>
      </c>
      <c r="G6" s="60" t="n">
        <f aca="false">Curves!E12</f>
        <v>0.967393</v>
      </c>
      <c r="H6" s="60" t="n">
        <f aca="false">Curves!E13</f>
        <v>0.960645</v>
      </c>
      <c r="I6" s="62" t="n">
        <f aca="false">NPV_Engine!$B$4*B6*(C6/NPV_Engine!$B$8)*(1+0.5*(D6-NPV_Engine!$B$13))*(AVERAGE(E6,F6,G6)/B6)*(H6/NPV_Engine!$B$12)</f>
        <v>9603393.33333333</v>
      </c>
    </row>
    <row r="7" customFormat="false" ht="15" hidden="false" customHeight="false" outlineLevel="0" collapsed="false">
      <c r="A7" s="63" t="s">
        <v>117</v>
      </c>
      <c r="B7" s="60" t="n">
        <f aca="false">Curves!E8</f>
        <v>0.957768</v>
      </c>
      <c r="C7" s="60" t="n">
        <f aca="false">Curves!E9</f>
        <v>0.96933</v>
      </c>
      <c r="D7" s="61" t="n">
        <f aca="false">SABR!AT10</f>
        <v>0.39978211956629</v>
      </c>
      <c r="E7" s="64" t="n">
        <f aca="false">Curves_Current!Q9</f>
        <v>0.957681920165427</v>
      </c>
      <c r="F7" s="64" t="n">
        <f aca="false">Curves_Current!Q10</f>
        <v>0.954165270979805</v>
      </c>
      <c r="G7" s="64" t="n">
        <f aca="false">Curves_Current!Q11</f>
        <v>0.968878880918249</v>
      </c>
      <c r="H7" s="60" t="n">
        <f aca="false">Curves!E13</f>
        <v>0.960645</v>
      </c>
      <c r="I7" s="62" t="n">
        <f aca="false">NPV_Engine!$B$4*B7*(C7/NPV_Engine!$B$8)*(1+0.5*(D7-NPV_Engine!$B$13))*(AVERAGE(E7,F7,G7)/B7)*(H7/NPV_Engine!$B$12)</f>
        <v>9602420.2402116</v>
      </c>
    </row>
    <row r="8" customFormat="false" ht="15" hidden="false" customHeight="false" outlineLevel="0" collapsed="false">
      <c r="A8" s="63" t="s">
        <v>118</v>
      </c>
      <c r="B8" s="60" t="n">
        <f aca="false">Curves!E8</f>
        <v>0.957768</v>
      </c>
      <c r="C8" s="60" t="n">
        <f aca="false">Curves!E9</f>
        <v>0.96933</v>
      </c>
      <c r="D8" s="61" t="n">
        <f aca="false">SABR!AT10</f>
        <v>0.39978211956629</v>
      </c>
      <c r="E8" s="64" t="n">
        <f aca="false">Curves_Current!Q17</f>
        <v>0.958262308784257</v>
      </c>
      <c r="F8" s="64" t="n">
        <f aca="false">Curves_Current!Q18</f>
        <v>0.952882762555419</v>
      </c>
      <c r="G8" s="64" t="n">
        <f aca="false">Curves_Current!Q19</f>
        <v>0.965773029228864</v>
      </c>
      <c r="H8" s="60" t="n">
        <f aca="false">Curves!E13</f>
        <v>0.960645</v>
      </c>
      <c r="I8" s="62" t="n">
        <f aca="false">NPV_Engine!$B$4*B8*(C8/NPV_Engine!$B$8)*(1+0.5*(D8-NPV_Engine!$B$13))*(AVERAGE(E8,F8,G8)/B8)*(H8/NPV_Engine!$B$12)</f>
        <v>9589727.00189513</v>
      </c>
    </row>
    <row r="9" customFormat="false" ht="15" hidden="false" customHeight="false" outlineLevel="0" collapsed="false">
      <c r="A9" s="63" t="s">
        <v>119</v>
      </c>
      <c r="B9" s="60" t="n">
        <f aca="false">Curves!E8</f>
        <v>0.957768</v>
      </c>
      <c r="C9" s="60" t="n">
        <f aca="false">Curves!E9</f>
        <v>0.96933</v>
      </c>
      <c r="D9" s="61" t="n">
        <f aca="false">SABR!AT10</f>
        <v>0.39978211956629</v>
      </c>
      <c r="E9" s="64" t="n">
        <f aca="false">Curves_Current!Q25</f>
        <v>0.957194399871784</v>
      </c>
      <c r="F9" s="64" t="n">
        <f aca="false">Curves_Current!Q26</f>
        <v>0.955788775537166</v>
      </c>
      <c r="G9" s="64" t="n">
        <f aca="false">Curves_Current!Q27</f>
        <v>0.966448771333421</v>
      </c>
      <c r="H9" s="60" t="n">
        <f aca="false">Curves!E13</f>
        <v>0.960645</v>
      </c>
      <c r="I9" s="62" t="n">
        <f aca="false">NPV_Engine!$B$4*B9*(C9/NPV_Engine!$B$8)*(1+0.5*(D9-NPV_Engine!$B$13))*(AVERAGE(E9,F9,G9)/B9)*(H9/NPV_Engine!$B$12)</f>
        <v>9598106.48914124</v>
      </c>
    </row>
    <row r="10" customFormat="false" ht="15" hidden="false" customHeight="false" outlineLevel="0" collapsed="false">
      <c r="A10" s="63" t="s">
        <v>120</v>
      </c>
      <c r="B10" s="60" t="n">
        <f aca="false">Curves!E8</f>
        <v>0.957768</v>
      </c>
      <c r="C10" s="60" t="n">
        <f aca="false">Curves!E9</f>
        <v>0.96933</v>
      </c>
      <c r="D10" s="61" t="n">
        <f aca="false">SABR!AT10</f>
        <v>0.39978211956629</v>
      </c>
      <c r="E10" s="64" t="n">
        <f aca="false">Curves_Current!Q33</f>
        <v>0.957053949688665</v>
      </c>
      <c r="F10" s="64" t="n">
        <f aca="false">Curves_Current!Q34</f>
        <v>0.952125081208929</v>
      </c>
      <c r="G10" s="64" t="n">
        <f aca="false">Curves_Current!Q35</f>
        <v>0.965252169321666</v>
      </c>
      <c r="H10" s="60" t="n">
        <f aca="false">Curves!E13</f>
        <v>0.960645</v>
      </c>
      <c r="I10" s="62" t="n">
        <f aca="false">NPV_Engine!$B$4*B10*(C10/NPV_Engine!$B$8)*(1+0.5*(D10-NPV_Engine!$B$13))*(AVERAGE(E10,F10,G10)/B10)*(H10/NPV_Engine!$B$12)</f>
        <v>9581437.3340642</v>
      </c>
    </row>
    <row r="11" customFormat="false" ht="15" hidden="false" customHeight="false" outlineLevel="0" collapsed="false">
      <c r="A11" s="63" t="s">
        <v>121</v>
      </c>
      <c r="B11" s="60" t="n">
        <f aca="false">Curves!E8</f>
        <v>0.957768</v>
      </c>
      <c r="C11" s="60" t="n">
        <f aca="false">Curves!E9</f>
        <v>0.96933</v>
      </c>
      <c r="D11" s="61" t="n">
        <f aca="false">SABR!AT10</f>
        <v>0.39978211956629</v>
      </c>
      <c r="E11" s="64" t="n">
        <f aca="false">Curves_Current!Q41</f>
        <v>0.957905601234653</v>
      </c>
      <c r="F11" s="64" t="n">
        <f aca="false">Curves_Current!Q42</f>
        <v>0.952092269426374</v>
      </c>
      <c r="G11" s="64" t="n">
        <f aca="false">Curves_Current!Q43</f>
        <v>0.965065665104197</v>
      </c>
      <c r="H11" s="60" t="n">
        <f aca="false">Curves!E13</f>
        <v>0.960645</v>
      </c>
      <c r="I11" s="62" t="n">
        <f aca="false">NPV_Engine!$B$4*B11*(C11/NPV_Engine!$B$8)*(1+0.5*(D11-NPV_Engine!$B$13))*(AVERAGE(E11,F11,G11)/B11)*(H11/NPV_Engine!$B$12)</f>
        <v>9583545.11921742</v>
      </c>
    </row>
    <row r="12" customFormat="false" ht="15" hidden="false" customHeight="false" outlineLevel="0" collapsed="false">
      <c r="A12" s="63" t="s">
        <v>122</v>
      </c>
      <c r="B12" s="60" t="n">
        <f aca="false">Curves!E8</f>
        <v>0.957768</v>
      </c>
      <c r="C12" s="60" t="n">
        <f aca="false">Curves!E9</f>
        <v>0.96933</v>
      </c>
      <c r="D12" s="61" t="n">
        <f aca="false">SABR!AT10</f>
        <v>0.39978211956629</v>
      </c>
      <c r="E12" s="64" t="n">
        <f aca="false">Curves_Current!Q49</f>
        <v>0.958377026624332</v>
      </c>
      <c r="F12" s="64" t="n">
        <f aca="false">Curves_Current!Q50</f>
        <v>0.951657571221878</v>
      </c>
      <c r="G12" s="64" t="n">
        <f aca="false">Curves_Current!Q51</f>
        <v>0.967054122180948</v>
      </c>
      <c r="H12" s="60" t="n">
        <f aca="false">Curves!E13</f>
        <v>0.960645</v>
      </c>
      <c r="I12" s="62" t="n">
        <f aca="false">NPV_Engine!$B$4*B12*(C12/NPV_Engine!$B$8)*(1+0.5*(D12-NPV_Engine!$B$13))*(AVERAGE(E12,F12,G12)/B12)*(H12/NPV_Engine!$B$12)</f>
        <v>9590295.73342386</v>
      </c>
    </row>
    <row r="13" customFormat="false" ht="15" hidden="false" customHeight="false" outlineLevel="0" collapsed="false">
      <c r="A13" s="63" t="s">
        <v>123</v>
      </c>
      <c r="B13" s="60" t="n">
        <f aca="false">Curves!E8</f>
        <v>0.957768</v>
      </c>
      <c r="C13" s="60" t="n">
        <f aca="false">Curves!E9</f>
        <v>0.96933</v>
      </c>
      <c r="D13" s="61" t="n">
        <f aca="false">SABR!AT10</f>
        <v>0.39978211956629</v>
      </c>
      <c r="E13" s="64" t="n">
        <f aca="false">Curves_Current!Q57</f>
        <v>0.956515327373862</v>
      </c>
      <c r="F13" s="64" t="n">
        <f aca="false">Curves_Current!Q58</f>
        <v>0.951467522241567</v>
      </c>
      <c r="G13" s="64" t="n">
        <f aca="false">Curves_Current!Q59</f>
        <v>0.964585750008933</v>
      </c>
      <c r="H13" s="60" t="n">
        <f aca="false">Curves!E13</f>
        <v>0.960645</v>
      </c>
      <c r="I13" s="62" t="n">
        <f aca="false">NPV_Engine!$B$4*B13*(C13/NPV_Engine!$B$8)*(1+0.5*(D13-NPV_Engine!$B$13))*(AVERAGE(E13,F13,G13)/B13)*(H13/NPV_Engine!$B$12)</f>
        <v>9575228.66541454</v>
      </c>
    </row>
    <row r="14" customFormat="false" ht="15" hidden="false" customHeight="false" outlineLevel="0" collapsed="false">
      <c r="A14" s="63" t="s">
        <v>124</v>
      </c>
      <c r="B14" s="60" t="n">
        <f aca="false">Curves!E8</f>
        <v>0.957768</v>
      </c>
      <c r="C14" s="60" t="n">
        <f aca="false">Curves!E9</f>
        <v>0.96933</v>
      </c>
      <c r="D14" s="61" t="n">
        <f aca="false">SABR!AT10</f>
        <v>0.39978211956629</v>
      </c>
      <c r="E14" s="64" t="n">
        <f aca="false">Curves_Current!Q65</f>
        <v>0.956295155645531</v>
      </c>
      <c r="F14" s="64" t="n">
        <f aca="false">Curves_Current!Q66</f>
        <v>0.951090646612669</v>
      </c>
      <c r="G14" s="64" t="n">
        <f aca="false">Curves_Current!Q67</f>
        <v>0.964232142879761</v>
      </c>
      <c r="H14" s="60" t="n">
        <f aca="false">Curves!E13</f>
        <v>0.960645</v>
      </c>
      <c r="I14" s="62" t="n">
        <f aca="false">NPV_Engine!$B$4*B14*(C14/NPV_Engine!$B$8)*(1+0.5*(D14-NPV_Engine!$B$13))*(AVERAGE(E14,F14,G14)/B14)*(H14/NPV_Engine!$B$12)</f>
        <v>9572059.81712654</v>
      </c>
    </row>
    <row r="15" customFormat="false" ht="15" hidden="false" customHeight="false" outlineLevel="0" collapsed="false">
      <c r="A15" s="63" t="s">
        <v>125</v>
      </c>
      <c r="B15" s="60" t="n">
        <f aca="false">Curves!E8</f>
        <v>0.957768</v>
      </c>
      <c r="C15" s="60" t="n">
        <f aca="false">Curves!E9</f>
        <v>0.96933</v>
      </c>
      <c r="D15" s="61" t="n">
        <f aca="false">SABR!AT10</f>
        <v>0.39978211956629</v>
      </c>
      <c r="E15" s="64" t="n">
        <f aca="false">Curves_Current!Q73</f>
        <v>0.95613081046933</v>
      </c>
      <c r="F15" s="64" t="n">
        <f aca="false">Curves_Current!Q74</f>
        <v>0.95090077919812</v>
      </c>
      <c r="G15" s="64" t="n">
        <f aca="false">Curves_Current!Q75</f>
        <v>0.964026518114088</v>
      </c>
      <c r="H15" s="60" t="n">
        <f aca="false">Curves!E13</f>
        <v>0.960645</v>
      </c>
      <c r="I15" s="62" t="n">
        <f aca="false">NPV_Engine!$B$4*B15*(C15/NPV_Engine!$B$8)*(1+0.5*(D15-NPV_Engine!$B$13))*(AVERAGE(E15,F15,G15)/B15)*(H15/NPV_Engine!$B$12)</f>
        <v>9570193.69260513</v>
      </c>
    </row>
    <row r="16" customFormat="false" ht="15" hidden="false" customHeight="false" outlineLevel="0" collapsed="false">
      <c r="A16" s="63" t="s">
        <v>126</v>
      </c>
      <c r="B16" s="60" t="n">
        <f aca="false">Curves!E8</f>
        <v>0.957768</v>
      </c>
      <c r="C16" s="60" t="n">
        <f aca="false">Curves!E9</f>
        <v>0.96933</v>
      </c>
      <c r="D16" s="61" t="n">
        <f aca="false">SABR!AT10</f>
        <v>0.39978211956629</v>
      </c>
      <c r="E16" s="64" t="n">
        <f aca="false">Curves_Current!Q81</f>
        <v>0.956044396643647</v>
      </c>
      <c r="F16" s="64" t="n">
        <f aca="false">Curves_Current!Q82</f>
        <v>0.952997940377281</v>
      </c>
      <c r="G16" s="64" t="n">
        <f aca="false">Curves_Current!Q83</f>
        <v>0.963912943371517</v>
      </c>
      <c r="H16" s="60" t="n">
        <f aca="false">Curves!E13</f>
        <v>0.960645</v>
      </c>
      <c r="I16" s="62" t="n">
        <f aca="false">NPV_Engine!$B$4*B16*(C16/NPV_Engine!$B$8)*(1+0.5*(D16-NPV_Engine!$B$13))*(AVERAGE(E16,F16,G16)/B16)*(H16/NPV_Engine!$B$12)</f>
        <v>9576517.60130815</v>
      </c>
    </row>
    <row r="19" customFormat="false" ht="15" hidden="false" customHeight="false" outlineLevel="0" collapsed="false">
      <c r="A19" s="57" t="s">
        <v>269</v>
      </c>
      <c r="B19" s="57"/>
      <c r="C19" s="57"/>
      <c r="D19" s="57"/>
      <c r="E19" s="57"/>
      <c r="F19" s="57"/>
      <c r="G19" s="57"/>
      <c r="H19" s="57"/>
      <c r="I19" s="57"/>
      <c r="J19" s="58" t="s">
        <v>268</v>
      </c>
    </row>
    <row r="20" customFormat="false" ht="39.55" hidden="false" customHeight="false" outlineLevel="0" collapsed="false">
      <c r="A20" s="22" t="s">
        <v>179</v>
      </c>
      <c r="B20" s="22" t="s">
        <v>180</v>
      </c>
      <c r="C20" s="22" t="s">
        <v>181</v>
      </c>
      <c r="D20" s="22" t="s">
        <v>182</v>
      </c>
      <c r="E20" s="22" t="s">
        <v>183</v>
      </c>
      <c r="F20" s="22" t="s">
        <v>184</v>
      </c>
      <c r="G20" s="22" t="s">
        <v>185</v>
      </c>
      <c r="H20" s="22" t="s">
        <v>186</v>
      </c>
      <c r="I20" s="22" t="s">
        <v>187</v>
      </c>
    </row>
    <row r="21" customFormat="false" ht="15" hidden="false" customHeight="false" outlineLevel="0" collapsed="false">
      <c r="A21" s="59" t="s">
        <v>188</v>
      </c>
      <c r="B21" s="60" t="n">
        <f aca="false">Curves!E8</f>
        <v>0.957768</v>
      </c>
      <c r="C21" s="60" t="n">
        <f aca="false">Curves!E9</f>
        <v>0.96933</v>
      </c>
      <c r="D21" s="61" t="n">
        <f aca="false">SABR!AT10</f>
        <v>0.39978211956629</v>
      </c>
      <c r="E21" s="60" t="n">
        <f aca="false">Curves!E10</f>
        <v>0.958726</v>
      </c>
      <c r="F21" s="60" t="n">
        <f aca="false">Curves!E11</f>
        <v>0.954899</v>
      </c>
      <c r="G21" s="60" t="n">
        <f aca="false">Curves!E12</f>
        <v>0.967393</v>
      </c>
      <c r="H21" s="60" t="n">
        <f aca="false">Curves!E13</f>
        <v>0.960645</v>
      </c>
      <c r="I21" s="62" t="n">
        <f aca="false">NPV_Engine!$B$4*B21*(C21/NPV_Engine!$B$8)*(1+0.5*(D21-NPV_Engine!$B$13))*(AVERAGE(E21,F21,G21)/B21)*(H21/NPV_Engine!$B$12)</f>
        <v>9603393.33333333</v>
      </c>
    </row>
    <row r="22" customFormat="false" ht="15" hidden="false" customHeight="false" outlineLevel="0" collapsed="false">
      <c r="A22" s="63" t="s">
        <v>117</v>
      </c>
      <c r="B22" s="60" t="n">
        <f aca="false">Curves!E8</f>
        <v>0.957768</v>
      </c>
      <c r="C22" s="60" t="n">
        <f aca="false">Curves!E9</f>
        <v>0.96933</v>
      </c>
      <c r="D22" s="61" t="n">
        <f aca="false">SABR!AT10</f>
        <v>0.39978211956629</v>
      </c>
      <c r="E22" s="64" t="n">
        <f aca="false">Curves_Current!Q9</f>
        <v>0.957681920165427</v>
      </c>
      <c r="F22" s="64" t="n">
        <f aca="false">Curves_Current!Q10</f>
        <v>0.954165270979805</v>
      </c>
      <c r="G22" s="64" t="n">
        <f aca="false">Curves_Current!Q11</f>
        <v>0.968878880918249</v>
      </c>
      <c r="H22" s="60" t="n">
        <f aca="false">Curves!E13</f>
        <v>0.960645</v>
      </c>
      <c r="I22" s="62" t="n">
        <f aca="false">NPV_Engine!$B$4*B22*(C22/NPV_Engine!$B$8)*(1+0.5*(D22-NPV_Engine!$B$13))*(AVERAGE(E22,F22,G22)/B22)*(H22/NPV_Engine!$B$12)</f>
        <v>9602420.2402116</v>
      </c>
    </row>
    <row r="23" customFormat="false" ht="15" hidden="false" customHeight="false" outlineLevel="0" collapsed="false">
      <c r="A23" s="63" t="s">
        <v>118</v>
      </c>
      <c r="B23" s="60" t="n">
        <f aca="false">Curves!E8</f>
        <v>0.957768</v>
      </c>
      <c r="C23" s="60" t="n">
        <f aca="false">Curves!E9</f>
        <v>0.96933</v>
      </c>
      <c r="D23" s="61" t="n">
        <f aca="false">SABR!AT10</f>
        <v>0.39978211956629</v>
      </c>
      <c r="E23" s="64" t="n">
        <f aca="false">Curves_Current!Q17</f>
        <v>0.958262308784257</v>
      </c>
      <c r="F23" s="64" t="n">
        <f aca="false">Curves_Current!Q18</f>
        <v>0.952882762555419</v>
      </c>
      <c r="G23" s="64" t="n">
        <f aca="false">Curves_Current!Q19</f>
        <v>0.965773029228864</v>
      </c>
      <c r="H23" s="60" t="n">
        <f aca="false">Curves!E13</f>
        <v>0.960645</v>
      </c>
      <c r="I23" s="62" t="n">
        <f aca="false">NPV_Engine!$B$4*B23*(C23/NPV_Engine!$B$8)*(1+0.5*(D23-NPV_Engine!$B$13))*(AVERAGE(E23,F23,G23)/B23)*(H23/NPV_Engine!$B$12)</f>
        <v>9589727.00189513</v>
      </c>
    </row>
    <row r="24" customFormat="false" ht="15" hidden="false" customHeight="false" outlineLevel="0" collapsed="false">
      <c r="A24" s="63" t="s">
        <v>119</v>
      </c>
      <c r="B24" s="60" t="n">
        <f aca="false">Curves!E8</f>
        <v>0.957768</v>
      </c>
      <c r="C24" s="60" t="n">
        <f aca="false">Curves!E9</f>
        <v>0.96933</v>
      </c>
      <c r="D24" s="61" t="n">
        <f aca="false">SABR!AT10</f>
        <v>0.39978211956629</v>
      </c>
      <c r="E24" s="64" t="n">
        <f aca="false">Curves_Current!Q25</f>
        <v>0.957194399871784</v>
      </c>
      <c r="F24" s="64" t="n">
        <f aca="false">Curves_Current!Q26</f>
        <v>0.955788775537166</v>
      </c>
      <c r="G24" s="64" t="n">
        <f aca="false">Curves_Current!Q27</f>
        <v>0.966448771333421</v>
      </c>
      <c r="H24" s="60" t="n">
        <f aca="false">Curves!E13</f>
        <v>0.960645</v>
      </c>
      <c r="I24" s="62" t="n">
        <f aca="false">NPV_Engine!$B$4*B24*(C24/NPV_Engine!$B$8)*(1+0.5*(D24-NPV_Engine!$B$13))*(AVERAGE(E24,F24,G24)/B24)*(H24/NPV_Engine!$B$12)</f>
        <v>9598106.48914124</v>
      </c>
    </row>
    <row r="25" customFormat="false" ht="15" hidden="false" customHeight="false" outlineLevel="0" collapsed="false">
      <c r="A25" s="63" t="s">
        <v>120</v>
      </c>
      <c r="B25" s="60" t="n">
        <f aca="false">Curves!E8</f>
        <v>0.957768</v>
      </c>
      <c r="C25" s="60" t="n">
        <f aca="false">Curves!E9</f>
        <v>0.96933</v>
      </c>
      <c r="D25" s="61" t="n">
        <f aca="false">SABR!AT10</f>
        <v>0.39978211956629</v>
      </c>
      <c r="E25" s="64" t="n">
        <f aca="false">Curves_Current!Q33</f>
        <v>0.957053949688665</v>
      </c>
      <c r="F25" s="64" t="n">
        <f aca="false">Curves_Current!Q34</f>
        <v>0.952125081208929</v>
      </c>
      <c r="G25" s="64" t="n">
        <f aca="false">Curves_Current!Q35</f>
        <v>0.965252169321666</v>
      </c>
      <c r="H25" s="60" t="n">
        <f aca="false">Curves!E13</f>
        <v>0.960645</v>
      </c>
      <c r="I25" s="62" t="n">
        <f aca="false">NPV_Engine!$B$4*B25*(C25/NPV_Engine!$B$8)*(1+0.5*(D25-NPV_Engine!$B$13))*(AVERAGE(E25,F25,G25)/B25)*(H25/NPV_Engine!$B$12)</f>
        <v>9581437.3340642</v>
      </c>
    </row>
    <row r="26" customFormat="false" ht="15" hidden="false" customHeight="false" outlineLevel="0" collapsed="false">
      <c r="A26" s="63" t="s">
        <v>121</v>
      </c>
      <c r="B26" s="60" t="n">
        <f aca="false">Curves!E8</f>
        <v>0.957768</v>
      </c>
      <c r="C26" s="60" t="n">
        <f aca="false">Curves!E9</f>
        <v>0.96933</v>
      </c>
      <c r="D26" s="61" t="n">
        <f aca="false">SABR!AT10</f>
        <v>0.39978211956629</v>
      </c>
      <c r="E26" s="64" t="n">
        <f aca="false">Curves_Current!Q41</f>
        <v>0.957905601234653</v>
      </c>
      <c r="F26" s="64" t="n">
        <f aca="false">Curves_Current!Q42</f>
        <v>0.952092269426374</v>
      </c>
      <c r="G26" s="64" t="n">
        <f aca="false">Curves_Current!Q43</f>
        <v>0.965065665104197</v>
      </c>
      <c r="H26" s="60" t="n">
        <f aca="false">Curves!E13</f>
        <v>0.960645</v>
      </c>
      <c r="I26" s="62" t="n">
        <f aca="false">NPV_Engine!$B$4*B26*(C26/NPV_Engine!$B$8)*(1+0.5*(D26-NPV_Engine!$B$13))*(AVERAGE(E26,F26,G26)/B26)*(H26/NPV_Engine!$B$12)</f>
        <v>9583545.11921742</v>
      </c>
    </row>
    <row r="27" customFormat="false" ht="15" hidden="false" customHeight="false" outlineLevel="0" collapsed="false">
      <c r="A27" s="63" t="s">
        <v>122</v>
      </c>
      <c r="B27" s="60" t="n">
        <f aca="false">Curves!E8</f>
        <v>0.957768</v>
      </c>
      <c r="C27" s="60" t="n">
        <f aca="false">Curves!E9</f>
        <v>0.96933</v>
      </c>
      <c r="D27" s="61" t="n">
        <f aca="false">SABR!AT10</f>
        <v>0.39978211956629</v>
      </c>
      <c r="E27" s="64" t="n">
        <f aca="false">Curves_Current!Q49</f>
        <v>0.958377026624332</v>
      </c>
      <c r="F27" s="64" t="n">
        <f aca="false">Curves_Current!Q50</f>
        <v>0.951657571221878</v>
      </c>
      <c r="G27" s="64" t="n">
        <f aca="false">Curves_Current!Q51</f>
        <v>0.967054122180948</v>
      </c>
      <c r="H27" s="60" t="n">
        <f aca="false">Curves!E13</f>
        <v>0.960645</v>
      </c>
      <c r="I27" s="62" t="n">
        <f aca="false">NPV_Engine!$B$4*B27*(C27/NPV_Engine!$B$8)*(1+0.5*(D27-NPV_Engine!$B$13))*(AVERAGE(E27,F27,G27)/B27)*(H27/NPV_Engine!$B$12)</f>
        <v>9590295.73342386</v>
      </c>
    </row>
    <row r="28" customFormat="false" ht="15" hidden="false" customHeight="false" outlineLevel="0" collapsed="false">
      <c r="A28" s="63" t="s">
        <v>123</v>
      </c>
      <c r="B28" s="60" t="n">
        <f aca="false">Curves!E8</f>
        <v>0.957768</v>
      </c>
      <c r="C28" s="60" t="n">
        <f aca="false">Curves!E9</f>
        <v>0.96933</v>
      </c>
      <c r="D28" s="61" t="n">
        <f aca="false">SABR!AT10</f>
        <v>0.39978211956629</v>
      </c>
      <c r="E28" s="64" t="n">
        <f aca="false">Curves_Current!Q57</f>
        <v>0.956515327373862</v>
      </c>
      <c r="F28" s="64" t="n">
        <f aca="false">Curves_Current!Q58</f>
        <v>0.951467522241567</v>
      </c>
      <c r="G28" s="64" t="n">
        <f aca="false">Curves_Current!Q59</f>
        <v>0.964585750008933</v>
      </c>
      <c r="H28" s="60" t="n">
        <f aca="false">Curves!E13</f>
        <v>0.960645</v>
      </c>
      <c r="I28" s="62" t="n">
        <f aca="false">NPV_Engine!$B$4*B28*(C28/NPV_Engine!$B$8)*(1+0.5*(D28-NPV_Engine!$B$13))*(AVERAGE(E28,F28,G28)/B28)*(H28/NPV_Engine!$B$12)</f>
        <v>9575228.66541454</v>
      </c>
    </row>
    <row r="29" customFormat="false" ht="15" hidden="false" customHeight="false" outlineLevel="0" collapsed="false">
      <c r="A29" s="63" t="s">
        <v>124</v>
      </c>
      <c r="B29" s="60" t="n">
        <f aca="false">Curves!E8</f>
        <v>0.957768</v>
      </c>
      <c r="C29" s="60" t="n">
        <f aca="false">Curves!E9</f>
        <v>0.96933</v>
      </c>
      <c r="D29" s="61" t="n">
        <f aca="false">SABR!AT10</f>
        <v>0.39978211956629</v>
      </c>
      <c r="E29" s="64" t="n">
        <f aca="false">Curves_Current!Q65</f>
        <v>0.956295155645531</v>
      </c>
      <c r="F29" s="64" t="n">
        <f aca="false">Curves_Current!Q66</f>
        <v>0.951090646612669</v>
      </c>
      <c r="G29" s="64" t="n">
        <f aca="false">Curves_Current!Q67</f>
        <v>0.964232142879761</v>
      </c>
      <c r="H29" s="60" t="n">
        <f aca="false">Curves!E13</f>
        <v>0.960645</v>
      </c>
      <c r="I29" s="62" t="n">
        <f aca="false">NPV_Engine!$B$4*B29*(C29/NPV_Engine!$B$8)*(1+0.5*(D29-NPV_Engine!$B$13))*(AVERAGE(E29,F29,G29)/B29)*(H29/NPV_Engine!$B$12)</f>
        <v>9572059.81712654</v>
      </c>
    </row>
    <row r="30" customFormat="false" ht="15" hidden="false" customHeight="false" outlineLevel="0" collapsed="false">
      <c r="A30" s="63" t="s">
        <v>125</v>
      </c>
      <c r="B30" s="60" t="n">
        <f aca="false">Curves!E8</f>
        <v>0.957768</v>
      </c>
      <c r="C30" s="60" t="n">
        <f aca="false">Curves!E9</f>
        <v>0.96933</v>
      </c>
      <c r="D30" s="61" t="n">
        <f aca="false">SABR!AT10</f>
        <v>0.39978211956629</v>
      </c>
      <c r="E30" s="64" t="n">
        <f aca="false">Curves_Current!Q73</f>
        <v>0.95613081046933</v>
      </c>
      <c r="F30" s="64" t="n">
        <f aca="false">Curves_Current!Q74</f>
        <v>0.95090077919812</v>
      </c>
      <c r="G30" s="64" t="n">
        <f aca="false">Curves_Current!Q75</f>
        <v>0.964026518114088</v>
      </c>
      <c r="H30" s="60" t="n">
        <f aca="false">Curves!E13</f>
        <v>0.960645</v>
      </c>
      <c r="I30" s="62" t="n">
        <f aca="false">NPV_Engine!$B$4*B30*(C30/NPV_Engine!$B$8)*(1+0.5*(D30-NPV_Engine!$B$13))*(AVERAGE(E30,F30,G30)/B30)*(H30/NPV_Engine!$B$12)</f>
        <v>9570193.69260513</v>
      </c>
    </row>
    <row r="31" customFormat="false" ht="15" hidden="false" customHeight="false" outlineLevel="0" collapsed="false">
      <c r="A31" s="63" t="s">
        <v>126</v>
      </c>
      <c r="B31" s="60" t="n">
        <f aca="false">Curves!E8</f>
        <v>0.957768</v>
      </c>
      <c r="C31" s="60" t="n">
        <f aca="false">Curves!E9</f>
        <v>0.96933</v>
      </c>
      <c r="D31" s="61" t="n">
        <f aca="false">SABR!AT10</f>
        <v>0.39978211956629</v>
      </c>
      <c r="E31" s="64" t="n">
        <f aca="false">Curves_Current!Q81</f>
        <v>0.956044396643647</v>
      </c>
      <c r="F31" s="64" t="n">
        <f aca="false">Curves_Current!Q82</f>
        <v>0.952997940377281</v>
      </c>
      <c r="G31" s="64" t="n">
        <f aca="false">Curves_Current!Q83</f>
        <v>0.963912943371517</v>
      </c>
      <c r="H31" s="60" t="n">
        <f aca="false">Curves!E13</f>
        <v>0.960645</v>
      </c>
      <c r="I31" s="62" t="n">
        <f aca="false">NPV_Engine!$B$4*B31*(C31/NPV_Engine!$B$8)*(1+0.5*(D31-NPV_Engine!$B$13))*(AVERAGE(E31,F31,G31)/B31)*(H31/NPV_Engine!$B$12)</f>
        <v>9576517.60130815</v>
      </c>
    </row>
    <row r="34" customFormat="false" ht="15" hidden="false" customHeight="false" outlineLevel="0" collapsed="false">
      <c r="A34" s="57" t="s">
        <v>270</v>
      </c>
      <c r="B34" s="57"/>
      <c r="C34" s="57"/>
      <c r="D34" s="57"/>
      <c r="E34" s="57"/>
      <c r="F34" s="57"/>
      <c r="G34" s="57"/>
      <c r="H34" s="57"/>
      <c r="I34" s="57"/>
      <c r="J34" s="58" t="s">
        <v>271</v>
      </c>
    </row>
    <row r="35" customFormat="false" ht="39.55" hidden="false" customHeight="false" outlineLevel="0" collapsed="false">
      <c r="A35" s="22" t="s">
        <v>179</v>
      </c>
      <c r="B35" s="22" t="s">
        <v>180</v>
      </c>
      <c r="C35" s="22" t="s">
        <v>181</v>
      </c>
      <c r="D35" s="22" t="s">
        <v>182</v>
      </c>
      <c r="E35" s="22" t="s">
        <v>183</v>
      </c>
      <c r="F35" s="22" t="s">
        <v>184</v>
      </c>
      <c r="G35" s="22" t="s">
        <v>185</v>
      </c>
      <c r="H35" s="22" t="s">
        <v>186</v>
      </c>
      <c r="I35" s="22" t="s">
        <v>187</v>
      </c>
    </row>
    <row r="36" customFormat="false" ht="15" hidden="false" customHeight="false" outlineLevel="0" collapsed="false">
      <c r="A36" s="59" t="s">
        <v>188</v>
      </c>
      <c r="B36" s="60" t="n">
        <f aca="false">Curves!E8</f>
        <v>0.957768</v>
      </c>
      <c r="C36" s="60" t="n">
        <f aca="false">Curves!E9</f>
        <v>0.96933</v>
      </c>
      <c r="D36" s="61" t="n">
        <f aca="false">SABR!AT10</f>
        <v>0.39978211956629</v>
      </c>
      <c r="E36" s="60" t="n">
        <f aca="false">Curves!E10</f>
        <v>0.958726</v>
      </c>
      <c r="F36" s="60" t="n">
        <f aca="false">Curves!E11</f>
        <v>0.954899</v>
      </c>
      <c r="G36" s="60" t="n">
        <f aca="false">Curves!E12</f>
        <v>0.967393</v>
      </c>
      <c r="H36" s="60" t="n">
        <f aca="false">Curves!E13</f>
        <v>0.960645</v>
      </c>
      <c r="I36" s="62" t="n">
        <f aca="false">NPV_Engine!$B$4*B36*(C36/NPV_Engine!$B$8)*(1+0.5*(D36-NPV_Engine!$B$13))*(AVERAGE(E36,F36,G36)/B36)*(H36/NPV_Engine!$B$12)</f>
        <v>9603393.33333333</v>
      </c>
    </row>
    <row r="37" customFormat="false" ht="15" hidden="false" customHeight="false" outlineLevel="0" collapsed="false">
      <c r="A37" s="63" t="s">
        <v>117</v>
      </c>
      <c r="B37" s="60" t="n">
        <f aca="false">Curves!E8</f>
        <v>0.957768</v>
      </c>
      <c r="C37" s="60" t="n">
        <f aca="false">Curves!E9</f>
        <v>0.96933</v>
      </c>
      <c r="D37" s="61" t="n">
        <f aca="false">SABR!AT10</f>
        <v>0.39978211956629</v>
      </c>
      <c r="E37" s="60" t="n">
        <f aca="false">Curves!E10</f>
        <v>0.958726</v>
      </c>
      <c r="F37" s="64" t="n">
        <f aca="false">Curves_Current!Q10</f>
        <v>0.954165270979805</v>
      </c>
      <c r="G37" s="60" t="n">
        <f aca="false">Curves!E12</f>
        <v>0.967393</v>
      </c>
      <c r="H37" s="60" t="n">
        <f aca="false">Curves!E13</f>
        <v>0.960645</v>
      </c>
      <c r="I37" s="62" t="n">
        <f aca="false">NPV_Engine!$B$4*B37*(C37/NPV_Engine!$B$8)*(1+0.5*(D37-NPV_Engine!$B$13))*(AVERAGE(E37,F37,G37)/B37)*(H37/NPV_Engine!$B$12)</f>
        <v>9600947.56993268</v>
      </c>
    </row>
    <row r="38" customFormat="false" ht="15" hidden="false" customHeight="false" outlineLevel="0" collapsed="false">
      <c r="A38" s="63" t="s">
        <v>118</v>
      </c>
      <c r="B38" s="60" t="n">
        <f aca="false">Curves!E8</f>
        <v>0.957768</v>
      </c>
      <c r="C38" s="60" t="n">
        <f aca="false">Curves!E9</f>
        <v>0.96933</v>
      </c>
      <c r="D38" s="61" t="n">
        <f aca="false">SABR!AT10</f>
        <v>0.39978211956629</v>
      </c>
      <c r="E38" s="60" t="n">
        <f aca="false">Curves!E10</f>
        <v>0.958726</v>
      </c>
      <c r="F38" s="64" t="n">
        <f aca="false">Curves_Current!Q18</f>
        <v>0.952882762555419</v>
      </c>
      <c r="G38" s="60" t="n">
        <f aca="false">Curves!E12</f>
        <v>0.967393</v>
      </c>
      <c r="H38" s="60" t="n">
        <f aca="false">Curves!E13</f>
        <v>0.960645</v>
      </c>
      <c r="I38" s="62" t="n">
        <f aca="false">NPV_Engine!$B$4*B38*(C38/NPV_Engine!$B$8)*(1+0.5*(D38-NPV_Engine!$B$13))*(AVERAGE(E38,F38,G38)/B38)*(H38/NPV_Engine!$B$12)</f>
        <v>9596672.5418514</v>
      </c>
    </row>
    <row r="39" customFormat="false" ht="15" hidden="false" customHeight="false" outlineLevel="0" collapsed="false">
      <c r="A39" s="63" t="s">
        <v>119</v>
      </c>
      <c r="B39" s="60" t="n">
        <f aca="false">Curves!E8</f>
        <v>0.957768</v>
      </c>
      <c r="C39" s="60" t="n">
        <f aca="false">Curves!E9</f>
        <v>0.96933</v>
      </c>
      <c r="D39" s="61" t="n">
        <f aca="false">SABR!AT10</f>
        <v>0.39978211956629</v>
      </c>
      <c r="E39" s="60" t="n">
        <f aca="false">Curves!E10</f>
        <v>0.958726</v>
      </c>
      <c r="F39" s="64" t="n">
        <f aca="false">Curves_Current!Q26</f>
        <v>0.955788775537166</v>
      </c>
      <c r="G39" s="60" t="n">
        <f aca="false">Curves!E12</f>
        <v>0.967393</v>
      </c>
      <c r="H39" s="60" t="n">
        <f aca="false">Curves!E13</f>
        <v>0.960645</v>
      </c>
      <c r="I39" s="62" t="n">
        <f aca="false">NPV_Engine!$B$4*B39*(C39/NPV_Engine!$B$8)*(1+0.5*(D39-NPV_Engine!$B$13))*(AVERAGE(E39,F39,G39)/B39)*(H39/NPV_Engine!$B$12)</f>
        <v>9606359.25179055</v>
      </c>
    </row>
    <row r="40" customFormat="false" ht="15" hidden="false" customHeight="false" outlineLevel="0" collapsed="false">
      <c r="A40" s="63" t="s">
        <v>120</v>
      </c>
      <c r="B40" s="60" t="n">
        <f aca="false">Curves!E8</f>
        <v>0.957768</v>
      </c>
      <c r="C40" s="60" t="n">
        <f aca="false">Curves!E9</f>
        <v>0.96933</v>
      </c>
      <c r="D40" s="61" t="n">
        <f aca="false">SABR!AT10</f>
        <v>0.39978211956629</v>
      </c>
      <c r="E40" s="60" t="n">
        <f aca="false">Curves!E10</f>
        <v>0.958726</v>
      </c>
      <c r="F40" s="64" t="n">
        <f aca="false">Curves_Current!Q34</f>
        <v>0.952125081208929</v>
      </c>
      <c r="G40" s="60" t="n">
        <f aca="false">Curves!E12</f>
        <v>0.967393</v>
      </c>
      <c r="H40" s="60" t="n">
        <f aca="false">Curves!E13</f>
        <v>0.960645</v>
      </c>
      <c r="I40" s="62" t="n">
        <f aca="false">NPV_Engine!$B$4*B40*(C40/NPV_Engine!$B$8)*(1+0.5*(D40-NPV_Engine!$B$13))*(AVERAGE(E40,F40,G40)/B40)*(H40/NPV_Engine!$B$12)</f>
        <v>9594146.9373631</v>
      </c>
    </row>
    <row r="41" customFormat="false" ht="15" hidden="false" customHeight="false" outlineLevel="0" collapsed="false">
      <c r="A41" s="63" t="s">
        <v>121</v>
      </c>
      <c r="B41" s="60" t="n">
        <f aca="false">Curves!E8</f>
        <v>0.957768</v>
      </c>
      <c r="C41" s="60" t="n">
        <f aca="false">Curves!E9</f>
        <v>0.96933</v>
      </c>
      <c r="D41" s="61" t="n">
        <f aca="false">SABR!AT10</f>
        <v>0.39978211956629</v>
      </c>
      <c r="E41" s="60" t="n">
        <f aca="false">Curves!E10</f>
        <v>0.958726</v>
      </c>
      <c r="F41" s="64" t="n">
        <f aca="false">Curves_Current!Q42</f>
        <v>0.952092269426374</v>
      </c>
      <c r="G41" s="60" t="n">
        <f aca="false">Curves!E12</f>
        <v>0.967393</v>
      </c>
      <c r="H41" s="60" t="n">
        <f aca="false">Curves!E13</f>
        <v>0.960645</v>
      </c>
      <c r="I41" s="62" t="n">
        <f aca="false">NPV_Engine!$B$4*B41*(C41/NPV_Engine!$B$8)*(1+0.5*(D41-NPV_Engine!$B$13))*(AVERAGE(E41,F41,G41)/B41)*(H41/NPV_Engine!$B$12)</f>
        <v>9594037.56475458</v>
      </c>
    </row>
    <row r="42" customFormat="false" ht="15" hidden="false" customHeight="false" outlineLevel="0" collapsed="false">
      <c r="A42" s="63" t="s">
        <v>122</v>
      </c>
      <c r="B42" s="60" t="n">
        <f aca="false">Curves!E8</f>
        <v>0.957768</v>
      </c>
      <c r="C42" s="60" t="n">
        <f aca="false">Curves!E9</f>
        <v>0.96933</v>
      </c>
      <c r="D42" s="61" t="n">
        <f aca="false">SABR!AT10</f>
        <v>0.39978211956629</v>
      </c>
      <c r="E42" s="60" t="n">
        <f aca="false">Curves!E10</f>
        <v>0.958726</v>
      </c>
      <c r="F42" s="64" t="n">
        <f aca="false">Curves_Current!Q50</f>
        <v>0.951657571221878</v>
      </c>
      <c r="G42" s="60" t="n">
        <f aca="false">Curves!E12</f>
        <v>0.967393</v>
      </c>
      <c r="H42" s="60" t="n">
        <f aca="false">Curves!E13</f>
        <v>0.960645</v>
      </c>
      <c r="I42" s="62" t="n">
        <f aca="false">NPV_Engine!$B$4*B42*(C42/NPV_Engine!$B$8)*(1+0.5*(D42-NPV_Engine!$B$13))*(AVERAGE(E42,F42,G42)/B42)*(H42/NPV_Engine!$B$12)</f>
        <v>9592588.5707396</v>
      </c>
    </row>
    <row r="43" customFormat="false" ht="15" hidden="false" customHeight="false" outlineLevel="0" collapsed="false">
      <c r="A43" s="63" t="s">
        <v>123</v>
      </c>
      <c r="B43" s="60" t="n">
        <f aca="false">Curves!E8</f>
        <v>0.957768</v>
      </c>
      <c r="C43" s="60" t="n">
        <f aca="false">Curves!E9</f>
        <v>0.96933</v>
      </c>
      <c r="D43" s="61" t="n">
        <f aca="false">SABR!AT10</f>
        <v>0.39978211956629</v>
      </c>
      <c r="E43" s="60" t="n">
        <f aca="false">Curves!E10</f>
        <v>0.958726</v>
      </c>
      <c r="F43" s="64" t="n">
        <f aca="false">Curves_Current!Q58</f>
        <v>0.951467522241567</v>
      </c>
      <c r="G43" s="60" t="n">
        <f aca="false">Curves!E12</f>
        <v>0.967393</v>
      </c>
      <c r="H43" s="60" t="n">
        <f aca="false">Curves!E13</f>
        <v>0.960645</v>
      </c>
      <c r="I43" s="62" t="n">
        <f aca="false">NPV_Engine!$B$4*B43*(C43/NPV_Engine!$B$8)*(1+0.5*(D43-NPV_Engine!$B$13))*(AVERAGE(E43,F43,G43)/B43)*(H43/NPV_Engine!$B$12)</f>
        <v>9591955.07413856</v>
      </c>
    </row>
    <row r="44" customFormat="false" ht="15" hidden="false" customHeight="false" outlineLevel="0" collapsed="false">
      <c r="A44" s="63" t="s">
        <v>124</v>
      </c>
      <c r="B44" s="60" t="n">
        <f aca="false">Curves!E8</f>
        <v>0.957768</v>
      </c>
      <c r="C44" s="60" t="n">
        <f aca="false">Curves!E9</f>
        <v>0.96933</v>
      </c>
      <c r="D44" s="61" t="n">
        <f aca="false">SABR!AT10</f>
        <v>0.39978211956629</v>
      </c>
      <c r="E44" s="60" t="n">
        <f aca="false">Curves!E10</f>
        <v>0.958726</v>
      </c>
      <c r="F44" s="64" t="n">
        <f aca="false">Curves_Current!Q66</f>
        <v>0.951090646612669</v>
      </c>
      <c r="G44" s="60" t="n">
        <f aca="false">Curves!E12</f>
        <v>0.967393</v>
      </c>
      <c r="H44" s="60" t="n">
        <f aca="false">Curves!E13</f>
        <v>0.960645</v>
      </c>
      <c r="I44" s="62" t="n">
        <f aca="false">NPV_Engine!$B$4*B44*(C44/NPV_Engine!$B$8)*(1+0.5*(D44-NPV_Engine!$B$13))*(AVERAGE(E44,F44,G44)/B44)*(H44/NPV_Engine!$B$12)</f>
        <v>9590698.82204223</v>
      </c>
    </row>
    <row r="45" customFormat="false" ht="15" hidden="false" customHeight="false" outlineLevel="0" collapsed="false">
      <c r="A45" s="63" t="s">
        <v>125</v>
      </c>
      <c r="B45" s="60" t="n">
        <f aca="false">Curves!E8</f>
        <v>0.957768</v>
      </c>
      <c r="C45" s="60" t="n">
        <f aca="false">Curves!E9</f>
        <v>0.96933</v>
      </c>
      <c r="D45" s="61" t="n">
        <f aca="false">SABR!AT10</f>
        <v>0.39978211956629</v>
      </c>
      <c r="E45" s="60" t="n">
        <f aca="false">Curves!E10</f>
        <v>0.958726</v>
      </c>
      <c r="F45" s="64" t="n">
        <f aca="false">Curves_Current!Q74</f>
        <v>0.95090077919812</v>
      </c>
      <c r="G45" s="60" t="n">
        <f aca="false">Curves!E12</f>
        <v>0.967393</v>
      </c>
      <c r="H45" s="60" t="n">
        <f aca="false">Curves!E13</f>
        <v>0.960645</v>
      </c>
      <c r="I45" s="62" t="n">
        <f aca="false">NPV_Engine!$B$4*B45*(C45/NPV_Engine!$B$8)*(1+0.5*(D45-NPV_Engine!$B$13))*(AVERAGE(E45,F45,G45)/B45)*(H45/NPV_Engine!$B$12)</f>
        <v>9590065.9306604</v>
      </c>
    </row>
    <row r="46" customFormat="false" ht="15" hidden="false" customHeight="false" outlineLevel="0" collapsed="false">
      <c r="A46" s="63" t="s">
        <v>126</v>
      </c>
      <c r="B46" s="60" t="n">
        <f aca="false">Curves!E8</f>
        <v>0.957768</v>
      </c>
      <c r="C46" s="60" t="n">
        <f aca="false">Curves!E9</f>
        <v>0.96933</v>
      </c>
      <c r="D46" s="61" t="n">
        <f aca="false">SABR!AT10</f>
        <v>0.39978211956629</v>
      </c>
      <c r="E46" s="60" t="n">
        <f aca="false">Curves!E10</f>
        <v>0.958726</v>
      </c>
      <c r="F46" s="64" t="n">
        <f aca="false">Curves_Current!Q82</f>
        <v>0.952997940377281</v>
      </c>
      <c r="G46" s="60" t="n">
        <f aca="false">Curves!E12</f>
        <v>0.967393</v>
      </c>
      <c r="H46" s="60" t="n">
        <f aca="false">Curves!E13</f>
        <v>0.960645</v>
      </c>
      <c r="I46" s="62" t="n">
        <f aca="false">NPV_Engine!$B$4*B46*(C46/NPV_Engine!$B$8)*(1+0.5*(D46-NPV_Engine!$B$13))*(AVERAGE(E46,F46,G46)/B46)*(H46/NPV_Engine!$B$12)</f>
        <v>9597056.46792427</v>
      </c>
    </row>
    <row r="49" customFormat="false" ht="15" hidden="false" customHeight="false" outlineLevel="0" collapsed="false">
      <c r="A49" s="57" t="s">
        <v>272</v>
      </c>
      <c r="B49" s="57"/>
      <c r="C49" s="57"/>
      <c r="D49" s="57"/>
      <c r="E49" s="57"/>
      <c r="F49" s="57"/>
      <c r="G49" s="57"/>
      <c r="H49" s="57"/>
      <c r="I49" s="57"/>
      <c r="J49" s="58" t="s">
        <v>273</v>
      </c>
    </row>
    <row r="50" customFormat="false" ht="39.55" hidden="false" customHeight="false" outlineLevel="0" collapsed="false">
      <c r="A50" s="22" t="s">
        <v>179</v>
      </c>
      <c r="B50" s="22" t="s">
        <v>180</v>
      </c>
      <c r="C50" s="22" t="s">
        <v>181</v>
      </c>
      <c r="D50" s="22" t="s">
        <v>182</v>
      </c>
      <c r="E50" s="22" t="s">
        <v>183</v>
      </c>
      <c r="F50" s="22" t="s">
        <v>184</v>
      </c>
      <c r="G50" s="22" t="s">
        <v>185</v>
      </c>
      <c r="H50" s="22" t="s">
        <v>186</v>
      </c>
      <c r="I50" s="22" t="s">
        <v>187</v>
      </c>
    </row>
    <row r="51" customFormat="false" ht="15" hidden="false" customHeight="false" outlineLevel="0" collapsed="false">
      <c r="A51" s="59" t="s">
        <v>188</v>
      </c>
      <c r="B51" s="60" t="n">
        <f aca="false">Curves!E8</f>
        <v>0.957768</v>
      </c>
      <c r="C51" s="60" t="n">
        <f aca="false">Curves!E9</f>
        <v>0.96933</v>
      </c>
      <c r="D51" s="61" t="n">
        <f aca="false">SABR!AT10</f>
        <v>0.39978211956629</v>
      </c>
      <c r="E51" s="60" t="n">
        <f aca="false">Curves!E10</f>
        <v>0.958726</v>
      </c>
      <c r="F51" s="60" t="n">
        <f aca="false">Curves!E11</f>
        <v>0.954899</v>
      </c>
      <c r="G51" s="60" t="n">
        <f aca="false">Curves!E12</f>
        <v>0.967393</v>
      </c>
      <c r="H51" s="60" t="n">
        <f aca="false">Curves!E13</f>
        <v>0.960645</v>
      </c>
      <c r="I51" s="62" t="n">
        <f aca="false">NPV_Engine!$B$4*B51*(C51/NPV_Engine!$B$8)*(1+0.5*(D51-NPV_Engine!$B$13))*(AVERAGE(E51,F51,G51)/B51)*(H51/NPV_Engine!$B$12)</f>
        <v>9603393.33333333</v>
      </c>
    </row>
    <row r="52" customFormat="false" ht="15" hidden="false" customHeight="false" outlineLevel="0" collapsed="false">
      <c r="A52" s="63" t="s">
        <v>117</v>
      </c>
      <c r="B52" s="64" t="n">
        <f aca="false">Curves_Current!Q7</f>
        <v>0.956822187215235</v>
      </c>
      <c r="C52" s="64" t="n">
        <f aca="false">Curves_Current!Q8</f>
        <v>0.968995862002259</v>
      </c>
      <c r="D52" s="65" t="n">
        <f aca="false">SABR_Current!AT27</f>
        <v>0.401693250530639</v>
      </c>
      <c r="E52" s="60" t="n">
        <f aca="false">Curves!E10</f>
        <v>0.958726</v>
      </c>
      <c r="F52" s="60" t="n">
        <f aca="false">Curves!E11</f>
        <v>0.954899</v>
      </c>
      <c r="G52" s="60" t="n">
        <f aca="false">Curves!E12</f>
        <v>0.967393</v>
      </c>
      <c r="H52" s="60" t="n">
        <f aca="false">Curves!E13</f>
        <v>0.960645</v>
      </c>
      <c r="I52" s="62" t="n">
        <f aca="false">NPV_Engine!$B$4*B52*(C52/NPV_Engine!$B$8)*(1+0.5*(D52-NPV_Engine!$B$13))*(AVERAGE(E52,F52,G52)/B52)*(H52/NPV_Engine!$B$12)</f>
        <v>9609256.45299485</v>
      </c>
    </row>
    <row r="53" customFormat="false" ht="15" hidden="false" customHeight="false" outlineLevel="0" collapsed="false">
      <c r="A53" s="63" t="s">
        <v>118</v>
      </c>
      <c r="B53" s="64" t="n">
        <f aca="false">Curves_Current!Q15</f>
        <v>0.95669164367522</v>
      </c>
      <c r="C53" s="64" t="n">
        <f aca="false">Curves_Current!Q16</f>
        <v>0.968355314403056</v>
      </c>
      <c r="D53" s="65" t="n">
        <f aca="false">SABR_Current!AT41</f>
        <v>0.401488494979835</v>
      </c>
      <c r="E53" s="60" t="n">
        <f aca="false">Curves!E10</f>
        <v>0.958726</v>
      </c>
      <c r="F53" s="60" t="n">
        <f aca="false">Curves!E11</f>
        <v>0.954899</v>
      </c>
      <c r="G53" s="60" t="n">
        <f aca="false">Curves!E12</f>
        <v>0.967393</v>
      </c>
      <c r="H53" s="60" t="n">
        <f aca="false">Curves!E13</f>
        <v>0.960645</v>
      </c>
      <c r="I53" s="62" t="n">
        <f aca="false">NPV_Engine!$B$4*B53*(C53/NPV_Engine!$B$8)*(1+0.5*(D53-NPV_Engine!$B$13))*(AVERAGE(E53,F53,G53)/B53)*(H53/NPV_Engine!$B$12)</f>
        <v>9601922.13913809</v>
      </c>
    </row>
    <row r="54" customFormat="false" ht="15" hidden="false" customHeight="false" outlineLevel="0" collapsed="false">
      <c r="A54" s="63" t="s">
        <v>119</v>
      </c>
      <c r="B54" s="64" t="n">
        <f aca="false">Curves_Current!Q23</f>
        <v>0.957261411797292</v>
      </c>
      <c r="C54" s="64" t="n">
        <f aca="false">Curves_Current!Q24</f>
        <v>0.968324702487041</v>
      </c>
      <c r="D54" s="65" t="n">
        <f aca="false">SABR_Current!AT55</f>
        <v>0.401966254765439</v>
      </c>
      <c r="E54" s="60" t="n">
        <f aca="false">Curves!E10</f>
        <v>0.958726</v>
      </c>
      <c r="F54" s="60" t="n">
        <f aca="false">Curves!E11</f>
        <v>0.954899</v>
      </c>
      <c r="G54" s="60" t="n">
        <f aca="false">Curves!E12</f>
        <v>0.967393</v>
      </c>
      <c r="H54" s="60" t="n">
        <f aca="false">Curves!E13</f>
        <v>0.960645</v>
      </c>
      <c r="I54" s="62" t="n">
        <f aca="false">NPV_Engine!$B$4*B54*(C54/NPV_Engine!$B$8)*(1+0.5*(D54-NPV_Engine!$B$13))*(AVERAGE(E54,F54,G54)/B54)*(H54/NPV_Engine!$B$12)</f>
        <v>9603910.27891003</v>
      </c>
    </row>
    <row r="55" customFormat="false" ht="15" hidden="false" customHeight="false" outlineLevel="0" collapsed="false">
      <c r="A55" s="63" t="s">
        <v>120</v>
      </c>
      <c r="B55" s="64" t="n">
        <f aca="false">Curves_Current!Q31</f>
        <v>0.957960959770115</v>
      </c>
      <c r="C55" s="64" t="n">
        <f aca="false">Curves_Current!Q32</f>
        <v>0.968736531520539</v>
      </c>
      <c r="D55" s="65" t="n">
        <f aca="false">SABR_Current!AT69</f>
        <v>0.403399467630506</v>
      </c>
      <c r="E55" s="60" t="n">
        <f aca="false">Curves!E10</f>
        <v>0.958726</v>
      </c>
      <c r="F55" s="60" t="n">
        <f aca="false">Curves!E11</f>
        <v>0.954899</v>
      </c>
      <c r="G55" s="60" t="n">
        <f aca="false">Curves!E12</f>
        <v>0.967393</v>
      </c>
      <c r="H55" s="60" t="n">
        <f aca="false">Curves!E13</f>
        <v>0.960645</v>
      </c>
      <c r="I55" s="62" t="n">
        <f aca="false">NPV_Engine!$B$4*B55*(C55/NPV_Engine!$B$8)*(1+0.5*(D55-NPV_Engine!$B$13))*(AVERAGE(E55,F55,G55)/B55)*(H55/NPV_Engine!$B$12)</f>
        <v>9614872.46733204</v>
      </c>
    </row>
    <row r="56" customFormat="false" ht="15" hidden="false" customHeight="false" outlineLevel="0" collapsed="false">
      <c r="A56" s="63" t="s">
        <v>121</v>
      </c>
      <c r="B56" s="64" t="n">
        <f aca="false">Curves_Current!Q39</f>
        <v>0.956191489469807</v>
      </c>
      <c r="C56" s="64" t="n">
        <f aca="false">Curves_Current!Q40</f>
        <v>0.967965562360225</v>
      </c>
      <c r="D56" s="65" t="n">
        <f aca="false">SABR_Current!AT83</f>
        <v>0.403058235518653</v>
      </c>
      <c r="E56" s="60" t="n">
        <f aca="false">Curves!E10</f>
        <v>0.958726</v>
      </c>
      <c r="F56" s="60" t="n">
        <f aca="false">Curves!E11</f>
        <v>0.954899</v>
      </c>
      <c r="G56" s="60" t="n">
        <f aca="false">Curves!E12</f>
        <v>0.967393</v>
      </c>
      <c r="H56" s="60" t="n">
        <f aca="false">Curves!E13</f>
        <v>0.960645</v>
      </c>
      <c r="I56" s="62" t="n">
        <f aca="false">NPV_Engine!$B$4*B56*(C56/NPV_Engine!$B$8)*(1+0.5*(D56-NPV_Engine!$B$13))*(AVERAGE(E56,F56,G56)/B56)*(H56/NPV_Engine!$B$12)</f>
        <v>9605584.28243981</v>
      </c>
    </row>
    <row r="57" customFormat="false" ht="15" hidden="false" customHeight="false" outlineLevel="0" collapsed="false">
      <c r="A57" s="63" t="s">
        <v>122</v>
      </c>
      <c r="B57" s="64" t="n">
        <f aca="false">Curves_Current!Q47</f>
        <v>0.956088729271246</v>
      </c>
      <c r="C57" s="64" t="n">
        <f aca="false">Curves_Current!Q48</f>
        <v>0.969167533255704</v>
      </c>
      <c r="D57" s="65" t="n">
        <f aca="false">SABR_Current!AT97</f>
        <v>0.40490082175243</v>
      </c>
      <c r="E57" s="60" t="n">
        <f aca="false">Curves!E10</f>
        <v>0.958726</v>
      </c>
      <c r="F57" s="60" t="n">
        <f aca="false">Curves!E11</f>
        <v>0.954899</v>
      </c>
      <c r="G57" s="60" t="n">
        <f aca="false">Curves!E12</f>
        <v>0.967393</v>
      </c>
      <c r="H57" s="60" t="n">
        <f aca="false">Curves!E13</f>
        <v>0.960645</v>
      </c>
      <c r="I57" s="62" t="n">
        <f aca="false">NPV_Engine!$B$4*B57*(C57/NPV_Engine!$B$8)*(1+0.5*(D57-NPV_Engine!$B$13))*(AVERAGE(E57,F57,G57)/B57)*(H57/NPV_Engine!$B$12)</f>
        <v>9626358.07059767</v>
      </c>
    </row>
    <row r="58" customFormat="false" ht="15" hidden="false" customHeight="false" outlineLevel="0" collapsed="false">
      <c r="A58" s="63" t="s">
        <v>123</v>
      </c>
      <c r="B58" s="64" t="n">
        <f aca="false">Curves_Current!Q55</f>
        <v>0.955804981192856</v>
      </c>
      <c r="C58" s="64" t="n">
        <f aca="false">Curves_Current!Q56</f>
        <v>0.967676111340144</v>
      </c>
      <c r="D58" s="65" t="n">
        <f aca="false">SABR_Current!AT111</f>
        <v>0.403945427249027</v>
      </c>
      <c r="E58" s="60" t="n">
        <f aca="false">Curves!E10</f>
        <v>0.958726</v>
      </c>
      <c r="F58" s="60" t="n">
        <f aca="false">Curves!E11</f>
        <v>0.954899</v>
      </c>
      <c r="G58" s="60" t="n">
        <f aca="false">Curves!E12</f>
        <v>0.967393</v>
      </c>
      <c r="H58" s="60" t="n">
        <f aca="false">Curves!E13</f>
        <v>0.960645</v>
      </c>
      <c r="I58" s="62" t="n">
        <f aca="false">NPV_Engine!$B$4*B58*(C58/NPV_Engine!$B$8)*(1+0.5*(D58-NPV_Engine!$B$13))*(AVERAGE(E58,F58,G58)/B58)*(H58/NPV_Engine!$B$12)</f>
        <v>9606964.67885393</v>
      </c>
    </row>
    <row r="59" customFormat="false" ht="15" hidden="false" customHeight="false" outlineLevel="0" collapsed="false">
      <c r="A59" s="63" t="s">
        <v>124</v>
      </c>
      <c r="B59" s="64" t="n">
        <f aca="false">Curves_Current!Q63</f>
        <v>0.9557345543552</v>
      </c>
      <c r="C59" s="64" t="n">
        <f aca="false">Curves_Current!Q64</f>
        <v>0.968610371024998</v>
      </c>
      <c r="D59" s="65" t="n">
        <f aca="false">SABR_Current!AT125</f>
        <v>0.405378502381195</v>
      </c>
      <c r="E59" s="60" t="n">
        <f aca="false">Curves!E10</f>
        <v>0.958726</v>
      </c>
      <c r="F59" s="60" t="n">
        <f aca="false">Curves!E11</f>
        <v>0.954899</v>
      </c>
      <c r="G59" s="60" t="n">
        <f aca="false">Curves!E12</f>
        <v>0.967393</v>
      </c>
      <c r="H59" s="60" t="n">
        <f aca="false">Curves!E13</f>
        <v>0.960645</v>
      </c>
      <c r="I59" s="62" t="n">
        <f aca="false">NPV_Engine!$B$4*B59*(C59/NPV_Engine!$B$8)*(1+0.5*(D59-NPV_Engine!$B$13))*(AVERAGE(E59,F59,G59)/B59)*(H59/NPV_Engine!$B$12)</f>
        <v>9623115.97302388</v>
      </c>
    </row>
    <row r="60" customFormat="false" ht="15" hidden="false" customHeight="false" outlineLevel="0" collapsed="false">
      <c r="A60" s="63" t="s">
        <v>125</v>
      </c>
      <c r="B60" s="64" t="n">
        <f aca="false">Curves_Current!Q71</f>
        <v>0.956877760102935</v>
      </c>
      <c r="C60" s="64" t="n">
        <f aca="false">Curves_Current!Q72</f>
        <v>0.967388356778832</v>
      </c>
      <c r="D60" s="65" t="n">
        <f aca="false">SABR_Current!AT139</f>
        <v>0.406060884055627</v>
      </c>
      <c r="E60" s="60" t="n">
        <f aca="false">Curves!E10</f>
        <v>0.958726</v>
      </c>
      <c r="F60" s="60" t="n">
        <f aca="false">Curves!E11</f>
        <v>0.954899</v>
      </c>
      <c r="G60" s="60" t="n">
        <f aca="false">Curves!E12</f>
        <v>0.967393</v>
      </c>
      <c r="H60" s="60" t="n">
        <f aca="false">Curves!E13</f>
        <v>0.960645</v>
      </c>
      <c r="I60" s="62" t="n">
        <f aca="false">NPV_Engine!$B$4*B60*(C60/NPV_Engine!$B$8)*(1+0.5*(D60-NPV_Engine!$B$13))*(AVERAGE(E60,F60,G60)/B60)*(H60/NPV_Engine!$B$12)</f>
        <v>9614245.32344092</v>
      </c>
    </row>
    <row r="61" customFormat="false" ht="15" hidden="false" customHeight="false" outlineLevel="0" collapsed="false">
      <c r="A61" s="63" t="s">
        <v>126</v>
      </c>
      <c r="B61" s="64" t="n">
        <f aca="false">Curves_Current!Q79</f>
        <v>0.955367578394252</v>
      </c>
      <c r="C61" s="64" t="n">
        <f aca="false">Curves_Current!Q80</f>
        <v>0.968488758665977</v>
      </c>
      <c r="D61" s="65" t="n">
        <f aca="false">SABR_Current!AT153</f>
        <v>0.405514980525381</v>
      </c>
      <c r="E61" s="60" t="n">
        <f aca="false">Curves!E10</f>
        <v>0.958726</v>
      </c>
      <c r="F61" s="60" t="n">
        <f aca="false">Curves!E11</f>
        <v>0.954899</v>
      </c>
      <c r="G61" s="60" t="n">
        <f aca="false">Curves!E12</f>
        <v>0.967393</v>
      </c>
      <c r="H61" s="60" t="n">
        <f aca="false">Curves!E13</f>
        <v>0.960645</v>
      </c>
      <c r="I61" s="62" t="n">
        <f aca="false">NPV_Engine!$B$4*B61*(C61/NPV_Engine!$B$8)*(1+0.5*(D61-NPV_Engine!$B$13))*(AVERAGE(E61,F61,G61)/B61)*(H61/NPV_Engine!$B$12)</f>
        <v>9622562.51567961</v>
      </c>
    </row>
    <row r="64" customFormat="false" ht="15" hidden="false" customHeight="false" outlineLevel="0" collapsed="false">
      <c r="A64" s="57" t="s">
        <v>274</v>
      </c>
      <c r="B64" s="57"/>
      <c r="C64" s="57"/>
      <c r="D64" s="57"/>
      <c r="E64" s="57"/>
      <c r="F64" s="57"/>
      <c r="G64" s="57"/>
      <c r="H64" s="57"/>
      <c r="I64" s="57"/>
      <c r="J64" s="58" t="s">
        <v>275</v>
      </c>
    </row>
    <row r="65" customFormat="false" ht="39.55" hidden="false" customHeight="false" outlineLevel="0" collapsed="false">
      <c r="A65" s="22" t="s">
        <v>179</v>
      </c>
      <c r="B65" s="22" t="s">
        <v>180</v>
      </c>
      <c r="C65" s="22" t="s">
        <v>181</v>
      </c>
      <c r="D65" s="22" t="s">
        <v>182</v>
      </c>
      <c r="E65" s="22" t="s">
        <v>183</v>
      </c>
      <c r="F65" s="22" t="s">
        <v>184</v>
      </c>
      <c r="G65" s="22" t="s">
        <v>185</v>
      </c>
      <c r="H65" s="22" t="s">
        <v>186</v>
      </c>
      <c r="I65" s="22" t="s">
        <v>187</v>
      </c>
    </row>
    <row r="66" customFormat="false" ht="15" hidden="false" customHeight="false" outlineLevel="0" collapsed="false">
      <c r="A66" s="59" t="s">
        <v>188</v>
      </c>
      <c r="B66" s="60" t="n">
        <f aca="false">Curves!E8</f>
        <v>0.957768</v>
      </c>
      <c r="C66" s="60" t="n">
        <f aca="false">Curves!E9</f>
        <v>0.96933</v>
      </c>
      <c r="D66" s="61" t="n">
        <f aca="false">SABR!AT10</f>
        <v>0.39978211956629</v>
      </c>
      <c r="E66" s="60" t="n">
        <f aca="false">Curves!E10</f>
        <v>0.958726</v>
      </c>
      <c r="F66" s="60" t="n">
        <f aca="false">Curves!E11</f>
        <v>0.954899</v>
      </c>
      <c r="G66" s="60" t="n">
        <f aca="false">Curves!E12</f>
        <v>0.967393</v>
      </c>
      <c r="H66" s="60" t="n">
        <f aca="false">Curves!E13</f>
        <v>0.960645</v>
      </c>
      <c r="I66" s="62" t="n">
        <f aca="false">NPV_Engine!$B$4*B66*(C66/NPV_Engine!$B$8)*(1+0.5*(D66-NPV_Engine!$B$13))*(AVERAGE(E66,F66,G66)/B66)*(H66/NPV_Engine!$B$12)</f>
        <v>9603393.33333333</v>
      </c>
    </row>
    <row r="67" customFormat="false" ht="15" hidden="false" customHeight="false" outlineLevel="0" collapsed="false">
      <c r="A67" s="63" t="s">
        <v>117</v>
      </c>
      <c r="B67" s="60" t="n">
        <f aca="false">Curves!E8</f>
        <v>0.957768</v>
      </c>
      <c r="C67" s="60" t="n">
        <f aca="false">Curves!E9</f>
        <v>0.96933</v>
      </c>
      <c r="D67" s="65" t="n">
        <f aca="false">SABR_Current!AT27</f>
        <v>0.401693250530639</v>
      </c>
      <c r="E67" s="60" t="n">
        <f aca="false">Curves!E10</f>
        <v>0.958726</v>
      </c>
      <c r="F67" s="60" t="n">
        <f aca="false">Curves!E11</f>
        <v>0.954899</v>
      </c>
      <c r="G67" s="60" t="n">
        <f aca="false">Curves!E12</f>
        <v>0.967393</v>
      </c>
      <c r="H67" s="60" t="n">
        <f aca="false">Curves!E13</f>
        <v>0.960645</v>
      </c>
      <c r="I67" s="62" t="n">
        <f aca="false">NPV_Engine!$B$4*B67*(C67/NPV_Engine!$B$8)*(1+0.5*(D67-NPV_Engine!$B$13))*(AVERAGE(E67,F67,G67)/B67)*(H67/NPV_Engine!$B$12)</f>
        <v>9612570.00451442</v>
      </c>
    </row>
    <row r="68" customFormat="false" ht="15" hidden="false" customHeight="false" outlineLevel="0" collapsed="false">
      <c r="A68" s="63" t="s">
        <v>118</v>
      </c>
      <c r="B68" s="60" t="n">
        <f aca="false">Curves!E8</f>
        <v>0.957768</v>
      </c>
      <c r="C68" s="60" t="n">
        <f aca="false">Curves!E9</f>
        <v>0.96933</v>
      </c>
      <c r="D68" s="65" t="n">
        <f aca="false">SABR_Current!AT41</f>
        <v>0.401488494979835</v>
      </c>
      <c r="E68" s="60" t="n">
        <f aca="false">Curves!E10</f>
        <v>0.958726</v>
      </c>
      <c r="F68" s="60" t="n">
        <f aca="false">Curves!E11</f>
        <v>0.954899</v>
      </c>
      <c r="G68" s="60" t="n">
        <f aca="false">Curves!E12</f>
        <v>0.967393</v>
      </c>
      <c r="H68" s="60" t="n">
        <f aca="false">Curves!E13</f>
        <v>0.960645</v>
      </c>
      <c r="I68" s="62" t="n">
        <f aca="false">NPV_Engine!$B$4*B68*(C68/NPV_Engine!$B$8)*(1+0.5*(D68-NPV_Engine!$B$13))*(AVERAGE(E68,F68,G68)/B68)*(H68/NPV_Engine!$B$12)</f>
        <v>9611586.83046863</v>
      </c>
    </row>
    <row r="69" customFormat="false" ht="15" hidden="false" customHeight="false" outlineLevel="0" collapsed="false">
      <c r="A69" s="63" t="s">
        <v>119</v>
      </c>
      <c r="B69" s="60" t="n">
        <f aca="false">Curves!E8</f>
        <v>0.957768</v>
      </c>
      <c r="C69" s="60" t="n">
        <f aca="false">Curves!E9</f>
        <v>0.96933</v>
      </c>
      <c r="D69" s="65" t="n">
        <f aca="false">SABR_Current!AT55</f>
        <v>0.401966254765439</v>
      </c>
      <c r="E69" s="60" t="n">
        <f aca="false">Curves!E10</f>
        <v>0.958726</v>
      </c>
      <c r="F69" s="60" t="n">
        <f aca="false">Curves!E11</f>
        <v>0.954899</v>
      </c>
      <c r="G69" s="60" t="n">
        <f aca="false">Curves!E12</f>
        <v>0.967393</v>
      </c>
      <c r="H69" s="60" t="n">
        <f aca="false">Curves!E13</f>
        <v>0.960645</v>
      </c>
      <c r="I69" s="62" t="n">
        <f aca="false">NPV_Engine!$B$4*B69*(C69/NPV_Engine!$B$8)*(1+0.5*(D69-NPV_Engine!$B$13))*(AVERAGE(E69,F69,G69)/B69)*(H69/NPV_Engine!$B$12)</f>
        <v>9613880.88803864</v>
      </c>
    </row>
    <row r="70" customFormat="false" ht="15" hidden="false" customHeight="false" outlineLevel="0" collapsed="false">
      <c r="A70" s="63" t="s">
        <v>120</v>
      </c>
      <c r="B70" s="60" t="n">
        <f aca="false">Curves!E8</f>
        <v>0.957768</v>
      </c>
      <c r="C70" s="60" t="n">
        <f aca="false">Curves!E9</f>
        <v>0.96933</v>
      </c>
      <c r="D70" s="65" t="n">
        <f aca="false">SABR_Current!AT69</f>
        <v>0.403399467630506</v>
      </c>
      <c r="E70" s="60" t="n">
        <f aca="false">Curves!E10</f>
        <v>0.958726</v>
      </c>
      <c r="F70" s="60" t="n">
        <f aca="false">Curves!E11</f>
        <v>0.954899</v>
      </c>
      <c r="G70" s="60" t="n">
        <f aca="false">Curves!E12</f>
        <v>0.967393</v>
      </c>
      <c r="H70" s="60" t="n">
        <f aca="false">Curves!E13</f>
        <v>0.960645</v>
      </c>
      <c r="I70" s="62" t="n">
        <f aca="false">NPV_Engine!$B$4*B70*(C70/NPV_Engine!$B$8)*(1+0.5*(D70-NPV_Engine!$B$13))*(AVERAGE(E70,F70,G70)/B70)*(H70/NPV_Engine!$B$12)</f>
        <v>9620762.74147545</v>
      </c>
    </row>
    <row r="71" customFormat="false" ht="15" hidden="false" customHeight="false" outlineLevel="0" collapsed="false">
      <c r="A71" s="63" t="s">
        <v>121</v>
      </c>
      <c r="B71" s="60" t="n">
        <f aca="false">Curves!E8</f>
        <v>0.957768</v>
      </c>
      <c r="C71" s="60" t="n">
        <f aca="false">Curves!E9</f>
        <v>0.96933</v>
      </c>
      <c r="D71" s="65" t="n">
        <f aca="false">SABR_Current!AT83</f>
        <v>0.403058235518653</v>
      </c>
      <c r="E71" s="60" t="n">
        <f aca="false">Curves!E10</f>
        <v>0.958726</v>
      </c>
      <c r="F71" s="60" t="n">
        <f aca="false">Curves!E11</f>
        <v>0.954899</v>
      </c>
      <c r="G71" s="60" t="n">
        <f aca="false">Curves!E12</f>
        <v>0.967393</v>
      </c>
      <c r="H71" s="60" t="n">
        <f aca="false">Curves!E13</f>
        <v>0.960645</v>
      </c>
      <c r="I71" s="62" t="n">
        <f aca="false">NPV_Engine!$B$4*B71*(C71/NPV_Engine!$B$8)*(1+0.5*(D71-NPV_Engine!$B$13))*(AVERAGE(E71,F71,G71)/B71)*(H71/NPV_Engine!$B$12)</f>
        <v>9619124.24838141</v>
      </c>
    </row>
    <row r="72" customFormat="false" ht="15" hidden="false" customHeight="false" outlineLevel="0" collapsed="false">
      <c r="A72" s="63" t="s">
        <v>122</v>
      </c>
      <c r="B72" s="60" t="n">
        <f aca="false">Curves!E8</f>
        <v>0.957768</v>
      </c>
      <c r="C72" s="60" t="n">
        <f aca="false">Curves!E9</f>
        <v>0.96933</v>
      </c>
      <c r="D72" s="65" t="n">
        <f aca="false">SABR_Current!AT97</f>
        <v>0.40490082175243</v>
      </c>
      <c r="E72" s="60" t="n">
        <f aca="false">Curves!E10</f>
        <v>0.958726</v>
      </c>
      <c r="F72" s="60" t="n">
        <f aca="false">Curves!E11</f>
        <v>0.954899</v>
      </c>
      <c r="G72" s="60" t="n">
        <f aca="false">Curves!E12</f>
        <v>0.967393</v>
      </c>
      <c r="H72" s="60" t="n">
        <f aca="false">Curves!E13</f>
        <v>0.960645</v>
      </c>
      <c r="I72" s="62" t="n">
        <f aca="false">NPV_Engine!$B$4*B72*(C72/NPV_Engine!$B$8)*(1+0.5*(D72-NPV_Engine!$B$13))*(AVERAGE(E72,F72,G72)/B72)*(H72/NPV_Engine!$B$12)</f>
        <v>9627971.78855818</v>
      </c>
    </row>
    <row r="73" customFormat="false" ht="15" hidden="false" customHeight="false" outlineLevel="0" collapsed="false">
      <c r="A73" s="63" t="s">
        <v>123</v>
      </c>
      <c r="B73" s="60" t="n">
        <f aca="false">Curves!E8</f>
        <v>0.957768</v>
      </c>
      <c r="C73" s="60" t="n">
        <f aca="false">Curves!E9</f>
        <v>0.96933</v>
      </c>
      <c r="D73" s="65" t="n">
        <f aca="false">SABR_Current!AT111</f>
        <v>0.403945427249027</v>
      </c>
      <c r="E73" s="60" t="n">
        <f aca="false">Curves!E10</f>
        <v>0.958726</v>
      </c>
      <c r="F73" s="60" t="n">
        <f aca="false">Curves!E11</f>
        <v>0.954899</v>
      </c>
      <c r="G73" s="60" t="n">
        <f aca="false">Curves!E12</f>
        <v>0.967393</v>
      </c>
      <c r="H73" s="60" t="n">
        <f aca="false">Curves!E13</f>
        <v>0.960645</v>
      </c>
      <c r="I73" s="62" t="n">
        <f aca="false">NPV_Engine!$B$4*B73*(C73/NPV_Engine!$B$8)*(1+0.5*(D73-NPV_Engine!$B$13))*(AVERAGE(E73,F73,G73)/B73)*(H73/NPV_Engine!$B$12)</f>
        <v>9623384.27395584</v>
      </c>
    </row>
    <row r="74" customFormat="false" ht="15" hidden="false" customHeight="false" outlineLevel="0" collapsed="false">
      <c r="A74" s="63" t="s">
        <v>124</v>
      </c>
      <c r="B74" s="60" t="n">
        <f aca="false">Curves!E8</f>
        <v>0.957768</v>
      </c>
      <c r="C74" s="60" t="n">
        <f aca="false">Curves!E9</f>
        <v>0.96933</v>
      </c>
      <c r="D74" s="65" t="n">
        <f aca="false">SABR_Current!AT125</f>
        <v>0.405378502381195</v>
      </c>
      <c r="E74" s="60" t="n">
        <f aca="false">Curves!E10</f>
        <v>0.958726</v>
      </c>
      <c r="F74" s="60" t="n">
        <f aca="false">Curves!E11</f>
        <v>0.954899</v>
      </c>
      <c r="G74" s="60" t="n">
        <f aca="false">Curves!E12</f>
        <v>0.967393</v>
      </c>
      <c r="H74" s="60" t="n">
        <f aca="false">Curves!E13</f>
        <v>0.960645</v>
      </c>
      <c r="I74" s="62" t="n">
        <f aca="false">NPV_Engine!$B$4*B74*(C74/NPV_Engine!$B$8)*(1+0.5*(D74-NPV_Engine!$B$13))*(AVERAGE(E74,F74,G74)/B74)*(H74/NPV_Engine!$B$12)</f>
        <v>9630265.46604105</v>
      </c>
    </row>
    <row r="75" customFormat="false" ht="15" hidden="false" customHeight="false" outlineLevel="0" collapsed="false">
      <c r="A75" s="63" t="s">
        <v>125</v>
      </c>
      <c r="B75" s="60" t="n">
        <f aca="false">Curves!E8</f>
        <v>0.957768</v>
      </c>
      <c r="C75" s="60" t="n">
        <f aca="false">Curves!E9</f>
        <v>0.96933</v>
      </c>
      <c r="D75" s="65" t="n">
        <f aca="false">SABR_Current!AT139</f>
        <v>0.406060884055627</v>
      </c>
      <c r="E75" s="60" t="n">
        <f aca="false">Curves!E10</f>
        <v>0.958726</v>
      </c>
      <c r="F75" s="60" t="n">
        <f aca="false">Curves!E11</f>
        <v>0.954899</v>
      </c>
      <c r="G75" s="60" t="n">
        <f aca="false">Curves!E12</f>
        <v>0.967393</v>
      </c>
      <c r="H75" s="60" t="n">
        <f aca="false">Curves!E13</f>
        <v>0.960645</v>
      </c>
      <c r="I75" s="62" t="n">
        <f aca="false">NPV_Engine!$B$4*B75*(C75/NPV_Engine!$B$8)*(1+0.5*(D75-NPV_Engine!$B$13))*(AVERAGE(E75,F75,G75)/B75)*(H75/NPV_Engine!$B$12)</f>
        <v>9633542.05585257</v>
      </c>
    </row>
    <row r="76" customFormat="false" ht="15" hidden="false" customHeight="false" outlineLevel="0" collapsed="false">
      <c r="A76" s="63" t="s">
        <v>126</v>
      </c>
      <c r="B76" s="60" t="n">
        <f aca="false">Curves!E8</f>
        <v>0.957768</v>
      </c>
      <c r="C76" s="60" t="n">
        <f aca="false">Curves!E9</f>
        <v>0.96933</v>
      </c>
      <c r="D76" s="65" t="n">
        <f aca="false">SABR_Current!AT153</f>
        <v>0.405514980525381</v>
      </c>
      <c r="E76" s="60" t="n">
        <f aca="false">Curves!E10</f>
        <v>0.958726</v>
      </c>
      <c r="F76" s="60" t="n">
        <f aca="false">Curves!E11</f>
        <v>0.954899</v>
      </c>
      <c r="G76" s="60" t="n">
        <f aca="false">Curves!E12</f>
        <v>0.967393</v>
      </c>
      <c r="H76" s="60" t="n">
        <f aca="false">Curves!E13</f>
        <v>0.960645</v>
      </c>
      <c r="I76" s="62" t="n">
        <f aca="false">NPV_Engine!$B$4*B76*(C76/NPV_Engine!$B$8)*(1+0.5*(D76-NPV_Engine!$B$13))*(AVERAGE(E76,F76,G76)/B76)*(H76/NPV_Engine!$B$12)</f>
        <v>9630920.79269106</v>
      </c>
    </row>
    <row r="79" customFormat="false" ht="15" hidden="false" customHeight="false" outlineLevel="0" collapsed="false">
      <c r="A79" s="57" t="s">
        <v>276</v>
      </c>
      <c r="B79" s="57"/>
      <c r="C79" s="57"/>
      <c r="D79" s="57"/>
      <c r="E79" s="57"/>
      <c r="F79" s="57"/>
      <c r="G79" s="57"/>
      <c r="H79" s="57"/>
      <c r="I79" s="57"/>
      <c r="J79" s="58" t="s">
        <v>275</v>
      </c>
    </row>
    <row r="80" customFormat="false" ht="39.55" hidden="false" customHeight="false" outlineLevel="0" collapsed="false">
      <c r="A80" s="22" t="s">
        <v>179</v>
      </c>
      <c r="B80" s="22" t="s">
        <v>180</v>
      </c>
      <c r="C80" s="22" t="s">
        <v>181</v>
      </c>
      <c r="D80" s="22" t="s">
        <v>182</v>
      </c>
      <c r="E80" s="22" t="s">
        <v>183</v>
      </c>
      <c r="F80" s="22" t="s">
        <v>184</v>
      </c>
      <c r="G80" s="22" t="s">
        <v>185</v>
      </c>
      <c r="H80" s="22" t="s">
        <v>186</v>
      </c>
      <c r="I80" s="22" t="s">
        <v>187</v>
      </c>
    </row>
    <row r="81" customFormat="false" ht="15" hidden="false" customHeight="false" outlineLevel="0" collapsed="false">
      <c r="A81" s="59" t="s">
        <v>188</v>
      </c>
      <c r="B81" s="60" t="n">
        <f aca="false">Curves!E8</f>
        <v>0.957768</v>
      </c>
      <c r="C81" s="60" t="n">
        <f aca="false">Curves!E9</f>
        <v>0.96933</v>
      </c>
      <c r="D81" s="61" t="n">
        <f aca="false">SABR!AT10</f>
        <v>0.39978211956629</v>
      </c>
      <c r="E81" s="60" t="n">
        <f aca="false">Curves!E10</f>
        <v>0.958726</v>
      </c>
      <c r="F81" s="60" t="n">
        <f aca="false">Curves!E11</f>
        <v>0.954899</v>
      </c>
      <c r="G81" s="60" t="n">
        <f aca="false">Curves!E12</f>
        <v>0.967393</v>
      </c>
      <c r="H81" s="60" t="n">
        <f aca="false">Curves!E13</f>
        <v>0.960645</v>
      </c>
      <c r="I81" s="62" t="n">
        <f aca="false">NPV_Engine!$B$4*B81*(C81/NPV_Engine!$B$8)*(1+0.5*(D81-NPV_Engine!$B$13))*(AVERAGE(E81,F81,G81)/B81)*(H81/NPV_Engine!$B$12)</f>
        <v>9603393.33333333</v>
      </c>
    </row>
    <row r="82" customFormat="false" ht="15" hidden="false" customHeight="false" outlineLevel="0" collapsed="false">
      <c r="A82" s="63" t="s">
        <v>117</v>
      </c>
      <c r="B82" s="60" t="n">
        <f aca="false">Curves!E8</f>
        <v>0.957768</v>
      </c>
      <c r="C82" s="60" t="n">
        <f aca="false">Curves!E9</f>
        <v>0.96933</v>
      </c>
      <c r="D82" s="65" t="n">
        <f aca="false">SABR_Current!AT27</f>
        <v>0.401693250530639</v>
      </c>
      <c r="E82" s="60" t="n">
        <f aca="false">Curves!E10</f>
        <v>0.958726</v>
      </c>
      <c r="F82" s="60" t="n">
        <f aca="false">Curves!E11</f>
        <v>0.954899</v>
      </c>
      <c r="G82" s="60" t="n">
        <f aca="false">Curves!E12</f>
        <v>0.967393</v>
      </c>
      <c r="H82" s="60" t="n">
        <f aca="false">Curves!E13</f>
        <v>0.960645</v>
      </c>
      <c r="I82" s="62" t="n">
        <f aca="false">NPV_Engine!$B$4*B82*(C82/NPV_Engine!$B$8)*(1+0.5*(D82-NPV_Engine!$B$13))*(AVERAGE(E82,F82,G82)/B82)*(H82/NPV_Engine!$B$12)</f>
        <v>9612570.00451442</v>
      </c>
    </row>
    <row r="83" customFormat="false" ht="15" hidden="false" customHeight="false" outlineLevel="0" collapsed="false">
      <c r="A83" s="63" t="s">
        <v>118</v>
      </c>
      <c r="B83" s="60" t="n">
        <f aca="false">Curves!E8</f>
        <v>0.957768</v>
      </c>
      <c r="C83" s="60" t="n">
        <f aca="false">Curves!E9</f>
        <v>0.96933</v>
      </c>
      <c r="D83" s="65" t="n">
        <f aca="false">SABR_Current!AT41</f>
        <v>0.401488494979835</v>
      </c>
      <c r="E83" s="60" t="n">
        <f aca="false">Curves!E10</f>
        <v>0.958726</v>
      </c>
      <c r="F83" s="60" t="n">
        <f aca="false">Curves!E11</f>
        <v>0.954899</v>
      </c>
      <c r="G83" s="60" t="n">
        <f aca="false">Curves!E12</f>
        <v>0.967393</v>
      </c>
      <c r="H83" s="60" t="n">
        <f aca="false">Curves!E13</f>
        <v>0.960645</v>
      </c>
      <c r="I83" s="62" t="n">
        <f aca="false">NPV_Engine!$B$4*B83*(C83/NPV_Engine!$B$8)*(1+0.5*(D83-NPV_Engine!$B$13))*(AVERAGE(E83,F83,G83)/B83)*(H83/NPV_Engine!$B$12)</f>
        <v>9611586.83046863</v>
      </c>
    </row>
    <row r="84" customFormat="false" ht="15" hidden="false" customHeight="false" outlineLevel="0" collapsed="false">
      <c r="A84" s="63" t="s">
        <v>119</v>
      </c>
      <c r="B84" s="60" t="n">
        <f aca="false">Curves!E8</f>
        <v>0.957768</v>
      </c>
      <c r="C84" s="60" t="n">
        <f aca="false">Curves!E9</f>
        <v>0.96933</v>
      </c>
      <c r="D84" s="65" t="n">
        <f aca="false">SABR_Current!AT55</f>
        <v>0.401966254765439</v>
      </c>
      <c r="E84" s="60" t="n">
        <f aca="false">Curves!E10</f>
        <v>0.958726</v>
      </c>
      <c r="F84" s="60" t="n">
        <f aca="false">Curves!E11</f>
        <v>0.954899</v>
      </c>
      <c r="G84" s="60" t="n">
        <f aca="false">Curves!E12</f>
        <v>0.967393</v>
      </c>
      <c r="H84" s="60" t="n">
        <f aca="false">Curves!E13</f>
        <v>0.960645</v>
      </c>
      <c r="I84" s="62" t="n">
        <f aca="false">NPV_Engine!$B$4*B84*(C84/NPV_Engine!$B$8)*(1+0.5*(D84-NPV_Engine!$B$13))*(AVERAGE(E84,F84,G84)/B84)*(H84/NPV_Engine!$B$12)</f>
        <v>9613880.88803864</v>
      </c>
    </row>
    <row r="85" customFormat="false" ht="15" hidden="false" customHeight="false" outlineLevel="0" collapsed="false">
      <c r="A85" s="63" t="s">
        <v>120</v>
      </c>
      <c r="B85" s="60" t="n">
        <f aca="false">Curves!E8</f>
        <v>0.957768</v>
      </c>
      <c r="C85" s="60" t="n">
        <f aca="false">Curves!E9</f>
        <v>0.96933</v>
      </c>
      <c r="D85" s="65" t="n">
        <f aca="false">SABR_Current!AT69</f>
        <v>0.403399467630506</v>
      </c>
      <c r="E85" s="60" t="n">
        <f aca="false">Curves!E10</f>
        <v>0.958726</v>
      </c>
      <c r="F85" s="60" t="n">
        <f aca="false">Curves!E11</f>
        <v>0.954899</v>
      </c>
      <c r="G85" s="60" t="n">
        <f aca="false">Curves!E12</f>
        <v>0.967393</v>
      </c>
      <c r="H85" s="60" t="n">
        <f aca="false">Curves!E13</f>
        <v>0.960645</v>
      </c>
      <c r="I85" s="62" t="n">
        <f aca="false">NPV_Engine!$B$4*B85*(C85/NPV_Engine!$B$8)*(1+0.5*(D85-NPV_Engine!$B$13))*(AVERAGE(E85,F85,G85)/B85)*(H85/NPV_Engine!$B$12)</f>
        <v>9620762.74147545</v>
      </c>
    </row>
    <row r="86" customFormat="false" ht="15" hidden="false" customHeight="false" outlineLevel="0" collapsed="false">
      <c r="A86" s="63" t="s">
        <v>121</v>
      </c>
      <c r="B86" s="60" t="n">
        <f aca="false">Curves!E8</f>
        <v>0.957768</v>
      </c>
      <c r="C86" s="60" t="n">
        <f aca="false">Curves!E9</f>
        <v>0.96933</v>
      </c>
      <c r="D86" s="65" t="n">
        <f aca="false">SABR_Current!AT83</f>
        <v>0.403058235518653</v>
      </c>
      <c r="E86" s="60" t="n">
        <f aca="false">Curves!E10</f>
        <v>0.958726</v>
      </c>
      <c r="F86" s="60" t="n">
        <f aca="false">Curves!E11</f>
        <v>0.954899</v>
      </c>
      <c r="G86" s="60" t="n">
        <f aca="false">Curves!E12</f>
        <v>0.967393</v>
      </c>
      <c r="H86" s="60" t="n">
        <f aca="false">Curves!E13</f>
        <v>0.960645</v>
      </c>
      <c r="I86" s="62" t="n">
        <f aca="false">NPV_Engine!$B$4*B86*(C86/NPV_Engine!$B$8)*(1+0.5*(D86-NPV_Engine!$B$13))*(AVERAGE(E86,F86,G86)/B86)*(H86/NPV_Engine!$B$12)</f>
        <v>9619124.24838141</v>
      </c>
    </row>
    <row r="87" customFormat="false" ht="15" hidden="false" customHeight="false" outlineLevel="0" collapsed="false">
      <c r="A87" s="63" t="s">
        <v>122</v>
      </c>
      <c r="B87" s="60" t="n">
        <f aca="false">Curves!E8</f>
        <v>0.957768</v>
      </c>
      <c r="C87" s="60" t="n">
        <f aca="false">Curves!E9</f>
        <v>0.96933</v>
      </c>
      <c r="D87" s="65" t="n">
        <f aca="false">SABR_Current!AT97</f>
        <v>0.40490082175243</v>
      </c>
      <c r="E87" s="60" t="n">
        <f aca="false">Curves!E10</f>
        <v>0.958726</v>
      </c>
      <c r="F87" s="60" t="n">
        <f aca="false">Curves!E11</f>
        <v>0.954899</v>
      </c>
      <c r="G87" s="60" t="n">
        <f aca="false">Curves!E12</f>
        <v>0.967393</v>
      </c>
      <c r="H87" s="60" t="n">
        <f aca="false">Curves!E13</f>
        <v>0.960645</v>
      </c>
      <c r="I87" s="62" t="n">
        <f aca="false">NPV_Engine!$B$4*B87*(C87/NPV_Engine!$B$8)*(1+0.5*(D87-NPV_Engine!$B$13))*(AVERAGE(E87,F87,G87)/B87)*(H87/NPV_Engine!$B$12)</f>
        <v>9627971.78855818</v>
      </c>
    </row>
    <row r="88" customFormat="false" ht="15" hidden="false" customHeight="false" outlineLevel="0" collapsed="false">
      <c r="A88" s="63" t="s">
        <v>123</v>
      </c>
      <c r="B88" s="60" t="n">
        <f aca="false">Curves!E8</f>
        <v>0.957768</v>
      </c>
      <c r="C88" s="60" t="n">
        <f aca="false">Curves!E9</f>
        <v>0.96933</v>
      </c>
      <c r="D88" s="65" t="n">
        <f aca="false">SABR_Current!AT111</f>
        <v>0.403945427249027</v>
      </c>
      <c r="E88" s="60" t="n">
        <f aca="false">Curves!E10</f>
        <v>0.958726</v>
      </c>
      <c r="F88" s="60" t="n">
        <f aca="false">Curves!E11</f>
        <v>0.954899</v>
      </c>
      <c r="G88" s="60" t="n">
        <f aca="false">Curves!E12</f>
        <v>0.967393</v>
      </c>
      <c r="H88" s="60" t="n">
        <f aca="false">Curves!E13</f>
        <v>0.960645</v>
      </c>
      <c r="I88" s="62" t="n">
        <f aca="false">NPV_Engine!$B$4*B88*(C88/NPV_Engine!$B$8)*(1+0.5*(D88-NPV_Engine!$B$13))*(AVERAGE(E88,F88,G88)/B88)*(H88/NPV_Engine!$B$12)</f>
        <v>9623384.27395584</v>
      </c>
    </row>
    <row r="89" customFormat="false" ht="15" hidden="false" customHeight="false" outlineLevel="0" collapsed="false">
      <c r="A89" s="63" t="s">
        <v>124</v>
      </c>
      <c r="B89" s="60" t="n">
        <f aca="false">Curves!E8</f>
        <v>0.957768</v>
      </c>
      <c r="C89" s="60" t="n">
        <f aca="false">Curves!E9</f>
        <v>0.96933</v>
      </c>
      <c r="D89" s="65" t="n">
        <f aca="false">SABR_Current!AT125</f>
        <v>0.405378502381195</v>
      </c>
      <c r="E89" s="60" t="n">
        <f aca="false">Curves!E10</f>
        <v>0.958726</v>
      </c>
      <c r="F89" s="60" t="n">
        <f aca="false">Curves!E11</f>
        <v>0.954899</v>
      </c>
      <c r="G89" s="60" t="n">
        <f aca="false">Curves!E12</f>
        <v>0.967393</v>
      </c>
      <c r="H89" s="60" t="n">
        <f aca="false">Curves!E13</f>
        <v>0.960645</v>
      </c>
      <c r="I89" s="62" t="n">
        <f aca="false">NPV_Engine!$B$4*B89*(C89/NPV_Engine!$B$8)*(1+0.5*(D89-NPV_Engine!$B$13))*(AVERAGE(E89,F89,G89)/B89)*(H89/NPV_Engine!$B$12)</f>
        <v>9630265.46604105</v>
      </c>
    </row>
    <row r="90" customFormat="false" ht="15" hidden="false" customHeight="false" outlineLevel="0" collapsed="false">
      <c r="A90" s="63" t="s">
        <v>125</v>
      </c>
      <c r="B90" s="60" t="n">
        <f aca="false">Curves!E8</f>
        <v>0.957768</v>
      </c>
      <c r="C90" s="60" t="n">
        <f aca="false">Curves!E9</f>
        <v>0.96933</v>
      </c>
      <c r="D90" s="65" t="n">
        <f aca="false">SABR_Current!AT139</f>
        <v>0.406060884055627</v>
      </c>
      <c r="E90" s="60" t="n">
        <f aca="false">Curves!E10</f>
        <v>0.958726</v>
      </c>
      <c r="F90" s="60" t="n">
        <f aca="false">Curves!E11</f>
        <v>0.954899</v>
      </c>
      <c r="G90" s="60" t="n">
        <f aca="false">Curves!E12</f>
        <v>0.967393</v>
      </c>
      <c r="H90" s="60" t="n">
        <f aca="false">Curves!E13</f>
        <v>0.960645</v>
      </c>
      <c r="I90" s="62" t="n">
        <f aca="false">NPV_Engine!$B$4*B90*(C90/NPV_Engine!$B$8)*(1+0.5*(D90-NPV_Engine!$B$13))*(AVERAGE(E90,F90,G90)/B90)*(H90/NPV_Engine!$B$12)</f>
        <v>9633542.05585257</v>
      </c>
    </row>
    <row r="91" customFormat="false" ht="15" hidden="false" customHeight="false" outlineLevel="0" collapsed="false">
      <c r="A91" s="63" t="s">
        <v>126</v>
      </c>
      <c r="B91" s="60" t="n">
        <f aca="false">Curves!E8</f>
        <v>0.957768</v>
      </c>
      <c r="C91" s="60" t="n">
        <f aca="false">Curves!E9</f>
        <v>0.96933</v>
      </c>
      <c r="D91" s="65" t="n">
        <f aca="false">SABR_Current!AT153</f>
        <v>0.405514980525381</v>
      </c>
      <c r="E91" s="60" t="n">
        <f aca="false">Curves!E10</f>
        <v>0.958726</v>
      </c>
      <c r="F91" s="60" t="n">
        <f aca="false">Curves!E11</f>
        <v>0.954899</v>
      </c>
      <c r="G91" s="60" t="n">
        <f aca="false">Curves!E12</f>
        <v>0.967393</v>
      </c>
      <c r="H91" s="60" t="n">
        <f aca="false">Curves!E13</f>
        <v>0.960645</v>
      </c>
      <c r="I91" s="62" t="n">
        <f aca="false">NPV_Engine!$B$4*B91*(C91/NPV_Engine!$B$8)*(1+0.5*(D91-NPV_Engine!$B$13))*(AVERAGE(E91,F91,G91)/B91)*(H91/NPV_Engine!$B$12)</f>
        <v>9630920.79269106</v>
      </c>
    </row>
    <row r="94" customFormat="false" ht="15" hidden="false" customHeight="false" outlineLevel="0" collapsed="false">
      <c r="A94" s="57" t="s">
        <v>277</v>
      </c>
      <c r="B94" s="57"/>
      <c r="C94" s="57"/>
      <c r="D94" s="57"/>
      <c r="E94" s="57"/>
      <c r="F94" s="57"/>
      <c r="G94" s="57"/>
      <c r="H94" s="57"/>
      <c r="I94" s="57"/>
      <c r="J94" s="58" t="s">
        <v>275</v>
      </c>
    </row>
    <row r="95" customFormat="false" ht="39.55" hidden="false" customHeight="false" outlineLevel="0" collapsed="false">
      <c r="A95" s="22" t="s">
        <v>179</v>
      </c>
      <c r="B95" s="22" t="s">
        <v>180</v>
      </c>
      <c r="C95" s="22" t="s">
        <v>181</v>
      </c>
      <c r="D95" s="22" t="s">
        <v>182</v>
      </c>
      <c r="E95" s="22" t="s">
        <v>183</v>
      </c>
      <c r="F95" s="22" t="s">
        <v>184</v>
      </c>
      <c r="G95" s="22" t="s">
        <v>185</v>
      </c>
      <c r="H95" s="22" t="s">
        <v>186</v>
      </c>
      <c r="I95" s="22" t="s">
        <v>187</v>
      </c>
    </row>
    <row r="96" customFormat="false" ht="15" hidden="false" customHeight="false" outlineLevel="0" collapsed="false">
      <c r="A96" s="59" t="s">
        <v>188</v>
      </c>
      <c r="B96" s="60" t="n">
        <f aca="false">Curves!E8</f>
        <v>0.957768</v>
      </c>
      <c r="C96" s="60" t="n">
        <f aca="false">Curves!E9</f>
        <v>0.96933</v>
      </c>
      <c r="D96" s="61" t="n">
        <f aca="false">SABR!AT10</f>
        <v>0.39978211956629</v>
      </c>
      <c r="E96" s="60" t="n">
        <f aca="false">Curves!E10</f>
        <v>0.958726</v>
      </c>
      <c r="F96" s="60" t="n">
        <f aca="false">Curves!E11</f>
        <v>0.954899</v>
      </c>
      <c r="G96" s="60" t="n">
        <f aca="false">Curves!E12</f>
        <v>0.967393</v>
      </c>
      <c r="H96" s="60" t="n">
        <f aca="false">Curves!E13</f>
        <v>0.960645</v>
      </c>
      <c r="I96" s="62" t="n">
        <f aca="false">NPV_Engine!$B$4*B96*(C96/NPV_Engine!$B$8)*(1+0.5*(D96-NPV_Engine!$B$13))*(AVERAGE(E96,F96,G96)/B96)*(H96/NPV_Engine!$B$12)</f>
        <v>9603393.33333333</v>
      </c>
    </row>
    <row r="97" customFormat="false" ht="15" hidden="false" customHeight="false" outlineLevel="0" collapsed="false">
      <c r="A97" s="63" t="s">
        <v>117</v>
      </c>
      <c r="B97" s="60" t="n">
        <f aca="false">Curves!E8</f>
        <v>0.957768</v>
      </c>
      <c r="C97" s="60" t="n">
        <f aca="false">Curves!E9</f>
        <v>0.96933</v>
      </c>
      <c r="D97" s="65" t="n">
        <f aca="false">SABR_Current!AT27</f>
        <v>0.401693250530639</v>
      </c>
      <c r="E97" s="60" t="n">
        <f aca="false">Curves!E10</f>
        <v>0.958726</v>
      </c>
      <c r="F97" s="60" t="n">
        <f aca="false">Curves!E11</f>
        <v>0.954899</v>
      </c>
      <c r="G97" s="60" t="n">
        <f aca="false">Curves!E12</f>
        <v>0.967393</v>
      </c>
      <c r="H97" s="60" t="n">
        <f aca="false">Curves!E13</f>
        <v>0.960645</v>
      </c>
      <c r="I97" s="62" t="n">
        <f aca="false">NPV_Engine!$B$4*B97*(C97/NPV_Engine!$B$8)*(1+0.5*(D97-NPV_Engine!$B$13))*(AVERAGE(E97,F97,G97)/B97)*(H97/NPV_Engine!$B$12)</f>
        <v>9612570.00451442</v>
      </c>
    </row>
    <row r="98" customFormat="false" ht="15" hidden="false" customHeight="false" outlineLevel="0" collapsed="false">
      <c r="A98" s="63" t="s">
        <v>118</v>
      </c>
      <c r="B98" s="60" t="n">
        <f aca="false">Curves!E8</f>
        <v>0.957768</v>
      </c>
      <c r="C98" s="60" t="n">
        <f aca="false">Curves!E9</f>
        <v>0.96933</v>
      </c>
      <c r="D98" s="65" t="n">
        <f aca="false">SABR_Current!AT41</f>
        <v>0.401488494979835</v>
      </c>
      <c r="E98" s="60" t="n">
        <f aca="false">Curves!E10</f>
        <v>0.958726</v>
      </c>
      <c r="F98" s="60" t="n">
        <f aca="false">Curves!E11</f>
        <v>0.954899</v>
      </c>
      <c r="G98" s="60" t="n">
        <f aca="false">Curves!E12</f>
        <v>0.967393</v>
      </c>
      <c r="H98" s="60" t="n">
        <f aca="false">Curves!E13</f>
        <v>0.960645</v>
      </c>
      <c r="I98" s="62" t="n">
        <f aca="false">NPV_Engine!$B$4*B98*(C98/NPV_Engine!$B$8)*(1+0.5*(D98-NPV_Engine!$B$13))*(AVERAGE(E98,F98,G98)/B98)*(H98/NPV_Engine!$B$12)</f>
        <v>9611586.83046863</v>
      </c>
    </row>
    <row r="99" customFormat="false" ht="15" hidden="false" customHeight="false" outlineLevel="0" collapsed="false">
      <c r="A99" s="63" t="s">
        <v>119</v>
      </c>
      <c r="B99" s="60" t="n">
        <f aca="false">Curves!E8</f>
        <v>0.957768</v>
      </c>
      <c r="C99" s="60" t="n">
        <f aca="false">Curves!E9</f>
        <v>0.96933</v>
      </c>
      <c r="D99" s="65" t="n">
        <f aca="false">SABR_Current!AT55</f>
        <v>0.401966254765439</v>
      </c>
      <c r="E99" s="60" t="n">
        <f aca="false">Curves!E10</f>
        <v>0.958726</v>
      </c>
      <c r="F99" s="60" t="n">
        <f aca="false">Curves!E11</f>
        <v>0.954899</v>
      </c>
      <c r="G99" s="60" t="n">
        <f aca="false">Curves!E12</f>
        <v>0.967393</v>
      </c>
      <c r="H99" s="60" t="n">
        <f aca="false">Curves!E13</f>
        <v>0.960645</v>
      </c>
      <c r="I99" s="62" t="n">
        <f aca="false">NPV_Engine!$B$4*B99*(C99/NPV_Engine!$B$8)*(1+0.5*(D99-NPV_Engine!$B$13))*(AVERAGE(E99,F99,G99)/B99)*(H99/NPV_Engine!$B$12)</f>
        <v>9613880.88803864</v>
      </c>
    </row>
    <row r="100" customFormat="false" ht="15" hidden="false" customHeight="false" outlineLevel="0" collapsed="false">
      <c r="A100" s="63" t="s">
        <v>120</v>
      </c>
      <c r="B100" s="60" t="n">
        <f aca="false">Curves!E8</f>
        <v>0.957768</v>
      </c>
      <c r="C100" s="60" t="n">
        <f aca="false">Curves!E9</f>
        <v>0.96933</v>
      </c>
      <c r="D100" s="65" t="n">
        <f aca="false">SABR_Current!AT69</f>
        <v>0.403399467630506</v>
      </c>
      <c r="E100" s="60" t="n">
        <f aca="false">Curves!E10</f>
        <v>0.958726</v>
      </c>
      <c r="F100" s="60" t="n">
        <f aca="false">Curves!E11</f>
        <v>0.954899</v>
      </c>
      <c r="G100" s="60" t="n">
        <f aca="false">Curves!E12</f>
        <v>0.967393</v>
      </c>
      <c r="H100" s="60" t="n">
        <f aca="false">Curves!E13</f>
        <v>0.960645</v>
      </c>
      <c r="I100" s="62" t="n">
        <f aca="false">NPV_Engine!$B$4*B100*(C100/NPV_Engine!$B$8)*(1+0.5*(D100-NPV_Engine!$B$13))*(AVERAGE(E100,F100,G100)/B100)*(H100/NPV_Engine!$B$12)</f>
        <v>9620762.74147545</v>
      </c>
    </row>
    <row r="101" customFormat="false" ht="15" hidden="false" customHeight="false" outlineLevel="0" collapsed="false">
      <c r="A101" s="63" t="s">
        <v>121</v>
      </c>
      <c r="B101" s="60" t="n">
        <f aca="false">Curves!E8</f>
        <v>0.957768</v>
      </c>
      <c r="C101" s="60" t="n">
        <f aca="false">Curves!E9</f>
        <v>0.96933</v>
      </c>
      <c r="D101" s="65" t="n">
        <f aca="false">SABR_Current!AT83</f>
        <v>0.403058235518653</v>
      </c>
      <c r="E101" s="60" t="n">
        <f aca="false">Curves!E10</f>
        <v>0.958726</v>
      </c>
      <c r="F101" s="60" t="n">
        <f aca="false">Curves!E11</f>
        <v>0.954899</v>
      </c>
      <c r="G101" s="60" t="n">
        <f aca="false">Curves!E12</f>
        <v>0.967393</v>
      </c>
      <c r="H101" s="60" t="n">
        <f aca="false">Curves!E13</f>
        <v>0.960645</v>
      </c>
      <c r="I101" s="62" t="n">
        <f aca="false">NPV_Engine!$B$4*B101*(C101/NPV_Engine!$B$8)*(1+0.5*(D101-NPV_Engine!$B$13))*(AVERAGE(E101,F101,G101)/B101)*(H101/NPV_Engine!$B$12)</f>
        <v>9619124.24838141</v>
      </c>
    </row>
    <row r="102" customFormat="false" ht="15" hidden="false" customHeight="false" outlineLevel="0" collapsed="false">
      <c r="A102" s="63" t="s">
        <v>122</v>
      </c>
      <c r="B102" s="60" t="n">
        <f aca="false">Curves!E8</f>
        <v>0.957768</v>
      </c>
      <c r="C102" s="60" t="n">
        <f aca="false">Curves!E9</f>
        <v>0.96933</v>
      </c>
      <c r="D102" s="65" t="n">
        <f aca="false">SABR_Current!AT97</f>
        <v>0.40490082175243</v>
      </c>
      <c r="E102" s="60" t="n">
        <f aca="false">Curves!E10</f>
        <v>0.958726</v>
      </c>
      <c r="F102" s="60" t="n">
        <f aca="false">Curves!E11</f>
        <v>0.954899</v>
      </c>
      <c r="G102" s="60" t="n">
        <f aca="false">Curves!E12</f>
        <v>0.967393</v>
      </c>
      <c r="H102" s="60" t="n">
        <f aca="false">Curves!E13</f>
        <v>0.960645</v>
      </c>
      <c r="I102" s="62" t="n">
        <f aca="false">NPV_Engine!$B$4*B102*(C102/NPV_Engine!$B$8)*(1+0.5*(D102-NPV_Engine!$B$13))*(AVERAGE(E102,F102,G102)/B102)*(H102/NPV_Engine!$B$12)</f>
        <v>9627971.78855818</v>
      </c>
    </row>
    <row r="103" customFormat="false" ht="15" hidden="false" customHeight="false" outlineLevel="0" collapsed="false">
      <c r="A103" s="63" t="s">
        <v>123</v>
      </c>
      <c r="B103" s="60" t="n">
        <f aca="false">Curves!E8</f>
        <v>0.957768</v>
      </c>
      <c r="C103" s="60" t="n">
        <f aca="false">Curves!E9</f>
        <v>0.96933</v>
      </c>
      <c r="D103" s="65" t="n">
        <f aca="false">SABR_Current!AT111</f>
        <v>0.403945427249027</v>
      </c>
      <c r="E103" s="60" t="n">
        <f aca="false">Curves!E10</f>
        <v>0.958726</v>
      </c>
      <c r="F103" s="60" t="n">
        <f aca="false">Curves!E11</f>
        <v>0.954899</v>
      </c>
      <c r="G103" s="60" t="n">
        <f aca="false">Curves!E12</f>
        <v>0.967393</v>
      </c>
      <c r="H103" s="60" t="n">
        <f aca="false">Curves!E13</f>
        <v>0.960645</v>
      </c>
      <c r="I103" s="62" t="n">
        <f aca="false">NPV_Engine!$B$4*B103*(C103/NPV_Engine!$B$8)*(1+0.5*(D103-NPV_Engine!$B$13))*(AVERAGE(E103,F103,G103)/B103)*(H103/NPV_Engine!$B$12)</f>
        <v>9623384.27395584</v>
      </c>
    </row>
    <row r="104" customFormat="false" ht="15" hidden="false" customHeight="false" outlineLevel="0" collapsed="false">
      <c r="A104" s="63" t="s">
        <v>124</v>
      </c>
      <c r="B104" s="60" t="n">
        <f aca="false">Curves!E8</f>
        <v>0.957768</v>
      </c>
      <c r="C104" s="60" t="n">
        <f aca="false">Curves!E9</f>
        <v>0.96933</v>
      </c>
      <c r="D104" s="65" t="n">
        <f aca="false">SABR_Current!AT125</f>
        <v>0.405378502381195</v>
      </c>
      <c r="E104" s="60" t="n">
        <f aca="false">Curves!E10</f>
        <v>0.958726</v>
      </c>
      <c r="F104" s="60" t="n">
        <f aca="false">Curves!E11</f>
        <v>0.954899</v>
      </c>
      <c r="G104" s="60" t="n">
        <f aca="false">Curves!E12</f>
        <v>0.967393</v>
      </c>
      <c r="H104" s="60" t="n">
        <f aca="false">Curves!E13</f>
        <v>0.960645</v>
      </c>
      <c r="I104" s="62" t="n">
        <f aca="false">NPV_Engine!$B$4*B104*(C104/NPV_Engine!$B$8)*(1+0.5*(D104-NPV_Engine!$B$13))*(AVERAGE(E104,F104,G104)/B104)*(H104/NPV_Engine!$B$12)</f>
        <v>9630265.46604105</v>
      </c>
    </row>
    <row r="105" customFormat="false" ht="15" hidden="false" customHeight="false" outlineLevel="0" collapsed="false">
      <c r="A105" s="63" t="s">
        <v>125</v>
      </c>
      <c r="B105" s="60" t="n">
        <f aca="false">Curves!E8</f>
        <v>0.957768</v>
      </c>
      <c r="C105" s="60" t="n">
        <f aca="false">Curves!E9</f>
        <v>0.96933</v>
      </c>
      <c r="D105" s="65" t="n">
        <f aca="false">SABR_Current!AT139</f>
        <v>0.406060884055627</v>
      </c>
      <c r="E105" s="60" t="n">
        <f aca="false">Curves!E10</f>
        <v>0.958726</v>
      </c>
      <c r="F105" s="60" t="n">
        <f aca="false">Curves!E11</f>
        <v>0.954899</v>
      </c>
      <c r="G105" s="60" t="n">
        <f aca="false">Curves!E12</f>
        <v>0.967393</v>
      </c>
      <c r="H105" s="60" t="n">
        <f aca="false">Curves!E13</f>
        <v>0.960645</v>
      </c>
      <c r="I105" s="62" t="n">
        <f aca="false">NPV_Engine!$B$4*B105*(C105/NPV_Engine!$B$8)*(1+0.5*(D105-NPV_Engine!$B$13))*(AVERAGE(E105,F105,G105)/B105)*(H105/NPV_Engine!$B$12)</f>
        <v>9633542.05585257</v>
      </c>
    </row>
    <row r="106" customFormat="false" ht="15" hidden="false" customHeight="false" outlineLevel="0" collapsed="false">
      <c r="A106" s="63" t="s">
        <v>126</v>
      </c>
      <c r="B106" s="60" t="n">
        <f aca="false">Curves!E8</f>
        <v>0.957768</v>
      </c>
      <c r="C106" s="60" t="n">
        <f aca="false">Curves!E9</f>
        <v>0.96933</v>
      </c>
      <c r="D106" s="65" t="n">
        <f aca="false">SABR_Current!AT153</f>
        <v>0.405514980525381</v>
      </c>
      <c r="E106" s="60" t="n">
        <f aca="false">Curves!E10</f>
        <v>0.958726</v>
      </c>
      <c r="F106" s="60" t="n">
        <f aca="false">Curves!E11</f>
        <v>0.954899</v>
      </c>
      <c r="G106" s="60" t="n">
        <f aca="false">Curves!E12</f>
        <v>0.967393</v>
      </c>
      <c r="H106" s="60" t="n">
        <f aca="false">Curves!E13</f>
        <v>0.960645</v>
      </c>
      <c r="I106" s="62" t="n">
        <f aca="false">NPV_Engine!$B$4*B106*(C106/NPV_Engine!$B$8)*(1+0.5*(D106-NPV_Engine!$B$13))*(AVERAGE(E106,F106,G106)/B106)*(H106/NPV_Engine!$B$12)</f>
        <v>9630920.79269106</v>
      </c>
    </row>
    <row r="109" customFormat="false" ht="15" hidden="false" customHeight="false" outlineLevel="0" collapsed="false">
      <c r="A109" s="57" t="s">
        <v>278</v>
      </c>
      <c r="B109" s="57"/>
      <c r="C109" s="57"/>
      <c r="D109" s="57"/>
      <c r="E109" s="57"/>
      <c r="F109" s="57"/>
      <c r="G109" s="57"/>
      <c r="H109" s="57"/>
      <c r="I109" s="57"/>
      <c r="J109" s="58" t="s">
        <v>279</v>
      </c>
    </row>
    <row r="110" customFormat="false" ht="39.55" hidden="false" customHeight="false" outlineLevel="0" collapsed="false">
      <c r="A110" s="22" t="s">
        <v>179</v>
      </c>
      <c r="B110" s="22" t="s">
        <v>180</v>
      </c>
      <c r="C110" s="22" t="s">
        <v>181</v>
      </c>
      <c r="D110" s="22" t="s">
        <v>182</v>
      </c>
      <c r="E110" s="22" t="s">
        <v>183</v>
      </c>
      <c r="F110" s="22" t="s">
        <v>184</v>
      </c>
      <c r="G110" s="22" t="s">
        <v>185</v>
      </c>
      <c r="H110" s="22" t="s">
        <v>186</v>
      </c>
      <c r="I110" s="22" t="s">
        <v>187</v>
      </c>
    </row>
    <row r="111" customFormat="false" ht="15" hidden="false" customHeight="false" outlineLevel="0" collapsed="false">
      <c r="A111" s="59" t="s">
        <v>188</v>
      </c>
      <c r="B111" s="60" t="n">
        <f aca="false">Curves!E8</f>
        <v>0.957768</v>
      </c>
      <c r="C111" s="60" t="n">
        <f aca="false">Curves!E9</f>
        <v>0.96933</v>
      </c>
      <c r="D111" s="61" t="n">
        <f aca="false">SABR!AT10</f>
        <v>0.39978211956629</v>
      </c>
      <c r="E111" s="60" t="n">
        <f aca="false">Curves!E10</f>
        <v>0.958726</v>
      </c>
      <c r="F111" s="60" t="n">
        <f aca="false">Curves!E11</f>
        <v>0.954899</v>
      </c>
      <c r="G111" s="60" t="n">
        <f aca="false">Curves!E12</f>
        <v>0.967393</v>
      </c>
      <c r="H111" s="60" t="n">
        <f aca="false">Curves!E13</f>
        <v>0.960645</v>
      </c>
      <c r="I111" s="62" t="n">
        <f aca="false">NPV_Engine!$B$4*B111*(C111/NPV_Engine!$B$8)*(1+0.5*(D111-NPV_Engine!$B$13))*(AVERAGE(E111,F111,G111)/B111)*(H111/NPV_Engine!$B$12)</f>
        <v>9603393.33333333</v>
      </c>
    </row>
    <row r="112" customFormat="false" ht="15" hidden="false" customHeight="false" outlineLevel="0" collapsed="false">
      <c r="A112" s="63" t="s">
        <v>117</v>
      </c>
      <c r="B112" s="60" t="n">
        <f aca="false">Curves!E8</f>
        <v>0.957768</v>
      </c>
      <c r="C112" s="60" t="n">
        <f aca="false">Curves!E9</f>
        <v>0.96933</v>
      </c>
      <c r="D112" s="61" t="n">
        <f aca="false">SABR!AT10</f>
        <v>0.39978211956629</v>
      </c>
      <c r="E112" s="60" t="n">
        <f aca="false">Curves!E10</f>
        <v>0.958726</v>
      </c>
      <c r="F112" s="60" t="n">
        <f aca="false">Curves!E11</f>
        <v>0.954899</v>
      </c>
      <c r="G112" s="60" t="n">
        <f aca="false">Curves!E12</f>
        <v>0.967393</v>
      </c>
      <c r="H112" s="64" t="n">
        <f aca="false">Curves_Current!Q12</f>
        <v>0.960004425633023</v>
      </c>
      <c r="I112" s="62" t="n">
        <f aca="false">NPV_Engine!$B$4*B112*(C112/NPV_Engine!$B$8)*(1+0.5*(D112-NPV_Engine!$B$13))*(AVERAGE(E112,F112,G112)/B112)*(H112/NPV_Engine!$B$12)</f>
        <v>9596989.6279007</v>
      </c>
    </row>
    <row r="113" customFormat="false" ht="15" hidden="false" customHeight="false" outlineLevel="0" collapsed="false">
      <c r="A113" s="63" t="s">
        <v>118</v>
      </c>
      <c r="B113" s="60" t="n">
        <f aca="false">Curves!E8</f>
        <v>0.957768</v>
      </c>
      <c r="C113" s="60" t="n">
        <f aca="false">Curves!E9</f>
        <v>0.96933</v>
      </c>
      <c r="D113" s="61" t="n">
        <f aca="false">SABR!AT10</f>
        <v>0.39978211956629</v>
      </c>
      <c r="E113" s="60" t="n">
        <f aca="false">Curves!E10</f>
        <v>0.958726</v>
      </c>
      <c r="F113" s="60" t="n">
        <f aca="false">Curves!E11</f>
        <v>0.954899</v>
      </c>
      <c r="G113" s="60" t="n">
        <f aca="false">Curves!E12</f>
        <v>0.967393</v>
      </c>
      <c r="H113" s="64" t="n">
        <f aca="false">Curves_Current!Q20</f>
        <v>0.959904900700641</v>
      </c>
      <c r="I113" s="62" t="n">
        <f aca="false">NPV_Engine!$B$4*B113*(C113/NPV_Engine!$B$8)*(1+0.5*(D113-NPV_Engine!$B$13))*(AVERAGE(E113,F113,G113)/B113)*(H113/NPV_Engine!$B$12)</f>
        <v>9595994.69525426</v>
      </c>
    </row>
    <row r="114" customFormat="false" ht="15" hidden="false" customHeight="false" outlineLevel="0" collapsed="false">
      <c r="A114" s="63" t="s">
        <v>119</v>
      </c>
      <c r="B114" s="60" t="n">
        <f aca="false">Curves!E8</f>
        <v>0.957768</v>
      </c>
      <c r="C114" s="60" t="n">
        <f aca="false">Curves!E9</f>
        <v>0.96933</v>
      </c>
      <c r="D114" s="61" t="n">
        <f aca="false">SABR!AT10</f>
        <v>0.39978211956629</v>
      </c>
      <c r="E114" s="60" t="n">
        <f aca="false">Curves!E10</f>
        <v>0.958726</v>
      </c>
      <c r="F114" s="60" t="n">
        <f aca="false">Curves!E11</f>
        <v>0.954899</v>
      </c>
      <c r="G114" s="60" t="n">
        <f aca="false">Curves!E12</f>
        <v>0.967393</v>
      </c>
      <c r="H114" s="64" t="n">
        <f aca="false">Curves_Current!Q28</f>
        <v>0.959721682064423</v>
      </c>
      <c r="I114" s="62" t="n">
        <f aca="false">NPV_Engine!$B$4*B114*(C114/NPV_Engine!$B$8)*(1+0.5*(D114-NPV_Engine!$B$13))*(AVERAGE(E114,F114,G114)/B114)*(H114/NPV_Engine!$B$12)</f>
        <v>9594163.09187362</v>
      </c>
    </row>
    <row r="115" customFormat="false" ht="15" hidden="false" customHeight="false" outlineLevel="0" collapsed="false">
      <c r="A115" s="63" t="s">
        <v>120</v>
      </c>
      <c r="B115" s="60" t="n">
        <f aca="false">Curves!E8</f>
        <v>0.957768</v>
      </c>
      <c r="C115" s="60" t="n">
        <f aca="false">Curves!E9</f>
        <v>0.96933</v>
      </c>
      <c r="D115" s="61" t="n">
        <f aca="false">SABR!AT10</f>
        <v>0.39978211956629</v>
      </c>
      <c r="E115" s="60" t="n">
        <f aca="false">Curves!E10</f>
        <v>0.958726</v>
      </c>
      <c r="F115" s="60" t="n">
        <f aca="false">Curves!E11</f>
        <v>0.954899</v>
      </c>
      <c r="G115" s="60" t="n">
        <f aca="false">Curves!E12</f>
        <v>0.967393</v>
      </c>
      <c r="H115" s="64" t="n">
        <f aca="false">Curves_Current!Q36</f>
        <v>0.959651922334763</v>
      </c>
      <c r="I115" s="62" t="n">
        <f aca="false">NPV_Engine!$B$4*B115*(C115/NPV_Engine!$B$8)*(1+0.5*(D115-NPV_Engine!$B$13))*(AVERAGE(E115,F115,G115)/B115)*(H115/NPV_Engine!$B$12)</f>
        <v>9593465.7165448</v>
      </c>
    </row>
    <row r="116" customFormat="false" ht="15" hidden="false" customHeight="false" outlineLevel="0" collapsed="false">
      <c r="A116" s="63" t="s">
        <v>121</v>
      </c>
      <c r="B116" s="60" t="n">
        <f aca="false">Curves!E8</f>
        <v>0.957768</v>
      </c>
      <c r="C116" s="60" t="n">
        <f aca="false">Curves!E9</f>
        <v>0.96933</v>
      </c>
      <c r="D116" s="61" t="n">
        <f aca="false">SABR!AT10</f>
        <v>0.39978211956629</v>
      </c>
      <c r="E116" s="60" t="n">
        <f aca="false">Curves!E10</f>
        <v>0.958726</v>
      </c>
      <c r="F116" s="60" t="n">
        <f aca="false">Curves!E11</f>
        <v>0.954899</v>
      </c>
      <c r="G116" s="60" t="n">
        <f aca="false">Curves!E12</f>
        <v>0.967393</v>
      </c>
      <c r="H116" s="64" t="n">
        <f aca="false">Curves_Current!Q44</f>
        <v>0.960155426888727</v>
      </c>
      <c r="I116" s="62" t="n">
        <f aca="false">NPV_Engine!$B$4*B116*(C116/NPV_Engine!$B$8)*(1+0.5*(D116-NPV_Engine!$B$13))*(AVERAGE(E116,F116,G116)/B116)*(H116/NPV_Engine!$B$12)</f>
        <v>9598499.15998836</v>
      </c>
    </row>
    <row r="117" customFormat="false" ht="15" hidden="false" customHeight="false" outlineLevel="0" collapsed="false">
      <c r="A117" s="63" t="s">
        <v>122</v>
      </c>
      <c r="B117" s="60" t="n">
        <f aca="false">Curves!E8</f>
        <v>0.957768</v>
      </c>
      <c r="C117" s="60" t="n">
        <f aca="false">Curves!E9</f>
        <v>0.96933</v>
      </c>
      <c r="D117" s="61" t="n">
        <f aca="false">SABR!AT10</f>
        <v>0.39978211956629</v>
      </c>
      <c r="E117" s="60" t="n">
        <f aca="false">Curves!E10</f>
        <v>0.958726</v>
      </c>
      <c r="F117" s="60" t="n">
        <f aca="false">Curves!E11</f>
        <v>0.954899</v>
      </c>
      <c r="G117" s="60" t="n">
        <f aca="false">Curves!E12</f>
        <v>0.967393</v>
      </c>
      <c r="H117" s="64" t="n">
        <f aca="false">Curves_Current!Q52</f>
        <v>0.96008937800257</v>
      </c>
      <c r="I117" s="62" t="n">
        <f aca="false">NPV_Engine!$B$4*B117*(C117/NPV_Engine!$B$8)*(1+0.5*(D117-NPV_Engine!$B$13))*(AVERAGE(E117,F117,G117)/B117)*(H117/NPV_Engine!$B$12)</f>
        <v>9597838.88128708</v>
      </c>
    </row>
    <row r="118" customFormat="false" ht="15" hidden="false" customHeight="false" outlineLevel="0" collapsed="false">
      <c r="A118" s="63" t="s">
        <v>123</v>
      </c>
      <c r="B118" s="60" t="n">
        <f aca="false">Curves!E8</f>
        <v>0.957768</v>
      </c>
      <c r="C118" s="60" t="n">
        <f aca="false">Curves!E9</f>
        <v>0.96933</v>
      </c>
      <c r="D118" s="61" t="n">
        <f aca="false">SABR!AT10</f>
        <v>0.39978211956629</v>
      </c>
      <c r="E118" s="60" t="n">
        <f aca="false">Curves!E10</f>
        <v>0.958726</v>
      </c>
      <c r="F118" s="60" t="n">
        <f aca="false">Curves!E11</f>
        <v>0.954899</v>
      </c>
      <c r="G118" s="60" t="n">
        <f aca="false">Curves!E12</f>
        <v>0.967393</v>
      </c>
      <c r="H118" s="64" t="n">
        <f aca="false">Curves_Current!Q60</f>
        <v>0.959271534382446</v>
      </c>
      <c r="I118" s="62" t="n">
        <f aca="false">NPV_Engine!$B$4*B118*(C118/NPV_Engine!$B$8)*(1+0.5*(D118-NPV_Engine!$B$13))*(AVERAGE(E118,F118,G118)/B118)*(H118/NPV_Engine!$B$12)</f>
        <v>9589663.04737424</v>
      </c>
    </row>
    <row r="119" customFormat="false" ht="15" hidden="false" customHeight="false" outlineLevel="0" collapsed="false">
      <c r="A119" s="63" t="s">
        <v>124</v>
      </c>
      <c r="B119" s="60" t="n">
        <f aca="false">Curves!E8</f>
        <v>0.957768</v>
      </c>
      <c r="C119" s="60" t="n">
        <f aca="false">Curves!E9</f>
        <v>0.96933</v>
      </c>
      <c r="D119" s="61" t="n">
        <f aca="false">SABR!AT10</f>
        <v>0.39978211956629</v>
      </c>
      <c r="E119" s="60" t="n">
        <f aca="false">Curves!E10</f>
        <v>0.958726</v>
      </c>
      <c r="F119" s="60" t="n">
        <f aca="false">Curves!E11</f>
        <v>0.954899</v>
      </c>
      <c r="G119" s="60" t="n">
        <f aca="false">Curves!E12</f>
        <v>0.967393</v>
      </c>
      <c r="H119" s="64" t="n">
        <f aca="false">Curves_Current!Q68</f>
        <v>0.960017658966397</v>
      </c>
      <c r="I119" s="62" t="n">
        <f aca="false">NPV_Engine!$B$4*B119*(C119/NPV_Engine!$B$8)*(1+0.5*(D119-NPV_Engine!$B$13))*(AVERAGE(E119,F119,G119)/B119)*(H119/NPV_Engine!$B$12)</f>
        <v>9597121.91912743</v>
      </c>
    </row>
    <row r="120" customFormat="false" ht="15" hidden="false" customHeight="false" outlineLevel="0" collapsed="false">
      <c r="A120" s="63" t="s">
        <v>125</v>
      </c>
      <c r="B120" s="60" t="n">
        <f aca="false">Curves!E8</f>
        <v>0.957768</v>
      </c>
      <c r="C120" s="60" t="n">
        <f aca="false">Curves!E9</f>
        <v>0.96933</v>
      </c>
      <c r="D120" s="61" t="n">
        <f aca="false">SABR!AT10</f>
        <v>0.39978211956629</v>
      </c>
      <c r="E120" s="60" t="n">
        <f aca="false">Curves!E10</f>
        <v>0.958726</v>
      </c>
      <c r="F120" s="60" t="n">
        <f aca="false">Curves!E11</f>
        <v>0.954899</v>
      </c>
      <c r="G120" s="60" t="n">
        <f aca="false">Curves!E12</f>
        <v>0.967393</v>
      </c>
      <c r="H120" s="64" t="n">
        <f aca="false">Curves_Current!Q76</f>
        <v>0.960853674398117</v>
      </c>
      <c r="I120" s="62" t="n">
        <f aca="false">NPV_Engine!$B$4*B120*(C120/NPV_Engine!$B$8)*(1+0.5*(D120-NPV_Engine!$B$13))*(AVERAGE(E120,F120,G120)/B120)*(H120/NPV_Engine!$B$12)</f>
        <v>9605479.41333553</v>
      </c>
    </row>
    <row r="121" customFormat="false" ht="15" hidden="false" customHeight="false" outlineLevel="0" collapsed="false">
      <c r="A121" s="63" t="s">
        <v>126</v>
      </c>
      <c r="B121" s="60" t="n">
        <f aca="false">Curves!E8</f>
        <v>0.957768</v>
      </c>
      <c r="C121" s="60" t="n">
        <f aca="false">Curves!E9</f>
        <v>0.96933</v>
      </c>
      <c r="D121" s="61" t="n">
        <f aca="false">SABR!AT10</f>
        <v>0.39978211956629</v>
      </c>
      <c r="E121" s="60" t="n">
        <f aca="false">Curves!E10</f>
        <v>0.958726</v>
      </c>
      <c r="F121" s="60" t="n">
        <f aca="false">Curves!E11</f>
        <v>0.954899</v>
      </c>
      <c r="G121" s="60" t="n">
        <f aca="false">Curves!E12</f>
        <v>0.967393</v>
      </c>
      <c r="H121" s="64" t="n">
        <f aca="false">Curves_Current!Q84</f>
        <v>0.958990132188804</v>
      </c>
      <c r="I121" s="62" t="n">
        <f aca="false">NPV_Engine!$B$4*B121*(C121/NPV_Engine!$B$8)*(1+0.5*(D121-NPV_Engine!$B$13))*(AVERAGE(E121,F121,G121)/B121)*(H121/NPV_Engine!$B$12)</f>
        <v>9586849.92082863</v>
      </c>
    </row>
    <row r="124" customFormat="false" ht="15" hidden="false" customHeight="false" outlineLevel="0" collapsed="false">
      <c r="A124" s="57" t="s">
        <v>280</v>
      </c>
      <c r="B124" s="57"/>
      <c r="C124" s="57"/>
      <c r="D124" s="57"/>
      <c r="E124" s="57"/>
      <c r="F124" s="57"/>
      <c r="G124" s="57"/>
      <c r="H124" s="57"/>
      <c r="I124" s="57"/>
      <c r="J124" s="58" t="s">
        <v>281</v>
      </c>
    </row>
    <row r="125" customFormat="false" ht="39.55" hidden="false" customHeight="false" outlineLevel="0" collapsed="false">
      <c r="A125" s="22" t="s">
        <v>179</v>
      </c>
      <c r="B125" s="22" t="s">
        <v>180</v>
      </c>
      <c r="C125" s="22" t="s">
        <v>181</v>
      </c>
      <c r="D125" s="22" t="s">
        <v>182</v>
      </c>
      <c r="E125" s="22" t="s">
        <v>183</v>
      </c>
      <c r="F125" s="22" t="s">
        <v>184</v>
      </c>
      <c r="G125" s="22" t="s">
        <v>185</v>
      </c>
      <c r="H125" s="22" t="s">
        <v>186</v>
      </c>
      <c r="I125" s="22" t="s">
        <v>187</v>
      </c>
    </row>
    <row r="126" customFormat="false" ht="15" hidden="false" customHeight="false" outlineLevel="0" collapsed="false">
      <c r="A126" s="59" t="s">
        <v>188</v>
      </c>
      <c r="B126" s="60" t="n">
        <f aca="false">Curves!E8</f>
        <v>0.957768</v>
      </c>
      <c r="C126" s="60" t="n">
        <f aca="false">Curves!E9</f>
        <v>0.96933</v>
      </c>
      <c r="D126" s="61" t="n">
        <f aca="false">SABR!AT10</f>
        <v>0.39978211956629</v>
      </c>
      <c r="E126" s="60" t="n">
        <f aca="false">Curves!E10</f>
        <v>0.958726</v>
      </c>
      <c r="F126" s="60" t="n">
        <f aca="false">Curves!E11</f>
        <v>0.954899</v>
      </c>
      <c r="G126" s="60" t="n">
        <f aca="false">Curves!E12</f>
        <v>0.967393</v>
      </c>
      <c r="H126" s="60" t="n">
        <f aca="false">Curves!E13</f>
        <v>0.960645</v>
      </c>
      <c r="I126" s="62" t="n">
        <f aca="false">NPV_Engine!$B$4*B126*(C126/NPV_Engine!$B$8)*(1+0.5*(D126-NPV_Engine!$B$13))*(AVERAGE(E126,F126,G126)/B126)*(H126/NPV_Engine!$B$12)</f>
        <v>9603393.33333333</v>
      </c>
    </row>
    <row r="127" customFormat="false" ht="15" hidden="false" customHeight="false" outlineLevel="0" collapsed="false">
      <c r="A127" s="63" t="s">
        <v>117</v>
      </c>
      <c r="B127" s="64" t="n">
        <f aca="false">Curves_Current!Q7</f>
        <v>0.956822187215235</v>
      </c>
      <c r="C127" s="64" t="n">
        <f aca="false">Curves_Current!Q8</f>
        <v>0.968995862002259</v>
      </c>
      <c r="D127" s="65" t="n">
        <f aca="false">SABR_Current!AT27</f>
        <v>0.401693250530639</v>
      </c>
      <c r="E127" s="64" t="n">
        <f aca="false">Curves_Current!Q9</f>
        <v>0.957681920165427</v>
      </c>
      <c r="F127" s="64" t="n">
        <f aca="false">Curves_Current!Q10</f>
        <v>0.954165270979805</v>
      </c>
      <c r="G127" s="64" t="n">
        <f aca="false">Curves_Current!Q11</f>
        <v>0.968878880918249</v>
      </c>
      <c r="H127" s="64" t="n">
        <f aca="false">Curves_Current!Q12</f>
        <v>0.960004425633023</v>
      </c>
      <c r="I127" s="62" t="n">
        <f aca="false">NPV_Engine!$B$4*B127*(C127/NPV_Engine!$B$8)*(1+0.5*(D127-NPV_Engine!$B$13))*(AVERAGE(E127,F127,G127)/B127)*(H127/NPV_Engine!$B$12)</f>
        <v>9601875.79998558</v>
      </c>
    </row>
    <row r="128" customFormat="false" ht="15" hidden="false" customHeight="false" outlineLevel="0" collapsed="false">
      <c r="A128" s="63" t="s">
        <v>118</v>
      </c>
      <c r="B128" s="64" t="n">
        <f aca="false">Curves_Current!Q15</f>
        <v>0.95669164367522</v>
      </c>
      <c r="C128" s="64" t="n">
        <f aca="false">Curves_Current!Q16</f>
        <v>0.968355314403056</v>
      </c>
      <c r="D128" s="65" t="n">
        <f aca="false">SABR_Current!AT41</f>
        <v>0.401488494979835</v>
      </c>
      <c r="E128" s="64" t="n">
        <f aca="false">Curves_Current!Q17</f>
        <v>0.958262308784257</v>
      </c>
      <c r="F128" s="64" t="n">
        <f aca="false">Curves_Current!Q18</f>
        <v>0.952882762555419</v>
      </c>
      <c r="G128" s="64" t="n">
        <f aca="false">Curves_Current!Q19</f>
        <v>0.965773029228864</v>
      </c>
      <c r="H128" s="64" t="n">
        <f aca="false">Curves_Current!Q20</f>
        <v>0.959904900700641</v>
      </c>
      <c r="I128" s="62" t="n">
        <f aca="false">NPV_Engine!$B$4*B128*(C128/NPV_Engine!$B$8)*(1+0.5*(D128-NPV_Engine!$B$13))*(AVERAGE(E128,F128,G128)/B128)*(H128/NPV_Engine!$B$12)</f>
        <v>9580870.9238644</v>
      </c>
    </row>
    <row r="129" customFormat="false" ht="15" hidden="false" customHeight="false" outlineLevel="0" collapsed="false">
      <c r="A129" s="63" t="s">
        <v>119</v>
      </c>
      <c r="B129" s="64" t="n">
        <f aca="false">Curves_Current!Q23</f>
        <v>0.957261411797292</v>
      </c>
      <c r="C129" s="64" t="n">
        <f aca="false">Curves_Current!Q24</f>
        <v>0.968324702487041</v>
      </c>
      <c r="D129" s="65" t="n">
        <f aca="false">SABR_Current!AT55</f>
        <v>0.401966254765439</v>
      </c>
      <c r="E129" s="64" t="n">
        <f aca="false">Curves_Current!Q25</f>
        <v>0.957194399871784</v>
      </c>
      <c r="F129" s="64" t="n">
        <f aca="false">Curves_Current!Q26</f>
        <v>0.955788775537166</v>
      </c>
      <c r="G129" s="64" t="n">
        <f aca="false">Curves_Current!Q27</f>
        <v>0.966448771333421</v>
      </c>
      <c r="H129" s="64" t="n">
        <f aca="false">Curves_Current!Q28</f>
        <v>0.959721682064423</v>
      </c>
      <c r="I129" s="62" t="n">
        <f aca="false">NPV_Engine!$B$4*B129*(C129/NPV_Engine!$B$8)*(1+0.5*(D129-NPV_Engine!$B$13))*(AVERAGE(E129,F129,G129)/B129)*(H129/NPV_Engine!$B$12)</f>
        <v>9589397.49350196</v>
      </c>
    </row>
    <row r="130" customFormat="false" ht="15" hidden="false" customHeight="false" outlineLevel="0" collapsed="false">
      <c r="A130" s="63" t="s">
        <v>120</v>
      </c>
      <c r="B130" s="64" t="n">
        <f aca="false">Curves_Current!Q31</f>
        <v>0.957960959770115</v>
      </c>
      <c r="C130" s="64" t="n">
        <f aca="false">Curves_Current!Q32</f>
        <v>0.968736531520539</v>
      </c>
      <c r="D130" s="65" t="n">
        <f aca="false">SABR_Current!AT69</f>
        <v>0.403399467630506</v>
      </c>
      <c r="E130" s="64" t="n">
        <f aca="false">Curves_Current!Q33</f>
        <v>0.957053949688665</v>
      </c>
      <c r="F130" s="64" t="n">
        <f aca="false">Curves_Current!Q34</f>
        <v>0.952125081208929</v>
      </c>
      <c r="G130" s="64" t="n">
        <f aca="false">Curves_Current!Q35</f>
        <v>0.965252169321666</v>
      </c>
      <c r="H130" s="64" t="n">
        <f aca="false">Curves_Current!Q36</f>
        <v>0.959651922334763</v>
      </c>
      <c r="I130" s="62" t="n">
        <f aca="false">NPV_Engine!$B$4*B130*(C130/NPV_Engine!$B$8)*(1+0.5*(D130-NPV_Engine!$B$13))*(AVERAGE(E130,F130,G130)/B130)*(H130/NPV_Engine!$B$12)</f>
        <v>9582973.46452471</v>
      </c>
    </row>
    <row r="131" customFormat="false" ht="15" hidden="false" customHeight="false" outlineLevel="0" collapsed="false">
      <c r="A131" s="63" t="s">
        <v>121</v>
      </c>
      <c r="B131" s="64" t="n">
        <f aca="false">Curves_Current!Q39</f>
        <v>0.956191489469807</v>
      </c>
      <c r="C131" s="64" t="n">
        <f aca="false">Curves_Current!Q40</f>
        <v>0.967965562360225</v>
      </c>
      <c r="D131" s="65" t="n">
        <f aca="false">SABR_Current!AT83</f>
        <v>0.403058235518653</v>
      </c>
      <c r="E131" s="64" t="n">
        <f aca="false">Curves_Current!Q41</f>
        <v>0.957905601234653</v>
      </c>
      <c r="F131" s="64" t="n">
        <f aca="false">Curves_Current!Q42</f>
        <v>0.952092269426374</v>
      </c>
      <c r="G131" s="64" t="n">
        <f aca="false">Curves_Current!Q43</f>
        <v>0.965065665104197</v>
      </c>
      <c r="H131" s="64" t="n">
        <f aca="false">Curves_Current!Q44</f>
        <v>0.960155426888727</v>
      </c>
      <c r="I131" s="62" t="n">
        <f aca="false">NPV_Engine!$B$4*B131*(C131/NPV_Engine!$B$8)*(1+0.5*(D131-NPV_Engine!$B$13))*(AVERAGE(E131,F131,G131)/B131)*(H131/NPV_Engine!$B$12)</f>
        <v>9580846.36771572</v>
      </c>
    </row>
    <row r="132" customFormat="false" ht="15" hidden="false" customHeight="false" outlineLevel="0" collapsed="false">
      <c r="A132" s="63" t="s">
        <v>122</v>
      </c>
      <c r="B132" s="64" t="n">
        <f aca="false">Curves_Current!Q47</f>
        <v>0.956088729271246</v>
      </c>
      <c r="C132" s="64" t="n">
        <f aca="false">Curves_Current!Q48</f>
        <v>0.969167533255704</v>
      </c>
      <c r="D132" s="65" t="n">
        <f aca="false">SABR_Current!AT97</f>
        <v>0.40490082175243</v>
      </c>
      <c r="E132" s="64" t="n">
        <f aca="false">Curves_Current!Q49</f>
        <v>0.958377026624332</v>
      </c>
      <c r="F132" s="64" t="n">
        <f aca="false">Curves_Current!Q50</f>
        <v>0.951657571221878</v>
      </c>
      <c r="G132" s="64" t="n">
        <f aca="false">Curves_Current!Q51</f>
        <v>0.967054122180948</v>
      </c>
      <c r="H132" s="64" t="n">
        <f aca="false">Curves_Current!Q52</f>
        <v>0.96008937800257</v>
      </c>
      <c r="I132" s="62" t="n">
        <f aca="false">NPV_Engine!$B$4*B132*(C132/NPV_Engine!$B$8)*(1+0.5*(D132-NPV_Engine!$B$13))*(AVERAGE(E132,F132,G132)/B132)*(H132/NPV_Engine!$B$12)</f>
        <v>9607669.00927436</v>
      </c>
    </row>
    <row r="133" customFormat="false" ht="15" hidden="false" customHeight="false" outlineLevel="0" collapsed="false">
      <c r="A133" s="63" t="s">
        <v>123</v>
      </c>
      <c r="B133" s="64" t="n">
        <f aca="false">Curves_Current!Q55</f>
        <v>0.955804981192856</v>
      </c>
      <c r="C133" s="64" t="n">
        <f aca="false">Curves_Current!Q56</f>
        <v>0.967676111340144</v>
      </c>
      <c r="D133" s="65" t="n">
        <f aca="false">SABR_Current!AT111</f>
        <v>0.403945427249027</v>
      </c>
      <c r="E133" s="64" t="n">
        <f aca="false">Curves_Current!Q57</f>
        <v>0.956515327373862</v>
      </c>
      <c r="F133" s="64" t="n">
        <f aca="false">Curves_Current!Q58</f>
        <v>0.951467522241567</v>
      </c>
      <c r="G133" s="64" t="n">
        <f aca="false">Curves_Current!Q59</f>
        <v>0.964585750008933</v>
      </c>
      <c r="H133" s="64" t="n">
        <f aca="false">Curves_Current!Q60</f>
        <v>0.959271534382446</v>
      </c>
      <c r="I133" s="62" t="n">
        <f aca="false">NPV_Engine!$B$4*B133*(C133/NPV_Engine!$B$8)*(1+0.5*(D133-NPV_Engine!$B$13))*(AVERAGE(E133,F133,G133)/B133)*(H133/NPV_Engine!$B$12)</f>
        <v>9565094.42784836</v>
      </c>
    </row>
    <row r="134" customFormat="false" ht="15" hidden="false" customHeight="false" outlineLevel="0" collapsed="false">
      <c r="A134" s="63" t="s">
        <v>124</v>
      </c>
      <c r="B134" s="64" t="n">
        <f aca="false">Curves_Current!Q63</f>
        <v>0.9557345543552</v>
      </c>
      <c r="C134" s="64" t="n">
        <f aca="false">Curves_Current!Q64</f>
        <v>0.968610371024998</v>
      </c>
      <c r="D134" s="65" t="n">
        <f aca="false">SABR_Current!AT125</f>
        <v>0.405378502381195</v>
      </c>
      <c r="E134" s="64" t="n">
        <f aca="false">Curves_Current!Q65</f>
        <v>0.956295155645531</v>
      </c>
      <c r="F134" s="64" t="n">
        <f aca="false">Curves_Current!Q66</f>
        <v>0.951090646612669</v>
      </c>
      <c r="G134" s="64" t="n">
        <f aca="false">Curves_Current!Q67</f>
        <v>0.964232142879761</v>
      </c>
      <c r="H134" s="64" t="n">
        <f aca="false">Curves_Current!Q68</f>
        <v>0.960017658966397</v>
      </c>
      <c r="I134" s="62" t="n">
        <f aca="false">NPV_Engine!$B$4*B134*(C134/NPV_Engine!$B$8)*(1+0.5*(D134-NPV_Engine!$B$13))*(AVERAGE(E134,F134,G134)/B134)*(H134/NPV_Engine!$B$12)</f>
        <v>9585454.31688423</v>
      </c>
    </row>
    <row r="135" customFormat="false" ht="15" hidden="false" customHeight="false" outlineLevel="0" collapsed="false">
      <c r="A135" s="63" t="s">
        <v>125</v>
      </c>
      <c r="B135" s="64" t="n">
        <f aca="false">Curves_Current!Q71</f>
        <v>0.956877760102935</v>
      </c>
      <c r="C135" s="64" t="n">
        <f aca="false">Curves_Current!Q72</f>
        <v>0.967388356778832</v>
      </c>
      <c r="D135" s="65" t="n">
        <f aca="false">SABR_Current!AT139</f>
        <v>0.406060884055627</v>
      </c>
      <c r="E135" s="64" t="n">
        <f aca="false">Curves_Current!Q73</f>
        <v>0.95613081046933</v>
      </c>
      <c r="F135" s="64" t="n">
        <f aca="false">Curves_Current!Q74</f>
        <v>0.95090077919812</v>
      </c>
      <c r="G135" s="64" t="n">
        <f aca="false">Curves_Current!Q75</f>
        <v>0.964026518114088</v>
      </c>
      <c r="H135" s="64" t="n">
        <f aca="false">Curves_Current!Q76</f>
        <v>0.960853674398117</v>
      </c>
      <c r="I135" s="62" t="n">
        <f aca="false">NPV_Engine!$B$4*B135*(C135/NPV_Engine!$B$8)*(1+0.5*(D135-NPV_Engine!$B$13))*(AVERAGE(E135,F135,G135)/B135)*(H135/NPV_Engine!$B$12)</f>
        <v>9583089.38400487</v>
      </c>
    </row>
    <row r="136" customFormat="false" ht="15" hidden="false" customHeight="false" outlineLevel="0" collapsed="false">
      <c r="A136" s="63" t="s">
        <v>126</v>
      </c>
      <c r="B136" s="64" t="n">
        <f aca="false">Curves_Current!Q79</f>
        <v>0.955367578394252</v>
      </c>
      <c r="C136" s="64" t="n">
        <f aca="false">Curves_Current!Q80</f>
        <v>0.968488758665977</v>
      </c>
      <c r="D136" s="65" t="n">
        <f aca="false">SABR_Current!AT153</f>
        <v>0.405514980525381</v>
      </c>
      <c r="E136" s="64" t="n">
        <f aca="false">Curves_Current!Q81</f>
        <v>0.956044396643647</v>
      </c>
      <c r="F136" s="64" t="n">
        <f aca="false">Curves_Current!Q82</f>
        <v>0.952997940377281</v>
      </c>
      <c r="G136" s="64" t="n">
        <f aca="false">Curves_Current!Q83</f>
        <v>0.963912943371517</v>
      </c>
      <c r="H136" s="64" t="n">
        <f aca="false">Curves_Current!Q84</f>
        <v>0.958990132188804</v>
      </c>
      <c r="I136" s="62" t="n">
        <f aca="false">NPV_Engine!$B$4*B136*(C136/NPV_Engine!$B$8)*(1+0.5*(D136-NPV_Engine!$B$13))*(AVERAGE(E136,F136,G136)/B136)*(H136/NPV_Engine!$B$12)</f>
        <v>9579103.09312793</v>
      </c>
    </row>
    <row r="139" customFormat="false" ht="15" hidden="false" customHeight="false" outlineLevel="0" collapsed="false">
      <c r="A139" s="57" t="s">
        <v>282</v>
      </c>
      <c r="B139" s="57"/>
      <c r="C139" s="57"/>
      <c r="D139" s="57"/>
      <c r="E139" s="57"/>
      <c r="F139" s="57"/>
      <c r="G139" s="57"/>
      <c r="H139" s="57"/>
      <c r="I139" s="57"/>
      <c r="J139" s="58" t="s">
        <v>283</v>
      </c>
    </row>
    <row r="140" customFormat="false" ht="39.55" hidden="false" customHeight="false" outlineLevel="0" collapsed="false">
      <c r="A140" s="22" t="s">
        <v>179</v>
      </c>
      <c r="B140" s="22" t="s">
        <v>180</v>
      </c>
      <c r="C140" s="22" t="s">
        <v>181</v>
      </c>
      <c r="D140" s="22" t="s">
        <v>182</v>
      </c>
      <c r="E140" s="22" t="s">
        <v>183</v>
      </c>
      <c r="F140" s="22" t="s">
        <v>184</v>
      </c>
      <c r="G140" s="22" t="s">
        <v>185</v>
      </c>
      <c r="H140" s="22" t="s">
        <v>186</v>
      </c>
      <c r="I140" s="22" t="s">
        <v>187</v>
      </c>
    </row>
    <row r="141" customFormat="false" ht="15" hidden="false" customHeight="false" outlineLevel="0" collapsed="false">
      <c r="A141" s="59" t="s">
        <v>188</v>
      </c>
      <c r="B141" s="60" t="n">
        <f aca="false">Curves!E8</f>
        <v>0.957768</v>
      </c>
      <c r="C141" s="60" t="n">
        <f aca="false">Curves!E9</f>
        <v>0.96933</v>
      </c>
      <c r="D141" s="61" t="n">
        <f aca="false">SABR!AT10</f>
        <v>0.39978211956629</v>
      </c>
      <c r="E141" s="60" t="n">
        <f aca="false">Curves!E10</f>
        <v>0.958726</v>
      </c>
      <c r="F141" s="60" t="n">
        <f aca="false">Curves!E11</f>
        <v>0.954899</v>
      </c>
      <c r="G141" s="60" t="n">
        <f aca="false">Curves!E12</f>
        <v>0.967393</v>
      </c>
      <c r="H141" s="60" t="n">
        <f aca="false">Curves!E13</f>
        <v>0.960645</v>
      </c>
      <c r="I141" s="62" t="n">
        <f aca="false">NPV_Engine!$B$4*B141*(C141/NPV_Engine!$B$8)*(1+0.5*(D141-NPV_Engine!$B$13))*(AVERAGE(E141,F141,G141)/B141)*(H141/NPV_Engine!$B$12)</f>
        <v>9603393.33333333</v>
      </c>
    </row>
    <row r="142" customFormat="false" ht="15" hidden="false" customHeight="false" outlineLevel="0" collapsed="false">
      <c r="A142" s="63" t="s">
        <v>117</v>
      </c>
      <c r="B142" s="60" t="n">
        <f aca="false">Curves!E8</f>
        <v>0.957768</v>
      </c>
      <c r="C142" s="60" t="n">
        <f aca="false">Curves!E9</f>
        <v>0.96933</v>
      </c>
      <c r="D142" s="65" t="n">
        <f aca="false">SABR_Current!AT27</f>
        <v>0.401693250530639</v>
      </c>
      <c r="E142" s="64" t="n">
        <f aca="false">Curves_Current!Q9</f>
        <v>0.957681920165427</v>
      </c>
      <c r="F142" s="64" t="n">
        <f aca="false">Curves_Current!Q10</f>
        <v>0.954165270979805</v>
      </c>
      <c r="G142" s="64" t="n">
        <f aca="false">Curves_Current!Q11</f>
        <v>0.968878880918249</v>
      </c>
      <c r="H142" s="60" t="n">
        <f aca="false">Curves!E13</f>
        <v>0.960645</v>
      </c>
      <c r="I142" s="62" t="n">
        <f aca="false">NPV_Engine!$B$4*B142*(C142/NPV_Engine!$B$8)*(1+0.5*(D142-NPV_Engine!$B$13))*(AVERAGE(E142,F142,G142)/B142)*(H142/NPV_Engine!$B$12)</f>
        <v>9611595.98153848</v>
      </c>
    </row>
    <row r="143" customFormat="false" ht="15" hidden="false" customHeight="false" outlineLevel="0" collapsed="false">
      <c r="A143" s="63" t="s">
        <v>118</v>
      </c>
      <c r="B143" s="60" t="n">
        <f aca="false">Curves!E8</f>
        <v>0.957768</v>
      </c>
      <c r="C143" s="60" t="n">
        <f aca="false">Curves!E9</f>
        <v>0.96933</v>
      </c>
      <c r="D143" s="65" t="n">
        <f aca="false">SABR_Current!AT41</f>
        <v>0.401488494979835</v>
      </c>
      <c r="E143" s="64" t="n">
        <f aca="false">Curves_Current!Q17</f>
        <v>0.958262308784257</v>
      </c>
      <c r="F143" s="64" t="n">
        <f aca="false">Curves_Current!Q18</f>
        <v>0.952882762555419</v>
      </c>
      <c r="G143" s="64" t="n">
        <f aca="false">Curves_Current!Q19</f>
        <v>0.965773029228864</v>
      </c>
      <c r="H143" s="60" t="n">
        <f aca="false">Curves!E13</f>
        <v>0.960645</v>
      </c>
      <c r="I143" s="62" t="n">
        <f aca="false">NPV_Engine!$B$4*B143*(C143/NPV_Engine!$B$8)*(1+0.5*(D143-NPV_Engine!$B$13))*(AVERAGE(E143,F143,G143)/B143)*(H143/NPV_Engine!$B$12)</f>
        <v>9597908.83908445</v>
      </c>
    </row>
    <row r="144" customFormat="false" ht="15" hidden="false" customHeight="false" outlineLevel="0" collapsed="false">
      <c r="A144" s="63" t="s">
        <v>119</v>
      </c>
      <c r="B144" s="60" t="n">
        <f aca="false">Curves!E8</f>
        <v>0.957768</v>
      </c>
      <c r="C144" s="60" t="n">
        <f aca="false">Curves!E9</f>
        <v>0.96933</v>
      </c>
      <c r="D144" s="65" t="n">
        <f aca="false">SABR_Current!AT55</f>
        <v>0.401966254765439</v>
      </c>
      <c r="E144" s="64" t="n">
        <f aca="false">Curves_Current!Q25</f>
        <v>0.957194399871784</v>
      </c>
      <c r="F144" s="64" t="n">
        <f aca="false">Curves_Current!Q26</f>
        <v>0.955788775537166</v>
      </c>
      <c r="G144" s="64" t="n">
        <f aca="false">Curves_Current!Q27</f>
        <v>0.966448771333421</v>
      </c>
      <c r="H144" s="60" t="n">
        <f aca="false">Curves!E13</f>
        <v>0.960645</v>
      </c>
      <c r="I144" s="62" t="n">
        <f aca="false">NPV_Engine!$B$4*B144*(C144/NPV_Engine!$B$8)*(1+0.5*(D144-NPV_Engine!$B$13))*(AVERAGE(E144,F144,G144)/B144)*(H144/NPV_Engine!$B$12)</f>
        <v>9608588.27025529</v>
      </c>
    </row>
    <row r="145" customFormat="false" ht="15" hidden="false" customHeight="false" outlineLevel="0" collapsed="false">
      <c r="A145" s="63" t="s">
        <v>120</v>
      </c>
      <c r="B145" s="60" t="n">
        <f aca="false">Curves!E8</f>
        <v>0.957768</v>
      </c>
      <c r="C145" s="60" t="n">
        <f aca="false">Curves!E9</f>
        <v>0.96933</v>
      </c>
      <c r="D145" s="65" t="n">
        <f aca="false">SABR_Current!AT69</f>
        <v>0.403399467630506</v>
      </c>
      <c r="E145" s="64" t="n">
        <f aca="false">Curves_Current!Q33</f>
        <v>0.957053949688665</v>
      </c>
      <c r="F145" s="64" t="n">
        <f aca="false">Curves_Current!Q34</f>
        <v>0.952125081208929</v>
      </c>
      <c r="G145" s="64" t="n">
        <f aca="false">Curves_Current!Q35</f>
        <v>0.965252169321666</v>
      </c>
      <c r="H145" s="60" t="n">
        <f aca="false">Curves!E13</f>
        <v>0.960645</v>
      </c>
      <c r="I145" s="62" t="n">
        <f aca="false">NPV_Engine!$B$4*B145*(C145/NPV_Engine!$B$8)*(1+0.5*(D145-NPV_Engine!$B$13))*(AVERAGE(E145,F145,G145)/B145)*(H145/NPV_Engine!$B$12)</f>
        <v>9598767.0309606</v>
      </c>
    </row>
    <row r="146" customFormat="false" ht="15" hidden="false" customHeight="false" outlineLevel="0" collapsed="false">
      <c r="A146" s="63" t="s">
        <v>121</v>
      </c>
      <c r="B146" s="60" t="n">
        <f aca="false">Curves!E8</f>
        <v>0.957768</v>
      </c>
      <c r="C146" s="60" t="n">
        <f aca="false">Curves!E9</f>
        <v>0.96933</v>
      </c>
      <c r="D146" s="65" t="n">
        <f aca="false">SABR_Current!AT83</f>
        <v>0.403058235518653</v>
      </c>
      <c r="E146" s="64" t="n">
        <f aca="false">Curves_Current!Q41</f>
        <v>0.957905601234653</v>
      </c>
      <c r="F146" s="64" t="n">
        <f aca="false">Curves_Current!Q42</f>
        <v>0.952092269426374</v>
      </c>
      <c r="G146" s="64" t="n">
        <f aca="false">Curves_Current!Q43</f>
        <v>0.965065665104197</v>
      </c>
      <c r="H146" s="60" t="n">
        <f aca="false">Curves!E13</f>
        <v>0.960645</v>
      </c>
      <c r="I146" s="62" t="n">
        <f aca="false">NPV_Engine!$B$4*B146*(C146/NPV_Engine!$B$8)*(1+0.5*(D146-NPV_Engine!$B$13))*(AVERAGE(E146,F146,G146)/B146)*(H146/NPV_Engine!$B$12)</f>
        <v>9599243.52174005</v>
      </c>
    </row>
    <row r="147" customFormat="false" ht="15" hidden="false" customHeight="false" outlineLevel="0" collapsed="false">
      <c r="A147" s="63" t="s">
        <v>122</v>
      </c>
      <c r="B147" s="60" t="n">
        <f aca="false">Curves!E8</f>
        <v>0.957768</v>
      </c>
      <c r="C147" s="60" t="n">
        <f aca="false">Curves!E9</f>
        <v>0.96933</v>
      </c>
      <c r="D147" s="65" t="n">
        <f aca="false">SABR_Current!AT97</f>
        <v>0.40490082175243</v>
      </c>
      <c r="E147" s="64" t="n">
        <f aca="false">Curves_Current!Q49</f>
        <v>0.958377026624332</v>
      </c>
      <c r="F147" s="64" t="n">
        <f aca="false">Curves_Current!Q50</f>
        <v>0.951657571221878</v>
      </c>
      <c r="G147" s="64" t="n">
        <f aca="false">Curves_Current!Q51</f>
        <v>0.967054122180948</v>
      </c>
      <c r="H147" s="60" t="n">
        <f aca="false">Curves!E13</f>
        <v>0.960645</v>
      </c>
      <c r="I147" s="62" t="n">
        <f aca="false">NPV_Engine!$B$4*B147*(C147/NPV_Engine!$B$8)*(1+0.5*(D147-NPV_Engine!$B$13))*(AVERAGE(E147,F147,G147)/B147)*(H147/NPV_Engine!$B$12)</f>
        <v>9614840.66729206</v>
      </c>
    </row>
    <row r="148" customFormat="false" ht="15" hidden="false" customHeight="false" outlineLevel="0" collapsed="false">
      <c r="A148" s="63" t="s">
        <v>123</v>
      </c>
      <c r="B148" s="60" t="n">
        <f aca="false">Curves!E8</f>
        <v>0.957768</v>
      </c>
      <c r="C148" s="60" t="n">
        <f aca="false">Curves!E9</f>
        <v>0.96933</v>
      </c>
      <c r="D148" s="65" t="n">
        <f aca="false">SABR_Current!AT111</f>
        <v>0.403945427249027</v>
      </c>
      <c r="E148" s="64" t="n">
        <f aca="false">Curves_Current!Q57</f>
        <v>0.956515327373862</v>
      </c>
      <c r="F148" s="64" t="n">
        <f aca="false">Curves_Current!Q58</f>
        <v>0.951467522241567</v>
      </c>
      <c r="G148" s="64" t="n">
        <f aca="false">Curves_Current!Q59</f>
        <v>0.964585750008933</v>
      </c>
      <c r="H148" s="60" t="n">
        <f aca="false">Curves!E13</f>
        <v>0.960645</v>
      </c>
      <c r="I148" s="62" t="n">
        <f aca="false">NPV_Engine!$B$4*B148*(C148/NPV_Engine!$B$8)*(1+0.5*(D148-NPV_Engine!$B$13))*(AVERAGE(E148,F148,G148)/B148)*(H148/NPV_Engine!$B$12)</f>
        <v>9595160.97694789</v>
      </c>
    </row>
    <row r="149" customFormat="false" ht="15" hidden="false" customHeight="false" outlineLevel="0" collapsed="false">
      <c r="A149" s="63" t="s">
        <v>124</v>
      </c>
      <c r="B149" s="60" t="n">
        <f aca="false">Curves!E8</f>
        <v>0.957768</v>
      </c>
      <c r="C149" s="60" t="n">
        <f aca="false">Curves!E9</f>
        <v>0.96933</v>
      </c>
      <c r="D149" s="65" t="n">
        <f aca="false">SABR_Current!AT125</f>
        <v>0.405378502381195</v>
      </c>
      <c r="E149" s="64" t="n">
        <f aca="false">Curves_Current!Q65</f>
        <v>0.956295155645531</v>
      </c>
      <c r="F149" s="64" t="n">
        <f aca="false">Curves_Current!Q66</f>
        <v>0.951090646612669</v>
      </c>
      <c r="G149" s="64" t="n">
        <f aca="false">Curves_Current!Q67</f>
        <v>0.964232142879761</v>
      </c>
      <c r="H149" s="60" t="n">
        <f aca="false">Curves!E13</f>
        <v>0.960645</v>
      </c>
      <c r="I149" s="62" t="n">
        <f aca="false">NPV_Engine!$B$4*B149*(C149/NPV_Engine!$B$8)*(1+0.5*(D149-NPV_Engine!$B$13))*(AVERAGE(E149,F149,G149)/B149)*(H149/NPV_Engine!$B$12)</f>
        <v>9598844.27265844</v>
      </c>
    </row>
    <row r="150" customFormat="false" ht="15" hidden="false" customHeight="false" outlineLevel="0" collapsed="false">
      <c r="A150" s="63" t="s">
        <v>125</v>
      </c>
      <c r="B150" s="60" t="n">
        <f aca="false">Curves!E8</f>
        <v>0.957768</v>
      </c>
      <c r="C150" s="60" t="n">
        <f aca="false">Curves!E9</f>
        <v>0.96933</v>
      </c>
      <c r="D150" s="65" t="n">
        <f aca="false">SABR_Current!AT139</f>
        <v>0.406060884055627</v>
      </c>
      <c r="E150" s="64" t="n">
        <f aca="false">Curves_Current!Q73</f>
        <v>0.95613081046933</v>
      </c>
      <c r="F150" s="64" t="n">
        <f aca="false">Curves_Current!Q74</f>
        <v>0.95090077919812</v>
      </c>
      <c r="G150" s="64" t="n">
        <f aca="false">Curves_Current!Q75</f>
        <v>0.964026518114088</v>
      </c>
      <c r="H150" s="60" t="n">
        <f aca="false">Curves!E13</f>
        <v>0.960645</v>
      </c>
      <c r="I150" s="62" t="n">
        <f aca="false">NPV_Engine!$B$4*B150*(C150/NPV_Engine!$B$8)*(1+0.5*(D150-NPV_Engine!$B$13))*(AVERAGE(E150,F150,G150)/B150)*(H150/NPV_Engine!$B$12)</f>
        <v>9600238.18876173</v>
      </c>
    </row>
    <row r="151" customFormat="false" ht="15" hidden="false" customHeight="false" outlineLevel="0" collapsed="false">
      <c r="A151" s="63" t="s">
        <v>126</v>
      </c>
      <c r="B151" s="60" t="n">
        <f aca="false">Curves!E8</f>
        <v>0.957768</v>
      </c>
      <c r="C151" s="60" t="n">
        <f aca="false">Curves!E9</f>
        <v>0.96933</v>
      </c>
      <c r="D151" s="65" t="n">
        <f aca="false">SABR_Current!AT153</f>
        <v>0.405514980525381</v>
      </c>
      <c r="E151" s="64" t="n">
        <f aca="false">Curves_Current!Q81</f>
        <v>0.956044396643647</v>
      </c>
      <c r="F151" s="64" t="n">
        <f aca="false">Curves_Current!Q82</f>
        <v>0.952997940377281</v>
      </c>
      <c r="G151" s="64" t="n">
        <f aca="false">Curves_Current!Q83</f>
        <v>0.963912943371517</v>
      </c>
      <c r="H151" s="60" t="n">
        <f aca="false">Curves!E13</f>
        <v>0.960645</v>
      </c>
      <c r="I151" s="62" t="n">
        <f aca="false">NPV_Engine!$B$4*B151*(C151/NPV_Engine!$B$8)*(1+0.5*(D151-NPV_Engine!$B$13))*(AVERAGE(E151,F151,G151)/B151)*(H151/NPV_Engine!$B$12)</f>
        <v>9603968.02324844</v>
      </c>
    </row>
    <row r="154" customFormat="false" ht="15" hidden="false" customHeight="false" outlineLevel="0" collapsed="false">
      <c r="A154" s="57" t="s">
        <v>284</v>
      </c>
      <c r="B154" s="57"/>
      <c r="C154" s="57"/>
      <c r="D154" s="57"/>
      <c r="E154" s="57"/>
      <c r="F154" s="57"/>
      <c r="G154" s="57"/>
      <c r="H154" s="57"/>
      <c r="I154" s="57"/>
      <c r="J154" s="58" t="s">
        <v>285</v>
      </c>
    </row>
    <row r="155" customFormat="false" ht="39.55" hidden="false" customHeight="false" outlineLevel="0" collapsed="false">
      <c r="A155" s="22" t="s">
        <v>179</v>
      </c>
      <c r="B155" s="22" t="s">
        <v>180</v>
      </c>
      <c r="C155" s="22" t="s">
        <v>181</v>
      </c>
      <c r="D155" s="22" t="s">
        <v>182</v>
      </c>
      <c r="E155" s="22" t="s">
        <v>183</v>
      </c>
      <c r="F155" s="22" t="s">
        <v>184</v>
      </c>
      <c r="G155" s="22" t="s">
        <v>185</v>
      </c>
      <c r="H155" s="22" t="s">
        <v>186</v>
      </c>
      <c r="I155" s="22" t="s">
        <v>187</v>
      </c>
    </row>
    <row r="156" customFormat="false" ht="15" hidden="false" customHeight="false" outlineLevel="0" collapsed="false">
      <c r="A156" s="59" t="s">
        <v>188</v>
      </c>
      <c r="B156" s="60" t="n">
        <f aca="false">Curves!E8</f>
        <v>0.957768</v>
      </c>
      <c r="C156" s="60" t="n">
        <f aca="false">Curves!E9</f>
        <v>0.96933</v>
      </c>
      <c r="D156" s="61" t="n">
        <f aca="false">SABR!AT10</f>
        <v>0.39978211956629</v>
      </c>
      <c r="E156" s="60" t="n">
        <f aca="false">Curves!E10</f>
        <v>0.958726</v>
      </c>
      <c r="F156" s="60" t="n">
        <f aca="false">Curves!E11</f>
        <v>0.954899</v>
      </c>
      <c r="G156" s="60" t="n">
        <f aca="false">Curves!E12</f>
        <v>0.967393</v>
      </c>
      <c r="H156" s="60" t="n">
        <f aca="false">Curves!E13</f>
        <v>0.960645</v>
      </c>
      <c r="I156" s="62" t="n">
        <f aca="false">NPV_Engine!$B$4*B156*(C156/NPV_Engine!$B$8)*(1+0.5*(D156-NPV_Engine!$B$13))*(AVERAGE(E156,F156,G156)/B156)*(H156/NPV_Engine!$B$12)</f>
        <v>9603393.33333333</v>
      </c>
    </row>
    <row r="157" customFormat="false" ht="15" hidden="false" customHeight="false" outlineLevel="0" collapsed="false">
      <c r="A157" s="63" t="s">
        <v>117</v>
      </c>
      <c r="B157" s="60" t="n">
        <f aca="false">Curves!E8</f>
        <v>0.957768</v>
      </c>
      <c r="C157" s="60" t="n">
        <f aca="false">Curves!E9</f>
        <v>0.96933</v>
      </c>
      <c r="D157" s="65" t="n">
        <f aca="false">SABR_Current!AT27</f>
        <v>0.401693250530639</v>
      </c>
      <c r="E157" s="60" t="n">
        <f aca="false">Curves!E10</f>
        <v>0.958726</v>
      </c>
      <c r="F157" s="64" t="n">
        <f aca="false">Curves_Current!Q10</f>
        <v>0.954165270979805</v>
      </c>
      <c r="G157" s="60" t="n">
        <f aca="false">Curves!E12</f>
        <v>0.967393</v>
      </c>
      <c r="H157" s="60" t="n">
        <f aca="false">Curves!E13</f>
        <v>0.960645</v>
      </c>
      <c r="I157" s="62" t="n">
        <f aca="false">NPV_Engine!$B$4*B157*(C157/NPV_Engine!$B$8)*(1+0.5*(D157-NPV_Engine!$B$13))*(AVERAGE(E157,F157,G157)/B157)*(H157/NPV_Engine!$B$12)</f>
        <v>9610121.90402668</v>
      </c>
    </row>
    <row r="158" customFormat="false" ht="15" hidden="false" customHeight="false" outlineLevel="0" collapsed="false">
      <c r="A158" s="63" t="s">
        <v>118</v>
      </c>
      <c r="B158" s="60" t="n">
        <f aca="false">Curves!E8</f>
        <v>0.957768</v>
      </c>
      <c r="C158" s="60" t="n">
        <f aca="false">Curves!E9</f>
        <v>0.96933</v>
      </c>
      <c r="D158" s="65" t="n">
        <f aca="false">SABR_Current!AT41</f>
        <v>0.401488494979835</v>
      </c>
      <c r="E158" s="60" t="n">
        <f aca="false">Curves!E10</f>
        <v>0.958726</v>
      </c>
      <c r="F158" s="64" t="n">
        <f aca="false">Curves_Current!Q18</f>
        <v>0.952882762555419</v>
      </c>
      <c r="G158" s="60" t="n">
        <f aca="false">Curves!E12</f>
        <v>0.967393</v>
      </c>
      <c r="H158" s="60" t="n">
        <f aca="false">Curves!E13</f>
        <v>0.960645</v>
      </c>
      <c r="I158" s="62" t="n">
        <f aca="false">NPV_Engine!$B$4*B158*(C158/NPV_Engine!$B$8)*(1+0.5*(D158-NPV_Engine!$B$13))*(AVERAGE(E158,F158,G158)/B158)*(H158/NPV_Engine!$B$12)</f>
        <v>9604860.30489002</v>
      </c>
    </row>
    <row r="159" customFormat="false" ht="15" hidden="false" customHeight="false" outlineLevel="0" collapsed="false">
      <c r="A159" s="63" t="s">
        <v>119</v>
      </c>
      <c r="B159" s="60" t="n">
        <f aca="false">Curves!E8</f>
        <v>0.957768</v>
      </c>
      <c r="C159" s="60" t="n">
        <f aca="false">Curves!E9</f>
        <v>0.96933</v>
      </c>
      <c r="D159" s="65" t="n">
        <f aca="false">SABR_Current!AT55</f>
        <v>0.401966254765439</v>
      </c>
      <c r="E159" s="60" t="n">
        <f aca="false">Curves!E10</f>
        <v>0.958726</v>
      </c>
      <c r="F159" s="64" t="n">
        <f aca="false">Curves_Current!Q26</f>
        <v>0.955788775537166</v>
      </c>
      <c r="G159" s="60" t="n">
        <f aca="false">Curves!E12</f>
        <v>0.967393</v>
      </c>
      <c r="H159" s="60" t="n">
        <f aca="false">Curves!E13</f>
        <v>0.960645</v>
      </c>
      <c r="I159" s="62" t="n">
        <f aca="false">NPV_Engine!$B$4*B159*(C159/NPV_Engine!$B$8)*(1+0.5*(D159-NPV_Engine!$B$13))*(AVERAGE(E159,F159,G159)/B159)*(H159/NPV_Engine!$B$12)</f>
        <v>9616850.0454793</v>
      </c>
    </row>
    <row r="160" customFormat="false" ht="15" hidden="false" customHeight="false" outlineLevel="0" collapsed="false">
      <c r="A160" s="63" t="s">
        <v>120</v>
      </c>
      <c r="B160" s="60" t="n">
        <f aca="false">Curves!E8</f>
        <v>0.957768</v>
      </c>
      <c r="C160" s="60" t="n">
        <f aca="false">Curves!E9</f>
        <v>0.96933</v>
      </c>
      <c r="D160" s="65" t="n">
        <f aca="false">SABR_Current!AT69</f>
        <v>0.403399467630506</v>
      </c>
      <c r="E160" s="60" t="n">
        <f aca="false">Curves!E10</f>
        <v>0.958726</v>
      </c>
      <c r="F160" s="64" t="n">
        <f aca="false">Curves_Current!Q34</f>
        <v>0.952125081208929</v>
      </c>
      <c r="G160" s="60" t="n">
        <f aca="false">Curves!E12</f>
        <v>0.967393</v>
      </c>
      <c r="H160" s="60" t="n">
        <f aca="false">Curves!E13</f>
        <v>0.960645</v>
      </c>
      <c r="I160" s="62" t="n">
        <f aca="false">NPV_Engine!$B$4*B160*(C160/NPV_Engine!$B$8)*(1+0.5*(D160-NPV_Engine!$B$13))*(AVERAGE(E160,F160,G160)/B160)*(H160/NPV_Engine!$B$12)</f>
        <v>9611499.62178893</v>
      </c>
    </row>
    <row r="161" customFormat="false" ht="15" hidden="false" customHeight="false" outlineLevel="0" collapsed="false">
      <c r="A161" s="63" t="s">
        <v>121</v>
      </c>
      <c r="B161" s="60" t="n">
        <f aca="false">Curves!E8</f>
        <v>0.957768</v>
      </c>
      <c r="C161" s="60" t="n">
        <f aca="false">Curves!E9</f>
        <v>0.96933</v>
      </c>
      <c r="D161" s="65" t="n">
        <f aca="false">SABR_Current!AT83</f>
        <v>0.403058235518653</v>
      </c>
      <c r="E161" s="60" t="n">
        <f aca="false">Curves!E10</f>
        <v>0.958726</v>
      </c>
      <c r="F161" s="64" t="n">
        <f aca="false">Curves_Current!Q42</f>
        <v>0.952092269426374</v>
      </c>
      <c r="G161" s="60" t="n">
        <f aca="false">Curves!E12</f>
        <v>0.967393</v>
      </c>
      <c r="H161" s="60" t="n">
        <f aca="false">Curves!E13</f>
        <v>0.960645</v>
      </c>
      <c r="I161" s="62" t="n">
        <f aca="false">NPV_Engine!$B$4*B161*(C161/NPV_Engine!$B$8)*(1+0.5*(D161-NPV_Engine!$B$13))*(AVERAGE(E161,F161,G161)/B161)*(H161/NPV_Engine!$B$12)</f>
        <v>9609753.15451131</v>
      </c>
    </row>
    <row r="162" customFormat="false" ht="15" hidden="false" customHeight="false" outlineLevel="0" collapsed="false">
      <c r="A162" s="63" t="s">
        <v>122</v>
      </c>
      <c r="B162" s="60" t="n">
        <f aca="false">Curves!E8</f>
        <v>0.957768</v>
      </c>
      <c r="C162" s="60" t="n">
        <f aca="false">Curves!E9</f>
        <v>0.96933</v>
      </c>
      <c r="D162" s="65" t="n">
        <f aca="false">SABR_Current!AT97</f>
        <v>0.40490082175243</v>
      </c>
      <c r="E162" s="60" t="n">
        <f aca="false">Curves!E10</f>
        <v>0.958726</v>
      </c>
      <c r="F162" s="64" t="n">
        <f aca="false">Curves_Current!Q50</f>
        <v>0.951657571221878</v>
      </c>
      <c r="G162" s="60" t="n">
        <f aca="false">Curves!E12</f>
        <v>0.967393</v>
      </c>
      <c r="H162" s="60" t="n">
        <f aca="false">Curves!E13</f>
        <v>0.960645</v>
      </c>
      <c r="I162" s="62" t="n">
        <f aca="false">NPV_Engine!$B$4*B162*(C162/NPV_Engine!$B$8)*(1+0.5*(D162-NPV_Engine!$B$13))*(AVERAGE(E162,F162,G162)/B162)*(H162/NPV_Engine!$B$12)</f>
        <v>9617139.37278349</v>
      </c>
    </row>
    <row r="163" customFormat="false" ht="15" hidden="false" customHeight="false" outlineLevel="0" collapsed="false">
      <c r="A163" s="63" t="s">
        <v>123</v>
      </c>
      <c r="B163" s="60" t="n">
        <f aca="false">Curves!E8</f>
        <v>0.957768</v>
      </c>
      <c r="C163" s="60" t="n">
        <f aca="false">Curves!E9</f>
        <v>0.96933</v>
      </c>
      <c r="D163" s="65" t="n">
        <f aca="false">SABR_Current!AT111</f>
        <v>0.403945427249027</v>
      </c>
      <c r="E163" s="60" t="n">
        <f aca="false">Curves!E10</f>
        <v>0.958726</v>
      </c>
      <c r="F163" s="64" t="n">
        <f aca="false">Curves_Current!Q58</f>
        <v>0.951467522241567</v>
      </c>
      <c r="G163" s="60" t="n">
        <f aca="false">Curves!E12</f>
        <v>0.967393</v>
      </c>
      <c r="H163" s="60" t="n">
        <f aca="false">Curves!E13</f>
        <v>0.960645</v>
      </c>
      <c r="I163" s="62" t="n">
        <f aca="false">NPV_Engine!$B$4*B163*(C163/NPV_Engine!$B$8)*(1+0.5*(D163-NPV_Engine!$B$13))*(AVERAGE(E163,F163,G163)/B163)*(H163/NPV_Engine!$B$12)</f>
        <v>9611922.20426487</v>
      </c>
    </row>
    <row r="164" customFormat="false" ht="15" hidden="false" customHeight="false" outlineLevel="0" collapsed="false">
      <c r="A164" s="63" t="s">
        <v>124</v>
      </c>
      <c r="B164" s="60" t="n">
        <f aca="false">Curves!E8</f>
        <v>0.957768</v>
      </c>
      <c r="C164" s="60" t="n">
        <f aca="false">Curves!E9</f>
        <v>0.96933</v>
      </c>
      <c r="D164" s="65" t="n">
        <f aca="false">SABR_Current!AT125</f>
        <v>0.405378502381195</v>
      </c>
      <c r="E164" s="60" t="n">
        <f aca="false">Curves!E10</f>
        <v>0.958726</v>
      </c>
      <c r="F164" s="64" t="n">
        <f aca="false">Curves_Current!Q66</f>
        <v>0.951090646612669</v>
      </c>
      <c r="G164" s="60" t="n">
        <f aca="false">Curves!E12</f>
        <v>0.967393</v>
      </c>
      <c r="H164" s="60" t="n">
        <f aca="false">Curves!E13</f>
        <v>0.960645</v>
      </c>
      <c r="I164" s="62" t="n">
        <f aca="false">NPV_Engine!$B$4*B164*(C164/NPV_Engine!$B$8)*(1+0.5*(D164-NPV_Engine!$B$13))*(AVERAGE(E164,F164,G164)/B164)*(H164/NPV_Engine!$B$12)</f>
        <v>9617535.43307753</v>
      </c>
    </row>
    <row r="165" customFormat="false" ht="15" hidden="false" customHeight="false" outlineLevel="0" collapsed="false">
      <c r="A165" s="63" t="s">
        <v>125</v>
      </c>
      <c r="B165" s="60" t="n">
        <f aca="false">Curves!E8</f>
        <v>0.957768</v>
      </c>
      <c r="C165" s="60" t="n">
        <f aca="false">Curves!E9</f>
        <v>0.96933</v>
      </c>
      <c r="D165" s="65" t="n">
        <f aca="false">SABR_Current!AT139</f>
        <v>0.406060884055627</v>
      </c>
      <c r="E165" s="60" t="n">
        <f aca="false">Curves!E10</f>
        <v>0.958726</v>
      </c>
      <c r="F165" s="64" t="n">
        <f aca="false">Curves_Current!Q74</f>
        <v>0.95090077919812</v>
      </c>
      <c r="G165" s="60" t="n">
        <f aca="false">Curves!E12</f>
        <v>0.967393</v>
      </c>
      <c r="H165" s="60" t="n">
        <f aca="false">Curves!E13</f>
        <v>0.960645</v>
      </c>
      <c r="I165" s="62" t="n">
        <f aca="false">NPV_Engine!$B$4*B165*(C165/NPV_Engine!$B$8)*(1+0.5*(D165-NPV_Engine!$B$13))*(AVERAGE(E165,F165,G165)/B165)*(H165/NPV_Engine!$B$12)</f>
        <v>9620172.81336832</v>
      </c>
    </row>
    <row r="166" customFormat="false" ht="15" hidden="false" customHeight="false" outlineLevel="0" collapsed="false">
      <c r="A166" s="63" t="s">
        <v>126</v>
      </c>
      <c r="B166" s="60" t="n">
        <f aca="false">Curves!E8</f>
        <v>0.957768</v>
      </c>
      <c r="C166" s="60" t="n">
        <f aca="false">Curves!E9</f>
        <v>0.96933</v>
      </c>
      <c r="D166" s="65" t="n">
        <f aca="false">SABR_Current!AT153</f>
        <v>0.405514980525381</v>
      </c>
      <c r="E166" s="60" t="n">
        <f aca="false">Curves!E10</f>
        <v>0.958726</v>
      </c>
      <c r="F166" s="64" t="n">
        <f aca="false">Curves_Current!Q82</f>
        <v>0.952997940377281</v>
      </c>
      <c r="G166" s="60" t="n">
        <f aca="false">Curves!E12</f>
        <v>0.967393</v>
      </c>
      <c r="H166" s="60" t="n">
        <f aca="false">Curves!E13</f>
        <v>0.960645</v>
      </c>
      <c r="I166" s="62" t="n">
        <f aca="false">NPV_Engine!$B$4*B166*(C166/NPV_Engine!$B$8)*(1+0.5*(D166-NPV_Engine!$B$13))*(AVERAGE(E166,F166,G166)/B166)*(H166/NPV_Engine!$B$12)</f>
        <v>9624565.76309784</v>
      </c>
    </row>
    <row r="169" customFormat="false" ht="15" hidden="false" customHeight="false" outlineLevel="0" collapsed="false">
      <c r="A169" s="57" t="s">
        <v>286</v>
      </c>
      <c r="B169" s="57"/>
      <c r="C169" s="57"/>
      <c r="D169" s="57"/>
      <c r="E169" s="57"/>
      <c r="F169" s="57"/>
      <c r="G169" s="57"/>
      <c r="H169" s="57"/>
      <c r="I169" s="57"/>
      <c r="J169" s="58" t="s">
        <v>275</v>
      </c>
    </row>
    <row r="170" customFormat="false" ht="39.55" hidden="false" customHeight="false" outlineLevel="0" collapsed="false">
      <c r="A170" s="22" t="s">
        <v>179</v>
      </c>
      <c r="B170" s="22" t="s">
        <v>180</v>
      </c>
      <c r="C170" s="22" t="s">
        <v>181</v>
      </c>
      <c r="D170" s="22" t="s">
        <v>182</v>
      </c>
      <c r="E170" s="22" t="s">
        <v>183</v>
      </c>
      <c r="F170" s="22" t="s">
        <v>184</v>
      </c>
      <c r="G170" s="22" t="s">
        <v>185</v>
      </c>
      <c r="H170" s="22" t="s">
        <v>186</v>
      </c>
      <c r="I170" s="22" t="s">
        <v>187</v>
      </c>
    </row>
    <row r="171" customFormat="false" ht="15" hidden="false" customHeight="false" outlineLevel="0" collapsed="false">
      <c r="A171" s="59" t="s">
        <v>188</v>
      </c>
      <c r="B171" s="60" t="n">
        <f aca="false">Curves!E8</f>
        <v>0.957768</v>
      </c>
      <c r="C171" s="60" t="n">
        <f aca="false">Curves!E9</f>
        <v>0.96933</v>
      </c>
      <c r="D171" s="61" t="n">
        <f aca="false">SABR!AT10</f>
        <v>0.39978211956629</v>
      </c>
      <c r="E171" s="60" t="n">
        <f aca="false">Curves!E10</f>
        <v>0.958726</v>
      </c>
      <c r="F171" s="60" t="n">
        <f aca="false">Curves!E11</f>
        <v>0.954899</v>
      </c>
      <c r="G171" s="60" t="n">
        <f aca="false">Curves!E12</f>
        <v>0.967393</v>
      </c>
      <c r="H171" s="60" t="n">
        <f aca="false">Curves!E13</f>
        <v>0.960645</v>
      </c>
      <c r="I171" s="62" t="n">
        <f aca="false">NPV_Engine!$B$4*B171*(C171/NPV_Engine!$B$8)*(1+0.5*(D171-NPV_Engine!$B$13))*(AVERAGE(E171,F171,G171)/B171)*(H171/NPV_Engine!$B$12)</f>
        <v>9603393.33333333</v>
      </c>
    </row>
    <row r="172" customFormat="false" ht="15" hidden="false" customHeight="false" outlineLevel="0" collapsed="false">
      <c r="A172" s="63" t="s">
        <v>117</v>
      </c>
      <c r="B172" s="60" t="n">
        <f aca="false">Curves!E8</f>
        <v>0.957768</v>
      </c>
      <c r="C172" s="60" t="n">
        <f aca="false">Curves!E9</f>
        <v>0.96933</v>
      </c>
      <c r="D172" s="65" t="n">
        <f aca="false">SABR_Current!AT27</f>
        <v>0.401693250530639</v>
      </c>
      <c r="E172" s="60" t="n">
        <f aca="false">Curves!E10</f>
        <v>0.958726</v>
      </c>
      <c r="F172" s="60" t="n">
        <f aca="false">Curves!E11</f>
        <v>0.954899</v>
      </c>
      <c r="G172" s="60" t="n">
        <f aca="false">Curves!E12</f>
        <v>0.967393</v>
      </c>
      <c r="H172" s="60" t="n">
        <f aca="false">Curves!E13</f>
        <v>0.960645</v>
      </c>
      <c r="I172" s="62" t="n">
        <f aca="false">NPV_Engine!$B$4*B172*(C172/NPV_Engine!$B$8)*(1+0.5*(D172-NPV_Engine!$B$13))*(AVERAGE(E172,F172,G172)/B172)*(H172/NPV_Engine!$B$12)</f>
        <v>9612570.00451442</v>
      </c>
    </row>
    <row r="173" customFormat="false" ht="15" hidden="false" customHeight="false" outlineLevel="0" collapsed="false">
      <c r="A173" s="63" t="s">
        <v>118</v>
      </c>
      <c r="B173" s="60" t="n">
        <f aca="false">Curves!E8</f>
        <v>0.957768</v>
      </c>
      <c r="C173" s="60" t="n">
        <f aca="false">Curves!E9</f>
        <v>0.96933</v>
      </c>
      <c r="D173" s="65" t="n">
        <f aca="false">SABR_Current!AT41</f>
        <v>0.401488494979835</v>
      </c>
      <c r="E173" s="60" t="n">
        <f aca="false">Curves!E10</f>
        <v>0.958726</v>
      </c>
      <c r="F173" s="60" t="n">
        <f aca="false">Curves!E11</f>
        <v>0.954899</v>
      </c>
      <c r="G173" s="60" t="n">
        <f aca="false">Curves!E12</f>
        <v>0.967393</v>
      </c>
      <c r="H173" s="60" t="n">
        <f aca="false">Curves!E13</f>
        <v>0.960645</v>
      </c>
      <c r="I173" s="62" t="n">
        <f aca="false">NPV_Engine!$B$4*B173*(C173/NPV_Engine!$B$8)*(1+0.5*(D173-NPV_Engine!$B$13))*(AVERAGE(E173,F173,G173)/B173)*(H173/NPV_Engine!$B$12)</f>
        <v>9611586.83046863</v>
      </c>
    </row>
    <row r="174" customFormat="false" ht="15" hidden="false" customHeight="false" outlineLevel="0" collapsed="false">
      <c r="A174" s="63" t="s">
        <v>119</v>
      </c>
      <c r="B174" s="60" t="n">
        <f aca="false">Curves!E8</f>
        <v>0.957768</v>
      </c>
      <c r="C174" s="60" t="n">
        <f aca="false">Curves!E9</f>
        <v>0.96933</v>
      </c>
      <c r="D174" s="65" t="n">
        <f aca="false">SABR_Current!AT55</f>
        <v>0.401966254765439</v>
      </c>
      <c r="E174" s="60" t="n">
        <f aca="false">Curves!E10</f>
        <v>0.958726</v>
      </c>
      <c r="F174" s="60" t="n">
        <f aca="false">Curves!E11</f>
        <v>0.954899</v>
      </c>
      <c r="G174" s="60" t="n">
        <f aca="false">Curves!E12</f>
        <v>0.967393</v>
      </c>
      <c r="H174" s="60" t="n">
        <f aca="false">Curves!E13</f>
        <v>0.960645</v>
      </c>
      <c r="I174" s="62" t="n">
        <f aca="false">NPV_Engine!$B$4*B174*(C174/NPV_Engine!$B$8)*(1+0.5*(D174-NPV_Engine!$B$13))*(AVERAGE(E174,F174,G174)/B174)*(H174/NPV_Engine!$B$12)</f>
        <v>9613880.88803864</v>
      </c>
    </row>
    <row r="175" customFormat="false" ht="15" hidden="false" customHeight="false" outlineLevel="0" collapsed="false">
      <c r="A175" s="63" t="s">
        <v>120</v>
      </c>
      <c r="B175" s="60" t="n">
        <f aca="false">Curves!E8</f>
        <v>0.957768</v>
      </c>
      <c r="C175" s="60" t="n">
        <f aca="false">Curves!E9</f>
        <v>0.96933</v>
      </c>
      <c r="D175" s="65" t="n">
        <f aca="false">SABR_Current!AT69</f>
        <v>0.403399467630506</v>
      </c>
      <c r="E175" s="60" t="n">
        <f aca="false">Curves!E10</f>
        <v>0.958726</v>
      </c>
      <c r="F175" s="60" t="n">
        <f aca="false">Curves!E11</f>
        <v>0.954899</v>
      </c>
      <c r="G175" s="60" t="n">
        <f aca="false">Curves!E12</f>
        <v>0.967393</v>
      </c>
      <c r="H175" s="60" t="n">
        <f aca="false">Curves!E13</f>
        <v>0.960645</v>
      </c>
      <c r="I175" s="62" t="n">
        <f aca="false">NPV_Engine!$B$4*B175*(C175/NPV_Engine!$B$8)*(1+0.5*(D175-NPV_Engine!$B$13))*(AVERAGE(E175,F175,G175)/B175)*(H175/NPV_Engine!$B$12)</f>
        <v>9620762.74147545</v>
      </c>
    </row>
    <row r="176" customFormat="false" ht="15" hidden="false" customHeight="false" outlineLevel="0" collapsed="false">
      <c r="A176" s="63" t="s">
        <v>121</v>
      </c>
      <c r="B176" s="60" t="n">
        <f aca="false">Curves!E8</f>
        <v>0.957768</v>
      </c>
      <c r="C176" s="60" t="n">
        <f aca="false">Curves!E9</f>
        <v>0.96933</v>
      </c>
      <c r="D176" s="65" t="n">
        <f aca="false">SABR_Current!AT83</f>
        <v>0.403058235518653</v>
      </c>
      <c r="E176" s="60" t="n">
        <f aca="false">Curves!E10</f>
        <v>0.958726</v>
      </c>
      <c r="F176" s="60" t="n">
        <f aca="false">Curves!E11</f>
        <v>0.954899</v>
      </c>
      <c r="G176" s="60" t="n">
        <f aca="false">Curves!E12</f>
        <v>0.967393</v>
      </c>
      <c r="H176" s="60" t="n">
        <f aca="false">Curves!E13</f>
        <v>0.960645</v>
      </c>
      <c r="I176" s="62" t="n">
        <f aca="false">NPV_Engine!$B$4*B176*(C176/NPV_Engine!$B$8)*(1+0.5*(D176-NPV_Engine!$B$13))*(AVERAGE(E176,F176,G176)/B176)*(H176/NPV_Engine!$B$12)</f>
        <v>9619124.24838141</v>
      </c>
    </row>
    <row r="177" customFormat="false" ht="15" hidden="false" customHeight="false" outlineLevel="0" collapsed="false">
      <c r="A177" s="63" t="s">
        <v>122</v>
      </c>
      <c r="B177" s="60" t="n">
        <f aca="false">Curves!E8</f>
        <v>0.957768</v>
      </c>
      <c r="C177" s="60" t="n">
        <f aca="false">Curves!E9</f>
        <v>0.96933</v>
      </c>
      <c r="D177" s="65" t="n">
        <f aca="false">SABR_Current!AT97</f>
        <v>0.40490082175243</v>
      </c>
      <c r="E177" s="60" t="n">
        <f aca="false">Curves!E10</f>
        <v>0.958726</v>
      </c>
      <c r="F177" s="60" t="n">
        <f aca="false">Curves!E11</f>
        <v>0.954899</v>
      </c>
      <c r="G177" s="60" t="n">
        <f aca="false">Curves!E12</f>
        <v>0.967393</v>
      </c>
      <c r="H177" s="60" t="n">
        <f aca="false">Curves!E13</f>
        <v>0.960645</v>
      </c>
      <c r="I177" s="62" t="n">
        <f aca="false">NPV_Engine!$B$4*B177*(C177/NPV_Engine!$B$8)*(1+0.5*(D177-NPV_Engine!$B$13))*(AVERAGE(E177,F177,G177)/B177)*(H177/NPV_Engine!$B$12)</f>
        <v>9627971.78855818</v>
      </c>
    </row>
    <row r="178" customFormat="false" ht="15" hidden="false" customHeight="false" outlineLevel="0" collapsed="false">
      <c r="A178" s="63" t="s">
        <v>123</v>
      </c>
      <c r="B178" s="60" t="n">
        <f aca="false">Curves!E8</f>
        <v>0.957768</v>
      </c>
      <c r="C178" s="60" t="n">
        <f aca="false">Curves!E9</f>
        <v>0.96933</v>
      </c>
      <c r="D178" s="65" t="n">
        <f aca="false">SABR_Current!AT111</f>
        <v>0.403945427249027</v>
      </c>
      <c r="E178" s="60" t="n">
        <f aca="false">Curves!E10</f>
        <v>0.958726</v>
      </c>
      <c r="F178" s="60" t="n">
        <f aca="false">Curves!E11</f>
        <v>0.954899</v>
      </c>
      <c r="G178" s="60" t="n">
        <f aca="false">Curves!E12</f>
        <v>0.967393</v>
      </c>
      <c r="H178" s="60" t="n">
        <f aca="false">Curves!E13</f>
        <v>0.960645</v>
      </c>
      <c r="I178" s="62" t="n">
        <f aca="false">NPV_Engine!$B$4*B178*(C178/NPV_Engine!$B$8)*(1+0.5*(D178-NPV_Engine!$B$13))*(AVERAGE(E178,F178,G178)/B178)*(H178/NPV_Engine!$B$12)</f>
        <v>9623384.27395584</v>
      </c>
    </row>
    <row r="179" customFormat="false" ht="15" hidden="false" customHeight="false" outlineLevel="0" collapsed="false">
      <c r="A179" s="63" t="s">
        <v>124</v>
      </c>
      <c r="B179" s="60" t="n">
        <f aca="false">Curves!E8</f>
        <v>0.957768</v>
      </c>
      <c r="C179" s="60" t="n">
        <f aca="false">Curves!E9</f>
        <v>0.96933</v>
      </c>
      <c r="D179" s="65" t="n">
        <f aca="false">SABR_Current!AT125</f>
        <v>0.405378502381195</v>
      </c>
      <c r="E179" s="60" t="n">
        <f aca="false">Curves!E10</f>
        <v>0.958726</v>
      </c>
      <c r="F179" s="60" t="n">
        <f aca="false">Curves!E11</f>
        <v>0.954899</v>
      </c>
      <c r="G179" s="60" t="n">
        <f aca="false">Curves!E12</f>
        <v>0.967393</v>
      </c>
      <c r="H179" s="60" t="n">
        <f aca="false">Curves!E13</f>
        <v>0.960645</v>
      </c>
      <c r="I179" s="62" t="n">
        <f aca="false">NPV_Engine!$B$4*B179*(C179/NPV_Engine!$B$8)*(1+0.5*(D179-NPV_Engine!$B$13))*(AVERAGE(E179,F179,G179)/B179)*(H179/NPV_Engine!$B$12)</f>
        <v>9630265.46604105</v>
      </c>
    </row>
    <row r="180" customFormat="false" ht="15" hidden="false" customHeight="false" outlineLevel="0" collapsed="false">
      <c r="A180" s="63" t="s">
        <v>125</v>
      </c>
      <c r="B180" s="60" t="n">
        <f aca="false">Curves!E8</f>
        <v>0.957768</v>
      </c>
      <c r="C180" s="60" t="n">
        <f aca="false">Curves!E9</f>
        <v>0.96933</v>
      </c>
      <c r="D180" s="65" t="n">
        <f aca="false">SABR_Current!AT139</f>
        <v>0.406060884055627</v>
      </c>
      <c r="E180" s="60" t="n">
        <f aca="false">Curves!E10</f>
        <v>0.958726</v>
      </c>
      <c r="F180" s="60" t="n">
        <f aca="false">Curves!E11</f>
        <v>0.954899</v>
      </c>
      <c r="G180" s="60" t="n">
        <f aca="false">Curves!E12</f>
        <v>0.967393</v>
      </c>
      <c r="H180" s="60" t="n">
        <f aca="false">Curves!E13</f>
        <v>0.960645</v>
      </c>
      <c r="I180" s="62" t="n">
        <f aca="false">NPV_Engine!$B$4*B180*(C180/NPV_Engine!$B$8)*(1+0.5*(D180-NPV_Engine!$B$13))*(AVERAGE(E180,F180,G180)/B180)*(H180/NPV_Engine!$B$12)</f>
        <v>9633542.05585257</v>
      </c>
    </row>
    <row r="181" customFormat="false" ht="15" hidden="false" customHeight="false" outlineLevel="0" collapsed="false">
      <c r="A181" s="63" t="s">
        <v>126</v>
      </c>
      <c r="B181" s="60" t="n">
        <f aca="false">Curves!E8</f>
        <v>0.957768</v>
      </c>
      <c r="C181" s="60" t="n">
        <f aca="false">Curves!E9</f>
        <v>0.96933</v>
      </c>
      <c r="D181" s="65" t="n">
        <f aca="false">SABR_Current!AT153</f>
        <v>0.405514980525381</v>
      </c>
      <c r="E181" s="60" t="n">
        <f aca="false">Curves!E10</f>
        <v>0.958726</v>
      </c>
      <c r="F181" s="60" t="n">
        <f aca="false">Curves!E11</f>
        <v>0.954899</v>
      </c>
      <c r="G181" s="60" t="n">
        <f aca="false">Curves!E12</f>
        <v>0.967393</v>
      </c>
      <c r="H181" s="60" t="n">
        <f aca="false">Curves!E13</f>
        <v>0.960645</v>
      </c>
      <c r="I181" s="62" t="n">
        <f aca="false">NPV_Engine!$B$4*B181*(C181/NPV_Engine!$B$8)*(1+0.5*(D181-NPV_Engine!$B$13))*(AVERAGE(E181,F181,G181)/B181)*(H181/NPV_Engine!$B$12)</f>
        <v>9630920.79269106</v>
      </c>
    </row>
    <row r="184" customFormat="false" ht="15" hidden="false" customHeight="false" outlineLevel="0" collapsed="false">
      <c r="A184" s="66" t="s">
        <v>287</v>
      </c>
      <c r="B184" s="66"/>
      <c r="C184" s="66"/>
      <c r="D184" s="66"/>
      <c r="E184" s="66"/>
      <c r="F184" s="66"/>
      <c r="G184" s="66"/>
      <c r="H184" s="66"/>
      <c r="I184" s="66"/>
      <c r="J184" s="58" t="s">
        <v>288</v>
      </c>
    </row>
    <row r="185" customFormat="false" ht="39.55" hidden="false" customHeight="false" outlineLevel="0" collapsed="false">
      <c r="A185" s="22" t="s">
        <v>179</v>
      </c>
      <c r="B185" s="22" t="s">
        <v>180</v>
      </c>
      <c r="C185" s="22" t="s">
        <v>181</v>
      </c>
      <c r="D185" s="22" t="s">
        <v>182</v>
      </c>
      <c r="E185" s="22" t="s">
        <v>183</v>
      </c>
      <c r="F185" s="22" t="s">
        <v>184</v>
      </c>
      <c r="G185" s="22" t="s">
        <v>185</v>
      </c>
      <c r="H185" s="22" t="s">
        <v>186</v>
      </c>
      <c r="I185" s="22" t="s">
        <v>187</v>
      </c>
    </row>
    <row r="186" customFormat="false" ht="15" hidden="false" customHeight="false" outlineLevel="0" collapsed="false">
      <c r="A186" s="59" t="s">
        <v>188</v>
      </c>
      <c r="B186" s="60" t="n">
        <f aca="false">Curves!E8</f>
        <v>0.957768</v>
      </c>
      <c r="C186" s="60" t="n">
        <f aca="false">Curves!E9</f>
        <v>0.96933</v>
      </c>
      <c r="D186" s="61" t="n">
        <f aca="false">SABR!AT10</f>
        <v>0.39978211956629</v>
      </c>
      <c r="E186" s="60" t="n">
        <f aca="false">Curves!E10</f>
        <v>0.958726</v>
      </c>
      <c r="F186" s="60" t="n">
        <f aca="false">Curves!E11</f>
        <v>0.954899</v>
      </c>
      <c r="G186" s="60" t="n">
        <f aca="false">Curves!E12</f>
        <v>0.967393</v>
      </c>
      <c r="H186" s="60" t="n">
        <f aca="false">Curves!E13</f>
        <v>0.960645</v>
      </c>
      <c r="I186" s="62" t="n">
        <f aca="false">NPV_Engine!$B$4*B186*(C186/NPV_Engine!$B$8)*(1+0.5*(D186-NPV_Engine!$B$13))*(AVERAGE(E186,F186,G186)/B186)*(H186/NPV_Engine!$B$12)</f>
        <v>9603393.33333333</v>
      </c>
    </row>
    <row r="187" customFormat="false" ht="15" hidden="false" customHeight="false" outlineLevel="0" collapsed="false">
      <c r="A187" s="63" t="s">
        <v>117</v>
      </c>
      <c r="B187" s="60" t="n">
        <f aca="false">Curves!E8</f>
        <v>0.957768</v>
      </c>
      <c r="C187" s="60" t="n">
        <f aca="false">Curves!E9</f>
        <v>0.96933</v>
      </c>
      <c r="D187" s="61" t="n">
        <f aca="false">SABR!AT10</f>
        <v>0.39978211956629</v>
      </c>
      <c r="E187" s="64" t="n">
        <f aca="false">Curves_Current!Q9</f>
        <v>0.957681920165427</v>
      </c>
      <c r="F187" s="64" t="n">
        <f aca="false">Curves_Current!Q10</f>
        <v>0.954165270979805</v>
      </c>
      <c r="G187" s="60" t="n">
        <f aca="false">Curves!E12</f>
        <v>0.967393</v>
      </c>
      <c r="H187" s="60" t="n">
        <f aca="false">Curves!E13</f>
        <v>0.960645</v>
      </c>
      <c r="I187" s="62" t="n">
        <f aca="false">NPV_Engine!$B$4*B187*(C187/NPV_Engine!$B$8)*(1+0.5*(D187-NPV_Engine!$B$13))*(AVERAGE(E187,F187,G187)/B187)*(H187/NPV_Engine!$B$12)</f>
        <v>9597467.30381744</v>
      </c>
    </row>
    <row r="188" customFormat="false" ht="15" hidden="false" customHeight="false" outlineLevel="0" collapsed="false">
      <c r="A188" s="63" t="s">
        <v>118</v>
      </c>
      <c r="B188" s="60" t="n">
        <f aca="false">Curves!E8</f>
        <v>0.957768</v>
      </c>
      <c r="C188" s="60" t="n">
        <f aca="false">Curves!E9</f>
        <v>0.96933</v>
      </c>
      <c r="D188" s="61" t="n">
        <f aca="false">SABR!AT10</f>
        <v>0.39978211956629</v>
      </c>
      <c r="E188" s="64" t="n">
        <f aca="false">Curves_Current!Q17</f>
        <v>0.958262308784257</v>
      </c>
      <c r="F188" s="64" t="n">
        <f aca="false">Curves_Current!Q18</f>
        <v>0.952882762555419</v>
      </c>
      <c r="G188" s="60" t="n">
        <f aca="false">Curves!E12</f>
        <v>0.967393</v>
      </c>
      <c r="H188" s="60" t="n">
        <f aca="false">Curves!E13</f>
        <v>0.960645</v>
      </c>
      <c r="I188" s="62" t="n">
        <f aca="false">NPV_Engine!$B$4*B188*(C188/NPV_Engine!$B$8)*(1+0.5*(D188-NPV_Engine!$B$13))*(AVERAGE(E188,F188,G188)/B188)*(H188/NPV_Engine!$B$12)</f>
        <v>9595126.90446559</v>
      </c>
    </row>
    <row r="189" customFormat="false" ht="15" hidden="false" customHeight="false" outlineLevel="0" collapsed="false">
      <c r="A189" s="63" t="s">
        <v>119</v>
      </c>
      <c r="B189" s="60" t="n">
        <f aca="false">Curves!E8</f>
        <v>0.957768</v>
      </c>
      <c r="C189" s="60" t="n">
        <f aca="false">Curves!E9</f>
        <v>0.96933</v>
      </c>
      <c r="D189" s="61" t="n">
        <f aca="false">SABR!AT10</f>
        <v>0.39978211956629</v>
      </c>
      <c r="E189" s="64" t="n">
        <f aca="false">Curves_Current!Q25</f>
        <v>0.957194399871784</v>
      </c>
      <c r="F189" s="64" t="n">
        <f aca="false">Curves_Current!Q26</f>
        <v>0.955788775537166</v>
      </c>
      <c r="G189" s="60" t="n">
        <f aca="false">Curves!E12</f>
        <v>0.967393</v>
      </c>
      <c r="H189" s="60" t="n">
        <f aca="false">Curves!E13</f>
        <v>0.960645</v>
      </c>
      <c r="I189" s="62" t="n">
        <f aca="false">NPV_Engine!$B$4*B189*(C189/NPV_Engine!$B$8)*(1+0.5*(D189-NPV_Engine!$B$13))*(AVERAGE(E189,F189,G189)/B189)*(H189/NPV_Engine!$B$12)</f>
        <v>9601253.91802983</v>
      </c>
    </row>
    <row r="190" customFormat="false" ht="15" hidden="false" customHeight="false" outlineLevel="0" collapsed="false">
      <c r="A190" s="63" t="s">
        <v>120</v>
      </c>
      <c r="B190" s="60" t="n">
        <f aca="false">Curves!E8</f>
        <v>0.957768</v>
      </c>
      <c r="C190" s="60" t="n">
        <f aca="false">Curves!E9</f>
        <v>0.96933</v>
      </c>
      <c r="D190" s="61" t="n">
        <f aca="false">SABR!AT10</f>
        <v>0.39978211956629</v>
      </c>
      <c r="E190" s="64" t="n">
        <f aca="false">Curves_Current!Q33</f>
        <v>0.957053949688665</v>
      </c>
      <c r="F190" s="64" t="n">
        <f aca="false">Curves_Current!Q34</f>
        <v>0.952125081208929</v>
      </c>
      <c r="G190" s="60" t="n">
        <f aca="false">Curves!E12</f>
        <v>0.967393</v>
      </c>
      <c r="H190" s="60" t="n">
        <f aca="false">Curves!E13</f>
        <v>0.960645</v>
      </c>
      <c r="I190" s="62" t="n">
        <f aca="false">NPV_Engine!$B$4*B190*(C190/NPV_Engine!$B$8)*(1+0.5*(D190-NPV_Engine!$B$13))*(AVERAGE(E190,F190,G190)/B190)*(H190/NPV_Engine!$B$12)</f>
        <v>9588573.43632532</v>
      </c>
    </row>
    <row r="191" customFormat="false" ht="15" hidden="false" customHeight="false" outlineLevel="0" collapsed="false">
      <c r="A191" s="63" t="s">
        <v>121</v>
      </c>
      <c r="B191" s="60" t="n">
        <f aca="false">Curves!E8</f>
        <v>0.957768</v>
      </c>
      <c r="C191" s="60" t="n">
        <f aca="false">Curves!E9</f>
        <v>0.96933</v>
      </c>
      <c r="D191" s="61" t="n">
        <f aca="false">SABR!AT10</f>
        <v>0.39978211956629</v>
      </c>
      <c r="E191" s="64" t="n">
        <f aca="false">Curves_Current!Q41</f>
        <v>0.957905601234653</v>
      </c>
      <c r="F191" s="64" t="n">
        <f aca="false">Curves_Current!Q42</f>
        <v>0.952092269426374</v>
      </c>
      <c r="G191" s="60" t="n">
        <f aca="false">Curves!E12</f>
        <v>0.967393</v>
      </c>
      <c r="H191" s="60" t="n">
        <f aca="false">Curves!E13</f>
        <v>0.960645</v>
      </c>
      <c r="I191" s="62" t="n">
        <f aca="false">NPV_Engine!$B$4*B191*(C191/NPV_Engine!$B$8)*(1+0.5*(D191-NPV_Engine!$B$13))*(AVERAGE(E191,F191,G191)/B191)*(H191/NPV_Engine!$B$12)</f>
        <v>9591302.90220343</v>
      </c>
    </row>
    <row r="192" customFormat="false" ht="15" hidden="false" customHeight="false" outlineLevel="0" collapsed="false">
      <c r="A192" s="63" t="s">
        <v>122</v>
      </c>
      <c r="B192" s="60" t="n">
        <f aca="false">Curves!E8</f>
        <v>0.957768</v>
      </c>
      <c r="C192" s="60" t="n">
        <f aca="false">Curves!E9</f>
        <v>0.96933</v>
      </c>
      <c r="D192" s="61" t="n">
        <f aca="false">SABR!AT10</f>
        <v>0.39978211956629</v>
      </c>
      <c r="E192" s="64" t="n">
        <f aca="false">Curves_Current!Q49</f>
        <v>0.958377026624332</v>
      </c>
      <c r="F192" s="64" t="n">
        <f aca="false">Curves_Current!Q50</f>
        <v>0.951657571221878</v>
      </c>
      <c r="G192" s="60" t="n">
        <f aca="false">Curves!E12</f>
        <v>0.967393</v>
      </c>
      <c r="H192" s="60" t="n">
        <f aca="false">Curves!E13</f>
        <v>0.960645</v>
      </c>
      <c r="I192" s="62" t="n">
        <f aca="false">NPV_Engine!$B$4*B192*(C192/NPV_Engine!$B$8)*(1+0.5*(D192-NPV_Engine!$B$13))*(AVERAGE(E192,F192,G192)/B192)*(H192/NPV_Engine!$B$12)</f>
        <v>9591425.32615404</v>
      </c>
    </row>
    <row r="193" customFormat="false" ht="15" hidden="false" customHeight="false" outlineLevel="0" collapsed="false">
      <c r="A193" s="63" t="s">
        <v>123</v>
      </c>
      <c r="B193" s="60" t="n">
        <f aca="false">Curves!E8</f>
        <v>0.957768</v>
      </c>
      <c r="C193" s="60" t="n">
        <f aca="false">Curves!E9</f>
        <v>0.96933</v>
      </c>
      <c r="D193" s="61" t="n">
        <f aca="false">SABR!AT10</f>
        <v>0.39978211956629</v>
      </c>
      <c r="E193" s="64" t="n">
        <f aca="false">Curves_Current!Q57</f>
        <v>0.956515327373862</v>
      </c>
      <c r="F193" s="64" t="n">
        <f aca="false">Curves_Current!Q58</f>
        <v>0.951467522241567</v>
      </c>
      <c r="G193" s="60" t="n">
        <f aca="false">Curves!E12</f>
        <v>0.967393</v>
      </c>
      <c r="H193" s="60" t="n">
        <f aca="false">Curves!E13</f>
        <v>0.960645</v>
      </c>
      <c r="I193" s="62" t="n">
        <f aca="false">NPV_Engine!$B$4*B193*(C193/NPV_Engine!$B$8)*(1+0.5*(D193-NPV_Engine!$B$13))*(AVERAGE(E193,F193,G193)/B193)*(H193/NPV_Engine!$B$12)</f>
        <v>9584586.16538476</v>
      </c>
    </row>
    <row r="194" customFormat="false" ht="15" hidden="false" customHeight="false" outlineLevel="0" collapsed="false">
      <c r="A194" s="63" t="s">
        <v>124</v>
      </c>
      <c r="B194" s="60" t="n">
        <f aca="false">Curves!E8</f>
        <v>0.957768</v>
      </c>
      <c r="C194" s="60" t="n">
        <f aca="false">Curves!E9</f>
        <v>0.96933</v>
      </c>
      <c r="D194" s="61" t="n">
        <f aca="false">SABR!AT10</f>
        <v>0.39978211956629</v>
      </c>
      <c r="E194" s="64" t="n">
        <f aca="false">Curves_Current!Q65</f>
        <v>0.956295155645531</v>
      </c>
      <c r="F194" s="64" t="n">
        <f aca="false">Curves_Current!Q66</f>
        <v>0.951090646612669</v>
      </c>
      <c r="G194" s="60" t="n">
        <f aca="false">Curves!E12</f>
        <v>0.967393</v>
      </c>
      <c r="H194" s="60" t="n">
        <f aca="false">Curves!E13</f>
        <v>0.960645</v>
      </c>
      <c r="I194" s="62" t="n">
        <f aca="false">NPV_Engine!$B$4*B194*(C194/NPV_Engine!$B$8)*(1+0.5*(D194-NPV_Engine!$B$13))*(AVERAGE(E194,F194,G194)/B194)*(H194/NPV_Engine!$B$12)</f>
        <v>9582596.00752734</v>
      </c>
    </row>
    <row r="195" customFormat="false" ht="15" hidden="false" customHeight="false" outlineLevel="0" collapsed="false">
      <c r="A195" s="63" t="s">
        <v>125</v>
      </c>
      <c r="B195" s="60" t="n">
        <f aca="false">Curves!E8</f>
        <v>0.957768</v>
      </c>
      <c r="C195" s="60" t="n">
        <f aca="false">Curves!E9</f>
        <v>0.96933</v>
      </c>
      <c r="D195" s="61" t="n">
        <f aca="false">SABR!AT10</f>
        <v>0.39978211956629</v>
      </c>
      <c r="E195" s="64" t="n">
        <f aca="false">Curves_Current!Q73</f>
        <v>0.95613081046933</v>
      </c>
      <c r="F195" s="64" t="n">
        <f aca="false">Curves_Current!Q74</f>
        <v>0.95090077919812</v>
      </c>
      <c r="G195" s="60" t="n">
        <f aca="false">Curves!E12</f>
        <v>0.967393</v>
      </c>
      <c r="H195" s="60" t="n">
        <f aca="false">Curves!E13</f>
        <v>0.960645</v>
      </c>
      <c r="I195" s="62" t="n">
        <f aca="false">NPV_Engine!$B$4*B195*(C195/NPV_Engine!$B$8)*(1+0.5*(D195-NPV_Engine!$B$13))*(AVERAGE(E195,F195,G195)/B195)*(H195/NPV_Engine!$B$12)</f>
        <v>9581415.2988915</v>
      </c>
    </row>
    <row r="196" customFormat="false" ht="15" hidden="false" customHeight="false" outlineLevel="0" collapsed="false">
      <c r="A196" s="63" t="s">
        <v>126</v>
      </c>
      <c r="B196" s="60" t="n">
        <f aca="false">Curves!E8</f>
        <v>0.957768</v>
      </c>
      <c r="C196" s="60" t="n">
        <f aca="false">Curves!E9</f>
        <v>0.96933</v>
      </c>
      <c r="D196" s="61" t="n">
        <f aca="false">SABR!AT10</f>
        <v>0.39978211956629</v>
      </c>
      <c r="E196" s="64" t="n">
        <f aca="false">Curves_Current!Q81</f>
        <v>0.956044396643647</v>
      </c>
      <c r="F196" s="64" t="n">
        <f aca="false">Curves_Current!Q82</f>
        <v>0.952997940377281</v>
      </c>
      <c r="G196" s="60" t="n">
        <f aca="false">Curves!E12</f>
        <v>0.967393</v>
      </c>
      <c r="H196" s="60" t="n">
        <f aca="false">Curves!E13</f>
        <v>0.960645</v>
      </c>
      <c r="I196" s="62" t="n">
        <f aca="false">NPV_Engine!$B$4*B196*(C196/NPV_Engine!$B$8)*(1+0.5*(D196-NPV_Engine!$B$13))*(AVERAGE(E196,F196,G196)/B196)*(H196/NPV_Engine!$B$12)</f>
        <v>9588117.79006976</v>
      </c>
    </row>
    <row r="199" customFormat="false" ht="15" hidden="false" customHeight="false" outlineLevel="0" collapsed="false">
      <c r="A199" s="66" t="s">
        <v>289</v>
      </c>
      <c r="B199" s="66"/>
      <c r="C199" s="66"/>
      <c r="D199" s="66"/>
      <c r="E199" s="66"/>
      <c r="F199" s="66"/>
      <c r="G199" s="66"/>
      <c r="H199" s="66"/>
      <c r="I199" s="66"/>
      <c r="J199" s="58" t="s">
        <v>288</v>
      </c>
    </row>
    <row r="200" customFormat="false" ht="39.55" hidden="false" customHeight="false" outlineLevel="0" collapsed="false">
      <c r="A200" s="22" t="s">
        <v>179</v>
      </c>
      <c r="B200" s="22" t="s">
        <v>180</v>
      </c>
      <c r="C200" s="22" t="s">
        <v>181</v>
      </c>
      <c r="D200" s="22" t="s">
        <v>182</v>
      </c>
      <c r="E200" s="22" t="s">
        <v>183</v>
      </c>
      <c r="F200" s="22" t="s">
        <v>184</v>
      </c>
      <c r="G200" s="22" t="s">
        <v>185</v>
      </c>
      <c r="H200" s="22" t="s">
        <v>186</v>
      </c>
      <c r="I200" s="22" t="s">
        <v>187</v>
      </c>
    </row>
    <row r="201" customFormat="false" ht="15" hidden="false" customHeight="false" outlineLevel="0" collapsed="false">
      <c r="A201" s="59" t="s">
        <v>188</v>
      </c>
      <c r="B201" s="60" t="n">
        <f aca="false">Curves!E8</f>
        <v>0.957768</v>
      </c>
      <c r="C201" s="60" t="n">
        <f aca="false">Curves!E9</f>
        <v>0.96933</v>
      </c>
      <c r="D201" s="61" t="n">
        <f aca="false">SABR!AT10</f>
        <v>0.39978211956629</v>
      </c>
      <c r="E201" s="60" t="n">
        <f aca="false">Curves!E10</f>
        <v>0.958726</v>
      </c>
      <c r="F201" s="60" t="n">
        <f aca="false">Curves!E11</f>
        <v>0.954899</v>
      </c>
      <c r="G201" s="60" t="n">
        <f aca="false">Curves!E12</f>
        <v>0.967393</v>
      </c>
      <c r="H201" s="60" t="n">
        <f aca="false">Curves!E13</f>
        <v>0.960645</v>
      </c>
      <c r="I201" s="62" t="n">
        <f aca="false">NPV_Engine!$B$4*B201*(C201/NPV_Engine!$B$8)*(1+0.5*(D201-NPV_Engine!$B$13))*(AVERAGE(E201,F201,G201)/B201)*(H201/NPV_Engine!$B$12)</f>
        <v>9603393.33333333</v>
      </c>
    </row>
    <row r="202" customFormat="false" ht="15" hidden="false" customHeight="false" outlineLevel="0" collapsed="false">
      <c r="A202" s="63" t="s">
        <v>117</v>
      </c>
      <c r="B202" s="60" t="n">
        <f aca="false">Curves!E8</f>
        <v>0.957768</v>
      </c>
      <c r="C202" s="60" t="n">
        <f aca="false">Curves!E9</f>
        <v>0.96933</v>
      </c>
      <c r="D202" s="61" t="n">
        <f aca="false">SABR!AT10</f>
        <v>0.39978211956629</v>
      </c>
      <c r="E202" s="64" t="n">
        <f aca="false">Curves_Current!Q9</f>
        <v>0.957681920165427</v>
      </c>
      <c r="F202" s="64" t="n">
        <f aca="false">Curves_Current!Q10</f>
        <v>0.954165270979805</v>
      </c>
      <c r="G202" s="60" t="n">
        <f aca="false">Curves!E12</f>
        <v>0.967393</v>
      </c>
      <c r="H202" s="60" t="n">
        <f aca="false">Curves!E13</f>
        <v>0.960645</v>
      </c>
      <c r="I202" s="62" t="n">
        <f aca="false">NPV_Engine!$B$4*B202*(C202/NPV_Engine!$B$8)*(1+0.5*(D202-NPV_Engine!$B$13))*(AVERAGE(E202,F202,G202)/B202)*(H202/NPV_Engine!$B$12)</f>
        <v>9597467.30381744</v>
      </c>
    </row>
    <row r="203" customFormat="false" ht="15" hidden="false" customHeight="false" outlineLevel="0" collapsed="false">
      <c r="A203" s="63" t="s">
        <v>118</v>
      </c>
      <c r="B203" s="60" t="n">
        <f aca="false">Curves!E8</f>
        <v>0.957768</v>
      </c>
      <c r="C203" s="60" t="n">
        <f aca="false">Curves!E9</f>
        <v>0.96933</v>
      </c>
      <c r="D203" s="61" t="n">
        <f aca="false">SABR!AT10</f>
        <v>0.39978211956629</v>
      </c>
      <c r="E203" s="64" t="n">
        <f aca="false">Curves_Current!Q17</f>
        <v>0.958262308784257</v>
      </c>
      <c r="F203" s="64" t="n">
        <f aca="false">Curves_Current!Q18</f>
        <v>0.952882762555419</v>
      </c>
      <c r="G203" s="60" t="n">
        <f aca="false">Curves!E12</f>
        <v>0.967393</v>
      </c>
      <c r="H203" s="60" t="n">
        <f aca="false">Curves!E13</f>
        <v>0.960645</v>
      </c>
      <c r="I203" s="62" t="n">
        <f aca="false">NPV_Engine!$B$4*B203*(C203/NPV_Engine!$B$8)*(1+0.5*(D203-NPV_Engine!$B$13))*(AVERAGE(E203,F203,G203)/B203)*(H203/NPV_Engine!$B$12)</f>
        <v>9595126.90446559</v>
      </c>
    </row>
    <row r="204" customFormat="false" ht="15" hidden="false" customHeight="false" outlineLevel="0" collapsed="false">
      <c r="A204" s="63" t="s">
        <v>119</v>
      </c>
      <c r="B204" s="60" t="n">
        <f aca="false">Curves!E8</f>
        <v>0.957768</v>
      </c>
      <c r="C204" s="60" t="n">
        <f aca="false">Curves!E9</f>
        <v>0.96933</v>
      </c>
      <c r="D204" s="61" t="n">
        <f aca="false">SABR!AT10</f>
        <v>0.39978211956629</v>
      </c>
      <c r="E204" s="64" t="n">
        <f aca="false">Curves_Current!Q25</f>
        <v>0.957194399871784</v>
      </c>
      <c r="F204" s="64" t="n">
        <f aca="false">Curves_Current!Q26</f>
        <v>0.955788775537166</v>
      </c>
      <c r="G204" s="60" t="n">
        <f aca="false">Curves!E12</f>
        <v>0.967393</v>
      </c>
      <c r="H204" s="60" t="n">
        <f aca="false">Curves!E13</f>
        <v>0.960645</v>
      </c>
      <c r="I204" s="62" t="n">
        <f aca="false">NPV_Engine!$B$4*B204*(C204/NPV_Engine!$B$8)*(1+0.5*(D204-NPV_Engine!$B$13))*(AVERAGE(E204,F204,G204)/B204)*(H204/NPV_Engine!$B$12)</f>
        <v>9601253.91802983</v>
      </c>
    </row>
    <row r="205" customFormat="false" ht="15" hidden="false" customHeight="false" outlineLevel="0" collapsed="false">
      <c r="A205" s="63" t="s">
        <v>120</v>
      </c>
      <c r="B205" s="60" t="n">
        <f aca="false">Curves!E8</f>
        <v>0.957768</v>
      </c>
      <c r="C205" s="60" t="n">
        <f aca="false">Curves!E9</f>
        <v>0.96933</v>
      </c>
      <c r="D205" s="61" t="n">
        <f aca="false">SABR!AT10</f>
        <v>0.39978211956629</v>
      </c>
      <c r="E205" s="64" t="n">
        <f aca="false">Curves_Current!Q33</f>
        <v>0.957053949688665</v>
      </c>
      <c r="F205" s="64" t="n">
        <f aca="false">Curves_Current!Q34</f>
        <v>0.952125081208929</v>
      </c>
      <c r="G205" s="60" t="n">
        <f aca="false">Curves!E12</f>
        <v>0.967393</v>
      </c>
      <c r="H205" s="60" t="n">
        <f aca="false">Curves!E13</f>
        <v>0.960645</v>
      </c>
      <c r="I205" s="62" t="n">
        <f aca="false">NPV_Engine!$B$4*B205*(C205/NPV_Engine!$B$8)*(1+0.5*(D205-NPV_Engine!$B$13))*(AVERAGE(E205,F205,G205)/B205)*(H205/NPV_Engine!$B$12)</f>
        <v>9588573.43632532</v>
      </c>
    </row>
    <row r="206" customFormat="false" ht="15" hidden="false" customHeight="false" outlineLevel="0" collapsed="false">
      <c r="A206" s="63" t="s">
        <v>121</v>
      </c>
      <c r="B206" s="60" t="n">
        <f aca="false">Curves!E8</f>
        <v>0.957768</v>
      </c>
      <c r="C206" s="60" t="n">
        <f aca="false">Curves!E9</f>
        <v>0.96933</v>
      </c>
      <c r="D206" s="61" t="n">
        <f aca="false">SABR!AT10</f>
        <v>0.39978211956629</v>
      </c>
      <c r="E206" s="64" t="n">
        <f aca="false">Curves_Current!Q41</f>
        <v>0.957905601234653</v>
      </c>
      <c r="F206" s="64" t="n">
        <f aca="false">Curves_Current!Q42</f>
        <v>0.952092269426374</v>
      </c>
      <c r="G206" s="60" t="n">
        <f aca="false">Curves!E12</f>
        <v>0.967393</v>
      </c>
      <c r="H206" s="60" t="n">
        <f aca="false">Curves!E13</f>
        <v>0.960645</v>
      </c>
      <c r="I206" s="62" t="n">
        <f aca="false">NPV_Engine!$B$4*B206*(C206/NPV_Engine!$B$8)*(1+0.5*(D206-NPV_Engine!$B$13))*(AVERAGE(E206,F206,G206)/B206)*(H206/NPV_Engine!$B$12)</f>
        <v>9591302.90220343</v>
      </c>
    </row>
    <row r="207" customFormat="false" ht="15" hidden="false" customHeight="false" outlineLevel="0" collapsed="false">
      <c r="A207" s="63" t="s">
        <v>122</v>
      </c>
      <c r="B207" s="60" t="n">
        <f aca="false">Curves!E8</f>
        <v>0.957768</v>
      </c>
      <c r="C207" s="60" t="n">
        <f aca="false">Curves!E9</f>
        <v>0.96933</v>
      </c>
      <c r="D207" s="61" t="n">
        <f aca="false">SABR!AT10</f>
        <v>0.39978211956629</v>
      </c>
      <c r="E207" s="64" t="n">
        <f aca="false">Curves_Current!Q49</f>
        <v>0.958377026624332</v>
      </c>
      <c r="F207" s="64" t="n">
        <f aca="false">Curves_Current!Q50</f>
        <v>0.951657571221878</v>
      </c>
      <c r="G207" s="60" t="n">
        <f aca="false">Curves!E12</f>
        <v>0.967393</v>
      </c>
      <c r="H207" s="60" t="n">
        <f aca="false">Curves!E13</f>
        <v>0.960645</v>
      </c>
      <c r="I207" s="62" t="n">
        <f aca="false">NPV_Engine!$B$4*B207*(C207/NPV_Engine!$B$8)*(1+0.5*(D207-NPV_Engine!$B$13))*(AVERAGE(E207,F207,G207)/B207)*(H207/NPV_Engine!$B$12)</f>
        <v>9591425.32615404</v>
      </c>
    </row>
    <row r="208" customFormat="false" ht="15" hidden="false" customHeight="false" outlineLevel="0" collapsed="false">
      <c r="A208" s="63" t="s">
        <v>123</v>
      </c>
      <c r="B208" s="60" t="n">
        <f aca="false">Curves!E8</f>
        <v>0.957768</v>
      </c>
      <c r="C208" s="60" t="n">
        <f aca="false">Curves!E9</f>
        <v>0.96933</v>
      </c>
      <c r="D208" s="61" t="n">
        <f aca="false">SABR!AT10</f>
        <v>0.39978211956629</v>
      </c>
      <c r="E208" s="64" t="n">
        <f aca="false">Curves_Current!Q57</f>
        <v>0.956515327373862</v>
      </c>
      <c r="F208" s="64" t="n">
        <f aca="false">Curves_Current!Q58</f>
        <v>0.951467522241567</v>
      </c>
      <c r="G208" s="60" t="n">
        <f aca="false">Curves!E12</f>
        <v>0.967393</v>
      </c>
      <c r="H208" s="60" t="n">
        <f aca="false">Curves!E13</f>
        <v>0.960645</v>
      </c>
      <c r="I208" s="62" t="n">
        <f aca="false">NPV_Engine!$B$4*B208*(C208/NPV_Engine!$B$8)*(1+0.5*(D208-NPV_Engine!$B$13))*(AVERAGE(E208,F208,G208)/B208)*(H208/NPV_Engine!$B$12)</f>
        <v>9584586.16538476</v>
      </c>
    </row>
    <row r="209" customFormat="false" ht="15" hidden="false" customHeight="false" outlineLevel="0" collapsed="false">
      <c r="A209" s="63" t="s">
        <v>124</v>
      </c>
      <c r="B209" s="60" t="n">
        <f aca="false">Curves!E8</f>
        <v>0.957768</v>
      </c>
      <c r="C209" s="60" t="n">
        <f aca="false">Curves!E9</f>
        <v>0.96933</v>
      </c>
      <c r="D209" s="61" t="n">
        <f aca="false">SABR!AT10</f>
        <v>0.39978211956629</v>
      </c>
      <c r="E209" s="64" t="n">
        <f aca="false">Curves_Current!Q65</f>
        <v>0.956295155645531</v>
      </c>
      <c r="F209" s="64" t="n">
        <f aca="false">Curves_Current!Q66</f>
        <v>0.951090646612669</v>
      </c>
      <c r="G209" s="60" t="n">
        <f aca="false">Curves!E12</f>
        <v>0.967393</v>
      </c>
      <c r="H209" s="60" t="n">
        <f aca="false">Curves!E13</f>
        <v>0.960645</v>
      </c>
      <c r="I209" s="62" t="n">
        <f aca="false">NPV_Engine!$B$4*B209*(C209/NPV_Engine!$B$8)*(1+0.5*(D209-NPV_Engine!$B$13))*(AVERAGE(E209,F209,G209)/B209)*(H209/NPV_Engine!$B$12)</f>
        <v>9582596.00752734</v>
      </c>
    </row>
    <row r="210" customFormat="false" ht="15" hidden="false" customHeight="false" outlineLevel="0" collapsed="false">
      <c r="A210" s="63" t="s">
        <v>125</v>
      </c>
      <c r="B210" s="60" t="n">
        <f aca="false">Curves!E8</f>
        <v>0.957768</v>
      </c>
      <c r="C210" s="60" t="n">
        <f aca="false">Curves!E9</f>
        <v>0.96933</v>
      </c>
      <c r="D210" s="61" t="n">
        <f aca="false">SABR!AT10</f>
        <v>0.39978211956629</v>
      </c>
      <c r="E210" s="64" t="n">
        <f aca="false">Curves_Current!Q73</f>
        <v>0.95613081046933</v>
      </c>
      <c r="F210" s="64" t="n">
        <f aca="false">Curves_Current!Q74</f>
        <v>0.95090077919812</v>
      </c>
      <c r="G210" s="60" t="n">
        <f aca="false">Curves!E12</f>
        <v>0.967393</v>
      </c>
      <c r="H210" s="60" t="n">
        <f aca="false">Curves!E13</f>
        <v>0.960645</v>
      </c>
      <c r="I210" s="62" t="n">
        <f aca="false">NPV_Engine!$B$4*B210*(C210/NPV_Engine!$B$8)*(1+0.5*(D210-NPV_Engine!$B$13))*(AVERAGE(E210,F210,G210)/B210)*(H210/NPV_Engine!$B$12)</f>
        <v>9581415.2988915</v>
      </c>
    </row>
    <row r="211" customFormat="false" ht="15" hidden="false" customHeight="false" outlineLevel="0" collapsed="false">
      <c r="A211" s="63" t="s">
        <v>126</v>
      </c>
      <c r="B211" s="60" t="n">
        <f aca="false">Curves!E8</f>
        <v>0.957768</v>
      </c>
      <c r="C211" s="60" t="n">
        <f aca="false">Curves!E9</f>
        <v>0.96933</v>
      </c>
      <c r="D211" s="61" t="n">
        <f aca="false">SABR!AT10</f>
        <v>0.39978211956629</v>
      </c>
      <c r="E211" s="64" t="n">
        <f aca="false">Curves_Current!Q81</f>
        <v>0.956044396643647</v>
      </c>
      <c r="F211" s="64" t="n">
        <f aca="false">Curves_Current!Q82</f>
        <v>0.952997940377281</v>
      </c>
      <c r="G211" s="60" t="n">
        <f aca="false">Curves!E12</f>
        <v>0.967393</v>
      </c>
      <c r="H211" s="60" t="n">
        <f aca="false">Curves!E13</f>
        <v>0.960645</v>
      </c>
      <c r="I211" s="62" t="n">
        <f aca="false">NPV_Engine!$B$4*B211*(C211/NPV_Engine!$B$8)*(1+0.5*(D211-NPV_Engine!$B$13))*(AVERAGE(E211,F211,G211)/B211)*(H211/NPV_Engine!$B$12)</f>
        <v>9588117.79006976</v>
      </c>
    </row>
    <row r="214" customFormat="false" ht="15" hidden="false" customHeight="false" outlineLevel="0" collapsed="false">
      <c r="A214" s="66" t="s">
        <v>290</v>
      </c>
      <c r="B214" s="66"/>
      <c r="C214" s="66"/>
      <c r="D214" s="66"/>
      <c r="E214" s="66"/>
      <c r="F214" s="66"/>
      <c r="G214" s="66"/>
      <c r="H214" s="66"/>
      <c r="I214" s="66"/>
      <c r="J214" s="58" t="s">
        <v>271</v>
      </c>
    </row>
    <row r="215" customFormat="false" ht="39.55" hidden="false" customHeight="false" outlineLevel="0" collapsed="false">
      <c r="A215" s="22" t="s">
        <v>179</v>
      </c>
      <c r="B215" s="22" t="s">
        <v>180</v>
      </c>
      <c r="C215" s="22" t="s">
        <v>181</v>
      </c>
      <c r="D215" s="22" t="s">
        <v>182</v>
      </c>
      <c r="E215" s="22" t="s">
        <v>183</v>
      </c>
      <c r="F215" s="22" t="s">
        <v>184</v>
      </c>
      <c r="G215" s="22" t="s">
        <v>185</v>
      </c>
      <c r="H215" s="22" t="s">
        <v>186</v>
      </c>
      <c r="I215" s="22" t="s">
        <v>187</v>
      </c>
    </row>
    <row r="216" customFormat="false" ht="15" hidden="false" customHeight="false" outlineLevel="0" collapsed="false">
      <c r="A216" s="59" t="s">
        <v>188</v>
      </c>
      <c r="B216" s="60" t="n">
        <f aca="false">Curves!E8</f>
        <v>0.957768</v>
      </c>
      <c r="C216" s="60" t="n">
        <f aca="false">Curves!E9</f>
        <v>0.96933</v>
      </c>
      <c r="D216" s="61" t="n">
        <f aca="false">SABR!AT10</f>
        <v>0.39978211956629</v>
      </c>
      <c r="E216" s="60" t="n">
        <f aca="false">Curves!E10</f>
        <v>0.958726</v>
      </c>
      <c r="F216" s="60" t="n">
        <f aca="false">Curves!E11</f>
        <v>0.954899</v>
      </c>
      <c r="G216" s="60" t="n">
        <f aca="false">Curves!E12</f>
        <v>0.967393</v>
      </c>
      <c r="H216" s="60" t="n">
        <f aca="false">Curves!E13</f>
        <v>0.960645</v>
      </c>
      <c r="I216" s="62" t="n">
        <f aca="false">NPV_Engine!$B$4*B216*(C216/NPV_Engine!$B$8)*(1+0.5*(D216-NPV_Engine!$B$13))*(AVERAGE(E216,F216,G216)/B216)*(H216/NPV_Engine!$B$12)</f>
        <v>9603393.33333333</v>
      </c>
    </row>
    <row r="217" customFormat="false" ht="15" hidden="false" customHeight="false" outlineLevel="0" collapsed="false">
      <c r="A217" s="63" t="s">
        <v>117</v>
      </c>
      <c r="B217" s="60" t="n">
        <f aca="false">Curves!E8</f>
        <v>0.957768</v>
      </c>
      <c r="C217" s="60" t="n">
        <f aca="false">Curves!E9</f>
        <v>0.96933</v>
      </c>
      <c r="D217" s="61" t="n">
        <f aca="false">SABR!AT10</f>
        <v>0.39978211956629</v>
      </c>
      <c r="E217" s="60" t="n">
        <f aca="false">Curves!E10</f>
        <v>0.958726</v>
      </c>
      <c r="F217" s="64" t="n">
        <f aca="false">Curves_Current!Q10</f>
        <v>0.954165270979805</v>
      </c>
      <c r="G217" s="60" t="n">
        <f aca="false">Curves!E12</f>
        <v>0.967393</v>
      </c>
      <c r="H217" s="60" t="n">
        <f aca="false">Curves!E13</f>
        <v>0.960645</v>
      </c>
      <c r="I217" s="62" t="n">
        <f aca="false">NPV_Engine!$B$4*B217*(C217/NPV_Engine!$B$8)*(1+0.5*(D217-NPV_Engine!$B$13))*(AVERAGE(E217,F217,G217)/B217)*(H217/NPV_Engine!$B$12)</f>
        <v>9600947.56993268</v>
      </c>
    </row>
    <row r="218" customFormat="false" ht="15" hidden="false" customHeight="false" outlineLevel="0" collapsed="false">
      <c r="A218" s="63" t="s">
        <v>118</v>
      </c>
      <c r="B218" s="60" t="n">
        <f aca="false">Curves!E8</f>
        <v>0.957768</v>
      </c>
      <c r="C218" s="60" t="n">
        <f aca="false">Curves!E9</f>
        <v>0.96933</v>
      </c>
      <c r="D218" s="61" t="n">
        <f aca="false">SABR!AT10</f>
        <v>0.39978211956629</v>
      </c>
      <c r="E218" s="60" t="n">
        <f aca="false">Curves!E10</f>
        <v>0.958726</v>
      </c>
      <c r="F218" s="64" t="n">
        <f aca="false">Curves_Current!Q18</f>
        <v>0.952882762555419</v>
      </c>
      <c r="G218" s="60" t="n">
        <f aca="false">Curves!E12</f>
        <v>0.967393</v>
      </c>
      <c r="H218" s="60" t="n">
        <f aca="false">Curves!E13</f>
        <v>0.960645</v>
      </c>
      <c r="I218" s="62" t="n">
        <f aca="false">NPV_Engine!$B$4*B218*(C218/NPV_Engine!$B$8)*(1+0.5*(D218-NPV_Engine!$B$13))*(AVERAGE(E218,F218,G218)/B218)*(H218/NPV_Engine!$B$12)</f>
        <v>9596672.5418514</v>
      </c>
    </row>
    <row r="219" customFormat="false" ht="15" hidden="false" customHeight="false" outlineLevel="0" collapsed="false">
      <c r="A219" s="63" t="s">
        <v>119</v>
      </c>
      <c r="B219" s="60" t="n">
        <f aca="false">Curves!E8</f>
        <v>0.957768</v>
      </c>
      <c r="C219" s="60" t="n">
        <f aca="false">Curves!E9</f>
        <v>0.96933</v>
      </c>
      <c r="D219" s="61" t="n">
        <f aca="false">SABR!AT10</f>
        <v>0.39978211956629</v>
      </c>
      <c r="E219" s="60" t="n">
        <f aca="false">Curves!E10</f>
        <v>0.958726</v>
      </c>
      <c r="F219" s="64" t="n">
        <f aca="false">Curves_Current!Q26</f>
        <v>0.955788775537166</v>
      </c>
      <c r="G219" s="60" t="n">
        <f aca="false">Curves!E12</f>
        <v>0.967393</v>
      </c>
      <c r="H219" s="60" t="n">
        <f aca="false">Curves!E13</f>
        <v>0.960645</v>
      </c>
      <c r="I219" s="62" t="n">
        <f aca="false">NPV_Engine!$B$4*B219*(C219/NPV_Engine!$B$8)*(1+0.5*(D219-NPV_Engine!$B$13))*(AVERAGE(E219,F219,G219)/B219)*(H219/NPV_Engine!$B$12)</f>
        <v>9606359.25179055</v>
      </c>
    </row>
    <row r="220" customFormat="false" ht="15" hidden="false" customHeight="false" outlineLevel="0" collapsed="false">
      <c r="A220" s="63" t="s">
        <v>120</v>
      </c>
      <c r="B220" s="60" t="n">
        <f aca="false">Curves!E8</f>
        <v>0.957768</v>
      </c>
      <c r="C220" s="60" t="n">
        <f aca="false">Curves!E9</f>
        <v>0.96933</v>
      </c>
      <c r="D220" s="61" t="n">
        <f aca="false">SABR!AT10</f>
        <v>0.39978211956629</v>
      </c>
      <c r="E220" s="60" t="n">
        <f aca="false">Curves!E10</f>
        <v>0.958726</v>
      </c>
      <c r="F220" s="64" t="n">
        <f aca="false">Curves_Current!Q34</f>
        <v>0.952125081208929</v>
      </c>
      <c r="G220" s="60" t="n">
        <f aca="false">Curves!E12</f>
        <v>0.967393</v>
      </c>
      <c r="H220" s="60" t="n">
        <f aca="false">Curves!E13</f>
        <v>0.960645</v>
      </c>
      <c r="I220" s="62" t="n">
        <f aca="false">NPV_Engine!$B$4*B220*(C220/NPV_Engine!$B$8)*(1+0.5*(D220-NPV_Engine!$B$13))*(AVERAGE(E220,F220,G220)/B220)*(H220/NPV_Engine!$B$12)</f>
        <v>9594146.9373631</v>
      </c>
    </row>
    <row r="221" customFormat="false" ht="15" hidden="false" customHeight="false" outlineLevel="0" collapsed="false">
      <c r="A221" s="63" t="s">
        <v>121</v>
      </c>
      <c r="B221" s="60" t="n">
        <f aca="false">Curves!E8</f>
        <v>0.957768</v>
      </c>
      <c r="C221" s="60" t="n">
        <f aca="false">Curves!E9</f>
        <v>0.96933</v>
      </c>
      <c r="D221" s="61" t="n">
        <f aca="false">SABR!AT10</f>
        <v>0.39978211956629</v>
      </c>
      <c r="E221" s="60" t="n">
        <f aca="false">Curves!E10</f>
        <v>0.958726</v>
      </c>
      <c r="F221" s="64" t="n">
        <f aca="false">Curves_Current!Q42</f>
        <v>0.952092269426374</v>
      </c>
      <c r="G221" s="60" t="n">
        <f aca="false">Curves!E12</f>
        <v>0.967393</v>
      </c>
      <c r="H221" s="60" t="n">
        <f aca="false">Curves!E13</f>
        <v>0.960645</v>
      </c>
      <c r="I221" s="62" t="n">
        <f aca="false">NPV_Engine!$B$4*B221*(C221/NPV_Engine!$B$8)*(1+0.5*(D221-NPV_Engine!$B$13))*(AVERAGE(E221,F221,G221)/B221)*(H221/NPV_Engine!$B$12)</f>
        <v>9594037.56475458</v>
      </c>
    </row>
    <row r="222" customFormat="false" ht="15" hidden="false" customHeight="false" outlineLevel="0" collapsed="false">
      <c r="A222" s="63" t="s">
        <v>122</v>
      </c>
      <c r="B222" s="60" t="n">
        <f aca="false">Curves!E8</f>
        <v>0.957768</v>
      </c>
      <c r="C222" s="60" t="n">
        <f aca="false">Curves!E9</f>
        <v>0.96933</v>
      </c>
      <c r="D222" s="61" t="n">
        <f aca="false">SABR!AT10</f>
        <v>0.39978211956629</v>
      </c>
      <c r="E222" s="60" t="n">
        <f aca="false">Curves!E10</f>
        <v>0.958726</v>
      </c>
      <c r="F222" s="64" t="n">
        <f aca="false">Curves_Current!Q50</f>
        <v>0.951657571221878</v>
      </c>
      <c r="G222" s="60" t="n">
        <f aca="false">Curves!E12</f>
        <v>0.967393</v>
      </c>
      <c r="H222" s="60" t="n">
        <f aca="false">Curves!E13</f>
        <v>0.960645</v>
      </c>
      <c r="I222" s="62" t="n">
        <f aca="false">NPV_Engine!$B$4*B222*(C222/NPV_Engine!$B$8)*(1+0.5*(D222-NPV_Engine!$B$13))*(AVERAGE(E222,F222,G222)/B222)*(H222/NPV_Engine!$B$12)</f>
        <v>9592588.5707396</v>
      </c>
    </row>
    <row r="223" customFormat="false" ht="15" hidden="false" customHeight="false" outlineLevel="0" collapsed="false">
      <c r="A223" s="63" t="s">
        <v>123</v>
      </c>
      <c r="B223" s="60" t="n">
        <f aca="false">Curves!E8</f>
        <v>0.957768</v>
      </c>
      <c r="C223" s="60" t="n">
        <f aca="false">Curves!E9</f>
        <v>0.96933</v>
      </c>
      <c r="D223" s="61" t="n">
        <f aca="false">SABR!AT10</f>
        <v>0.39978211956629</v>
      </c>
      <c r="E223" s="60" t="n">
        <f aca="false">Curves!E10</f>
        <v>0.958726</v>
      </c>
      <c r="F223" s="64" t="n">
        <f aca="false">Curves_Current!Q58</f>
        <v>0.951467522241567</v>
      </c>
      <c r="G223" s="60" t="n">
        <f aca="false">Curves!E12</f>
        <v>0.967393</v>
      </c>
      <c r="H223" s="60" t="n">
        <f aca="false">Curves!E13</f>
        <v>0.960645</v>
      </c>
      <c r="I223" s="62" t="n">
        <f aca="false">NPV_Engine!$B$4*B223*(C223/NPV_Engine!$B$8)*(1+0.5*(D223-NPV_Engine!$B$13))*(AVERAGE(E223,F223,G223)/B223)*(H223/NPV_Engine!$B$12)</f>
        <v>9591955.07413856</v>
      </c>
    </row>
    <row r="224" customFormat="false" ht="15" hidden="false" customHeight="false" outlineLevel="0" collapsed="false">
      <c r="A224" s="63" t="s">
        <v>124</v>
      </c>
      <c r="B224" s="60" t="n">
        <f aca="false">Curves!E8</f>
        <v>0.957768</v>
      </c>
      <c r="C224" s="60" t="n">
        <f aca="false">Curves!E9</f>
        <v>0.96933</v>
      </c>
      <c r="D224" s="61" t="n">
        <f aca="false">SABR!AT10</f>
        <v>0.39978211956629</v>
      </c>
      <c r="E224" s="60" t="n">
        <f aca="false">Curves!E10</f>
        <v>0.958726</v>
      </c>
      <c r="F224" s="64" t="n">
        <f aca="false">Curves_Current!Q66</f>
        <v>0.951090646612669</v>
      </c>
      <c r="G224" s="60" t="n">
        <f aca="false">Curves!E12</f>
        <v>0.967393</v>
      </c>
      <c r="H224" s="60" t="n">
        <f aca="false">Curves!E13</f>
        <v>0.960645</v>
      </c>
      <c r="I224" s="62" t="n">
        <f aca="false">NPV_Engine!$B$4*B224*(C224/NPV_Engine!$B$8)*(1+0.5*(D224-NPV_Engine!$B$13))*(AVERAGE(E224,F224,G224)/B224)*(H224/NPV_Engine!$B$12)</f>
        <v>9590698.82204223</v>
      </c>
    </row>
    <row r="225" customFormat="false" ht="15" hidden="false" customHeight="false" outlineLevel="0" collapsed="false">
      <c r="A225" s="63" t="s">
        <v>125</v>
      </c>
      <c r="B225" s="60" t="n">
        <f aca="false">Curves!E8</f>
        <v>0.957768</v>
      </c>
      <c r="C225" s="60" t="n">
        <f aca="false">Curves!E9</f>
        <v>0.96933</v>
      </c>
      <c r="D225" s="61" t="n">
        <f aca="false">SABR!AT10</f>
        <v>0.39978211956629</v>
      </c>
      <c r="E225" s="60" t="n">
        <f aca="false">Curves!E10</f>
        <v>0.958726</v>
      </c>
      <c r="F225" s="64" t="n">
        <f aca="false">Curves_Current!Q74</f>
        <v>0.95090077919812</v>
      </c>
      <c r="G225" s="60" t="n">
        <f aca="false">Curves!E12</f>
        <v>0.967393</v>
      </c>
      <c r="H225" s="60" t="n">
        <f aca="false">Curves!E13</f>
        <v>0.960645</v>
      </c>
      <c r="I225" s="62" t="n">
        <f aca="false">NPV_Engine!$B$4*B225*(C225/NPV_Engine!$B$8)*(1+0.5*(D225-NPV_Engine!$B$13))*(AVERAGE(E225,F225,G225)/B225)*(H225/NPV_Engine!$B$12)</f>
        <v>9590065.9306604</v>
      </c>
    </row>
    <row r="226" customFormat="false" ht="15" hidden="false" customHeight="false" outlineLevel="0" collapsed="false">
      <c r="A226" s="63" t="s">
        <v>126</v>
      </c>
      <c r="B226" s="60" t="n">
        <f aca="false">Curves!E8</f>
        <v>0.957768</v>
      </c>
      <c r="C226" s="60" t="n">
        <f aca="false">Curves!E9</f>
        <v>0.96933</v>
      </c>
      <c r="D226" s="61" t="n">
        <f aca="false">SABR!AT10</f>
        <v>0.39978211956629</v>
      </c>
      <c r="E226" s="60" t="n">
        <f aca="false">Curves!E10</f>
        <v>0.958726</v>
      </c>
      <c r="F226" s="64" t="n">
        <f aca="false">Curves_Current!Q82</f>
        <v>0.952997940377281</v>
      </c>
      <c r="G226" s="60" t="n">
        <f aca="false">Curves!E12</f>
        <v>0.967393</v>
      </c>
      <c r="H226" s="60" t="n">
        <f aca="false">Curves!E13</f>
        <v>0.960645</v>
      </c>
      <c r="I226" s="62" t="n">
        <f aca="false">NPV_Engine!$B$4*B226*(C226/NPV_Engine!$B$8)*(1+0.5*(D226-NPV_Engine!$B$13))*(AVERAGE(E226,F226,G226)/B226)*(H226/NPV_Engine!$B$12)</f>
        <v>9597056.46792427</v>
      </c>
    </row>
    <row r="229" customFormat="false" ht="15" hidden="false" customHeight="false" outlineLevel="0" collapsed="false">
      <c r="A229" s="66" t="s">
        <v>291</v>
      </c>
      <c r="B229" s="66"/>
      <c r="C229" s="66"/>
      <c r="D229" s="66"/>
      <c r="E229" s="66"/>
      <c r="F229" s="66"/>
      <c r="G229" s="66"/>
      <c r="H229" s="66"/>
      <c r="I229" s="66"/>
      <c r="J229" s="58" t="s">
        <v>292</v>
      </c>
    </row>
    <row r="230" customFormat="false" ht="39.55" hidden="false" customHeight="false" outlineLevel="0" collapsed="false">
      <c r="A230" s="22" t="s">
        <v>179</v>
      </c>
      <c r="B230" s="22" t="s">
        <v>180</v>
      </c>
      <c r="C230" s="22" t="s">
        <v>181</v>
      </c>
      <c r="D230" s="22" t="s">
        <v>182</v>
      </c>
      <c r="E230" s="22" t="s">
        <v>183</v>
      </c>
      <c r="F230" s="22" t="s">
        <v>184</v>
      </c>
      <c r="G230" s="22" t="s">
        <v>185</v>
      </c>
      <c r="H230" s="22" t="s">
        <v>186</v>
      </c>
      <c r="I230" s="22" t="s">
        <v>187</v>
      </c>
    </row>
    <row r="231" customFormat="false" ht="15" hidden="false" customHeight="false" outlineLevel="0" collapsed="false">
      <c r="A231" s="59" t="s">
        <v>188</v>
      </c>
      <c r="B231" s="60" t="n">
        <f aca="false">Curves!E8</f>
        <v>0.957768</v>
      </c>
      <c r="C231" s="60" t="n">
        <f aca="false">Curves!E9</f>
        <v>0.96933</v>
      </c>
      <c r="D231" s="61" t="n">
        <f aca="false">SABR!AT10</f>
        <v>0.39978211956629</v>
      </c>
      <c r="E231" s="60" t="n">
        <f aca="false">Curves!E10</f>
        <v>0.958726</v>
      </c>
      <c r="F231" s="60" t="n">
        <f aca="false">Curves!E11</f>
        <v>0.954899</v>
      </c>
      <c r="G231" s="60" t="n">
        <f aca="false">Curves!E12</f>
        <v>0.967393</v>
      </c>
      <c r="H231" s="60" t="n">
        <f aca="false">Curves!E13</f>
        <v>0.960645</v>
      </c>
      <c r="I231" s="62" t="n">
        <f aca="false">NPV_Engine!$B$4*B231*(C231/NPV_Engine!$B$8)*(1+0.5*(D231-NPV_Engine!$B$13))*(AVERAGE(E231,F231,G231)/B231)*(H231/NPV_Engine!$B$12)</f>
        <v>9603393.33333333</v>
      </c>
    </row>
    <row r="232" customFormat="false" ht="15" hidden="false" customHeight="false" outlineLevel="0" collapsed="false">
      <c r="A232" s="63" t="s">
        <v>117</v>
      </c>
      <c r="B232" s="64" t="n">
        <f aca="false">Curves_Current!Q7</f>
        <v>0.956822187215235</v>
      </c>
      <c r="C232" s="60" t="n">
        <f aca="false">Curves!E9</f>
        <v>0.96933</v>
      </c>
      <c r="D232" s="65" t="n">
        <f aca="false">SABR_Current!AT27</f>
        <v>0.401693250530639</v>
      </c>
      <c r="E232" s="60" t="n">
        <f aca="false">Curves!E10</f>
        <v>0.958726</v>
      </c>
      <c r="F232" s="60" t="n">
        <f aca="false">Curves!E11</f>
        <v>0.954899</v>
      </c>
      <c r="G232" s="60" t="n">
        <f aca="false">Curves!E12</f>
        <v>0.967393</v>
      </c>
      <c r="H232" s="60" t="n">
        <f aca="false">Curves!E13</f>
        <v>0.960645</v>
      </c>
      <c r="I232" s="62" t="n">
        <f aca="false">NPV_Engine!$B$4*B232*(C232/NPV_Engine!$B$8)*(1+0.5*(D232-NPV_Engine!$B$13))*(AVERAGE(E232,F232,G232)/B232)*(H232/NPV_Engine!$B$12)</f>
        <v>9612570.00451441</v>
      </c>
    </row>
    <row r="233" customFormat="false" ht="15" hidden="false" customHeight="false" outlineLevel="0" collapsed="false">
      <c r="A233" s="63" t="s">
        <v>118</v>
      </c>
      <c r="B233" s="64" t="n">
        <f aca="false">Curves_Current!Q15</f>
        <v>0.95669164367522</v>
      </c>
      <c r="C233" s="60" t="n">
        <f aca="false">Curves!E9</f>
        <v>0.96933</v>
      </c>
      <c r="D233" s="65" t="n">
        <f aca="false">SABR_Current!AT41</f>
        <v>0.401488494979835</v>
      </c>
      <c r="E233" s="60" t="n">
        <f aca="false">Curves!E10</f>
        <v>0.958726</v>
      </c>
      <c r="F233" s="60" t="n">
        <f aca="false">Curves!E11</f>
        <v>0.954899</v>
      </c>
      <c r="G233" s="60" t="n">
        <f aca="false">Curves!E12</f>
        <v>0.967393</v>
      </c>
      <c r="H233" s="60" t="n">
        <f aca="false">Curves!E13</f>
        <v>0.960645</v>
      </c>
      <c r="I233" s="62" t="n">
        <f aca="false">NPV_Engine!$B$4*B233*(C233/NPV_Engine!$B$8)*(1+0.5*(D233-NPV_Engine!$B$13))*(AVERAGE(E233,F233,G233)/B233)*(H233/NPV_Engine!$B$12)</f>
        <v>9611586.83046863</v>
      </c>
    </row>
    <row r="234" customFormat="false" ht="15" hidden="false" customHeight="false" outlineLevel="0" collapsed="false">
      <c r="A234" s="63" t="s">
        <v>119</v>
      </c>
      <c r="B234" s="64" t="n">
        <f aca="false">Curves_Current!Q23</f>
        <v>0.957261411797292</v>
      </c>
      <c r="C234" s="60" t="n">
        <f aca="false">Curves!E9</f>
        <v>0.96933</v>
      </c>
      <c r="D234" s="65" t="n">
        <f aca="false">SABR_Current!AT55</f>
        <v>0.401966254765439</v>
      </c>
      <c r="E234" s="60" t="n">
        <f aca="false">Curves!E10</f>
        <v>0.958726</v>
      </c>
      <c r="F234" s="60" t="n">
        <f aca="false">Curves!E11</f>
        <v>0.954899</v>
      </c>
      <c r="G234" s="60" t="n">
        <f aca="false">Curves!E12</f>
        <v>0.967393</v>
      </c>
      <c r="H234" s="60" t="n">
        <f aca="false">Curves!E13</f>
        <v>0.960645</v>
      </c>
      <c r="I234" s="62" t="n">
        <f aca="false">NPV_Engine!$B$4*B234*(C234/NPV_Engine!$B$8)*(1+0.5*(D234-NPV_Engine!$B$13))*(AVERAGE(E234,F234,G234)/B234)*(H234/NPV_Engine!$B$12)</f>
        <v>9613880.88803864</v>
      </c>
    </row>
    <row r="235" customFormat="false" ht="15" hidden="false" customHeight="false" outlineLevel="0" collapsed="false">
      <c r="A235" s="63" t="s">
        <v>120</v>
      </c>
      <c r="B235" s="64" t="n">
        <f aca="false">Curves_Current!Q31</f>
        <v>0.957960959770115</v>
      </c>
      <c r="C235" s="60" t="n">
        <f aca="false">Curves!E9</f>
        <v>0.96933</v>
      </c>
      <c r="D235" s="65" t="n">
        <f aca="false">SABR_Current!AT69</f>
        <v>0.403399467630506</v>
      </c>
      <c r="E235" s="60" t="n">
        <f aca="false">Curves!E10</f>
        <v>0.958726</v>
      </c>
      <c r="F235" s="60" t="n">
        <f aca="false">Curves!E11</f>
        <v>0.954899</v>
      </c>
      <c r="G235" s="60" t="n">
        <f aca="false">Curves!E12</f>
        <v>0.967393</v>
      </c>
      <c r="H235" s="60" t="n">
        <f aca="false">Curves!E13</f>
        <v>0.960645</v>
      </c>
      <c r="I235" s="62" t="n">
        <f aca="false">NPV_Engine!$B$4*B235*(C235/NPV_Engine!$B$8)*(1+0.5*(D235-NPV_Engine!$B$13))*(AVERAGE(E235,F235,G235)/B235)*(H235/NPV_Engine!$B$12)</f>
        <v>9620762.74147545</v>
      </c>
    </row>
    <row r="236" customFormat="false" ht="15" hidden="false" customHeight="false" outlineLevel="0" collapsed="false">
      <c r="A236" s="63" t="s">
        <v>121</v>
      </c>
      <c r="B236" s="64" t="n">
        <f aca="false">Curves_Current!Q39</f>
        <v>0.956191489469807</v>
      </c>
      <c r="C236" s="60" t="n">
        <f aca="false">Curves!E9</f>
        <v>0.96933</v>
      </c>
      <c r="D236" s="65" t="n">
        <f aca="false">SABR_Current!AT83</f>
        <v>0.403058235518653</v>
      </c>
      <c r="E236" s="60" t="n">
        <f aca="false">Curves!E10</f>
        <v>0.958726</v>
      </c>
      <c r="F236" s="60" t="n">
        <f aca="false">Curves!E11</f>
        <v>0.954899</v>
      </c>
      <c r="G236" s="60" t="n">
        <f aca="false">Curves!E12</f>
        <v>0.967393</v>
      </c>
      <c r="H236" s="60" t="n">
        <f aca="false">Curves!E13</f>
        <v>0.960645</v>
      </c>
      <c r="I236" s="62" t="n">
        <f aca="false">NPV_Engine!$B$4*B236*(C236/NPV_Engine!$B$8)*(1+0.5*(D236-NPV_Engine!$B$13))*(AVERAGE(E236,F236,G236)/B236)*(H236/NPV_Engine!$B$12)</f>
        <v>9619124.2483814</v>
      </c>
    </row>
    <row r="237" customFormat="false" ht="15" hidden="false" customHeight="false" outlineLevel="0" collapsed="false">
      <c r="A237" s="63" t="s">
        <v>122</v>
      </c>
      <c r="B237" s="64" t="n">
        <f aca="false">Curves_Current!Q47</f>
        <v>0.956088729271246</v>
      </c>
      <c r="C237" s="60" t="n">
        <f aca="false">Curves!E9</f>
        <v>0.96933</v>
      </c>
      <c r="D237" s="65" t="n">
        <f aca="false">SABR_Current!AT97</f>
        <v>0.40490082175243</v>
      </c>
      <c r="E237" s="60" t="n">
        <f aca="false">Curves!E10</f>
        <v>0.958726</v>
      </c>
      <c r="F237" s="60" t="n">
        <f aca="false">Curves!E11</f>
        <v>0.954899</v>
      </c>
      <c r="G237" s="60" t="n">
        <f aca="false">Curves!E12</f>
        <v>0.967393</v>
      </c>
      <c r="H237" s="60" t="n">
        <f aca="false">Curves!E13</f>
        <v>0.960645</v>
      </c>
      <c r="I237" s="62" t="n">
        <f aca="false">NPV_Engine!$B$4*B237*(C237/NPV_Engine!$B$8)*(1+0.5*(D237-NPV_Engine!$B$13))*(AVERAGE(E237,F237,G237)/B237)*(H237/NPV_Engine!$B$12)</f>
        <v>9627971.78855818</v>
      </c>
    </row>
    <row r="238" customFormat="false" ht="15" hidden="false" customHeight="false" outlineLevel="0" collapsed="false">
      <c r="A238" s="63" t="s">
        <v>123</v>
      </c>
      <c r="B238" s="64" t="n">
        <f aca="false">Curves_Current!Q55</f>
        <v>0.955804981192856</v>
      </c>
      <c r="C238" s="60" t="n">
        <f aca="false">Curves!E9</f>
        <v>0.96933</v>
      </c>
      <c r="D238" s="65" t="n">
        <f aca="false">SABR_Current!AT111</f>
        <v>0.403945427249027</v>
      </c>
      <c r="E238" s="60" t="n">
        <f aca="false">Curves!E10</f>
        <v>0.958726</v>
      </c>
      <c r="F238" s="60" t="n">
        <f aca="false">Curves!E11</f>
        <v>0.954899</v>
      </c>
      <c r="G238" s="60" t="n">
        <f aca="false">Curves!E12</f>
        <v>0.967393</v>
      </c>
      <c r="H238" s="60" t="n">
        <f aca="false">Curves!E13</f>
        <v>0.960645</v>
      </c>
      <c r="I238" s="62" t="n">
        <f aca="false">NPV_Engine!$B$4*B238*(C238/NPV_Engine!$B$8)*(1+0.5*(D238-NPV_Engine!$B$13))*(AVERAGE(E238,F238,G238)/B238)*(H238/NPV_Engine!$B$12)</f>
        <v>9623384.27395584</v>
      </c>
    </row>
    <row r="239" customFormat="false" ht="15" hidden="false" customHeight="false" outlineLevel="0" collapsed="false">
      <c r="A239" s="63" t="s">
        <v>124</v>
      </c>
      <c r="B239" s="64" t="n">
        <f aca="false">Curves_Current!Q63</f>
        <v>0.9557345543552</v>
      </c>
      <c r="C239" s="60" t="n">
        <f aca="false">Curves!E9</f>
        <v>0.96933</v>
      </c>
      <c r="D239" s="65" t="n">
        <f aca="false">SABR_Current!AT125</f>
        <v>0.405378502381195</v>
      </c>
      <c r="E239" s="60" t="n">
        <f aca="false">Curves!E10</f>
        <v>0.958726</v>
      </c>
      <c r="F239" s="60" t="n">
        <f aca="false">Curves!E11</f>
        <v>0.954899</v>
      </c>
      <c r="G239" s="60" t="n">
        <f aca="false">Curves!E12</f>
        <v>0.967393</v>
      </c>
      <c r="H239" s="60" t="n">
        <f aca="false">Curves!E13</f>
        <v>0.960645</v>
      </c>
      <c r="I239" s="62" t="n">
        <f aca="false">NPV_Engine!$B$4*B239*(C239/NPV_Engine!$B$8)*(1+0.5*(D239-NPV_Engine!$B$13))*(AVERAGE(E239,F239,G239)/B239)*(H239/NPV_Engine!$B$12)</f>
        <v>9630265.46604105</v>
      </c>
    </row>
    <row r="240" customFormat="false" ht="15" hidden="false" customHeight="false" outlineLevel="0" collapsed="false">
      <c r="A240" s="63" t="s">
        <v>125</v>
      </c>
      <c r="B240" s="64" t="n">
        <f aca="false">Curves_Current!Q71</f>
        <v>0.956877760102935</v>
      </c>
      <c r="C240" s="60" t="n">
        <f aca="false">Curves!E9</f>
        <v>0.96933</v>
      </c>
      <c r="D240" s="65" t="n">
        <f aca="false">SABR_Current!AT139</f>
        <v>0.406060884055627</v>
      </c>
      <c r="E240" s="60" t="n">
        <f aca="false">Curves!E10</f>
        <v>0.958726</v>
      </c>
      <c r="F240" s="60" t="n">
        <f aca="false">Curves!E11</f>
        <v>0.954899</v>
      </c>
      <c r="G240" s="60" t="n">
        <f aca="false">Curves!E12</f>
        <v>0.967393</v>
      </c>
      <c r="H240" s="60" t="n">
        <f aca="false">Curves!E13</f>
        <v>0.960645</v>
      </c>
      <c r="I240" s="62" t="n">
        <f aca="false">NPV_Engine!$B$4*B240*(C240/NPV_Engine!$B$8)*(1+0.5*(D240-NPV_Engine!$B$13))*(AVERAGE(E240,F240,G240)/B240)*(H240/NPV_Engine!$B$12)</f>
        <v>9633542.05585257</v>
      </c>
    </row>
    <row r="241" customFormat="false" ht="15" hidden="false" customHeight="false" outlineLevel="0" collapsed="false">
      <c r="A241" s="63" t="s">
        <v>126</v>
      </c>
      <c r="B241" s="64" t="n">
        <f aca="false">Curves_Current!Q79</f>
        <v>0.955367578394252</v>
      </c>
      <c r="C241" s="60" t="n">
        <f aca="false">Curves!E9</f>
        <v>0.96933</v>
      </c>
      <c r="D241" s="65" t="n">
        <f aca="false">SABR_Current!AT153</f>
        <v>0.405514980525381</v>
      </c>
      <c r="E241" s="60" t="n">
        <f aca="false">Curves!E10</f>
        <v>0.958726</v>
      </c>
      <c r="F241" s="60" t="n">
        <f aca="false">Curves!E11</f>
        <v>0.954899</v>
      </c>
      <c r="G241" s="60" t="n">
        <f aca="false">Curves!E12</f>
        <v>0.967393</v>
      </c>
      <c r="H241" s="60" t="n">
        <f aca="false">Curves!E13</f>
        <v>0.960645</v>
      </c>
      <c r="I241" s="62" t="n">
        <f aca="false">NPV_Engine!$B$4*B241*(C241/NPV_Engine!$B$8)*(1+0.5*(D241-NPV_Engine!$B$13))*(AVERAGE(E241,F241,G241)/B241)*(H241/NPV_Engine!$B$12)</f>
        <v>9630920.79269106</v>
      </c>
    </row>
    <row r="244" customFormat="false" ht="15" hidden="false" customHeight="false" outlineLevel="0" collapsed="false">
      <c r="A244" s="66" t="s">
        <v>293</v>
      </c>
      <c r="B244" s="66"/>
      <c r="C244" s="66"/>
      <c r="D244" s="66"/>
      <c r="E244" s="66"/>
      <c r="F244" s="66"/>
      <c r="G244" s="66"/>
      <c r="H244" s="66"/>
      <c r="I244" s="66"/>
      <c r="J244" s="58" t="s">
        <v>275</v>
      </c>
    </row>
    <row r="245" customFormat="false" ht="39.55" hidden="false" customHeight="false" outlineLevel="0" collapsed="false">
      <c r="A245" s="22" t="s">
        <v>179</v>
      </c>
      <c r="B245" s="22" t="s">
        <v>180</v>
      </c>
      <c r="C245" s="22" t="s">
        <v>181</v>
      </c>
      <c r="D245" s="22" t="s">
        <v>182</v>
      </c>
      <c r="E245" s="22" t="s">
        <v>183</v>
      </c>
      <c r="F245" s="22" t="s">
        <v>184</v>
      </c>
      <c r="G245" s="22" t="s">
        <v>185</v>
      </c>
      <c r="H245" s="22" t="s">
        <v>186</v>
      </c>
      <c r="I245" s="22" t="s">
        <v>187</v>
      </c>
    </row>
    <row r="246" customFormat="false" ht="15" hidden="false" customHeight="false" outlineLevel="0" collapsed="false">
      <c r="A246" s="59" t="s">
        <v>188</v>
      </c>
      <c r="B246" s="60" t="n">
        <f aca="false">Curves!E8</f>
        <v>0.957768</v>
      </c>
      <c r="C246" s="60" t="n">
        <f aca="false">Curves!E9</f>
        <v>0.96933</v>
      </c>
      <c r="D246" s="61" t="n">
        <f aca="false">SABR!AT10</f>
        <v>0.39978211956629</v>
      </c>
      <c r="E246" s="60" t="n">
        <f aca="false">Curves!E10</f>
        <v>0.958726</v>
      </c>
      <c r="F246" s="60" t="n">
        <f aca="false">Curves!E11</f>
        <v>0.954899</v>
      </c>
      <c r="G246" s="60" t="n">
        <f aca="false">Curves!E12</f>
        <v>0.967393</v>
      </c>
      <c r="H246" s="60" t="n">
        <f aca="false">Curves!E13</f>
        <v>0.960645</v>
      </c>
      <c r="I246" s="62" t="n">
        <f aca="false">NPV_Engine!$B$4*B246*(C246/NPV_Engine!$B$8)*(1+0.5*(D246-NPV_Engine!$B$13))*(AVERAGE(E246,F246,G246)/B246)*(H246/NPV_Engine!$B$12)</f>
        <v>9603393.33333333</v>
      </c>
    </row>
    <row r="247" customFormat="false" ht="15" hidden="false" customHeight="false" outlineLevel="0" collapsed="false">
      <c r="A247" s="63" t="s">
        <v>117</v>
      </c>
      <c r="B247" s="60" t="n">
        <f aca="false">Curves!E8</f>
        <v>0.957768</v>
      </c>
      <c r="C247" s="60" t="n">
        <f aca="false">Curves!E9</f>
        <v>0.96933</v>
      </c>
      <c r="D247" s="65" t="n">
        <f aca="false">SABR_Current!AT27</f>
        <v>0.401693250530639</v>
      </c>
      <c r="E247" s="60" t="n">
        <f aca="false">Curves!E10</f>
        <v>0.958726</v>
      </c>
      <c r="F247" s="60" t="n">
        <f aca="false">Curves!E11</f>
        <v>0.954899</v>
      </c>
      <c r="G247" s="60" t="n">
        <f aca="false">Curves!E12</f>
        <v>0.967393</v>
      </c>
      <c r="H247" s="60" t="n">
        <f aca="false">Curves!E13</f>
        <v>0.960645</v>
      </c>
      <c r="I247" s="62" t="n">
        <f aca="false">NPV_Engine!$B$4*B247*(C247/NPV_Engine!$B$8)*(1+0.5*(D247-NPV_Engine!$B$13))*(AVERAGE(E247,F247,G247)/B247)*(H247/NPV_Engine!$B$12)</f>
        <v>9612570.00451442</v>
      </c>
    </row>
    <row r="248" customFormat="false" ht="15" hidden="false" customHeight="false" outlineLevel="0" collapsed="false">
      <c r="A248" s="63" t="s">
        <v>118</v>
      </c>
      <c r="B248" s="60" t="n">
        <f aca="false">Curves!E8</f>
        <v>0.957768</v>
      </c>
      <c r="C248" s="60" t="n">
        <f aca="false">Curves!E9</f>
        <v>0.96933</v>
      </c>
      <c r="D248" s="65" t="n">
        <f aca="false">SABR_Current!AT41</f>
        <v>0.401488494979835</v>
      </c>
      <c r="E248" s="60" t="n">
        <f aca="false">Curves!E10</f>
        <v>0.958726</v>
      </c>
      <c r="F248" s="60" t="n">
        <f aca="false">Curves!E11</f>
        <v>0.954899</v>
      </c>
      <c r="G248" s="60" t="n">
        <f aca="false">Curves!E12</f>
        <v>0.967393</v>
      </c>
      <c r="H248" s="60" t="n">
        <f aca="false">Curves!E13</f>
        <v>0.960645</v>
      </c>
      <c r="I248" s="62" t="n">
        <f aca="false">NPV_Engine!$B$4*B248*(C248/NPV_Engine!$B$8)*(1+0.5*(D248-NPV_Engine!$B$13))*(AVERAGE(E248,F248,G248)/B248)*(H248/NPV_Engine!$B$12)</f>
        <v>9611586.83046863</v>
      </c>
    </row>
    <row r="249" customFormat="false" ht="15" hidden="false" customHeight="false" outlineLevel="0" collapsed="false">
      <c r="A249" s="63" t="s">
        <v>119</v>
      </c>
      <c r="B249" s="60" t="n">
        <f aca="false">Curves!E8</f>
        <v>0.957768</v>
      </c>
      <c r="C249" s="60" t="n">
        <f aca="false">Curves!E9</f>
        <v>0.96933</v>
      </c>
      <c r="D249" s="65" t="n">
        <f aca="false">SABR_Current!AT55</f>
        <v>0.401966254765439</v>
      </c>
      <c r="E249" s="60" t="n">
        <f aca="false">Curves!E10</f>
        <v>0.958726</v>
      </c>
      <c r="F249" s="60" t="n">
        <f aca="false">Curves!E11</f>
        <v>0.954899</v>
      </c>
      <c r="G249" s="60" t="n">
        <f aca="false">Curves!E12</f>
        <v>0.967393</v>
      </c>
      <c r="H249" s="60" t="n">
        <f aca="false">Curves!E13</f>
        <v>0.960645</v>
      </c>
      <c r="I249" s="62" t="n">
        <f aca="false">NPV_Engine!$B$4*B249*(C249/NPV_Engine!$B$8)*(1+0.5*(D249-NPV_Engine!$B$13))*(AVERAGE(E249,F249,G249)/B249)*(H249/NPV_Engine!$B$12)</f>
        <v>9613880.88803864</v>
      </c>
    </row>
    <row r="250" customFormat="false" ht="15" hidden="false" customHeight="false" outlineLevel="0" collapsed="false">
      <c r="A250" s="63" t="s">
        <v>120</v>
      </c>
      <c r="B250" s="60" t="n">
        <f aca="false">Curves!E8</f>
        <v>0.957768</v>
      </c>
      <c r="C250" s="60" t="n">
        <f aca="false">Curves!E9</f>
        <v>0.96933</v>
      </c>
      <c r="D250" s="65" t="n">
        <f aca="false">SABR_Current!AT69</f>
        <v>0.403399467630506</v>
      </c>
      <c r="E250" s="60" t="n">
        <f aca="false">Curves!E10</f>
        <v>0.958726</v>
      </c>
      <c r="F250" s="60" t="n">
        <f aca="false">Curves!E11</f>
        <v>0.954899</v>
      </c>
      <c r="G250" s="60" t="n">
        <f aca="false">Curves!E12</f>
        <v>0.967393</v>
      </c>
      <c r="H250" s="60" t="n">
        <f aca="false">Curves!E13</f>
        <v>0.960645</v>
      </c>
      <c r="I250" s="62" t="n">
        <f aca="false">NPV_Engine!$B$4*B250*(C250/NPV_Engine!$B$8)*(1+0.5*(D250-NPV_Engine!$B$13))*(AVERAGE(E250,F250,G250)/B250)*(H250/NPV_Engine!$B$12)</f>
        <v>9620762.74147545</v>
      </c>
    </row>
    <row r="251" customFormat="false" ht="15" hidden="false" customHeight="false" outlineLevel="0" collapsed="false">
      <c r="A251" s="63" t="s">
        <v>121</v>
      </c>
      <c r="B251" s="60" t="n">
        <f aca="false">Curves!E8</f>
        <v>0.957768</v>
      </c>
      <c r="C251" s="60" t="n">
        <f aca="false">Curves!E9</f>
        <v>0.96933</v>
      </c>
      <c r="D251" s="65" t="n">
        <f aca="false">SABR_Current!AT83</f>
        <v>0.403058235518653</v>
      </c>
      <c r="E251" s="60" t="n">
        <f aca="false">Curves!E10</f>
        <v>0.958726</v>
      </c>
      <c r="F251" s="60" t="n">
        <f aca="false">Curves!E11</f>
        <v>0.954899</v>
      </c>
      <c r="G251" s="60" t="n">
        <f aca="false">Curves!E12</f>
        <v>0.967393</v>
      </c>
      <c r="H251" s="60" t="n">
        <f aca="false">Curves!E13</f>
        <v>0.960645</v>
      </c>
      <c r="I251" s="62" t="n">
        <f aca="false">NPV_Engine!$B$4*B251*(C251/NPV_Engine!$B$8)*(1+0.5*(D251-NPV_Engine!$B$13))*(AVERAGE(E251,F251,G251)/B251)*(H251/NPV_Engine!$B$12)</f>
        <v>9619124.24838141</v>
      </c>
    </row>
    <row r="252" customFormat="false" ht="15" hidden="false" customHeight="false" outlineLevel="0" collapsed="false">
      <c r="A252" s="63" t="s">
        <v>122</v>
      </c>
      <c r="B252" s="60" t="n">
        <f aca="false">Curves!E8</f>
        <v>0.957768</v>
      </c>
      <c r="C252" s="60" t="n">
        <f aca="false">Curves!E9</f>
        <v>0.96933</v>
      </c>
      <c r="D252" s="65" t="n">
        <f aca="false">SABR_Current!AT97</f>
        <v>0.40490082175243</v>
      </c>
      <c r="E252" s="60" t="n">
        <f aca="false">Curves!E10</f>
        <v>0.958726</v>
      </c>
      <c r="F252" s="60" t="n">
        <f aca="false">Curves!E11</f>
        <v>0.954899</v>
      </c>
      <c r="G252" s="60" t="n">
        <f aca="false">Curves!E12</f>
        <v>0.967393</v>
      </c>
      <c r="H252" s="60" t="n">
        <f aca="false">Curves!E13</f>
        <v>0.960645</v>
      </c>
      <c r="I252" s="62" t="n">
        <f aca="false">NPV_Engine!$B$4*B252*(C252/NPV_Engine!$B$8)*(1+0.5*(D252-NPV_Engine!$B$13))*(AVERAGE(E252,F252,G252)/B252)*(H252/NPV_Engine!$B$12)</f>
        <v>9627971.78855818</v>
      </c>
    </row>
    <row r="253" customFormat="false" ht="15" hidden="false" customHeight="false" outlineLevel="0" collapsed="false">
      <c r="A253" s="63" t="s">
        <v>123</v>
      </c>
      <c r="B253" s="60" t="n">
        <f aca="false">Curves!E8</f>
        <v>0.957768</v>
      </c>
      <c r="C253" s="60" t="n">
        <f aca="false">Curves!E9</f>
        <v>0.96933</v>
      </c>
      <c r="D253" s="65" t="n">
        <f aca="false">SABR_Current!AT111</f>
        <v>0.403945427249027</v>
      </c>
      <c r="E253" s="60" t="n">
        <f aca="false">Curves!E10</f>
        <v>0.958726</v>
      </c>
      <c r="F253" s="60" t="n">
        <f aca="false">Curves!E11</f>
        <v>0.954899</v>
      </c>
      <c r="G253" s="60" t="n">
        <f aca="false">Curves!E12</f>
        <v>0.967393</v>
      </c>
      <c r="H253" s="60" t="n">
        <f aca="false">Curves!E13</f>
        <v>0.960645</v>
      </c>
      <c r="I253" s="62" t="n">
        <f aca="false">NPV_Engine!$B$4*B253*(C253/NPV_Engine!$B$8)*(1+0.5*(D253-NPV_Engine!$B$13))*(AVERAGE(E253,F253,G253)/B253)*(H253/NPV_Engine!$B$12)</f>
        <v>9623384.27395584</v>
      </c>
    </row>
    <row r="254" customFormat="false" ht="15" hidden="false" customHeight="false" outlineLevel="0" collapsed="false">
      <c r="A254" s="63" t="s">
        <v>124</v>
      </c>
      <c r="B254" s="60" t="n">
        <f aca="false">Curves!E8</f>
        <v>0.957768</v>
      </c>
      <c r="C254" s="60" t="n">
        <f aca="false">Curves!E9</f>
        <v>0.96933</v>
      </c>
      <c r="D254" s="65" t="n">
        <f aca="false">SABR_Current!AT125</f>
        <v>0.405378502381195</v>
      </c>
      <c r="E254" s="60" t="n">
        <f aca="false">Curves!E10</f>
        <v>0.958726</v>
      </c>
      <c r="F254" s="60" t="n">
        <f aca="false">Curves!E11</f>
        <v>0.954899</v>
      </c>
      <c r="G254" s="60" t="n">
        <f aca="false">Curves!E12</f>
        <v>0.967393</v>
      </c>
      <c r="H254" s="60" t="n">
        <f aca="false">Curves!E13</f>
        <v>0.960645</v>
      </c>
      <c r="I254" s="62" t="n">
        <f aca="false">NPV_Engine!$B$4*B254*(C254/NPV_Engine!$B$8)*(1+0.5*(D254-NPV_Engine!$B$13))*(AVERAGE(E254,F254,G254)/B254)*(H254/NPV_Engine!$B$12)</f>
        <v>9630265.46604105</v>
      </c>
    </row>
    <row r="255" customFormat="false" ht="15" hidden="false" customHeight="false" outlineLevel="0" collapsed="false">
      <c r="A255" s="63" t="s">
        <v>125</v>
      </c>
      <c r="B255" s="60" t="n">
        <f aca="false">Curves!E8</f>
        <v>0.957768</v>
      </c>
      <c r="C255" s="60" t="n">
        <f aca="false">Curves!E9</f>
        <v>0.96933</v>
      </c>
      <c r="D255" s="65" t="n">
        <f aca="false">SABR_Current!AT139</f>
        <v>0.406060884055627</v>
      </c>
      <c r="E255" s="60" t="n">
        <f aca="false">Curves!E10</f>
        <v>0.958726</v>
      </c>
      <c r="F255" s="60" t="n">
        <f aca="false">Curves!E11</f>
        <v>0.954899</v>
      </c>
      <c r="G255" s="60" t="n">
        <f aca="false">Curves!E12</f>
        <v>0.967393</v>
      </c>
      <c r="H255" s="60" t="n">
        <f aca="false">Curves!E13</f>
        <v>0.960645</v>
      </c>
      <c r="I255" s="62" t="n">
        <f aca="false">NPV_Engine!$B$4*B255*(C255/NPV_Engine!$B$8)*(1+0.5*(D255-NPV_Engine!$B$13))*(AVERAGE(E255,F255,G255)/B255)*(H255/NPV_Engine!$B$12)</f>
        <v>9633542.05585257</v>
      </c>
    </row>
    <row r="256" customFormat="false" ht="15" hidden="false" customHeight="false" outlineLevel="0" collapsed="false">
      <c r="A256" s="63" t="s">
        <v>126</v>
      </c>
      <c r="B256" s="60" t="n">
        <f aca="false">Curves!E8</f>
        <v>0.957768</v>
      </c>
      <c r="C256" s="60" t="n">
        <f aca="false">Curves!E9</f>
        <v>0.96933</v>
      </c>
      <c r="D256" s="65" t="n">
        <f aca="false">SABR_Current!AT153</f>
        <v>0.405514980525381</v>
      </c>
      <c r="E256" s="60" t="n">
        <f aca="false">Curves!E10</f>
        <v>0.958726</v>
      </c>
      <c r="F256" s="60" t="n">
        <f aca="false">Curves!E11</f>
        <v>0.954899</v>
      </c>
      <c r="G256" s="60" t="n">
        <f aca="false">Curves!E12</f>
        <v>0.967393</v>
      </c>
      <c r="H256" s="60" t="n">
        <f aca="false">Curves!E13</f>
        <v>0.960645</v>
      </c>
      <c r="I256" s="62" t="n">
        <f aca="false">NPV_Engine!$B$4*B256*(C256/NPV_Engine!$B$8)*(1+0.5*(D256-NPV_Engine!$B$13))*(AVERAGE(E256,F256,G256)/B256)*(H256/NPV_Engine!$B$12)</f>
        <v>9630920.79269106</v>
      </c>
    </row>
    <row r="259" customFormat="false" ht="15" hidden="false" customHeight="false" outlineLevel="0" collapsed="false">
      <c r="A259" s="66" t="s">
        <v>294</v>
      </c>
      <c r="B259" s="66"/>
      <c r="C259" s="66"/>
      <c r="D259" s="66"/>
      <c r="E259" s="66"/>
      <c r="F259" s="66"/>
      <c r="G259" s="66"/>
      <c r="H259" s="66"/>
      <c r="I259" s="66"/>
      <c r="J259" s="58" t="s">
        <v>275</v>
      </c>
    </row>
    <row r="260" customFormat="false" ht="39.55" hidden="false" customHeight="false" outlineLevel="0" collapsed="false">
      <c r="A260" s="22" t="s">
        <v>179</v>
      </c>
      <c r="B260" s="22" t="s">
        <v>180</v>
      </c>
      <c r="C260" s="22" t="s">
        <v>181</v>
      </c>
      <c r="D260" s="22" t="s">
        <v>182</v>
      </c>
      <c r="E260" s="22" t="s">
        <v>183</v>
      </c>
      <c r="F260" s="22" t="s">
        <v>184</v>
      </c>
      <c r="G260" s="22" t="s">
        <v>185</v>
      </c>
      <c r="H260" s="22" t="s">
        <v>186</v>
      </c>
      <c r="I260" s="22" t="s">
        <v>187</v>
      </c>
    </row>
    <row r="261" customFormat="false" ht="15" hidden="false" customHeight="false" outlineLevel="0" collapsed="false">
      <c r="A261" s="59" t="s">
        <v>188</v>
      </c>
      <c r="B261" s="60" t="n">
        <f aca="false">Curves!E8</f>
        <v>0.957768</v>
      </c>
      <c r="C261" s="60" t="n">
        <f aca="false">Curves!E9</f>
        <v>0.96933</v>
      </c>
      <c r="D261" s="61" t="n">
        <f aca="false">SABR!AT10</f>
        <v>0.39978211956629</v>
      </c>
      <c r="E261" s="60" t="n">
        <f aca="false">Curves!E10</f>
        <v>0.958726</v>
      </c>
      <c r="F261" s="60" t="n">
        <f aca="false">Curves!E11</f>
        <v>0.954899</v>
      </c>
      <c r="G261" s="60" t="n">
        <f aca="false">Curves!E12</f>
        <v>0.967393</v>
      </c>
      <c r="H261" s="60" t="n">
        <f aca="false">Curves!E13</f>
        <v>0.960645</v>
      </c>
      <c r="I261" s="62" t="n">
        <f aca="false">NPV_Engine!$B$4*B261*(C261/NPV_Engine!$B$8)*(1+0.5*(D261-NPV_Engine!$B$13))*(AVERAGE(E261,F261,G261)/B261)*(H261/NPV_Engine!$B$12)</f>
        <v>9603393.33333333</v>
      </c>
    </row>
    <row r="262" customFormat="false" ht="15" hidden="false" customHeight="false" outlineLevel="0" collapsed="false">
      <c r="A262" s="63" t="s">
        <v>117</v>
      </c>
      <c r="B262" s="60" t="n">
        <f aca="false">Curves!E8</f>
        <v>0.957768</v>
      </c>
      <c r="C262" s="60" t="n">
        <f aca="false">Curves!E9</f>
        <v>0.96933</v>
      </c>
      <c r="D262" s="65" t="n">
        <f aca="false">SABR_Current!AT27</f>
        <v>0.401693250530639</v>
      </c>
      <c r="E262" s="60" t="n">
        <f aca="false">Curves!E10</f>
        <v>0.958726</v>
      </c>
      <c r="F262" s="60" t="n">
        <f aca="false">Curves!E11</f>
        <v>0.954899</v>
      </c>
      <c r="G262" s="60" t="n">
        <f aca="false">Curves!E12</f>
        <v>0.967393</v>
      </c>
      <c r="H262" s="60" t="n">
        <f aca="false">Curves!E13</f>
        <v>0.960645</v>
      </c>
      <c r="I262" s="62" t="n">
        <f aca="false">NPV_Engine!$B$4*B262*(C262/NPV_Engine!$B$8)*(1+0.5*(D262-NPV_Engine!$B$13))*(AVERAGE(E262,F262,G262)/B262)*(H262/NPV_Engine!$B$12)</f>
        <v>9612570.00451442</v>
      </c>
    </row>
    <row r="263" customFormat="false" ht="15" hidden="false" customHeight="false" outlineLevel="0" collapsed="false">
      <c r="A263" s="63" t="s">
        <v>118</v>
      </c>
      <c r="B263" s="60" t="n">
        <f aca="false">Curves!E8</f>
        <v>0.957768</v>
      </c>
      <c r="C263" s="60" t="n">
        <f aca="false">Curves!E9</f>
        <v>0.96933</v>
      </c>
      <c r="D263" s="65" t="n">
        <f aca="false">SABR_Current!AT41</f>
        <v>0.401488494979835</v>
      </c>
      <c r="E263" s="60" t="n">
        <f aca="false">Curves!E10</f>
        <v>0.958726</v>
      </c>
      <c r="F263" s="60" t="n">
        <f aca="false">Curves!E11</f>
        <v>0.954899</v>
      </c>
      <c r="G263" s="60" t="n">
        <f aca="false">Curves!E12</f>
        <v>0.967393</v>
      </c>
      <c r="H263" s="60" t="n">
        <f aca="false">Curves!E13</f>
        <v>0.960645</v>
      </c>
      <c r="I263" s="62" t="n">
        <f aca="false">NPV_Engine!$B$4*B263*(C263/NPV_Engine!$B$8)*(1+0.5*(D263-NPV_Engine!$B$13))*(AVERAGE(E263,F263,G263)/B263)*(H263/NPV_Engine!$B$12)</f>
        <v>9611586.83046863</v>
      </c>
    </row>
    <row r="264" customFormat="false" ht="15" hidden="false" customHeight="false" outlineLevel="0" collapsed="false">
      <c r="A264" s="63" t="s">
        <v>119</v>
      </c>
      <c r="B264" s="60" t="n">
        <f aca="false">Curves!E8</f>
        <v>0.957768</v>
      </c>
      <c r="C264" s="60" t="n">
        <f aca="false">Curves!E9</f>
        <v>0.96933</v>
      </c>
      <c r="D264" s="65" t="n">
        <f aca="false">SABR_Current!AT55</f>
        <v>0.401966254765439</v>
      </c>
      <c r="E264" s="60" t="n">
        <f aca="false">Curves!E10</f>
        <v>0.958726</v>
      </c>
      <c r="F264" s="60" t="n">
        <f aca="false">Curves!E11</f>
        <v>0.954899</v>
      </c>
      <c r="G264" s="60" t="n">
        <f aca="false">Curves!E12</f>
        <v>0.967393</v>
      </c>
      <c r="H264" s="60" t="n">
        <f aca="false">Curves!E13</f>
        <v>0.960645</v>
      </c>
      <c r="I264" s="62" t="n">
        <f aca="false">NPV_Engine!$B$4*B264*(C264/NPV_Engine!$B$8)*(1+0.5*(D264-NPV_Engine!$B$13))*(AVERAGE(E264,F264,G264)/B264)*(H264/NPV_Engine!$B$12)</f>
        <v>9613880.88803864</v>
      </c>
    </row>
    <row r="265" customFormat="false" ht="15" hidden="false" customHeight="false" outlineLevel="0" collapsed="false">
      <c r="A265" s="63" t="s">
        <v>120</v>
      </c>
      <c r="B265" s="60" t="n">
        <f aca="false">Curves!E8</f>
        <v>0.957768</v>
      </c>
      <c r="C265" s="60" t="n">
        <f aca="false">Curves!E9</f>
        <v>0.96933</v>
      </c>
      <c r="D265" s="65" t="n">
        <f aca="false">SABR_Current!AT69</f>
        <v>0.403399467630506</v>
      </c>
      <c r="E265" s="60" t="n">
        <f aca="false">Curves!E10</f>
        <v>0.958726</v>
      </c>
      <c r="F265" s="60" t="n">
        <f aca="false">Curves!E11</f>
        <v>0.954899</v>
      </c>
      <c r="G265" s="60" t="n">
        <f aca="false">Curves!E12</f>
        <v>0.967393</v>
      </c>
      <c r="H265" s="60" t="n">
        <f aca="false">Curves!E13</f>
        <v>0.960645</v>
      </c>
      <c r="I265" s="62" t="n">
        <f aca="false">NPV_Engine!$B$4*B265*(C265/NPV_Engine!$B$8)*(1+0.5*(D265-NPV_Engine!$B$13))*(AVERAGE(E265,F265,G265)/B265)*(H265/NPV_Engine!$B$12)</f>
        <v>9620762.74147545</v>
      </c>
    </row>
    <row r="266" customFormat="false" ht="15" hidden="false" customHeight="false" outlineLevel="0" collapsed="false">
      <c r="A266" s="63" t="s">
        <v>121</v>
      </c>
      <c r="B266" s="60" t="n">
        <f aca="false">Curves!E8</f>
        <v>0.957768</v>
      </c>
      <c r="C266" s="60" t="n">
        <f aca="false">Curves!E9</f>
        <v>0.96933</v>
      </c>
      <c r="D266" s="65" t="n">
        <f aca="false">SABR_Current!AT83</f>
        <v>0.403058235518653</v>
      </c>
      <c r="E266" s="60" t="n">
        <f aca="false">Curves!E10</f>
        <v>0.958726</v>
      </c>
      <c r="F266" s="60" t="n">
        <f aca="false">Curves!E11</f>
        <v>0.954899</v>
      </c>
      <c r="G266" s="60" t="n">
        <f aca="false">Curves!E12</f>
        <v>0.967393</v>
      </c>
      <c r="H266" s="60" t="n">
        <f aca="false">Curves!E13</f>
        <v>0.960645</v>
      </c>
      <c r="I266" s="62" t="n">
        <f aca="false">NPV_Engine!$B$4*B266*(C266/NPV_Engine!$B$8)*(1+0.5*(D266-NPV_Engine!$B$13))*(AVERAGE(E266,F266,G266)/B266)*(H266/NPV_Engine!$B$12)</f>
        <v>9619124.24838141</v>
      </c>
    </row>
    <row r="267" customFormat="false" ht="15" hidden="false" customHeight="false" outlineLevel="0" collapsed="false">
      <c r="A267" s="63" t="s">
        <v>122</v>
      </c>
      <c r="B267" s="60" t="n">
        <f aca="false">Curves!E8</f>
        <v>0.957768</v>
      </c>
      <c r="C267" s="60" t="n">
        <f aca="false">Curves!E9</f>
        <v>0.96933</v>
      </c>
      <c r="D267" s="65" t="n">
        <f aca="false">SABR_Current!AT97</f>
        <v>0.40490082175243</v>
      </c>
      <c r="E267" s="60" t="n">
        <f aca="false">Curves!E10</f>
        <v>0.958726</v>
      </c>
      <c r="F267" s="60" t="n">
        <f aca="false">Curves!E11</f>
        <v>0.954899</v>
      </c>
      <c r="G267" s="60" t="n">
        <f aca="false">Curves!E12</f>
        <v>0.967393</v>
      </c>
      <c r="H267" s="60" t="n">
        <f aca="false">Curves!E13</f>
        <v>0.960645</v>
      </c>
      <c r="I267" s="62" t="n">
        <f aca="false">NPV_Engine!$B$4*B267*(C267/NPV_Engine!$B$8)*(1+0.5*(D267-NPV_Engine!$B$13))*(AVERAGE(E267,F267,G267)/B267)*(H267/NPV_Engine!$B$12)</f>
        <v>9627971.78855818</v>
      </c>
    </row>
    <row r="268" customFormat="false" ht="15" hidden="false" customHeight="false" outlineLevel="0" collapsed="false">
      <c r="A268" s="63" t="s">
        <v>123</v>
      </c>
      <c r="B268" s="60" t="n">
        <f aca="false">Curves!E8</f>
        <v>0.957768</v>
      </c>
      <c r="C268" s="60" t="n">
        <f aca="false">Curves!E9</f>
        <v>0.96933</v>
      </c>
      <c r="D268" s="65" t="n">
        <f aca="false">SABR_Current!AT111</f>
        <v>0.403945427249027</v>
      </c>
      <c r="E268" s="60" t="n">
        <f aca="false">Curves!E10</f>
        <v>0.958726</v>
      </c>
      <c r="F268" s="60" t="n">
        <f aca="false">Curves!E11</f>
        <v>0.954899</v>
      </c>
      <c r="G268" s="60" t="n">
        <f aca="false">Curves!E12</f>
        <v>0.967393</v>
      </c>
      <c r="H268" s="60" t="n">
        <f aca="false">Curves!E13</f>
        <v>0.960645</v>
      </c>
      <c r="I268" s="62" t="n">
        <f aca="false">NPV_Engine!$B$4*B268*(C268/NPV_Engine!$B$8)*(1+0.5*(D268-NPV_Engine!$B$13))*(AVERAGE(E268,F268,G268)/B268)*(H268/NPV_Engine!$B$12)</f>
        <v>9623384.27395584</v>
      </c>
    </row>
    <row r="269" customFormat="false" ht="15" hidden="false" customHeight="false" outlineLevel="0" collapsed="false">
      <c r="A269" s="63" t="s">
        <v>124</v>
      </c>
      <c r="B269" s="60" t="n">
        <f aca="false">Curves!E8</f>
        <v>0.957768</v>
      </c>
      <c r="C269" s="60" t="n">
        <f aca="false">Curves!E9</f>
        <v>0.96933</v>
      </c>
      <c r="D269" s="65" t="n">
        <f aca="false">SABR_Current!AT125</f>
        <v>0.405378502381195</v>
      </c>
      <c r="E269" s="60" t="n">
        <f aca="false">Curves!E10</f>
        <v>0.958726</v>
      </c>
      <c r="F269" s="60" t="n">
        <f aca="false">Curves!E11</f>
        <v>0.954899</v>
      </c>
      <c r="G269" s="60" t="n">
        <f aca="false">Curves!E12</f>
        <v>0.967393</v>
      </c>
      <c r="H269" s="60" t="n">
        <f aca="false">Curves!E13</f>
        <v>0.960645</v>
      </c>
      <c r="I269" s="62" t="n">
        <f aca="false">NPV_Engine!$B$4*B269*(C269/NPV_Engine!$B$8)*(1+0.5*(D269-NPV_Engine!$B$13))*(AVERAGE(E269,F269,G269)/B269)*(H269/NPV_Engine!$B$12)</f>
        <v>9630265.46604105</v>
      </c>
    </row>
    <row r="270" customFormat="false" ht="15" hidden="false" customHeight="false" outlineLevel="0" collapsed="false">
      <c r="A270" s="63" t="s">
        <v>125</v>
      </c>
      <c r="B270" s="60" t="n">
        <f aca="false">Curves!E8</f>
        <v>0.957768</v>
      </c>
      <c r="C270" s="60" t="n">
        <f aca="false">Curves!E9</f>
        <v>0.96933</v>
      </c>
      <c r="D270" s="65" t="n">
        <f aca="false">SABR_Current!AT139</f>
        <v>0.406060884055627</v>
      </c>
      <c r="E270" s="60" t="n">
        <f aca="false">Curves!E10</f>
        <v>0.958726</v>
      </c>
      <c r="F270" s="60" t="n">
        <f aca="false">Curves!E11</f>
        <v>0.954899</v>
      </c>
      <c r="G270" s="60" t="n">
        <f aca="false">Curves!E12</f>
        <v>0.967393</v>
      </c>
      <c r="H270" s="60" t="n">
        <f aca="false">Curves!E13</f>
        <v>0.960645</v>
      </c>
      <c r="I270" s="62" t="n">
        <f aca="false">NPV_Engine!$B$4*B270*(C270/NPV_Engine!$B$8)*(1+0.5*(D270-NPV_Engine!$B$13))*(AVERAGE(E270,F270,G270)/B270)*(H270/NPV_Engine!$B$12)</f>
        <v>9633542.05585257</v>
      </c>
    </row>
    <row r="271" customFormat="false" ht="15" hidden="false" customHeight="false" outlineLevel="0" collapsed="false">
      <c r="A271" s="63" t="s">
        <v>126</v>
      </c>
      <c r="B271" s="60" t="n">
        <f aca="false">Curves!E8</f>
        <v>0.957768</v>
      </c>
      <c r="C271" s="60" t="n">
        <f aca="false">Curves!E9</f>
        <v>0.96933</v>
      </c>
      <c r="D271" s="65" t="n">
        <f aca="false">SABR_Current!AT153</f>
        <v>0.405514980525381</v>
      </c>
      <c r="E271" s="60" t="n">
        <f aca="false">Curves!E10</f>
        <v>0.958726</v>
      </c>
      <c r="F271" s="60" t="n">
        <f aca="false">Curves!E11</f>
        <v>0.954899</v>
      </c>
      <c r="G271" s="60" t="n">
        <f aca="false">Curves!E12</f>
        <v>0.967393</v>
      </c>
      <c r="H271" s="60" t="n">
        <f aca="false">Curves!E13</f>
        <v>0.960645</v>
      </c>
      <c r="I271" s="62" t="n">
        <f aca="false">NPV_Engine!$B$4*B271*(C271/NPV_Engine!$B$8)*(1+0.5*(D271-NPV_Engine!$B$13))*(AVERAGE(E271,F271,G271)/B271)*(H271/NPV_Engine!$B$12)</f>
        <v>9630920.79269106</v>
      </c>
    </row>
    <row r="274" customFormat="false" ht="15" hidden="false" customHeight="false" outlineLevel="0" collapsed="false">
      <c r="A274" s="66" t="s">
        <v>295</v>
      </c>
      <c r="B274" s="66"/>
      <c r="C274" s="66"/>
      <c r="D274" s="66"/>
      <c r="E274" s="66"/>
      <c r="F274" s="66"/>
      <c r="G274" s="66"/>
      <c r="H274" s="66"/>
      <c r="I274" s="66"/>
      <c r="J274" s="58" t="s">
        <v>275</v>
      </c>
    </row>
    <row r="275" customFormat="false" ht="39.55" hidden="false" customHeight="false" outlineLevel="0" collapsed="false">
      <c r="A275" s="22" t="s">
        <v>179</v>
      </c>
      <c r="B275" s="22" t="s">
        <v>180</v>
      </c>
      <c r="C275" s="22" t="s">
        <v>181</v>
      </c>
      <c r="D275" s="22" t="s">
        <v>182</v>
      </c>
      <c r="E275" s="22" t="s">
        <v>183</v>
      </c>
      <c r="F275" s="22" t="s">
        <v>184</v>
      </c>
      <c r="G275" s="22" t="s">
        <v>185</v>
      </c>
      <c r="H275" s="22" t="s">
        <v>186</v>
      </c>
      <c r="I275" s="22" t="s">
        <v>187</v>
      </c>
    </row>
    <row r="276" customFormat="false" ht="15" hidden="false" customHeight="false" outlineLevel="0" collapsed="false">
      <c r="A276" s="59" t="s">
        <v>188</v>
      </c>
      <c r="B276" s="60" t="n">
        <f aca="false">Curves!E8</f>
        <v>0.957768</v>
      </c>
      <c r="C276" s="60" t="n">
        <f aca="false">Curves!E9</f>
        <v>0.96933</v>
      </c>
      <c r="D276" s="61" t="n">
        <f aca="false">SABR!AT10</f>
        <v>0.39978211956629</v>
      </c>
      <c r="E276" s="60" t="n">
        <f aca="false">Curves!E10</f>
        <v>0.958726</v>
      </c>
      <c r="F276" s="60" t="n">
        <f aca="false">Curves!E11</f>
        <v>0.954899</v>
      </c>
      <c r="G276" s="60" t="n">
        <f aca="false">Curves!E12</f>
        <v>0.967393</v>
      </c>
      <c r="H276" s="60" t="n">
        <f aca="false">Curves!E13</f>
        <v>0.960645</v>
      </c>
      <c r="I276" s="62" t="n">
        <f aca="false">NPV_Engine!$B$4*B276*(C276/NPV_Engine!$B$8)*(1+0.5*(D276-NPV_Engine!$B$13))*(AVERAGE(E276,F276,G276)/B276)*(H276/NPV_Engine!$B$12)</f>
        <v>9603393.33333333</v>
      </c>
    </row>
    <row r="277" customFormat="false" ht="15" hidden="false" customHeight="false" outlineLevel="0" collapsed="false">
      <c r="A277" s="63" t="s">
        <v>117</v>
      </c>
      <c r="B277" s="60" t="n">
        <f aca="false">Curves!E8</f>
        <v>0.957768</v>
      </c>
      <c r="C277" s="60" t="n">
        <f aca="false">Curves!E9</f>
        <v>0.96933</v>
      </c>
      <c r="D277" s="65" t="n">
        <f aca="false">SABR_Current!AT27</f>
        <v>0.401693250530639</v>
      </c>
      <c r="E277" s="60" t="n">
        <f aca="false">Curves!E10</f>
        <v>0.958726</v>
      </c>
      <c r="F277" s="60" t="n">
        <f aca="false">Curves!E11</f>
        <v>0.954899</v>
      </c>
      <c r="G277" s="60" t="n">
        <f aca="false">Curves!E12</f>
        <v>0.967393</v>
      </c>
      <c r="H277" s="60" t="n">
        <f aca="false">Curves!E13</f>
        <v>0.960645</v>
      </c>
      <c r="I277" s="62" t="n">
        <f aca="false">NPV_Engine!$B$4*B277*(C277/NPV_Engine!$B$8)*(1+0.5*(D277-NPV_Engine!$B$13))*(AVERAGE(E277,F277,G277)/B277)*(H277/NPV_Engine!$B$12)</f>
        <v>9612570.00451442</v>
      </c>
    </row>
    <row r="278" customFormat="false" ht="15" hidden="false" customHeight="false" outlineLevel="0" collapsed="false">
      <c r="A278" s="63" t="s">
        <v>118</v>
      </c>
      <c r="B278" s="60" t="n">
        <f aca="false">Curves!E8</f>
        <v>0.957768</v>
      </c>
      <c r="C278" s="60" t="n">
        <f aca="false">Curves!E9</f>
        <v>0.96933</v>
      </c>
      <c r="D278" s="65" t="n">
        <f aca="false">SABR_Current!AT41</f>
        <v>0.401488494979835</v>
      </c>
      <c r="E278" s="60" t="n">
        <f aca="false">Curves!E10</f>
        <v>0.958726</v>
      </c>
      <c r="F278" s="60" t="n">
        <f aca="false">Curves!E11</f>
        <v>0.954899</v>
      </c>
      <c r="G278" s="60" t="n">
        <f aca="false">Curves!E12</f>
        <v>0.967393</v>
      </c>
      <c r="H278" s="60" t="n">
        <f aca="false">Curves!E13</f>
        <v>0.960645</v>
      </c>
      <c r="I278" s="62" t="n">
        <f aca="false">NPV_Engine!$B$4*B278*(C278/NPV_Engine!$B$8)*(1+0.5*(D278-NPV_Engine!$B$13))*(AVERAGE(E278,F278,G278)/B278)*(H278/NPV_Engine!$B$12)</f>
        <v>9611586.83046863</v>
      </c>
    </row>
    <row r="279" customFormat="false" ht="15" hidden="false" customHeight="false" outlineLevel="0" collapsed="false">
      <c r="A279" s="63" t="s">
        <v>119</v>
      </c>
      <c r="B279" s="60" t="n">
        <f aca="false">Curves!E8</f>
        <v>0.957768</v>
      </c>
      <c r="C279" s="60" t="n">
        <f aca="false">Curves!E9</f>
        <v>0.96933</v>
      </c>
      <c r="D279" s="65" t="n">
        <f aca="false">SABR_Current!AT55</f>
        <v>0.401966254765439</v>
      </c>
      <c r="E279" s="60" t="n">
        <f aca="false">Curves!E10</f>
        <v>0.958726</v>
      </c>
      <c r="F279" s="60" t="n">
        <f aca="false">Curves!E11</f>
        <v>0.954899</v>
      </c>
      <c r="G279" s="60" t="n">
        <f aca="false">Curves!E12</f>
        <v>0.967393</v>
      </c>
      <c r="H279" s="60" t="n">
        <f aca="false">Curves!E13</f>
        <v>0.960645</v>
      </c>
      <c r="I279" s="62" t="n">
        <f aca="false">NPV_Engine!$B$4*B279*(C279/NPV_Engine!$B$8)*(1+0.5*(D279-NPV_Engine!$B$13))*(AVERAGE(E279,F279,G279)/B279)*(H279/NPV_Engine!$B$12)</f>
        <v>9613880.88803864</v>
      </c>
    </row>
    <row r="280" customFormat="false" ht="15" hidden="false" customHeight="false" outlineLevel="0" collapsed="false">
      <c r="A280" s="63" t="s">
        <v>120</v>
      </c>
      <c r="B280" s="60" t="n">
        <f aca="false">Curves!E8</f>
        <v>0.957768</v>
      </c>
      <c r="C280" s="60" t="n">
        <f aca="false">Curves!E9</f>
        <v>0.96933</v>
      </c>
      <c r="D280" s="65" t="n">
        <f aca="false">SABR_Current!AT69</f>
        <v>0.403399467630506</v>
      </c>
      <c r="E280" s="60" t="n">
        <f aca="false">Curves!E10</f>
        <v>0.958726</v>
      </c>
      <c r="F280" s="60" t="n">
        <f aca="false">Curves!E11</f>
        <v>0.954899</v>
      </c>
      <c r="G280" s="60" t="n">
        <f aca="false">Curves!E12</f>
        <v>0.967393</v>
      </c>
      <c r="H280" s="60" t="n">
        <f aca="false">Curves!E13</f>
        <v>0.960645</v>
      </c>
      <c r="I280" s="62" t="n">
        <f aca="false">NPV_Engine!$B$4*B280*(C280/NPV_Engine!$B$8)*(1+0.5*(D280-NPV_Engine!$B$13))*(AVERAGE(E280,F280,G280)/B280)*(H280/NPV_Engine!$B$12)</f>
        <v>9620762.74147545</v>
      </c>
    </row>
    <row r="281" customFormat="false" ht="15" hidden="false" customHeight="false" outlineLevel="0" collapsed="false">
      <c r="A281" s="63" t="s">
        <v>121</v>
      </c>
      <c r="B281" s="60" t="n">
        <f aca="false">Curves!E8</f>
        <v>0.957768</v>
      </c>
      <c r="C281" s="60" t="n">
        <f aca="false">Curves!E9</f>
        <v>0.96933</v>
      </c>
      <c r="D281" s="65" t="n">
        <f aca="false">SABR_Current!AT83</f>
        <v>0.403058235518653</v>
      </c>
      <c r="E281" s="60" t="n">
        <f aca="false">Curves!E10</f>
        <v>0.958726</v>
      </c>
      <c r="F281" s="60" t="n">
        <f aca="false">Curves!E11</f>
        <v>0.954899</v>
      </c>
      <c r="G281" s="60" t="n">
        <f aca="false">Curves!E12</f>
        <v>0.967393</v>
      </c>
      <c r="H281" s="60" t="n">
        <f aca="false">Curves!E13</f>
        <v>0.960645</v>
      </c>
      <c r="I281" s="62" t="n">
        <f aca="false">NPV_Engine!$B$4*B281*(C281/NPV_Engine!$B$8)*(1+0.5*(D281-NPV_Engine!$B$13))*(AVERAGE(E281,F281,G281)/B281)*(H281/NPV_Engine!$B$12)</f>
        <v>9619124.24838141</v>
      </c>
    </row>
    <row r="282" customFormat="false" ht="15" hidden="false" customHeight="false" outlineLevel="0" collapsed="false">
      <c r="A282" s="63" t="s">
        <v>122</v>
      </c>
      <c r="B282" s="60" t="n">
        <f aca="false">Curves!E8</f>
        <v>0.957768</v>
      </c>
      <c r="C282" s="60" t="n">
        <f aca="false">Curves!E9</f>
        <v>0.96933</v>
      </c>
      <c r="D282" s="65" t="n">
        <f aca="false">SABR_Current!AT97</f>
        <v>0.40490082175243</v>
      </c>
      <c r="E282" s="60" t="n">
        <f aca="false">Curves!E10</f>
        <v>0.958726</v>
      </c>
      <c r="F282" s="60" t="n">
        <f aca="false">Curves!E11</f>
        <v>0.954899</v>
      </c>
      <c r="G282" s="60" t="n">
        <f aca="false">Curves!E12</f>
        <v>0.967393</v>
      </c>
      <c r="H282" s="60" t="n">
        <f aca="false">Curves!E13</f>
        <v>0.960645</v>
      </c>
      <c r="I282" s="62" t="n">
        <f aca="false">NPV_Engine!$B$4*B282*(C282/NPV_Engine!$B$8)*(1+0.5*(D282-NPV_Engine!$B$13))*(AVERAGE(E282,F282,G282)/B282)*(H282/NPV_Engine!$B$12)</f>
        <v>9627971.78855818</v>
      </c>
    </row>
    <row r="283" customFormat="false" ht="15" hidden="false" customHeight="false" outlineLevel="0" collapsed="false">
      <c r="A283" s="63" t="s">
        <v>123</v>
      </c>
      <c r="B283" s="60" t="n">
        <f aca="false">Curves!E8</f>
        <v>0.957768</v>
      </c>
      <c r="C283" s="60" t="n">
        <f aca="false">Curves!E9</f>
        <v>0.96933</v>
      </c>
      <c r="D283" s="65" t="n">
        <f aca="false">SABR_Current!AT111</f>
        <v>0.403945427249027</v>
      </c>
      <c r="E283" s="60" t="n">
        <f aca="false">Curves!E10</f>
        <v>0.958726</v>
      </c>
      <c r="F283" s="60" t="n">
        <f aca="false">Curves!E11</f>
        <v>0.954899</v>
      </c>
      <c r="G283" s="60" t="n">
        <f aca="false">Curves!E12</f>
        <v>0.967393</v>
      </c>
      <c r="H283" s="60" t="n">
        <f aca="false">Curves!E13</f>
        <v>0.960645</v>
      </c>
      <c r="I283" s="62" t="n">
        <f aca="false">NPV_Engine!$B$4*B283*(C283/NPV_Engine!$B$8)*(1+0.5*(D283-NPV_Engine!$B$13))*(AVERAGE(E283,F283,G283)/B283)*(H283/NPV_Engine!$B$12)</f>
        <v>9623384.27395584</v>
      </c>
    </row>
    <row r="284" customFormat="false" ht="15" hidden="false" customHeight="false" outlineLevel="0" collapsed="false">
      <c r="A284" s="63" t="s">
        <v>124</v>
      </c>
      <c r="B284" s="60" t="n">
        <f aca="false">Curves!E8</f>
        <v>0.957768</v>
      </c>
      <c r="C284" s="60" t="n">
        <f aca="false">Curves!E9</f>
        <v>0.96933</v>
      </c>
      <c r="D284" s="65" t="n">
        <f aca="false">SABR_Current!AT125</f>
        <v>0.405378502381195</v>
      </c>
      <c r="E284" s="60" t="n">
        <f aca="false">Curves!E10</f>
        <v>0.958726</v>
      </c>
      <c r="F284" s="60" t="n">
        <f aca="false">Curves!E11</f>
        <v>0.954899</v>
      </c>
      <c r="G284" s="60" t="n">
        <f aca="false">Curves!E12</f>
        <v>0.967393</v>
      </c>
      <c r="H284" s="60" t="n">
        <f aca="false">Curves!E13</f>
        <v>0.960645</v>
      </c>
      <c r="I284" s="62" t="n">
        <f aca="false">NPV_Engine!$B$4*B284*(C284/NPV_Engine!$B$8)*(1+0.5*(D284-NPV_Engine!$B$13))*(AVERAGE(E284,F284,G284)/B284)*(H284/NPV_Engine!$B$12)</f>
        <v>9630265.46604105</v>
      </c>
    </row>
    <row r="285" customFormat="false" ht="15" hidden="false" customHeight="false" outlineLevel="0" collapsed="false">
      <c r="A285" s="63" t="s">
        <v>125</v>
      </c>
      <c r="B285" s="60" t="n">
        <f aca="false">Curves!E8</f>
        <v>0.957768</v>
      </c>
      <c r="C285" s="60" t="n">
        <f aca="false">Curves!E9</f>
        <v>0.96933</v>
      </c>
      <c r="D285" s="65" t="n">
        <f aca="false">SABR_Current!AT139</f>
        <v>0.406060884055627</v>
      </c>
      <c r="E285" s="60" t="n">
        <f aca="false">Curves!E10</f>
        <v>0.958726</v>
      </c>
      <c r="F285" s="60" t="n">
        <f aca="false">Curves!E11</f>
        <v>0.954899</v>
      </c>
      <c r="G285" s="60" t="n">
        <f aca="false">Curves!E12</f>
        <v>0.967393</v>
      </c>
      <c r="H285" s="60" t="n">
        <f aca="false">Curves!E13</f>
        <v>0.960645</v>
      </c>
      <c r="I285" s="62" t="n">
        <f aca="false">NPV_Engine!$B$4*B285*(C285/NPV_Engine!$B$8)*(1+0.5*(D285-NPV_Engine!$B$13))*(AVERAGE(E285,F285,G285)/B285)*(H285/NPV_Engine!$B$12)</f>
        <v>9633542.05585257</v>
      </c>
    </row>
    <row r="286" customFormat="false" ht="15" hidden="false" customHeight="false" outlineLevel="0" collapsed="false">
      <c r="A286" s="63" t="s">
        <v>126</v>
      </c>
      <c r="B286" s="60" t="n">
        <f aca="false">Curves!E8</f>
        <v>0.957768</v>
      </c>
      <c r="C286" s="60" t="n">
        <f aca="false">Curves!E9</f>
        <v>0.96933</v>
      </c>
      <c r="D286" s="65" t="n">
        <f aca="false">SABR_Current!AT153</f>
        <v>0.405514980525381</v>
      </c>
      <c r="E286" s="60" t="n">
        <f aca="false">Curves!E10</f>
        <v>0.958726</v>
      </c>
      <c r="F286" s="60" t="n">
        <f aca="false">Curves!E11</f>
        <v>0.954899</v>
      </c>
      <c r="G286" s="60" t="n">
        <f aca="false">Curves!E12</f>
        <v>0.967393</v>
      </c>
      <c r="H286" s="60" t="n">
        <f aca="false">Curves!E13</f>
        <v>0.960645</v>
      </c>
      <c r="I286" s="62" t="n">
        <f aca="false">NPV_Engine!$B$4*B286*(C286/NPV_Engine!$B$8)*(1+0.5*(D286-NPV_Engine!$B$13))*(AVERAGE(E286,F286,G286)/B286)*(H286/NPV_Engine!$B$12)</f>
        <v>9630920.79269106</v>
      </c>
    </row>
    <row r="289" customFormat="false" ht="15" hidden="false" customHeight="false" outlineLevel="0" collapsed="false">
      <c r="A289" s="66" t="s">
        <v>296</v>
      </c>
      <c r="B289" s="66"/>
      <c r="C289" s="66"/>
      <c r="D289" s="66"/>
      <c r="E289" s="66"/>
      <c r="F289" s="66"/>
      <c r="G289" s="66"/>
      <c r="H289" s="66"/>
      <c r="I289" s="66"/>
      <c r="J289" s="58" t="s">
        <v>279</v>
      </c>
    </row>
    <row r="290" customFormat="false" ht="39.55" hidden="false" customHeight="false" outlineLevel="0" collapsed="false">
      <c r="A290" s="22" t="s">
        <v>179</v>
      </c>
      <c r="B290" s="22" t="s">
        <v>180</v>
      </c>
      <c r="C290" s="22" t="s">
        <v>181</v>
      </c>
      <c r="D290" s="22" t="s">
        <v>182</v>
      </c>
      <c r="E290" s="22" t="s">
        <v>183</v>
      </c>
      <c r="F290" s="22" t="s">
        <v>184</v>
      </c>
      <c r="G290" s="22" t="s">
        <v>185</v>
      </c>
      <c r="H290" s="22" t="s">
        <v>186</v>
      </c>
      <c r="I290" s="22" t="s">
        <v>187</v>
      </c>
    </row>
    <row r="291" customFormat="false" ht="15" hidden="false" customHeight="false" outlineLevel="0" collapsed="false">
      <c r="A291" s="59" t="s">
        <v>188</v>
      </c>
      <c r="B291" s="60" t="n">
        <f aca="false">Curves!E8</f>
        <v>0.957768</v>
      </c>
      <c r="C291" s="60" t="n">
        <f aca="false">Curves!E9</f>
        <v>0.96933</v>
      </c>
      <c r="D291" s="61" t="n">
        <f aca="false">SABR!AT10</f>
        <v>0.39978211956629</v>
      </c>
      <c r="E291" s="60" t="n">
        <f aca="false">Curves!E10</f>
        <v>0.958726</v>
      </c>
      <c r="F291" s="60" t="n">
        <f aca="false">Curves!E11</f>
        <v>0.954899</v>
      </c>
      <c r="G291" s="60" t="n">
        <f aca="false">Curves!E12</f>
        <v>0.967393</v>
      </c>
      <c r="H291" s="60" t="n">
        <f aca="false">Curves!E13</f>
        <v>0.960645</v>
      </c>
      <c r="I291" s="62" t="n">
        <f aca="false">NPV_Engine!$B$4*B291*(C291/NPV_Engine!$B$8)*(1+0.5*(D291-NPV_Engine!$B$13))*(AVERAGE(E291,F291,G291)/B291)*(H291/NPV_Engine!$B$12)</f>
        <v>9603393.33333333</v>
      </c>
    </row>
    <row r="292" customFormat="false" ht="15" hidden="false" customHeight="false" outlineLevel="0" collapsed="false">
      <c r="A292" s="63" t="s">
        <v>117</v>
      </c>
      <c r="B292" s="60" t="n">
        <f aca="false">Curves!E8</f>
        <v>0.957768</v>
      </c>
      <c r="C292" s="60" t="n">
        <f aca="false">Curves!E9</f>
        <v>0.96933</v>
      </c>
      <c r="D292" s="61" t="n">
        <f aca="false">SABR!AT10</f>
        <v>0.39978211956629</v>
      </c>
      <c r="E292" s="60" t="n">
        <f aca="false">Curves!E10</f>
        <v>0.958726</v>
      </c>
      <c r="F292" s="60" t="n">
        <f aca="false">Curves!E11</f>
        <v>0.954899</v>
      </c>
      <c r="G292" s="60" t="n">
        <f aca="false">Curves!E12</f>
        <v>0.967393</v>
      </c>
      <c r="H292" s="64" t="n">
        <f aca="false">Curves_Current!Q12</f>
        <v>0.960004425633023</v>
      </c>
      <c r="I292" s="62" t="n">
        <f aca="false">NPV_Engine!$B$4*B292*(C292/NPV_Engine!$B$8)*(1+0.5*(D292-NPV_Engine!$B$13))*(AVERAGE(E292,F292,G292)/B292)*(H292/NPV_Engine!$B$12)</f>
        <v>9596989.6279007</v>
      </c>
    </row>
    <row r="293" customFormat="false" ht="15" hidden="false" customHeight="false" outlineLevel="0" collapsed="false">
      <c r="A293" s="63" t="s">
        <v>118</v>
      </c>
      <c r="B293" s="60" t="n">
        <f aca="false">Curves!E8</f>
        <v>0.957768</v>
      </c>
      <c r="C293" s="60" t="n">
        <f aca="false">Curves!E9</f>
        <v>0.96933</v>
      </c>
      <c r="D293" s="61" t="n">
        <f aca="false">SABR!AT10</f>
        <v>0.39978211956629</v>
      </c>
      <c r="E293" s="60" t="n">
        <f aca="false">Curves!E10</f>
        <v>0.958726</v>
      </c>
      <c r="F293" s="60" t="n">
        <f aca="false">Curves!E11</f>
        <v>0.954899</v>
      </c>
      <c r="G293" s="60" t="n">
        <f aca="false">Curves!E12</f>
        <v>0.967393</v>
      </c>
      <c r="H293" s="64" t="n">
        <f aca="false">Curves_Current!Q20</f>
        <v>0.959904900700641</v>
      </c>
      <c r="I293" s="62" t="n">
        <f aca="false">NPV_Engine!$B$4*B293*(C293/NPV_Engine!$B$8)*(1+0.5*(D293-NPV_Engine!$B$13))*(AVERAGE(E293,F293,G293)/B293)*(H293/NPV_Engine!$B$12)</f>
        <v>9595994.69525426</v>
      </c>
    </row>
    <row r="294" customFormat="false" ht="15" hidden="false" customHeight="false" outlineLevel="0" collapsed="false">
      <c r="A294" s="63" t="s">
        <v>119</v>
      </c>
      <c r="B294" s="60" t="n">
        <f aca="false">Curves!E8</f>
        <v>0.957768</v>
      </c>
      <c r="C294" s="60" t="n">
        <f aca="false">Curves!E9</f>
        <v>0.96933</v>
      </c>
      <c r="D294" s="61" t="n">
        <f aca="false">SABR!AT10</f>
        <v>0.39978211956629</v>
      </c>
      <c r="E294" s="60" t="n">
        <f aca="false">Curves!E10</f>
        <v>0.958726</v>
      </c>
      <c r="F294" s="60" t="n">
        <f aca="false">Curves!E11</f>
        <v>0.954899</v>
      </c>
      <c r="G294" s="60" t="n">
        <f aca="false">Curves!E12</f>
        <v>0.967393</v>
      </c>
      <c r="H294" s="64" t="n">
        <f aca="false">Curves_Current!Q28</f>
        <v>0.959721682064423</v>
      </c>
      <c r="I294" s="62" t="n">
        <f aca="false">NPV_Engine!$B$4*B294*(C294/NPV_Engine!$B$8)*(1+0.5*(D294-NPV_Engine!$B$13))*(AVERAGE(E294,F294,G294)/B294)*(H294/NPV_Engine!$B$12)</f>
        <v>9594163.09187362</v>
      </c>
    </row>
    <row r="295" customFormat="false" ht="15" hidden="false" customHeight="false" outlineLevel="0" collapsed="false">
      <c r="A295" s="63" t="s">
        <v>120</v>
      </c>
      <c r="B295" s="60" t="n">
        <f aca="false">Curves!E8</f>
        <v>0.957768</v>
      </c>
      <c r="C295" s="60" t="n">
        <f aca="false">Curves!E9</f>
        <v>0.96933</v>
      </c>
      <c r="D295" s="61" t="n">
        <f aca="false">SABR!AT10</f>
        <v>0.39978211956629</v>
      </c>
      <c r="E295" s="60" t="n">
        <f aca="false">Curves!E10</f>
        <v>0.958726</v>
      </c>
      <c r="F295" s="60" t="n">
        <f aca="false">Curves!E11</f>
        <v>0.954899</v>
      </c>
      <c r="G295" s="60" t="n">
        <f aca="false">Curves!E12</f>
        <v>0.967393</v>
      </c>
      <c r="H295" s="64" t="n">
        <f aca="false">Curves_Current!Q36</f>
        <v>0.959651922334763</v>
      </c>
      <c r="I295" s="62" t="n">
        <f aca="false">NPV_Engine!$B$4*B295*(C295/NPV_Engine!$B$8)*(1+0.5*(D295-NPV_Engine!$B$13))*(AVERAGE(E295,F295,G295)/B295)*(H295/NPV_Engine!$B$12)</f>
        <v>9593465.7165448</v>
      </c>
    </row>
    <row r="296" customFormat="false" ht="15" hidden="false" customHeight="false" outlineLevel="0" collapsed="false">
      <c r="A296" s="63" t="s">
        <v>121</v>
      </c>
      <c r="B296" s="60" t="n">
        <f aca="false">Curves!E8</f>
        <v>0.957768</v>
      </c>
      <c r="C296" s="60" t="n">
        <f aca="false">Curves!E9</f>
        <v>0.96933</v>
      </c>
      <c r="D296" s="61" t="n">
        <f aca="false">SABR!AT10</f>
        <v>0.39978211956629</v>
      </c>
      <c r="E296" s="60" t="n">
        <f aca="false">Curves!E10</f>
        <v>0.958726</v>
      </c>
      <c r="F296" s="60" t="n">
        <f aca="false">Curves!E11</f>
        <v>0.954899</v>
      </c>
      <c r="G296" s="60" t="n">
        <f aca="false">Curves!E12</f>
        <v>0.967393</v>
      </c>
      <c r="H296" s="64" t="n">
        <f aca="false">Curves_Current!Q44</f>
        <v>0.960155426888727</v>
      </c>
      <c r="I296" s="62" t="n">
        <f aca="false">NPV_Engine!$B$4*B296*(C296/NPV_Engine!$B$8)*(1+0.5*(D296-NPV_Engine!$B$13))*(AVERAGE(E296,F296,G296)/B296)*(H296/NPV_Engine!$B$12)</f>
        <v>9598499.15998836</v>
      </c>
    </row>
    <row r="297" customFormat="false" ht="15" hidden="false" customHeight="false" outlineLevel="0" collapsed="false">
      <c r="A297" s="63" t="s">
        <v>122</v>
      </c>
      <c r="B297" s="60" t="n">
        <f aca="false">Curves!E8</f>
        <v>0.957768</v>
      </c>
      <c r="C297" s="60" t="n">
        <f aca="false">Curves!E9</f>
        <v>0.96933</v>
      </c>
      <c r="D297" s="61" t="n">
        <f aca="false">SABR!AT10</f>
        <v>0.39978211956629</v>
      </c>
      <c r="E297" s="60" t="n">
        <f aca="false">Curves!E10</f>
        <v>0.958726</v>
      </c>
      <c r="F297" s="60" t="n">
        <f aca="false">Curves!E11</f>
        <v>0.954899</v>
      </c>
      <c r="G297" s="60" t="n">
        <f aca="false">Curves!E12</f>
        <v>0.967393</v>
      </c>
      <c r="H297" s="64" t="n">
        <f aca="false">Curves_Current!Q52</f>
        <v>0.96008937800257</v>
      </c>
      <c r="I297" s="62" t="n">
        <f aca="false">NPV_Engine!$B$4*B297*(C297/NPV_Engine!$B$8)*(1+0.5*(D297-NPV_Engine!$B$13))*(AVERAGE(E297,F297,G297)/B297)*(H297/NPV_Engine!$B$12)</f>
        <v>9597838.88128708</v>
      </c>
    </row>
    <row r="298" customFormat="false" ht="15" hidden="false" customHeight="false" outlineLevel="0" collapsed="false">
      <c r="A298" s="63" t="s">
        <v>123</v>
      </c>
      <c r="B298" s="60" t="n">
        <f aca="false">Curves!E8</f>
        <v>0.957768</v>
      </c>
      <c r="C298" s="60" t="n">
        <f aca="false">Curves!E9</f>
        <v>0.96933</v>
      </c>
      <c r="D298" s="61" t="n">
        <f aca="false">SABR!AT10</f>
        <v>0.39978211956629</v>
      </c>
      <c r="E298" s="60" t="n">
        <f aca="false">Curves!E10</f>
        <v>0.958726</v>
      </c>
      <c r="F298" s="60" t="n">
        <f aca="false">Curves!E11</f>
        <v>0.954899</v>
      </c>
      <c r="G298" s="60" t="n">
        <f aca="false">Curves!E12</f>
        <v>0.967393</v>
      </c>
      <c r="H298" s="64" t="n">
        <f aca="false">Curves_Current!Q60</f>
        <v>0.959271534382446</v>
      </c>
      <c r="I298" s="62" t="n">
        <f aca="false">NPV_Engine!$B$4*B298*(C298/NPV_Engine!$B$8)*(1+0.5*(D298-NPV_Engine!$B$13))*(AVERAGE(E298,F298,G298)/B298)*(H298/NPV_Engine!$B$12)</f>
        <v>9589663.04737424</v>
      </c>
    </row>
    <row r="299" customFormat="false" ht="15" hidden="false" customHeight="false" outlineLevel="0" collapsed="false">
      <c r="A299" s="63" t="s">
        <v>124</v>
      </c>
      <c r="B299" s="60" t="n">
        <f aca="false">Curves!E8</f>
        <v>0.957768</v>
      </c>
      <c r="C299" s="60" t="n">
        <f aca="false">Curves!E9</f>
        <v>0.96933</v>
      </c>
      <c r="D299" s="61" t="n">
        <f aca="false">SABR!AT10</f>
        <v>0.39978211956629</v>
      </c>
      <c r="E299" s="60" t="n">
        <f aca="false">Curves!E10</f>
        <v>0.958726</v>
      </c>
      <c r="F299" s="60" t="n">
        <f aca="false">Curves!E11</f>
        <v>0.954899</v>
      </c>
      <c r="G299" s="60" t="n">
        <f aca="false">Curves!E12</f>
        <v>0.967393</v>
      </c>
      <c r="H299" s="64" t="n">
        <f aca="false">Curves_Current!Q68</f>
        <v>0.960017658966397</v>
      </c>
      <c r="I299" s="62" t="n">
        <f aca="false">NPV_Engine!$B$4*B299*(C299/NPV_Engine!$B$8)*(1+0.5*(D299-NPV_Engine!$B$13))*(AVERAGE(E299,F299,G299)/B299)*(H299/NPV_Engine!$B$12)</f>
        <v>9597121.91912743</v>
      </c>
    </row>
    <row r="300" customFormat="false" ht="15" hidden="false" customHeight="false" outlineLevel="0" collapsed="false">
      <c r="A300" s="63" t="s">
        <v>125</v>
      </c>
      <c r="B300" s="60" t="n">
        <f aca="false">Curves!E8</f>
        <v>0.957768</v>
      </c>
      <c r="C300" s="60" t="n">
        <f aca="false">Curves!E9</f>
        <v>0.96933</v>
      </c>
      <c r="D300" s="61" t="n">
        <f aca="false">SABR!AT10</f>
        <v>0.39978211956629</v>
      </c>
      <c r="E300" s="60" t="n">
        <f aca="false">Curves!E10</f>
        <v>0.958726</v>
      </c>
      <c r="F300" s="60" t="n">
        <f aca="false">Curves!E11</f>
        <v>0.954899</v>
      </c>
      <c r="G300" s="60" t="n">
        <f aca="false">Curves!E12</f>
        <v>0.967393</v>
      </c>
      <c r="H300" s="64" t="n">
        <f aca="false">Curves_Current!Q76</f>
        <v>0.960853674398117</v>
      </c>
      <c r="I300" s="62" t="n">
        <f aca="false">NPV_Engine!$B$4*B300*(C300/NPV_Engine!$B$8)*(1+0.5*(D300-NPV_Engine!$B$13))*(AVERAGE(E300,F300,G300)/B300)*(H300/NPV_Engine!$B$12)</f>
        <v>9605479.41333553</v>
      </c>
    </row>
    <row r="301" customFormat="false" ht="15" hidden="false" customHeight="false" outlineLevel="0" collapsed="false">
      <c r="A301" s="63" t="s">
        <v>126</v>
      </c>
      <c r="B301" s="60" t="n">
        <f aca="false">Curves!E8</f>
        <v>0.957768</v>
      </c>
      <c r="C301" s="60" t="n">
        <f aca="false">Curves!E9</f>
        <v>0.96933</v>
      </c>
      <c r="D301" s="61" t="n">
        <f aca="false">SABR!AT10</f>
        <v>0.39978211956629</v>
      </c>
      <c r="E301" s="60" t="n">
        <f aca="false">Curves!E10</f>
        <v>0.958726</v>
      </c>
      <c r="F301" s="60" t="n">
        <f aca="false">Curves!E11</f>
        <v>0.954899</v>
      </c>
      <c r="G301" s="60" t="n">
        <f aca="false">Curves!E12</f>
        <v>0.967393</v>
      </c>
      <c r="H301" s="64" t="n">
        <f aca="false">Curves_Current!Q84</f>
        <v>0.958990132188804</v>
      </c>
      <c r="I301" s="62" t="n">
        <f aca="false">NPV_Engine!$B$4*B301*(C301/NPV_Engine!$B$8)*(1+0.5*(D301-NPV_Engine!$B$13))*(AVERAGE(E301,F301,G301)/B301)*(H301/NPV_Engine!$B$12)</f>
        <v>9586849.92082863</v>
      </c>
    </row>
    <row r="304" customFormat="false" ht="15" hidden="false" customHeight="false" outlineLevel="0" collapsed="false">
      <c r="A304" s="66" t="s">
        <v>297</v>
      </c>
      <c r="B304" s="66"/>
      <c r="C304" s="66"/>
      <c r="D304" s="66"/>
      <c r="E304" s="66"/>
      <c r="F304" s="66"/>
      <c r="G304" s="66"/>
      <c r="H304" s="66"/>
      <c r="I304" s="66"/>
      <c r="J304" s="58" t="s">
        <v>298</v>
      </c>
    </row>
    <row r="305" customFormat="false" ht="39.55" hidden="false" customHeight="false" outlineLevel="0" collapsed="false">
      <c r="A305" s="22" t="s">
        <v>179</v>
      </c>
      <c r="B305" s="22" t="s">
        <v>180</v>
      </c>
      <c r="C305" s="22" t="s">
        <v>181</v>
      </c>
      <c r="D305" s="22" t="s">
        <v>182</v>
      </c>
      <c r="E305" s="22" t="s">
        <v>183</v>
      </c>
      <c r="F305" s="22" t="s">
        <v>184</v>
      </c>
      <c r="G305" s="22" t="s">
        <v>185</v>
      </c>
      <c r="H305" s="22" t="s">
        <v>186</v>
      </c>
      <c r="I305" s="22" t="s">
        <v>187</v>
      </c>
    </row>
    <row r="306" customFormat="false" ht="15" hidden="false" customHeight="false" outlineLevel="0" collapsed="false">
      <c r="A306" s="59" t="s">
        <v>188</v>
      </c>
      <c r="B306" s="60" t="n">
        <f aca="false">Curves!E8</f>
        <v>0.957768</v>
      </c>
      <c r="C306" s="60" t="n">
        <f aca="false">Curves!E9</f>
        <v>0.96933</v>
      </c>
      <c r="D306" s="61" t="n">
        <f aca="false">SABR!AT10</f>
        <v>0.39978211956629</v>
      </c>
      <c r="E306" s="60" t="n">
        <f aca="false">Curves!E10</f>
        <v>0.958726</v>
      </c>
      <c r="F306" s="60" t="n">
        <f aca="false">Curves!E11</f>
        <v>0.954899</v>
      </c>
      <c r="G306" s="60" t="n">
        <f aca="false">Curves!E12</f>
        <v>0.967393</v>
      </c>
      <c r="H306" s="60" t="n">
        <f aca="false">Curves!E13</f>
        <v>0.960645</v>
      </c>
      <c r="I306" s="62" t="n">
        <f aca="false">NPV_Engine!$B$4*B306*(C306/NPV_Engine!$B$8)*(1+0.5*(D306-NPV_Engine!$B$13))*(AVERAGE(E306,F306,G306)/B306)*(H306/NPV_Engine!$B$12)</f>
        <v>9603393.33333333</v>
      </c>
    </row>
    <row r="307" customFormat="false" ht="15" hidden="false" customHeight="false" outlineLevel="0" collapsed="false">
      <c r="A307" s="63" t="s">
        <v>117</v>
      </c>
      <c r="B307" s="64" t="n">
        <f aca="false">Curves_Current!Q7</f>
        <v>0.956822187215235</v>
      </c>
      <c r="C307" s="60" t="n">
        <f aca="false">Curves!E9</f>
        <v>0.96933</v>
      </c>
      <c r="D307" s="65" t="n">
        <f aca="false">SABR_Current!AT27</f>
        <v>0.401693250530639</v>
      </c>
      <c r="E307" s="64" t="n">
        <f aca="false">Curves_Current!Q9</f>
        <v>0.957681920165427</v>
      </c>
      <c r="F307" s="64" t="n">
        <f aca="false">Curves_Current!Q10</f>
        <v>0.954165270979805</v>
      </c>
      <c r="G307" s="60" t="n">
        <f aca="false">Curves!E12</f>
        <v>0.967393</v>
      </c>
      <c r="H307" s="64" t="n">
        <f aca="false">Curves_Current!Q12</f>
        <v>0.960004425633023</v>
      </c>
      <c r="I307" s="62" t="n">
        <f aca="false">NPV_Engine!$B$4*B307*(C307/NPV_Engine!$B$8)*(1+0.5*(D307-NPV_Engine!$B$13))*(AVERAGE(E307,F307,G307)/B307)*(H307/NPV_Engine!$B$12)</f>
        <v>9600232.44304967</v>
      </c>
    </row>
    <row r="308" customFormat="false" ht="15" hidden="false" customHeight="false" outlineLevel="0" collapsed="false">
      <c r="A308" s="63" t="s">
        <v>118</v>
      </c>
      <c r="B308" s="64" t="n">
        <f aca="false">Curves_Current!Q15</f>
        <v>0.95669164367522</v>
      </c>
      <c r="C308" s="60" t="n">
        <f aca="false">Curves!E9</f>
        <v>0.96933</v>
      </c>
      <c r="D308" s="65" t="n">
        <f aca="false">SABR_Current!AT41</f>
        <v>0.401488494979835</v>
      </c>
      <c r="E308" s="64" t="n">
        <f aca="false">Curves_Current!Q17</f>
        <v>0.958262308784257</v>
      </c>
      <c r="F308" s="64" t="n">
        <f aca="false">Curves_Current!Q18</f>
        <v>0.952882762555419</v>
      </c>
      <c r="G308" s="60" t="n">
        <f aca="false">Curves!E12</f>
        <v>0.967393</v>
      </c>
      <c r="H308" s="64" t="n">
        <f aca="false">Curves_Current!Q20</f>
        <v>0.959904900700641</v>
      </c>
      <c r="I308" s="62" t="n">
        <f aca="false">NPV_Engine!$B$4*B308*(C308/NPV_Engine!$B$8)*(1+0.5*(D308-NPV_Engine!$B$13))*(AVERAGE(E308,F308,G308)/B308)*(H308/NPV_Engine!$B$12)</f>
        <v>9595914.77232795</v>
      </c>
    </row>
    <row r="309" customFormat="false" ht="15" hidden="false" customHeight="false" outlineLevel="0" collapsed="false">
      <c r="A309" s="63" t="s">
        <v>119</v>
      </c>
      <c r="B309" s="64" t="n">
        <f aca="false">Curves_Current!Q23</f>
        <v>0.957261411797292</v>
      </c>
      <c r="C309" s="60" t="n">
        <f aca="false">Curves!E9</f>
        <v>0.96933</v>
      </c>
      <c r="D309" s="65" t="n">
        <f aca="false">SABR_Current!AT55</f>
        <v>0.401966254765439</v>
      </c>
      <c r="E309" s="64" t="n">
        <f aca="false">Curves_Current!Q25</f>
        <v>0.957194399871784</v>
      </c>
      <c r="F309" s="64" t="n">
        <f aca="false">Curves_Current!Q26</f>
        <v>0.955788775537166</v>
      </c>
      <c r="G309" s="60" t="n">
        <f aca="false">Curves!E12</f>
        <v>0.967393</v>
      </c>
      <c r="H309" s="64" t="n">
        <f aca="false">Curves_Current!Q28</f>
        <v>0.959721682064423</v>
      </c>
      <c r="I309" s="62" t="n">
        <f aca="false">NPV_Engine!$B$4*B309*(C309/NPV_Engine!$B$8)*(1+0.5*(D309-NPV_Engine!$B$13))*(AVERAGE(E309,F309,G309)/B309)*(H309/NPV_Engine!$B$12)</f>
        <v>9602500.8733729</v>
      </c>
    </row>
    <row r="310" customFormat="false" ht="15" hidden="false" customHeight="false" outlineLevel="0" collapsed="false">
      <c r="A310" s="63" t="s">
        <v>120</v>
      </c>
      <c r="B310" s="64" t="n">
        <f aca="false">Curves_Current!Q31</f>
        <v>0.957960959770115</v>
      </c>
      <c r="C310" s="60" t="n">
        <f aca="false">Curves!E9</f>
        <v>0.96933</v>
      </c>
      <c r="D310" s="65" t="n">
        <f aca="false">SABR_Current!AT69</f>
        <v>0.403399467630506</v>
      </c>
      <c r="E310" s="64" t="n">
        <f aca="false">Curves_Current!Q33</f>
        <v>0.957053949688665</v>
      </c>
      <c r="F310" s="64" t="n">
        <f aca="false">Curves_Current!Q34</f>
        <v>0.952125081208929</v>
      </c>
      <c r="G310" s="60" t="n">
        <f aca="false">Curves!E12</f>
        <v>0.967393</v>
      </c>
      <c r="H310" s="64" t="n">
        <f aca="false">Curves_Current!Q36</f>
        <v>0.959651922334763</v>
      </c>
      <c r="I310" s="62" t="n">
        <f aca="false">NPV_Engine!$B$4*B310*(C310/NPV_Engine!$B$8)*(1+0.5*(D310-NPV_Engine!$B$13))*(AVERAGE(E310,F310,G310)/B310)*(H310/NPV_Engine!$B$12)</f>
        <v>9595985.81543929</v>
      </c>
    </row>
    <row r="311" customFormat="false" ht="15" hidden="false" customHeight="false" outlineLevel="0" collapsed="false">
      <c r="A311" s="63" t="s">
        <v>121</v>
      </c>
      <c r="B311" s="64" t="n">
        <f aca="false">Curves_Current!Q39</f>
        <v>0.956191489469807</v>
      </c>
      <c r="C311" s="60" t="n">
        <f aca="false">Curves!E9</f>
        <v>0.96933</v>
      </c>
      <c r="D311" s="65" t="n">
        <f aca="false">SABR_Current!AT83</f>
        <v>0.403058235518653</v>
      </c>
      <c r="E311" s="64" t="n">
        <f aca="false">Curves_Current!Q41</f>
        <v>0.957905601234653</v>
      </c>
      <c r="F311" s="64" t="n">
        <f aca="false">Curves_Current!Q42</f>
        <v>0.952092269426374</v>
      </c>
      <c r="G311" s="60" t="n">
        <f aca="false">Curves!E12</f>
        <v>0.967393</v>
      </c>
      <c r="H311" s="64" t="n">
        <f aca="false">Curves_Current!Q44</f>
        <v>0.960155426888727</v>
      </c>
      <c r="I311" s="62" t="n">
        <f aca="false">NPV_Engine!$B$4*B311*(C311/NPV_Engine!$B$8)*(1+0.5*(D311-NPV_Engine!$B$13))*(AVERAGE(E311,F311,G311)/B311)*(H311/NPV_Engine!$B$12)</f>
        <v>9602117.9938742</v>
      </c>
    </row>
    <row r="312" customFormat="false" ht="15" hidden="false" customHeight="false" outlineLevel="0" collapsed="false">
      <c r="A312" s="63" t="s">
        <v>122</v>
      </c>
      <c r="B312" s="64" t="n">
        <f aca="false">Curves_Current!Q47</f>
        <v>0.956088729271246</v>
      </c>
      <c r="C312" s="60" t="n">
        <f aca="false">Curves!E9</f>
        <v>0.96933</v>
      </c>
      <c r="D312" s="65" t="n">
        <f aca="false">SABR_Current!AT97</f>
        <v>0.40490082175243</v>
      </c>
      <c r="E312" s="64" t="n">
        <f aca="false">Curves_Current!Q49</f>
        <v>0.958377026624332</v>
      </c>
      <c r="F312" s="64" t="n">
        <f aca="false">Curves_Current!Q50</f>
        <v>0.951657571221878</v>
      </c>
      <c r="G312" s="60" t="n">
        <f aca="false">Curves!E12</f>
        <v>0.967393</v>
      </c>
      <c r="H312" s="64" t="n">
        <f aca="false">Curves_Current!Q52</f>
        <v>0.96008937800257</v>
      </c>
      <c r="I312" s="62" t="n">
        <f aca="false">NPV_Engine!$B$4*B312*(C312/NPV_Engine!$B$8)*(1+0.5*(D312-NPV_Engine!$B$13))*(AVERAGE(E312,F312,G312)/B312)*(H312/NPV_Engine!$B$12)</f>
        <v>9610411.42303115</v>
      </c>
    </row>
    <row r="313" customFormat="false" ht="15" hidden="false" customHeight="false" outlineLevel="0" collapsed="false">
      <c r="A313" s="63" t="s">
        <v>123</v>
      </c>
      <c r="B313" s="64" t="n">
        <f aca="false">Curves_Current!Q55</f>
        <v>0.955804981192856</v>
      </c>
      <c r="C313" s="60" t="n">
        <f aca="false">Curves!E9</f>
        <v>0.96933</v>
      </c>
      <c r="D313" s="65" t="n">
        <f aca="false">SABR_Current!AT111</f>
        <v>0.403945427249027</v>
      </c>
      <c r="E313" s="64" t="n">
        <f aca="false">Curves_Current!Q57</f>
        <v>0.956515327373862</v>
      </c>
      <c r="F313" s="64" t="n">
        <f aca="false">Curves_Current!Q58</f>
        <v>0.951467522241567</v>
      </c>
      <c r="G313" s="60" t="n">
        <f aca="false">Curves!E12</f>
        <v>0.967393</v>
      </c>
      <c r="H313" s="64" t="n">
        <f aca="false">Curves_Current!Q60</f>
        <v>0.959271534382446</v>
      </c>
      <c r="I313" s="62" t="n">
        <f aca="false">NPV_Engine!$B$4*B313*(C313/NPV_Engine!$B$8)*(1+0.5*(D313-NPV_Engine!$B$13))*(AVERAGE(E313,F313,G313)/B313)*(H313/NPV_Engine!$B$12)</f>
        <v>9590806.03353027</v>
      </c>
    </row>
    <row r="314" customFormat="false" ht="15" hidden="false" customHeight="false" outlineLevel="0" collapsed="false">
      <c r="A314" s="63" t="s">
        <v>124</v>
      </c>
      <c r="B314" s="64" t="n">
        <f aca="false">Curves_Current!Q63</f>
        <v>0.9557345543552</v>
      </c>
      <c r="C314" s="60" t="n">
        <f aca="false">Curves!E9</f>
        <v>0.96933</v>
      </c>
      <c r="D314" s="65" t="n">
        <f aca="false">SABR_Current!AT125</f>
        <v>0.405378502381195</v>
      </c>
      <c r="E314" s="64" t="n">
        <f aca="false">Curves_Current!Q65</f>
        <v>0.956295155645531</v>
      </c>
      <c r="F314" s="64" t="n">
        <f aca="false">Curves_Current!Q66</f>
        <v>0.951090646612669</v>
      </c>
      <c r="G314" s="60" t="n">
        <f aca="false">Curves!E12</f>
        <v>0.967393</v>
      </c>
      <c r="H314" s="64" t="n">
        <f aca="false">Curves_Current!Q68</f>
        <v>0.960017658966397</v>
      </c>
      <c r="I314" s="62" t="n">
        <f aca="false">NPV_Engine!$B$4*B314*(C314/NPV_Engine!$B$8)*(1+0.5*(D314-NPV_Engine!$B$13))*(AVERAGE(E314,F314,G314)/B314)*(H314/NPV_Engine!$B$12)</f>
        <v>9603134.60203357</v>
      </c>
    </row>
    <row r="315" customFormat="false" ht="15" hidden="false" customHeight="false" outlineLevel="0" collapsed="false">
      <c r="A315" s="63" t="s">
        <v>125</v>
      </c>
      <c r="B315" s="64" t="n">
        <f aca="false">Curves_Current!Q71</f>
        <v>0.956877760102935</v>
      </c>
      <c r="C315" s="60" t="n">
        <f aca="false">Curves!E9</f>
        <v>0.96933</v>
      </c>
      <c r="D315" s="65" t="n">
        <f aca="false">SABR_Current!AT139</f>
        <v>0.406060884055627</v>
      </c>
      <c r="E315" s="64" t="n">
        <f aca="false">Curves_Current!Q73</f>
        <v>0.95613081046933</v>
      </c>
      <c r="F315" s="64" t="n">
        <f aca="false">Curves_Current!Q74</f>
        <v>0.95090077919812</v>
      </c>
      <c r="G315" s="60" t="n">
        <f aca="false">Curves!E12</f>
        <v>0.967393</v>
      </c>
      <c r="H315" s="64" t="n">
        <f aca="false">Curves_Current!Q76</f>
        <v>0.960853674398117</v>
      </c>
      <c r="I315" s="62" t="n">
        <f aca="false">NPV_Engine!$B$4*B315*(C315/NPV_Engine!$B$8)*(1+0.5*(D315-NPV_Engine!$B$13))*(AVERAGE(E315,F315,G315)/B315)*(H315/NPV_Engine!$B$12)</f>
        <v>9613582.86383714</v>
      </c>
    </row>
    <row r="316" customFormat="false" ht="15" hidden="false" customHeight="false" outlineLevel="0" collapsed="false">
      <c r="A316" s="63" t="s">
        <v>126</v>
      </c>
      <c r="B316" s="64" t="n">
        <f aca="false">Curves_Current!Q79</f>
        <v>0.955367578394252</v>
      </c>
      <c r="C316" s="60" t="n">
        <f aca="false">Curves!E9</f>
        <v>0.96933</v>
      </c>
      <c r="D316" s="65" t="n">
        <f aca="false">SABR_Current!AT153</f>
        <v>0.405514980525381</v>
      </c>
      <c r="E316" s="64" t="n">
        <f aca="false">Curves_Current!Q81</f>
        <v>0.956044396643647</v>
      </c>
      <c r="F316" s="64" t="n">
        <f aca="false">Curves_Current!Q82</f>
        <v>0.952997940377281</v>
      </c>
      <c r="G316" s="60" t="n">
        <f aca="false">Curves!E12</f>
        <v>0.967393</v>
      </c>
      <c r="H316" s="64" t="n">
        <f aca="false">Curves_Current!Q84</f>
        <v>0.958990132188804</v>
      </c>
      <c r="I316" s="62" t="n">
        <f aca="false">NPV_Engine!$B$4*B316*(C316/NPV_Engine!$B$8)*(1+0.5*(D316-NPV_Engine!$B$13))*(AVERAGE(E316,F316,G316)/B316)*(H316/NPV_Engine!$B$12)</f>
        <v>9599037.02014373</v>
      </c>
    </row>
    <row r="319" customFormat="false" ht="15" hidden="false" customHeight="false" outlineLevel="0" collapsed="false">
      <c r="A319" s="66" t="s">
        <v>299</v>
      </c>
      <c r="B319" s="66"/>
      <c r="C319" s="66"/>
      <c r="D319" s="66"/>
      <c r="E319" s="66"/>
      <c r="F319" s="66"/>
      <c r="G319" s="66"/>
      <c r="H319" s="66"/>
      <c r="I319" s="66"/>
      <c r="J319" s="58" t="s">
        <v>300</v>
      </c>
    </row>
    <row r="320" customFormat="false" ht="39.55" hidden="false" customHeight="false" outlineLevel="0" collapsed="false">
      <c r="A320" s="22" t="s">
        <v>179</v>
      </c>
      <c r="B320" s="22" t="s">
        <v>180</v>
      </c>
      <c r="C320" s="22" t="s">
        <v>181</v>
      </c>
      <c r="D320" s="22" t="s">
        <v>182</v>
      </c>
      <c r="E320" s="22" t="s">
        <v>183</v>
      </c>
      <c r="F320" s="22" t="s">
        <v>184</v>
      </c>
      <c r="G320" s="22" t="s">
        <v>185</v>
      </c>
      <c r="H320" s="22" t="s">
        <v>186</v>
      </c>
      <c r="I320" s="22" t="s">
        <v>187</v>
      </c>
    </row>
    <row r="321" customFormat="false" ht="15" hidden="false" customHeight="false" outlineLevel="0" collapsed="false">
      <c r="A321" s="59" t="s">
        <v>188</v>
      </c>
      <c r="B321" s="60" t="n">
        <f aca="false">Curves!E8</f>
        <v>0.957768</v>
      </c>
      <c r="C321" s="60" t="n">
        <f aca="false">Curves!E9</f>
        <v>0.96933</v>
      </c>
      <c r="D321" s="61" t="n">
        <f aca="false">SABR!AT10</f>
        <v>0.39978211956629</v>
      </c>
      <c r="E321" s="60" t="n">
        <f aca="false">Curves!E10</f>
        <v>0.958726</v>
      </c>
      <c r="F321" s="60" t="n">
        <f aca="false">Curves!E11</f>
        <v>0.954899</v>
      </c>
      <c r="G321" s="60" t="n">
        <f aca="false">Curves!E12</f>
        <v>0.967393</v>
      </c>
      <c r="H321" s="60" t="n">
        <f aca="false">Curves!E13</f>
        <v>0.960645</v>
      </c>
      <c r="I321" s="62" t="n">
        <f aca="false">NPV_Engine!$B$4*B321*(C321/NPV_Engine!$B$8)*(1+0.5*(D321-NPV_Engine!$B$13))*(AVERAGE(E321,F321,G321)/B321)*(H321/NPV_Engine!$B$12)</f>
        <v>9603393.33333333</v>
      </c>
    </row>
    <row r="322" customFormat="false" ht="15" hidden="false" customHeight="false" outlineLevel="0" collapsed="false">
      <c r="A322" s="63" t="s">
        <v>117</v>
      </c>
      <c r="B322" s="60" t="n">
        <f aca="false">Curves!E8</f>
        <v>0.957768</v>
      </c>
      <c r="C322" s="60" t="n">
        <f aca="false">Curves!E9</f>
        <v>0.96933</v>
      </c>
      <c r="D322" s="65" t="n">
        <f aca="false">SABR_Current!AT27</f>
        <v>0.401693250530639</v>
      </c>
      <c r="E322" s="64" t="n">
        <f aca="false">Curves_Current!Q9</f>
        <v>0.957681920165427</v>
      </c>
      <c r="F322" s="64" t="n">
        <f aca="false">Curves_Current!Q10</f>
        <v>0.954165270979805</v>
      </c>
      <c r="G322" s="60" t="n">
        <f aca="false">Curves!E12</f>
        <v>0.967393</v>
      </c>
      <c r="H322" s="60" t="n">
        <f aca="false">Curves!E13</f>
        <v>0.960645</v>
      </c>
      <c r="I322" s="62" t="n">
        <f aca="false">NPV_Engine!$B$4*B322*(C322/NPV_Engine!$B$8)*(1+0.5*(D322-NPV_Engine!$B$13))*(AVERAGE(E322,F322,G322)/B322)*(H322/NPV_Engine!$B$12)</f>
        <v>9606638.31228927</v>
      </c>
    </row>
    <row r="323" customFormat="false" ht="15" hidden="false" customHeight="false" outlineLevel="0" collapsed="false">
      <c r="A323" s="63" t="s">
        <v>118</v>
      </c>
      <c r="B323" s="60" t="n">
        <f aca="false">Curves!E8</f>
        <v>0.957768</v>
      </c>
      <c r="C323" s="60" t="n">
        <f aca="false">Curves!E9</f>
        <v>0.96933</v>
      </c>
      <c r="D323" s="65" t="n">
        <f aca="false">SABR_Current!AT41</f>
        <v>0.401488494979835</v>
      </c>
      <c r="E323" s="64" t="n">
        <f aca="false">Curves_Current!Q17</f>
        <v>0.958262308784257</v>
      </c>
      <c r="F323" s="64" t="n">
        <f aca="false">Curves_Current!Q18</f>
        <v>0.952882762555419</v>
      </c>
      <c r="G323" s="60" t="n">
        <f aca="false">Curves!E12</f>
        <v>0.967393</v>
      </c>
      <c r="H323" s="60" t="n">
        <f aca="false">Curves!E13</f>
        <v>0.960645</v>
      </c>
      <c r="I323" s="62" t="n">
        <f aca="false">NPV_Engine!$B$4*B323*(C323/NPV_Engine!$B$8)*(1+0.5*(D323-NPV_Engine!$B$13))*(AVERAGE(E323,F323,G323)/B323)*(H323/NPV_Engine!$B$12)</f>
        <v>9603313.3487854</v>
      </c>
    </row>
    <row r="324" customFormat="false" ht="15" hidden="false" customHeight="false" outlineLevel="0" collapsed="false">
      <c r="A324" s="63" t="s">
        <v>119</v>
      </c>
      <c r="B324" s="60" t="n">
        <f aca="false">Curves!E8</f>
        <v>0.957768</v>
      </c>
      <c r="C324" s="60" t="n">
        <f aca="false">Curves!E9</f>
        <v>0.96933</v>
      </c>
      <c r="D324" s="65" t="n">
        <f aca="false">SABR_Current!AT55</f>
        <v>0.401966254765439</v>
      </c>
      <c r="E324" s="64" t="n">
        <f aca="false">Curves_Current!Q25</f>
        <v>0.957194399871784</v>
      </c>
      <c r="F324" s="64" t="n">
        <f aca="false">Curves_Current!Q26</f>
        <v>0.955788775537166</v>
      </c>
      <c r="G324" s="60" t="n">
        <f aca="false">Curves!E12</f>
        <v>0.967393</v>
      </c>
      <c r="H324" s="60" t="n">
        <f aca="false">Curves!E13</f>
        <v>0.960645</v>
      </c>
      <c r="I324" s="62" t="n">
        <f aca="false">NPV_Engine!$B$4*B324*(C324/NPV_Engine!$B$8)*(1+0.5*(D324-NPV_Engine!$B$13))*(AVERAGE(E324,F324,G324)/B324)*(H324/NPV_Engine!$B$12)</f>
        <v>9611739.136349</v>
      </c>
    </row>
    <row r="325" customFormat="false" ht="15" hidden="false" customHeight="false" outlineLevel="0" collapsed="false">
      <c r="A325" s="63" t="s">
        <v>120</v>
      </c>
      <c r="B325" s="60" t="n">
        <f aca="false">Curves!E8</f>
        <v>0.957768</v>
      </c>
      <c r="C325" s="60" t="n">
        <f aca="false">Curves!E9</f>
        <v>0.96933</v>
      </c>
      <c r="D325" s="65" t="n">
        <f aca="false">SABR_Current!AT69</f>
        <v>0.403399467630506</v>
      </c>
      <c r="E325" s="64" t="n">
        <f aca="false">Curves_Current!Q33</f>
        <v>0.957053949688665</v>
      </c>
      <c r="F325" s="64" t="n">
        <f aca="false">Curves_Current!Q34</f>
        <v>0.952125081208929</v>
      </c>
      <c r="G325" s="60" t="n">
        <f aca="false">Curves!E12</f>
        <v>0.967393</v>
      </c>
      <c r="H325" s="60" t="n">
        <f aca="false">Curves!E13</f>
        <v>0.960645</v>
      </c>
      <c r="I325" s="62" t="n">
        <f aca="false">NPV_Engine!$B$4*B325*(C325/NPV_Engine!$B$8)*(1+0.5*(D325-NPV_Engine!$B$13))*(AVERAGE(E325,F325,G325)/B325)*(H325/NPV_Engine!$B$12)</f>
        <v>9605916.04010456</v>
      </c>
    </row>
    <row r="326" customFormat="false" ht="15" hidden="false" customHeight="false" outlineLevel="0" collapsed="false">
      <c r="A326" s="63" t="s">
        <v>121</v>
      </c>
      <c r="B326" s="60" t="n">
        <f aca="false">Curves!E8</f>
        <v>0.957768</v>
      </c>
      <c r="C326" s="60" t="n">
        <f aca="false">Curves!E9</f>
        <v>0.96933</v>
      </c>
      <c r="D326" s="65" t="n">
        <f aca="false">SABR_Current!AT83</f>
        <v>0.403058235518653</v>
      </c>
      <c r="E326" s="64" t="n">
        <f aca="false">Curves_Current!Q41</f>
        <v>0.957905601234653</v>
      </c>
      <c r="F326" s="64" t="n">
        <f aca="false">Curves_Current!Q42</f>
        <v>0.952092269426374</v>
      </c>
      <c r="G326" s="60" t="n">
        <f aca="false">Curves!E12</f>
        <v>0.967393</v>
      </c>
      <c r="H326" s="60" t="n">
        <f aca="false">Curves!E13</f>
        <v>0.960645</v>
      </c>
      <c r="I326" s="62" t="n">
        <f aca="false">NPV_Engine!$B$4*B326*(C326/NPV_Engine!$B$8)*(1+0.5*(D326-NPV_Engine!$B$13))*(AVERAGE(E326,F326,G326)/B326)*(H326/NPV_Engine!$B$12)</f>
        <v>9607014.01242435</v>
      </c>
    </row>
    <row r="327" customFormat="false" ht="15" hidden="false" customHeight="false" outlineLevel="0" collapsed="false">
      <c r="A327" s="63" t="s">
        <v>122</v>
      </c>
      <c r="B327" s="60" t="n">
        <f aca="false">Curves!E8</f>
        <v>0.957768</v>
      </c>
      <c r="C327" s="60" t="n">
        <f aca="false">Curves!E9</f>
        <v>0.96933</v>
      </c>
      <c r="D327" s="65" t="n">
        <f aca="false">SABR_Current!AT97</f>
        <v>0.40490082175243</v>
      </c>
      <c r="E327" s="64" t="n">
        <f aca="false">Curves_Current!Q49</f>
        <v>0.958377026624332</v>
      </c>
      <c r="F327" s="64" t="n">
        <f aca="false">Curves_Current!Q50</f>
        <v>0.951657571221878</v>
      </c>
      <c r="G327" s="60" t="n">
        <f aca="false">Curves!E12</f>
        <v>0.967393</v>
      </c>
      <c r="H327" s="60" t="n">
        <f aca="false">Curves!E13</f>
        <v>0.960645</v>
      </c>
      <c r="I327" s="62" t="n">
        <f aca="false">NPV_Engine!$B$4*B327*(C327/NPV_Engine!$B$8)*(1+0.5*(D327-NPV_Engine!$B$13))*(AVERAGE(E327,F327,G327)/B327)*(H327/NPV_Engine!$B$12)</f>
        <v>9615973.15104663</v>
      </c>
    </row>
    <row r="328" customFormat="false" ht="15" hidden="false" customHeight="false" outlineLevel="0" collapsed="false">
      <c r="A328" s="63" t="s">
        <v>123</v>
      </c>
      <c r="B328" s="60" t="n">
        <f aca="false">Curves!E8</f>
        <v>0.957768</v>
      </c>
      <c r="C328" s="60" t="n">
        <f aca="false">Curves!E9</f>
        <v>0.96933</v>
      </c>
      <c r="D328" s="65" t="n">
        <f aca="false">SABR_Current!AT111</f>
        <v>0.403945427249027</v>
      </c>
      <c r="E328" s="64" t="n">
        <f aca="false">Curves_Current!Q57</f>
        <v>0.956515327373862</v>
      </c>
      <c r="F328" s="64" t="n">
        <f aca="false">Curves_Current!Q58</f>
        <v>0.951467522241567</v>
      </c>
      <c r="G328" s="60" t="n">
        <f aca="false">Curves!E12</f>
        <v>0.967393</v>
      </c>
      <c r="H328" s="60" t="n">
        <f aca="false">Curves!E13</f>
        <v>0.960645</v>
      </c>
      <c r="I328" s="62" t="n">
        <f aca="false">NPV_Engine!$B$4*B328*(C328/NPV_Engine!$B$8)*(1+0.5*(D328-NPV_Engine!$B$13))*(AVERAGE(E328,F328,G328)/B328)*(H328/NPV_Engine!$B$12)</f>
        <v>9604537.95599387</v>
      </c>
    </row>
    <row r="329" customFormat="false" ht="15" hidden="false" customHeight="false" outlineLevel="0" collapsed="false">
      <c r="A329" s="63" t="s">
        <v>124</v>
      </c>
      <c r="B329" s="60" t="n">
        <f aca="false">Curves!E8</f>
        <v>0.957768</v>
      </c>
      <c r="C329" s="60" t="n">
        <f aca="false">Curves!E9</f>
        <v>0.96933</v>
      </c>
      <c r="D329" s="65" t="n">
        <f aca="false">SABR_Current!AT125</f>
        <v>0.405378502381195</v>
      </c>
      <c r="E329" s="64" t="n">
        <f aca="false">Curves_Current!Q65</f>
        <v>0.956295155645531</v>
      </c>
      <c r="F329" s="64" t="n">
        <f aca="false">Curves_Current!Q66</f>
        <v>0.951090646612669</v>
      </c>
      <c r="G329" s="60" t="n">
        <f aca="false">Curves!E12</f>
        <v>0.967393</v>
      </c>
      <c r="H329" s="60" t="n">
        <f aca="false">Curves!E13</f>
        <v>0.960645</v>
      </c>
      <c r="I329" s="62" t="n">
        <f aca="false">NPV_Engine!$B$4*B329*(C329/NPV_Engine!$B$8)*(1+0.5*(D329-NPV_Engine!$B$13))*(AVERAGE(E329,F329,G329)/B329)*(H329/NPV_Engine!$B$12)</f>
        <v>9609409.94533669</v>
      </c>
    </row>
    <row r="330" customFormat="false" ht="15" hidden="false" customHeight="false" outlineLevel="0" collapsed="false">
      <c r="A330" s="63" t="s">
        <v>125</v>
      </c>
      <c r="B330" s="60" t="n">
        <f aca="false">Curves!E8</f>
        <v>0.957768</v>
      </c>
      <c r="C330" s="60" t="n">
        <f aca="false">Curves!E9</f>
        <v>0.96933</v>
      </c>
      <c r="D330" s="65" t="n">
        <f aca="false">SABR_Current!AT139</f>
        <v>0.406060884055627</v>
      </c>
      <c r="E330" s="64" t="n">
        <f aca="false">Curves_Current!Q73</f>
        <v>0.95613081046933</v>
      </c>
      <c r="F330" s="64" t="n">
        <f aca="false">Curves_Current!Q74</f>
        <v>0.95090077919812</v>
      </c>
      <c r="G330" s="60" t="n">
        <f aca="false">Curves!E12</f>
        <v>0.967393</v>
      </c>
      <c r="H330" s="60" t="n">
        <f aca="false">Curves!E13</f>
        <v>0.960645</v>
      </c>
      <c r="I330" s="62" t="n">
        <f aca="false">NPV_Engine!$B$4*B330*(C330/NPV_Engine!$B$8)*(1+0.5*(D330-NPV_Engine!$B$13))*(AVERAGE(E330,F330,G330)/B330)*(H330/NPV_Engine!$B$12)</f>
        <v>9611495.02395964</v>
      </c>
    </row>
    <row r="331" customFormat="false" ht="15" hidden="false" customHeight="false" outlineLevel="0" collapsed="false">
      <c r="A331" s="63" t="s">
        <v>126</v>
      </c>
      <c r="B331" s="60" t="n">
        <f aca="false">Curves!E8</f>
        <v>0.957768</v>
      </c>
      <c r="C331" s="60" t="n">
        <f aca="false">Curves!E9</f>
        <v>0.96933</v>
      </c>
      <c r="D331" s="65" t="n">
        <f aca="false">SABR_Current!AT153</f>
        <v>0.405514980525381</v>
      </c>
      <c r="E331" s="64" t="n">
        <f aca="false">Curves_Current!Q81</f>
        <v>0.956044396643647</v>
      </c>
      <c r="F331" s="64" t="n">
        <f aca="false">Curves_Current!Q82</f>
        <v>0.952997940377281</v>
      </c>
      <c r="G331" s="60" t="n">
        <f aca="false">Curves!E12</f>
        <v>0.967393</v>
      </c>
      <c r="H331" s="60" t="n">
        <f aca="false">Curves!E13</f>
        <v>0.960645</v>
      </c>
      <c r="I331" s="62" t="n">
        <f aca="false">NPV_Engine!$B$4*B331*(C331/NPV_Engine!$B$8)*(1+0.5*(D331-NPV_Engine!$B$13))*(AVERAGE(E331,F331,G331)/B331)*(H331/NPV_Engine!$B$12)</f>
        <v>9615601.46314468</v>
      </c>
    </row>
    <row r="334" customFormat="false" ht="15" hidden="false" customHeight="false" outlineLevel="0" collapsed="false">
      <c r="A334" s="66" t="s">
        <v>301</v>
      </c>
      <c r="B334" s="66"/>
      <c r="C334" s="66"/>
      <c r="D334" s="66"/>
      <c r="E334" s="66"/>
      <c r="F334" s="66"/>
      <c r="G334" s="66"/>
      <c r="H334" s="66"/>
      <c r="I334" s="66"/>
      <c r="J334" s="58" t="s">
        <v>285</v>
      </c>
    </row>
    <row r="335" customFormat="false" ht="39.55" hidden="false" customHeight="false" outlineLevel="0" collapsed="false">
      <c r="A335" s="22" t="s">
        <v>179</v>
      </c>
      <c r="B335" s="22" t="s">
        <v>180</v>
      </c>
      <c r="C335" s="22" t="s">
        <v>181</v>
      </c>
      <c r="D335" s="22" t="s">
        <v>182</v>
      </c>
      <c r="E335" s="22" t="s">
        <v>183</v>
      </c>
      <c r="F335" s="22" t="s">
        <v>184</v>
      </c>
      <c r="G335" s="22" t="s">
        <v>185</v>
      </c>
      <c r="H335" s="22" t="s">
        <v>186</v>
      </c>
      <c r="I335" s="22" t="s">
        <v>187</v>
      </c>
    </row>
    <row r="336" customFormat="false" ht="15" hidden="false" customHeight="false" outlineLevel="0" collapsed="false">
      <c r="A336" s="59" t="s">
        <v>188</v>
      </c>
      <c r="B336" s="60" t="n">
        <f aca="false">Curves!E8</f>
        <v>0.957768</v>
      </c>
      <c r="C336" s="60" t="n">
        <f aca="false">Curves!E9</f>
        <v>0.96933</v>
      </c>
      <c r="D336" s="61" t="n">
        <f aca="false">SABR!AT10</f>
        <v>0.39978211956629</v>
      </c>
      <c r="E336" s="60" t="n">
        <f aca="false">Curves!E10</f>
        <v>0.958726</v>
      </c>
      <c r="F336" s="60" t="n">
        <f aca="false">Curves!E11</f>
        <v>0.954899</v>
      </c>
      <c r="G336" s="60" t="n">
        <f aca="false">Curves!E12</f>
        <v>0.967393</v>
      </c>
      <c r="H336" s="60" t="n">
        <f aca="false">Curves!E13</f>
        <v>0.960645</v>
      </c>
      <c r="I336" s="62" t="n">
        <f aca="false">NPV_Engine!$B$4*B336*(C336/NPV_Engine!$B$8)*(1+0.5*(D336-NPV_Engine!$B$13))*(AVERAGE(E336,F336,G336)/B336)*(H336/NPV_Engine!$B$12)</f>
        <v>9603393.33333333</v>
      </c>
    </row>
    <row r="337" customFormat="false" ht="15" hidden="false" customHeight="false" outlineLevel="0" collapsed="false">
      <c r="A337" s="63" t="s">
        <v>117</v>
      </c>
      <c r="B337" s="60" t="n">
        <f aca="false">Curves!E8</f>
        <v>0.957768</v>
      </c>
      <c r="C337" s="60" t="n">
        <f aca="false">Curves!E9</f>
        <v>0.96933</v>
      </c>
      <c r="D337" s="65" t="n">
        <f aca="false">SABR_Current!AT27</f>
        <v>0.401693250530639</v>
      </c>
      <c r="E337" s="60" t="n">
        <f aca="false">Curves!E10</f>
        <v>0.958726</v>
      </c>
      <c r="F337" s="64" t="n">
        <f aca="false">Curves_Current!Q10</f>
        <v>0.954165270979805</v>
      </c>
      <c r="G337" s="60" t="n">
        <f aca="false">Curves!E12</f>
        <v>0.967393</v>
      </c>
      <c r="H337" s="60" t="n">
        <f aca="false">Curves!E13</f>
        <v>0.960645</v>
      </c>
      <c r="I337" s="62" t="n">
        <f aca="false">NPV_Engine!$B$4*B337*(C337/NPV_Engine!$B$8)*(1+0.5*(D337-NPV_Engine!$B$13))*(AVERAGE(E337,F337,G337)/B337)*(H337/NPV_Engine!$B$12)</f>
        <v>9610121.90402668</v>
      </c>
    </row>
    <row r="338" customFormat="false" ht="15" hidden="false" customHeight="false" outlineLevel="0" collapsed="false">
      <c r="A338" s="63" t="s">
        <v>118</v>
      </c>
      <c r="B338" s="60" t="n">
        <f aca="false">Curves!E8</f>
        <v>0.957768</v>
      </c>
      <c r="C338" s="60" t="n">
        <f aca="false">Curves!E9</f>
        <v>0.96933</v>
      </c>
      <c r="D338" s="65" t="n">
        <f aca="false">SABR_Current!AT41</f>
        <v>0.401488494979835</v>
      </c>
      <c r="E338" s="60" t="n">
        <f aca="false">Curves!E10</f>
        <v>0.958726</v>
      </c>
      <c r="F338" s="64" t="n">
        <f aca="false">Curves_Current!Q18</f>
        <v>0.952882762555419</v>
      </c>
      <c r="G338" s="60" t="n">
        <f aca="false">Curves!E12</f>
        <v>0.967393</v>
      </c>
      <c r="H338" s="60" t="n">
        <f aca="false">Curves!E13</f>
        <v>0.960645</v>
      </c>
      <c r="I338" s="62" t="n">
        <f aca="false">NPV_Engine!$B$4*B338*(C338/NPV_Engine!$B$8)*(1+0.5*(D338-NPV_Engine!$B$13))*(AVERAGE(E338,F338,G338)/B338)*(H338/NPV_Engine!$B$12)</f>
        <v>9604860.30489002</v>
      </c>
    </row>
    <row r="339" customFormat="false" ht="15" hidden="false" customHeight="false" outlineLevel="0" collapsed="false">
      <c r="A339" s="63" t="s">
        <v>119</v>
      </c>
      <c r="B339" s="60" t="n">
        <f aca="false">Curves!E8</f>
        <v>0.957768</v>
      </c>
      <c r="C339" s="60" t="n">
        <f aca="false">Curves!E9</f>
        <v>0.96933</v>
      </c>
      <c r="D339" s="65" t="n">
        <f aca="false">SABR_Current!AT55</f>
        <v>0.401966254765439</v>
      </c>
      <c r="E339" s="60" t="n">
        <f aca="false">Curves!E10</f>
        <v>0.958726</v>
      </c>
      <c r="F339" s="64" t="n">
        <f aca="false">Curves_Current!Q26</f>
        <v>0.955788775537166</v>
      </c>
      <c r="G339" s="60" t="n">
        <f aca="false">Curves!E12</f>
        <v>0.967393</v>
      </c>
      <c r="H339" s="60" t="n">
        <f aca="false">Curves!E13</f>
        <v>0.960645</v>
      </c>
      <c r="I339" s="62" t="n">
        <f aca="false">NPV_Engine!$B$4*B339*(C339/NPV_Engine!$B$8)*(1+0.5*(D339-NPV_Engine!$B$13))*(AVERAGE(E339,F339,G339)/B339)*(H339/NPV_Engine!$B$12)</f>
        <v>9616850.0454793</v>
      </c>
    </row>
    <row r="340" customFormat="false" ht="15" hidden="false" customHeight="false" outlineLevel="0" collapsed="false">
      <c r="A340" s="63" t="s">
        <v>120</v>
      </c>
      <c r="B340" s="60" t="n">
        <f aca="false">Curves!E8</f>
        <v>0.957768</v>
      </c>
      <c r="C340" s="60" t="n">
        <f aca="false">Curves!E9</f>
        <v>0.96933</v>
      </c>
      <c r="D340" s="65" t="n">
        <f aca="false">SABR_Current!AT69</f>
        <v>0.403399467630506</v>
      </c>
      <c r="E340" s="60" t="n">
        <f aca="false">Curves!E10</f>
        <v>0.958726</v>
      </c>
      <c r="F340" s="64" t="n">
        <f aca="false">Curves_Current!Q34</f>
        <v>0.952125081208929</v>
      </c>
      <c r="G340" s="60" t="n">
        <f aca="false">Curves!E12</f>
        <v>0.967393</v>
      </c>
      <c r="H340" s="60" t="n">
        <f aca="false">Curves!E13</f>
        <v>0.960645</v>
      </c>
      <c r="I340" s="62" t="n">
        <f aca="false">NPV_Engine!$B$4*B340*(C340/NPV_Engine!$B$8)*(1+0.5*(D340-NPV_Engine!$B$13))*(AVERAGE(E340,F340,G340)/B340)*(H340/NPV_Engine!$B$12)</f>
        <v>9611499.62178893</v>
      </c>
    </row>
    <row r="341" customFormat="false" ht="15" hidden="false" customHeight="false" outlineLevel="0" collapsed="false">
      <c r="A341" s="63" t="s">
        <v>121</v>
      </c>
      <c r="B341" s="60" t="n">
        <f aca="false">Curves!E8</f>
        <v>0.957768</v>
      </c>
      <c r="C341" s="60" t="n">
        <f aca="false">Curves!E9</f>
        <v>0.96933</v>
      </c>
      <c r="D341" s="65" t="n">
        <f aca="false">SABR_Current!AT83</f>
        <v>0.403058235518653</v>
      </c>
      <c r="E341" s="60" t="n">
        <f aca="false">Curves!E10</f>
        <v>0.958726</v>
      </c>
      <c r="F341" s="64" t="n">
        <f aca="false">Curves_Current!Q42</f>
        <v>0.952092269426374</v>
      </c>
      <c r="G341" s="60" t="n">
        <f aca="false">Curves!E12</f>
        <v>0.967393</v>
      </c>
      <c r="H341" s="60" t="n">
        <f aca="false">Curves!E13</f>
        <v>0.960645</v>
      </c>
      <c r="I341" s="62" t="n">
        <f aca="false">NPV_Engine!$B$4*B341*(C341/NPV_Engine!$B$8)*(1+0.5*(D341-NPV_Engine!$B$13))*(AVERAGE(E341,F341,G341)/B341)*(H341/NPV_Engine!$B$12)</f>
        <v>9609753.15451131</v>
      </c>
    </row>
    <row r="342" customFormat="false" ht="15" hidden="false" customHeight="false" outlineLevel="0" collapsed="false">
      <c r="A342" s="63" t="s">
        <v>122</v>
      </c>
      <c r="B342" s="60" t="n">
        <f aca="false">Curves!E8</f>
        <v>0.957768</v>
      </c>
      <c r="C342" s="60" t="n">
        <f aca="false">Curves!E9</f>
        <v>0.96933</v>
      </c>
      <c r="D342" s="65" t="n">
        <f aca="false">SABR_Current!AT97</f>
        <v>0.40490082175243</v>
      </c>
      <c r="E342" s="60" t="n">
        <f aca="false">Curves!E10</f>
        <v>0.958726</v>
      </c>
      <c r="F342" s="64" t="n">
        <f aca="false">Curves_Current!Q50</f>
        <v>0.951657571221878</v>
      </c>
      <c r="G342" s="60" t="n">
        <f aca="false">Curves!E12</f>
        <v>0.967393</v>
      </c>
      <c r="H342" s="60" t="n">
        <f aca="false">Curves!E13</f>
        <v>0.960645</v>
      </c>
      <c r="I342" s="62" t="n">
        <f aca="false">NPV_Engine!$B$4*B342*(C342/NPV_Engine!$B$8)*(1+0.5*(D342-NPV_Engine!$B$13))*(AVERAGE(E342,F342,G342)/B342)*(H342/NPV_Engine!$B$12)</f>
        <v>9617139.37278349</v>
      </c>
    </row>
    <row r="343" customFormat="false" ht="15" hidden="false" customHeight="false" outlineLevel="0" collapsed="false">
      <c r="A343" s="63" t="s">
        <v>123</v>
      </c>
      <c r="B343" s="60" t="n">
        <f aca="false">Curves!E8</f>
        <v>0.957768</v>
      </c>
      <c r="C343" s="60" t="n">
        <f aca="false">Curves!E9</f>
        <v>0.96933</v>
      </c>
      <c r="D343" s="65" t="n">
        <f aca="false">SABR_Current!AT111</f>
        <v>0.403945427249027</v>
      </c>
      <c r="E343" s="60" t="n">
        <f aca="false">Curves!E10</f>
        <v>0.958726</v>
      </c>
      <c r="F343" s="64" t="n">
        <f aca="false">Curves_Current!Q58</f>
        <v>0.951467522241567</v>
      </c>
      <c r="G343" s="60" t="n">
        <f aca="false">Curves!E12</f>
        <v>0.967393</v>
      </c>
      <c r="H343" s="60" t="n">
        <f aca="false">Curves!E13</f>
        <v>0.960645</v>
      </c>
      <c r="I343" s="62" t="n">
        <f aca="false">NPV_Engine!$B$4*B343*(C343/NPV_Engine!$B$8)*(1+0.5*(D343-NPV_Engine!$B$13))*(AVERAGE(E343,F343,G343)/B343)*(H343/NPV_Engine!$B$12)</f>
        <v>9611922.20426487</v>
      </c>
    </row>
    <row r="344" customFormat="false" ht="15" hidden="false" customHeight="false" outlineLevel="0" collapsed="false">
      <c r="A344" s="63" t="s">
        <v>124</v>
      </c>
      <c r="B344" s="60" t="n">
        <f aca="false">Curves!E8</f>
        <v>0.957768</v>
      </c>
      <c r="C344" s="60" t="n">
        <f aca="false">Curves!E9</f>
        <v>0.96933</v>
      </c>
      <c r="D344" s="65" t="n">
        <f aca="false">SABR_Current!AT125</f>
        <v>0.405378502381195</v>
      </c>
      <c r="E344" s="60" t="n">
        <f aca="false">Curves!E10</f>
        <v>0.958726</v>
      </c>
      <c r="F344" s="64" t="n">
        <f aca="false">Curves_Current!Q66</f>
        <v>0.951090646612669</v>
      </c>
      <c r="G344" s="60" t="n">
        <f aca="false">Curves!E12</f>
        <v>0.967393</v>
      </c>
      <c r="H344" s="60" t="n">
        <f aca="false">Curves!E13</f>
        <v>0.960645</v>
      </c>
      <c r="I344" s="62" t="n">
        <f aca="false">NPV_Engine!$B$4*B344*(C344/NPV_Engine!$B$8)*(1+0.5*(D344-NPV_Engine!$B$13))*(AVERAGE(E344,F344,G344)/B344)*(H344/NPV_Engine!$B$12)</f>
        <v>9617535.43307753</v>
      </c>
    </row>
    <row r="345" customFormat="false" ht="15" hidden="false" customHeight="false" outlineLevel="0" collapsed="false">
      <c r="A345" s="63" t="s">
        <v>125</v>
      </c>
      <c r="B345" s="60" t="n">
        <f aca="false">Curves!E8</f>
        <v>0.957768</v>
      </c>
      <c r="C345" s="60" t="n">
        <f aca="false">Curves!E9</f>
        <v>0.96933</v>
      </c>
      <c r="D345" s="65" t="n">
        <f aca="false">SABR_Current!AT139</f>
        <v>0.406060884055627</v>
      </c>
      <c r="E345" s="60" t="n">
        <f aca="false">Curves!E10</f>
        <v>0.958726</v>
      </c>
      <c r="F345" s="64" t="n">
        <f aca="false">Curves_Current!Q74</f>
        <v>0.95090077919812</v>
      </c>
      <c r="G345" s="60" t="n">
        <f aca="false">Curves!E12</f>
        <v>0.967393</v>
      </c>
      <c r="H345" s="60" t="n">
        <f aca="false">Curves!E13</f>
        <v>0.960645</v>
      </c>
      <c r="I345" s="62" t="n">
        <f aca="false">NPV_Engine!$B$4*B345*(C345/NPV_Engine!$B$8)*(1+0.5*(D345-NPV_Engine!$B$13))*(AVERAGE(E345,F345,G345)/B345)*(H345/NPV_Engine!$B$12)</f>
        <v>9620172.81336832</v>
      </c>
    </row>
    <row r="346" customFormat="false" ht="15" hidden="false" customHeight="false" outlineLevel="0" collapsed="false">
      <c r="A346" s="63" t="s">
        <v>126</v>
      </c>
      <c r="B346" s="60" t="n">
        <f aca="false">Curves!E8</f>
        <v>0.957768</v>
      </c>
      <c r="C346" s="60" t="n">
        <f aca="false">Curves!E9</f>
        <v>0.96933</v>
      </c>
      <c r="D346" s="65" t="n">
        <f aca="false">SABR_Current!AT153</f>
        <v>0.405514980525381</v>
      </c>
      <c r="E346" s="60" t="n">
        <f aca="false">Curves!E10</f>
        <v>0.958726</v>
      </c>
      <c r="F346" s="64" t="n">
        <f aca="false">Curves_Current!Q82</f>
        <v>0.952997940377281</v>
      </c>
      <c r="G346" s="60" t="n">
        <f aca="false">Curves!E12</f>
        <v>0.967393</v>
      </c>
      <c r="H346" s="60" t="n">
        <f aca="false">Curves!E13</f>
        <v>0.960645</v>
      </c>
      <c r="I346" s="62" t="n">
        <f aca="false">NPV_Engine!$B$4*B346*(C346/NPV_Engine!$B$8)*(1+0.5*(D346-NPV_Engine!$B$13))*(AVERAGE(E346,F346,G346)/B346)*(H346/NPV_Engine!$B$12)</f>
        <v>9624565.76309784</v>
      </c>
    </row>
    <row r="349" customFormat="false" ht="15" hidden="false" customHeight="false" outlineLevel="0" collapsed="false">
      <c r="A349" s="66" t="s">
        <v>302</v>
      </c>
      <c r="B349" s="66"/>
      <c r="C349" s="66"/>
      <c r="D349" s="66"/>
      <c r="E349" s="66"/>
      <c r="F349" s="66"/>
      <c r="G349" s="66"/>
      <c r="H349" s="66"/>
      <c r="I349" s="66"/>
      <c r="J349" s="58" t="s">
        <v>275</v>
      </c>
    </row>
    <row r="350" customFormat="false" ht="39.55" hidden="false" customHeight="false" outlineLevel="0" collapsed="false">
      <c r="A350" s="22" t="s">
        <v>179</v>
      </c>
      <c r="B350" s="22" t="s">
        <v>180</v>
      </c>
      <c r="C350" s="22" t="s">
        <v>181</v>
      </c>
      <c r="D350" s="22" t="s">
        <v>182</v>
      </c>
      <c r="E350" s="22" t="s">
        <v>183</v>
      </c>
      <c r="F350" s="22" t="s">
        <v>184</v>
      </c>
      <c r="G350" s="22" t="s">
        <v>185</v>
      </c>
      <c r="H350" s="22" t="s">
        <v>186</v>
      </c>
      <c r="I350" s="22" t="s">
        <v>187</v>
      </c>
    </row>
    <row r="351" customFormat="false" ht="15" hidden="false" customHeight="false" outlineLevel="0" collapsed="false">
      <c r="A351" s="59" t="s">
        <v>188</v>
      </c>
      <c r="B351" s="60" t="n">
        <f aca="false">Curves!E8</f>
        <v>0.957768</v>
      </c>
      <c r="C351" s="60" t="n">
        <f aca="false">Curves!E9</f>
        <v>0.96933</v>
      </c>
      <c r="D351" s="61" t="n">
        <f aca="false">SABR!AT10</f>
        <v>0.39978211956629</v>
      </c>
      <c r="E351" s="60" t="n">
        <f aca="false">Curves!E10</f>
        <v>0.958726</v>
      </c>
      <c r="F351" s="60" t="n">
        <f aca="false">Curves!E11</f>
        <v>0.954899</v>
      </c>
      <c r="G351" s="60" t="n">
        <f aca="false">Curves!E12</f>
        <v>0.967393</v>
      </c>
      <c r="H351" s="60" t="n">
        <f aca="false">Curves!E13</f>
        <v>0.960645</v>
      </c>
      <c r="I351" s="62" t="n">
        <f aca="false">NPV_Engine!$B$4*B351*(C351/NPV_Engine!$B$8)*(1+0.5*(D351-NPV_Engine!$B$13))*(AVERAGE(E351,F351,G351)/B351)*(H351/NPV_Engine!$B$12)</f>
        <v>9603393.33333333</v>
      </c>
    </row>
    <row r="352" customFormat="false" ht="15" hidden="false" customHeight="false" outlineLevel="0" collapsed="false">
      <c r="A352" s="63" t="s">
        <v>117</v>
      </c>
      <c r="B352" s="60" t="n">
        <f aca="false">Curves!E8</f>
        <v>0.957768</v>
      </c>
      <c r="C352" s="60" t="n">
        <f aca="false">Curves!E9</f>
        <v>0.96933</v>
      </c>
      <c r="D352" s="65" t="n">
        <f aca="false">SABR_Current!AT27</f>
        <v>0.401693250530639</v>
      </c>
      <c r="E352" s="60" t="n">
        <f aca="false">Curves!E10</f>
        <v>0.958726</v>
      </c>
      <c r="F352" s="60" t="n">
        <f aca="false">Curves!E11</f>
        <v>0.954899</v>
      </c>
      <c r="G352" s="60" t="n">
        <f aca="false">Curves!E12</f>
        <v>0.967393</v>
      </c>
      <c r="H352" s="60" t="n">
        <f aca="false">Curves!E13</f>
        <v>0.960645</v>
      </c>
      <c r="I352" s="62" t="n">
        <f aca="false">NPV_Engine!$B$4*B352*(C352/NPV_Engine!$B$8)*(1+0.5*(D352-NPV_Engine!$B$13))*(AVERAGE(E352,F352,G352)/B352)*(H352/NPV_Engine!$B$12)</f>
        <v>9612570.00451442</v>
      </c>
    </row>
    <row r="353" customFormat="false" ht="15" hidden="false" customHeight="false" outlineLevel="0" collapsed="false">
      <c r="A353" s="63" t="s">
        <v>118</v>
      </c>
      <c r="B353" s="60" t="n">
        <f aca="false">Curves!E8</f>
        <v>0.957768</v>
      </c>
      <c r="C353" s="60" t="n">
        <f aca="false">Curves!E9</f>
        <v>0.96933</v>
      </c>
      <c r="D353" s="65" t="n">
        <f aca="false">SABR_Current!AT41</f>
        <v>0.401488494979835</v>
      </c>
      <c r="E353" s="60" t="n">
        <f aca="false">Curves!E10</f>
        <v>0.958726</v>
      </c>
      <c r="F353" s="60" t="n">
        <f aca="false">Curves!E11</f>
        <v>0.954899</v>
      </c>
      <c r="G353" s="60" t="n">
        <f aca="false">Curves!E12</f>
        <v>0.967393</v>
      </c>
      <c r="H353" s="60" t="n">
        <f aca="false">Curves!E13</f>
        <v>0.960645</v>
      </c>
      <c r="I353" s="62" t="n">
        <f aca="false">NPV_Engine!$B$4*B353*(C353/NPV_Engine!$B$8)*(1+0.5*(D353-NPV_Engine!$B$13))*(AVERAGE(E353,F353,G353)/B353)*(H353/NPV_Engine!$B$12)</f>
        <v>9611586.83046863</v>
      </c>
    </row>
    <row r="354" customFormat="false" ht="15" hidden="false" customHeight="false" outlineLevel="0" collapsed="false">
      <c r="A354" s="63" t="s">
        <v>119</v>
      </c>
      <c r="B354" s="60" t="n">
        <f aca="false">Curves!E8</f>
        <v>0.957768</v>
      </c>
      <c r="C354" s="60" t="n">
        <f aca="false">Curves!E9</f>
        <v>0.96933</v>
      </c>
      <c r="D354" s="65" t="n">
        <f aca="false">SABR_Current!AT55</f>
        <v>0.401966254765439</v>
      </c>
      <c r="E354" s="60" t="n">
        <f aca="false">Curves!E10</f>
        <v>0.958726</v>
      </c>
      <c r="F354" s="60" t="n">
        <f aca="false">Curves!E11</f>
        <v>0.954899</v>
      </c>
      <c r="G354" s="60" t="n">
        <f aca="false">Curves!E12</f>
        <v>0.967393</v>
      </c>
      <c r="H354" s="60" t="n">
        <f aca="false">Curves!E13</f>
        <v>0.960645</v>
      </c>
      <c r="I354" s="62" t="n">
        <f aca="false">NPV_Engine!$B$4*B354*(C354/NPV_Engine!$B$8)*(1+0.5*(D354-NPV_Engine!$B$13))*(AVERAGE(E354,F354,G354)/B354)*(H354/NPV_Engine!$B$12)</f>
        <v>9613880.88803864</v>
      </c>
    </row>
    <row r="355" customFormat="false" ht="15" hidden="false" customHeight="false" outlineLevel="0" collapsed="false">
      <c r="A355" s="63" t="s">
        <v>120</v>
      </c>
      <c r="B355" s="60" t="n">
        <f aca="false">Curves!E8</f>
        <v>0.957768</v>
      </c>
      <c r="C355" s="60" t="n">
        <f aca="false">Curves!E9</f>
        <v>0.96933</v>
      </c>
      <c r="D355" s="65" t="n">
        <f aca="false">SABR_Current!AT69</f>
        <v>0.403399467630506</v>
      </c>
      <c r="E355" s="60" t="n">
        <f aca="false">Curves!E10</f>
        <v>0.958726</v>
      </c>
      <c r="F355" s="60" t="n">
        <f aca="false">Curves!E11</f>
        <v>0.954899</v>
      </c>
      <c r="G355" s="60" t="n">
        <f aca="false">Curves!E12</f>
        <v>0.967393</v>
      </c>
      <c r="H355" s="60" t="n">
        <f aca="false">Curves!E13</f>
        <v>0.960645</v>
      </c>
      <c r="I355" s="62" t="n">
        <f aca="false">NPV_Engine!$B$4*B355*(C355/NPV_Engine!$B$8)*(1+0.5*(D355-NPV_Engine!$B$13))*(AVERAGE(E355,F355,G355)/B355)*(H355/NPV_Engine!$B$12)</f>
        <v>9620762.74147545</v>
      </c>
    </row>
    <row r="356" customFormat="false" ht="15" hidden="false" customHeight="false" outlineLevel="0" collapsed="false">
      <c r="A356" s="63" t="s">
        <v>121</v>
      </c>
      <c r="B356" s="60" t="n">
        <f aca="false">Curves!E8</f>
        <v>0.957768</v>
      </c>
      <c r="C356" s="60" t="n">
        <f aca="false">Curves!E9</f>
        <v>0.96933</v>
      </c>
      <c r="D356" s="65" t="n">
        <f aca="false">SABR_Current!AT83</f>
        <v>0.403058235518653</v>
      </c>
      <c r="E356" s="60" t="n">
        <f aca="false">Curves!E10</f>
        <v>0.958726</v>
      </c>
      <c r="F356" s="60" t="n">
        <f aca="false">Curves!E11</f>
        <v>0.954899</v>
      </c>
      <c r="G356" s="60" t="n">
        <f aca="false">Curves!E12</f>
        <v>0.967393</v>
      </c>
      <c r="H356" s="60" t="n">
        <f aca="false">Curves!E13</f>
        <v>0.960645</v>
      </c>
      <c r="I356" s="62" t="n">
        <f aca="false">NPV_Engine!$B$4*B356*(C356/NPV_Engine!$B$8)*(1+0.5*(D356-NPV_Engine!$B$13))*(AVERAGE(E356,F356,G356)/B356)*(H356/NPV_Engine!$B$12)</f>
        <v>9619124.24838141</v>
      </c>
    </row>
    <row r="357" customFormat="false" ht="15" hidden="false" customHeight="false" outlineLevel="0" collapsed="false">
      <c r="A357" s="63" t="s">
        <v>122</v>
      </c>
      <c r="B357" s="60" t="n">
        <f aca="false">Curves!E8</f>
        <v>0.957768</v>
      </c>
      <c r="C357" s="60" t="n">
        <f aca="false">Curves!E9</f>
        <v>0.96933</v>
      </c>
      <c r="D357" s="65" t="n">
        <f aca="false">SABR_Current!AT97</f>
        <v>0.40490082175243</v>
      </c>
      <c r="E357" s="60" t="n">
        <f aca="false">Curves!E10</f>
        <v>0.958726</v>
      </c>
      <c r="F357" s="60" t="n">
        <f aca="false">Curves!E11</f>
        <v>0.954899</v>
      </c>
      <c r="G357" s="60" t="n">
        <f aca="false">Curves!E12</f>
        <v>0.967393</v>
      </c>
      <c r="H357" s="60" t="n">
        <f aca="false">Curves!E13</f>
        <v>0.960645</v>
      </c>
      <c r="I357" s="62" t="n">
        <f aca="false">NPV_Engine!$B$4*B357*(C357/NPV_Engine!$B$8)*(1+0.5*(D357-NPV_Engine!$B$13))*(AVERAGE(E357,F357,G357)/B357)*(H357/NPV_Engine!$B$12)</f>
        <v>9627971.78855818</v>
      </c>
    </row>
    <row r="358" customFormat="false" ht="15" hidden="false" customHeight="false" outlineLevel="0" collapsed="false">
      <c r="A358" s="63" t="s">
        <v>123</v>
      </c>
      <c r="B358" s="60" t="n">
        <f aca="false">Curves!E8</f>
        <v>0.957768</v>
      </c>
      <c r="C358" s="60" t="n">
        <f aca="false">Curves!E9</f>
        <v>0.96933</v>
      </c>
      <c r="D358" s="65" t="n">
        <f aca="false">SABR_Current!AT111</f>
        <v>0.403945427249027</v>
      </c>
      <c r="E358" s="60" t="n">
        <f aca="false">Curves!E10</f>
        <v>0.958726</v>
      </c>
      <c r="F358" s="60" t="n">
        <f aca="false">Curves!E11</f>
        <v>0.954899</v>
      </c>
      <c r="G358" s="60" t="n">
        <f aca="false">Curves!E12</f>
        <v>0.967393</v>
      </c>
      <c r="H358" s="60" t="n">
        <f aca="false">Curves!E13</f>
        <v>0.960645</v>
      </c>
      <c r="I358" s="62" t="n">
        <f aca="false">NPV_Engine!$B$4*B358*(C358/NPV_Engine!$B$8)*(1+0.5*(D358-NPV_Engine!$B$13))*(AVERAGE(E358,F358,G358)/B358)*(H358/NPV_Engine!$B$12)</f>
        <v>9623384.27395584</v>
      </c>
    </row>
    <row r="359" customFormat="false" ht="15" hidden="false" customHeight="false" outlineLevel="0" collapsed="false">
      <c r="A359" s="63" t="s">
        <v>124</v>
      </c>
      <c r="B359" s="60" t="n">
        <f aca="false">Curves!E8</f>
        <v>0.957768</v>
      </c>
      <c r="C359" s="60" t="n">
        <f aca="false">Curves!E9</f>
        <v>0.96933</v>
      </c>
      <c r="D359" s="65" t="n">
        <f aca="false">SABR_Current!AT125</f>
        <v>0.405378502381195</v>
      </c>
      <c r="E359" s="60" t="n">
        <f aca="false">Curves!E10</f>
        <v>0.958726</v>
      </c>
      <c r="F359" s="60" t="n">
        <f aca="false">Curves!E11</f>
        <v>0.954899</v>
      </c>
      <c r="G359" s="60" t="n">
        <f aca="false">Curves!E12</f>
        <v>0.967393</v>
      </c>
      <c r="H359" s="60" t="n">
        <f aca="false">Curves!E13</f>
        <v>0.960645</v>
      </c>
      <c r="I359" s="62" t="n">
        <f aca="false">NPV_Engine!$B$4*B359*(C359/NPV_Engine!$B$8)*(1+0.5*(D359-NPV_Engine!$B$13))*(AVERAGE(E359,F359,G359)/B359)*(H359/NPV_Engine!$B$12)</f>
        <v>9630265.46604105</v>
      </c>
    </row>
    <row r="360" customFormat="false" ht="15" hidden="false" customHeight="false" outlineLevel="0" collapsed="false">
      <c r="A360" s="63" t="s">
        <v>125</v>
      </c>
      <c r="B360" s="60" t="n">
        <f aca="false">Curves!E8</f>
        <v>0.957768</v>
      </c>
      <c r="C360" s="60" t="n">
        <f aca="false">Curves!E9</f>
        <v>0.96933</v>
      </c>
      <c r="D360" s="65" t="n">
        <f aca="false">SABR_Current!AT139</f>
        <v>0.406060884055627</v>
      </c>
      <c r="E360" s="60" t="n">
        <f aca="false">Curves!E10</f>
        <v>0.958726</v>
      </c>
      <c r="F360" s="60" t="n">
        <f aca="false">Curves!E11</f>
        <v>0.954899</v>
      </c>
      <c r="G360" s="60" t="n">
        <f aca="false">Curves!E12</f>
        <v>0.967393</v>
      </c>
      <c r="H360" s="60" t="n">
        <f aca="false">Curves!E13</f>
        <v>0.960645</v>
      </c>
      <c r="I360" s="62" t="n">
        <f aca="false">NPV_Engine!$B$4*B360*(C360/NPV_Engine!$B$8)*(1+0.5*(D360-NPV_Engine!$B$13))*(AVERAGE(E360,F360,G360)/B360)*(H360/NPV_Engine!$B$12)</f>
        <v>9633542.05585257</v>
      </c>
    </row>
    <row r="361" customFormat="false" ht="15" hidden="false" customHeight="false" outlineLevel="0" collapsed="false">
      <c r="A361" s="63" t="s">
        <v>126</v>
      </c>
      <c r="B361" s="60" t="n">
        <f aca="false">Curves!E8</f>
        <v>0.957768</v>
      </c>
      <c r="C361" s="60" t="n">
        <f aca="false">Curves!E9</f>
        <v>0.96933</v>
      </c>
      <c r="D361" s="65" t="n">
        <f aca="false">SABR_Current!AT153</f>
        <v>0.405514980525381</v>
      </c>
      <c r="E361" s="60" t="n">
        <f aca="false">Curves!E10</f>
        <v>0.958726</v>
      </c>
      <c r="F361" s="60" t="n">
        <f aca="false">Curves!E11</f>
        <v>0.954899</v>
      </c>
      <c r="G361" s="60" t="n">
        <f aca="false">Curves!E12</f>
        <v>0.967393</v>
      </c>
      <c r="H361" s="60" t="n">
        <f aca="false">Curves!E13</f>
        <v>0.960645</v>
      </c>
      <c r="I361" s="62" t="n">
        <f aca="false">NPV_Engine!$B$4*B361*(C361/NPV_Engine!$B$8)*(1+0.5*(D361-NPV_Engine!$B$13))*(AVERAGE(E361,F361,G361)/B361)*(H361/NPV_Engine!$B$12)</f>
        <v>9630920.79269106</v>
      </c>
    </row>
    <row r="364" customFormat="false" ht="15" hidden="false" customHeight="false" outlineLevel="0" collapsed="false">
      <c r="A364" s="67" t="s">
        <v>303</v>
      </c>
      <c r="B364" s="67"/>
      <c r="C364" s="67"/>
      <c r="D364" s="67"/>
      <c r="E364" s="67"/>
      <c r="F364" s="67"/>
      <c r="G364" s="67"/>
      <c r="H364" s="67"/>
      <c r="I364" s="67"/>
      <c r="J364" s="58" t="s">
        <v>304</v>
      </c>
    </row>
    <row r="365" customFormat="false" ht="39.55" hidden="false" customHeight="false" outlineLevel="0" collapsed="false">
      <c r="A365" s="22" t="s">
        <v>179</v>
      </c>
      <c r="B365" s="22" t="s">
        <v>180</v>
      </c>
      <c r="C365" s="22" t="s">
        <v>181</v>
      </c>
      <c r="D365" s="22" t="s">
        <v>182</v>
      </c>
      <c r="E365" s="22" t="s">
        <v>183</v>
      </c>
      <c r="F365" s="22" t="s">
        <v>184</v>
      </c>
      <c r="G365" s="22" t="s">
        <v>185</v>
      </c>
      <c r="H365" s="22" t="s">
        <v>186</v>
      </c>
      <c r="I365" s="22" t="s">
        <v>187</v>
      </c>
    </row>
    <row r="366" customFormat="false" ht="15" hidden="false" customHeight="false" outlineLevel="0" collapsed="false">
      <c r="A366" s="59" t="s">
        <v>188</v>
      </c>
      <c r="B366" s="60" t="n">
        <f aca="false">Curves!E8</f>
        <v>0.957768</v>
      </c>
      <c r="C366" s="60" t="n">
        <f aca="false">Curves!E9</f>
        <v>0.96933</v>
      </c>
      <c r="D366" s="61" t="n">
        <f aca="false">SABR!AT10</f>
        <v>0.39978211956629</v>
      </c>
      <c r="E366" s="60" t="n">
        <f aca="false">Curves!E10</f>
        <v>0.958726</v>
      </c>
      <c r="F366" s="60" t="n">
        <f aca="false">Curves!E11</f>
        <v>0.954899</v>
      </c>
      <c r="G366" s="60" t="n">
        <f aca="false">Curves!E12</f>
        <v>0.967393</v>
      </c>
      <c r="H366" s="60" t="n">
        <f aca="false">Curves!E13</f>
        <v>0.960645</v>
      </c>
      <c r="I366" s="62" t="n">
        <f aca="false">NPV_Engine!$B$4*B366*(C366/NPV_Engine!$B$8)*(1+0.5*(D366-NPV_Engine!$B$13))*(AVERAGE(E366,F366,G366)/B366)*(H366/NPV_Engine!$B$12)</f>
        <v>9603393.33333333</v>
      </c>
    </row>
    <row r="367" customFormat="false" ht="15" hidden="false" customHeight="false" outlineLevel="0" collapsed="false">
      <c r="A367" s="63" t="s">
        <v>117</v>
      </c>
      <c r="B367" s="60" t="n">
        <f aca="false">Curves!E8</f>
        <v>0.957768</v>
      </c>
      <c r="C367" s="60" t="n">
        <f aca="false">Curves!E9</f>
        <v>0.96933</v>
      </c>
      <c r="D367" s="61" t="n">
        <f aca="false">SABR!AT10</f>
        <v>0.39978211956629</v>
      </c>
      <c r="E367" s="64" t="n">
        <f aca="false">Curves!Q39</f>
        <v>0.958061825595622</v>
      </c>
      <c r="F367" s="64" t="n">
        <f aca="false">Curves!Q40</f>
        <v>0.949311346582243</v>
      </c>
      <c r="G367" s="60" t="n">
        <f aca="false">Curves!E12</f>
        <v>0.967393</v>
      </c>
      <c r="H367" s="60" t="n">
        <f aca="false">Curves!E13</f>
        <v>0.960645</v>
      </c>
      <c r="I367" s="62" t="n">
        <f aca="false">NPV_Engine!$B$4*B367*(C367/NPV_Engine!$B$8)*(1+0.5*(D367-NPV_Engine!$B$13))*(AVERAGE(E367,F367,G367)/B367)*(H367/NPV_Engine!$B$12)</f>
        <v>9582553.90725955</v>
      </c>
    </row>
    <row r="368" customFormat="false" ht="15" hidden="false" customHeight="false" outlineLevel="0" collapsed="false">
      <c r="A368" s="63" t="s">
        <v>118</v>
      </c>
      <c r="B368" s="60" t="n">
        <f aca="false">Curves!E8</f>
        <v>0.957768</v>
      </c>
      <c r="C368" s="60" t="n">
        <f aca="false">Curves!E9</f>
        <v>0.96933</v>
      </c>
      <c r="D368" s="61" t="n">
        <f aca="false">SABR!AT10</f>
        <v>0.39978211956629</v>
      </c>
      <c r="E368" s="64" t="n">
        <f aca="false">Curves!Q47</f>
        <v>0.954588922832977</v>
      </c>
      <c r="F368" s="64" t="n">
        <f aca="false">Curves!Q48</f>
        <v>0.952091864437955</v>
      </c>
      <c r="G368" s="60" t="n">
        <f aca="false">Curves!E12</f>
        <v>0.967393</v>
      </c>
      <c r="H368" s="60" t="n">
        <f aca="false">Curves!E13</f>
        <v>0.960645</v>
      </c>
      <c r="I368" s="62" t="n">
        <f aca="false">NPV_Engine!$B$4*B368*(C368/NPV_Engine!$B$8)*(1+0.5*(D368-NPV_Engine!$B$13))*(AVERAGE(E368,F368,G368)/B368)*(H368/NPV_Engine!$B$12)</f>
        <v>9580245.95756977</v>
      </c>
    </row>
    <row r="369" customFormat="false" ht="15" hidden="false" customHeight="false" outlineLevel="0" collapsed="false">
      <c r="A369" s="63" t="s">
        <v>119</v>
      </c>
      <c r="B369" s="60" t="n">
        <f aca="false">Curves!E8</f>
        <v>0.957768</v>
      </c>
      <c r="C369" s="60" t="n">
        <f aca="false">Curves!E9</f>
        <v>0.96933</v>
      </c>
      <c r="D369" s="61" t="n">
        <f aca="false">SABR!AT10</f>
        <v>0.39978211956629</v>
      </c>
      <c r="E369" s="64" t="n">
        <f aca="false">Curves!Q55</f>
        <v>0.954008957495664</v>
      </c>
      <c r="F369" s="64" t="n">
        <f aca="false">Curves!Q56</f>
        <v>0.953612707835657</v>
      </c>
      <c r="G369" s="60" t="n">
        <f aca="false">Curves!E12</f>
        <v>0.967393</v>
      </c>
      <c r="H369" s="60" t="n">
        <f aca="false">Curves!E13</f>
        <v>0.960645</v>
      </c>
      <c r="I369" s="62" t="n">
        <f aca="false">NPV_Engine!$B$4*B369*(C369/NPV_Engine!$B$8)*(1+0.5*(D369-NPV_Engine!$B$13))*(AVERAGE(E369,F369,G369)/B369)*(H369/NPV_Engine!$B$12)</f>
        <v>9583382.21777107</v>
      </c>
    </row>
    <row r="370" customFormat="false" ht="15" hidden="false" customHeight="false" outlineLevel="0" collapsed="false">
      <c r="A370" s="63" t="s">
        <v>120</v>
      </c>
      <c r="B370" s="60" t="n">
        <f aca="false">Curves!E8</f>
        <v>0.957768</v>
      </c>
      <c r="C370" s="60" t="n">
        <f aca="false">Curves!E9</f>
        <v>0.96933</v>
      </c>
      <c r="D370" s="61" t="n">
        <f aca="false">SABR!AT10</f>
        <v>0.39978211956629</v>
      </c>
      <c r="E370" s="64" t="n">
        <f aca="false">Curves!Q63</f>
        <v>0.95320762385314</v>
      </c>
      <c r="F370" s="64" t="n">
        <f aca="false">Curves!Q64</f>
        <v>0.946234479809646</v>
      </c>
      <c r="G370" s="60" t="n">
        <f aca="false">Curves!E12</f>
        <v>0.967393</v>
      </c>
      <c r="H370" s="60" t="n">
        <f aca="false">Curves!E13</f>
        <v>0.960645</v>
      </c>
      <c r="I370" s="62" t="n">
        <f aca="false">NPV_Engine!$B$4*B370*(C370/NPV_Engine!$B$8)*(1+0.5*(D370-NPV_Engine!$B$13))*(AVERAGE(E370,F370,G370)/B370)*(H370/NPV_Engine!$B$12)</f>
        <v>9556117.01220929</v>
      </c>
    </row>
    <row r="371" customFormat="false" ht="15" hidden="false" customHeight="false" outlineLevel="0" collapsed="false">
      <c r="A371" s="63" t="s">
        <v>121</v>
      </c>
      <c r="B371" s="60" t="n">
        <f aca="false">Curves!E8</f>
        <v>0.957768</v>
      </c>
      <c r="C371" s="60" t="n">
        <f aca="false">Curves!E9</f>
        <v>0.96933</v>
      </c>
      <c r="D371" s="61" t="n">
        <f aca="false">SABR!AT10</f>
        <v>0.39978211956629</v>
      </c>
      <c r="E371" s="64" t="n">
        <f aca="false">Curves!Q71</f>
        <v>0.9563957060858</v>
      </c>
      <c r="F371" s="64" t="n">
        <f aca="false">Curves!Q72</f>
        <v>0.945344255389449</v>
      </c>
      <c r="G371" s="60" t="n">
        <f aca="false">Curves!E12</f>
        <v>0.967393</v>
      </c>
      <c r="H371" s="60" t="n">
        <f aca="false">Curves!E13</f>
        <v>0.960645</v>
      </c>
      <c r="I371" s="62" t="n">
        <f aca="false">NPV_Engine!$B$4*B371*(C371/NPV_Engine!$B$8)*(1+0.5*(D371-NPV_Engine!$B$13))*(AVERAGE(E371,F371,G371)/B371)*(H371/NPV_Engine!$B$12)</f>
        <v>9563776.53825083</v>
      </c>
    </row>
    <row r="372" customFormat="false" ht="15" hidden="false" customHeight="false" outlineLevel="0" collapsed="false">
      <c r="A372" s="63" t="s">
        <v>122</v>
      </c>
      <c r="B372" s="60" t="n">
        <f aca="false">Curves!E8</f>
        <v>0.957768</v>
      </c>
      <c r="C372" s="60" t="n">
        <f aca="false">Curves!E9</f>
        <v>0.96933</v>
      </c>
      <c r="D372" s="61" t="n">
        <f aca="false">SABR!AT10</f>
        <v>0.39978211956629</v>
      </c>
      <c r="E372" s="64" t="n">
        <f aca="false">Curves!Q79</f>
        <v>0.952137896569466</v>
      </c>
      <c r="F372" s="64" t="n">
        <f aca="false">Curves!Q80</f>
        <v>0.944482088523894</v>
      </c>
      <c r="G372" s="60" t="n">
        <f aca="false">Curves!E12</f>
        <v>0.967393</v>
      </c>
      <c r="H372" s="60" t="n">
        <f aca="false">Curves!E13</f>
        <v>0.960645</v>
      </c>
      <c r="I372" s="62" t="n">
        <f aca="false">NPV_Engine!$B$4*B372*(C372/NPV_Engine!$B$8)*(1+0.5*(D372-NPV_Engine!$B$13))*(AVERAGE(E372,F372,G372)/B372)*(H372/NPV_Engine!$B$12)</f>
        <v>9546709.9503112</v>
      </c>
    </row>
    <row r="373" customFormat="false" ht="15" hidden="false" customHeight="false" outlineLevel="0" collapsed="false">
      <c r="A373" s="63" t="s">
        <v>123</v>
      </c>
      <c r="B373" s="60" t="n">
        <f aca="false">Curves!E8</f>
        <v>0.957768</v>
      </c>
      <c r="C373" s="60" t="n">
        <f aca="false">Curves!E9</f>
        <v>0.96933</v>
      </c>
      <c r="D373" s="61" t="n">
        <f aca="false">SABR!AT10</f>
        <v>0.39978211956629</v>
      </c>
      <c r="E373" s="64" t="n">
        <f aca="false">Curves!Q87</f>
        <v>0.951644904713199</v>
      </c>
      <c r="F373" s="64" t="n">
        <f aca="false">Curves!Q88</f>
        <v>0.950115469489328</v>
      </c>
      <c r="G373" s="60" t="n">
        <f aca="false">Curves!E12</f>
        <v>0.967393</v>
      </c>
      <c r="H373" s="60" t="n">
        <f aca="false">Curves!E13</f>
        <v>0.960645</v>
      </c>
      <c r="I373" s="62" t="n">
        <f aca="false">NPV_Engine!$B$4*B373*(C373/NPV_Engine!$B$8)*(1+0.5*(D373-NPV_Engine!$B$13))*(AVERAGE(E373,F373,G373)/B373)*(H373/NPV_Engine!$B$12)</f>
        <v>9563844.58067509</v>
      </c>
    </row>
    <row r="374" customFormat="false" ht="15" hidden="false" customHeight="false" outlineLevel="0" collapsed="false">
      <c r="A374" s="63" t="s">
        <v>124</v>
      </c>
      <c r="B374" s="60" t="n">
        <f aca="false">Curves!E8</f>
        <v>0.957768</v>
      </c>
      <c r="C374" s="60" t="n">
        <f aca="false">Curves!E9</f>
        <v>0.96933</v>
      </c>
      <c r="D374" s="61" t="n">
        <f aca="false">SABR!AT10</f>
        <v>0.39978211956629</v>
      </c>
      <c r="E374" s="64" t="n">
        <f aca="false">Curves!Q95</f>
        <v>0.950824572103433</v>
      </c>
      <c r="F374" s="64" t="n">
        <f aca="false">Curves!Q96</f>
        <v>0.942346869047631</v>
      </c>
      <c r="G374" s="60" t="n">
        <f aca="false">Curves!E12</f>
        <v>0.967393</v>
      </c>
      <c r="H374" s="60" t="n">
        <f aca="false">Curves!E13</f>
        <v>0.960645</v>
      </c>
      <c r="I374" s="62" t="n">
        <f aca="false">NPV_Engine!$B$4*B374*(C374/NPV_Engine!$B$8)*(1+0.5*(D374-NPV_Engine!$B$13))*(AVERAGE(E374,F374,G374)/B374)*(H374/NPV_Engine!$B$12)</f>
        <v>9535214.80383688</v>
      </c>
    </row>
    <row r="375" customFormat="false" ht="15" hidden="false" customHeight="false" outlineLevel="0" collapsed="false">
      <c r="A375" s="63" t="s">
        <v>125</v>
      </c>
      <c r="B375" s="60" t="n">
        <f aca="false">Curves!E8</f>
        <v>0.957768</v>
      </c>
      <c r="C375" s="60" t="n">
        <f aca="false">Curves!E9</f>
        <v>0.96933</v>
      </c>
      <c r="D375" s="61" t="n">
        <f aca="false">SABR!AT10</f>
        <v>0.39978211956629</v>
      </c>
      <c r="E375" s="64" t="n">
        <f aca="false">Curves!Q103</f>
        <v>0.950069418905633</v>
      </c>
      <c r="F375" s="64" t="n">
        <f aca="false">Curves!Q104</f>
        <v>0.941085187512815</v>
      </c>
      <c r="G375" s="60" t="n">
        <f aca="false">Curves!E12</f>
        <v>0.967393</v>
      </c>
      <c r="H375" s="60" t="n">
        <f aca="false">Curves!E13</f>
        <v>0.960645</v>
      </c>
      <c r="I375" s="62" t="n">
        <f aca="false">NPV_Engine!$B$4*B375*(C375/NPV_Engine!$B$8)*(1+0.5*(D375-NPV_Engine!$B$13))*(AVERAGE(E375,F375,G375)/B375)*(H375/NPV_Engine!$B$12)</f>
        <v>9528492.02139483</v>
      </c>
    </row>
    <row r="376" customFormat="false" ht="15" hidden="false" customHeight="false" outlineLevel="0" collapsed="false">
      <c r="A376" s="63" t="s">
        <v>126</v>
      </c>
      <c r="B376" s="60" t="n">
        <f aca="false">Curves!E8</f>
        <v>0.957768</v>
      </c>
      <c r="C376" s="60" t="n">
        <f aca="false">Curves!E9</f>
        <v>0.96933</v>
      </c>
      <c r="D376" s="61" t="n">
        <f aca="false">SABR!AT10</f>
        <v>0.39978211956629</v>
      </c>
      <c r="E376" s="64" t="n">
        <f aca="false">Curves!Q111</f>
        <v>0.957237796944819</v>
      </c>
      <c r="F376" s="64" t="n">
        <f aca="false">Curves!Q112</f>
        <v>0.94825631913984</v>
      </c>
      <c r="G376" s="60" t="n">
        <f aca="false">Curves!E12</f>
        <v>0.967393</v>
      </c>
      <c r="H376" s="60" t="n">
        <f aca="false">Curves!E13</f>
        <v>0.960645</v>
      </c>
      <c r="I376" s="62" t="n">
        <f aca="false">NPV_Engine!$B$4*B376*(C376/NPV_Engine!$B$8)*(1+0.5*(D376-NPV_Engine!$B$13))*(AVERAGE(E376,F376,G376)/B376)*(H376/NPV_Engine!$B$12)</f>
        <v>9576290.38694886</v>
      </c>
    </row>
    <row r="379" customFormat="false" ht="15" hidden="false" customHeight="false" outlineLevel="0" collapsed="false">
      <c r="A379" s="67" t="s">
        <v>305</v>
      </c>
      <c r="B379" s="67"/>
      <c r="C379" s="67"/>
      <c r="D379" s="67"/>
      <c r="E379" s="67"/>
      <c r="F379" s="67"/>
      <c r="G379" s="67"/>
      <c r="H379" s="67"/>
      <c r="I379" s="67"/>
      <c r="J379" s="58" t="s">
        <v>304</v>
      </c>
    </row>
    <row r="380" customFormat="false" ht="39.55" hidden="false" customHeight="false" outlineLevel="0" collapsed="false">
      <c r="A380" s="22" t="s">
        <v>179</v>
      </c>
      <c r="B380" s="22" t="s">
        <v>180</v>
      </c>
      <c r="C380" s="22" t="s">
        <v>181</v>
      </c>
      <c r="D380" s="22" t="s">
        <v>182</v>
      </c>
      <c r="E380" s="22" t="s">
        <v>183</v>
      </c>
      <c r="F380" s="22" t="s">
        <v>184</v>
      </c>
      <c r="G380" s="22" t="s">
        <v>185</v>
      </c>
      <c r="H380" s="22" t="s">
        <v>186</v>
      </c>
      <c r="I380" s="22" t="s">
        <v>187</v>
      </c>
    </row>
    <row r="381" customFormat="false" ht="15" hidden="false" customHeight="false" outlineLevel="0" collapsed="false">
      <c r="A381" s="59" t="s">
        <v>188</v>
      </c>
      <c r="B381" s="60" t="n">
        <f aca="false">Curves!E8</f>
        <v>0.957768</v>
      </c>
      <c r="C381" s="60" t="n">
        <f aca="false">Curves!E9</f>
        <v>0.96933</v>
      </c>
      <c r="D381" s="61" t="n">
        <f aca="false">SABR!AT10</f>
        <v>0.39978211956629</v>
      </c>
      <c r="E381" s="60" t="n">
        <f aca="false">Curves!E10</f>
        <v>0.958726</v>
      </c>
      <c r="F381" s="60" t="n">
        <f aca="false">Curves!E11</f>
        <v>0.954899</v>
      </c>
      <c r="G381" s="60" t="n">
        <f aca="false">Curves!E12</f>
        <v>0.967393</v>
      </c>
      <c r="H381" s="60" t="n">
        <f aca="false">Curves!E13</f>
        <v>0.960645</v>
      </c>
      <c r="I381" s="62" t="n">
        <f aca="false">NPV_Engine!$B$4*B381*(C381/NPV_Engine!$B$8)*(1+0.5*(D381-NPV_Engine!$B$13))*(AVERAGE(E381,F381,G381)/B381)*(H381/NPV_Engine!$B$12)</f>
        <v>9603393.33333333</v>
      </c>
    </row>
    <row r="382" customFormat="false" ht="15" hidden="false" customHeight="false" outlineLevel="0" collapsed="false">
      <c r="A382" s="63" t="s">
        <v>117</v>
      </c>
      <c r="B382" s="60" t="n">
        <f aca="false">Curves!E8</f>
        <v>0.957768</v>
      </c>
      <c r="C382" s="60" t="n">
        <f aca="false">Curves!E9</f>
        <v>0.96933</v>
      </c>
      <c r="D382" s="61" t="n">
        <f aca="false">SABR!AT10</f>
        <v>0.39978211956629</v>
      </c>
      <c r="E382" s="64" t="n">
        <f aca="false">Curves!Q39</f>
        <v>0.958061825595622</v>
      </c>
      <c r="F382" s="64" t="n">
        <f aca="false">Curves!Q40</f>
        <v>0.949311346582243</v>
      </c>
      <c r="G382" s="60" t="n">
        <f aca="false">Curves!E12</f>
        <v>0.967393</v>
      </c>
      <c r="H382" s="60" t="n">
        <f aca="false">Curves!E13</f>
        <v>0.960645</v>
      </c>
      <c r="I382" s="62" t="n">
        <f aca="false">NPV_Engine!$B$4*B382*(C382/NPV_Engine!$B$8)*(1+0.5*(D382-NPV_Engine!$B$13))*(AVERAGE(E382,F382,G382)/B382)*(H382/NPV_Engine!$B$12)</f>
        <v>9582553.90725955</v>
      </c>
    </row>
    <row r="383" customFormat="false" ht="15" hidden="false" customHeight="false" outlineLevel="0" collapsed="false">
      <c r="A383" s="63" t="s">
        <v>118</v>
      </c>
      <c r="B383" s="60" t="n">
        <f aca="false">Curves!E8</f>
        <v>0.957768</v>
      </c>
      <c r="C383" s="60" t="n">
        <f aca="false">Curves!E9</f>
        <v>0.96933</v>
      </c>
      <c r="D383" s="61" t="n">
        <f aca="false">SABR!AT10</f>
        <v>0.39978211956629</v>
      </c>
      <c r="E383" s="64" t="n">
        <f aca="false">Curves!Q47</f>
        <v>0.954588922832977</v>
      </c>
      <c r="F383" s="64" t="n">
        <f aca="false">Curves!Q48</f>
        <v>0.952091864437955</v>
      </c>
      <c r="G383" s="60" t="n">
        <f aca="false">Curves!E12</f>
        <v>0.967393</v>
      </c>
      <c r="H383" s="60" t="n">
        <f aca="false">Curves!E13</f>
        <v>0.960645</v>
      </c>
      <c r="I383" s="62" t="n">
        <f aca="false">NPV_Engine!$B$4*B383*(C383/NPV_Engine!$B$8)*(1+0.5*(D383-NPV_Engine!$B$13))*(AVERAGE(E383,F383,G383)/B383)*(H383/NPV_Engine!$B$12)</f>
        <v>9580245.95756977</v>
      </c>
    </row>
    <row r="384" customFormat="false" ht="15" hidden="false" customHeight="false" outlineLevel="0" collapsed="false">
      <c r="A384" s="63" t="s">
        <v>119</v>
      </c>
      <c r="B384" s="60" t="n">
        <f aca="false">Curves!E8</f>
        <v>0.957768</v>
      </c>
      <c r="C384" s="60" t="n">
        <f aca="false">Curves!E9</f>
        <v>0.96933</v>
      </c>
      <c r="D384" s="61" t="n">
        <f aca="false">SABR!AT10</f>
        <v>0.39978211956629</v>
      </c>
      <c r="E384" s="64" t="n">
        <f aca="false">Curves!Q55</f>
        <v>0.954008957495664</v>
      </c>
      <c r="F384" s="64" t="n">
        <f aca="false">Curves!Q56</f>
        <v>0.953612707835657</v>
      </c>
      <c r="G384" s="60" t="n">
        <f aca="false">Curves!E12</f>
        <v>0.967393</v>
      </c>
      <c r="H384" s="60" t="n">
        <f aca="false">Curves!E13</f>
        <v>0.960645</v>
      </c>
      <c r="I384" s="62" t="n">
        <f aca="false">NPV_Engine!$B$4*B384*(C384/NPV_Engine!$B$8)*(1+0.5*(D384-NPV_Engine!$B$13))*(AVERAGE(E384,F384,G384)/B384)*(H384/NPV_Engine!$B$12)</f>
        <v>9583382.21777107</v>
      </c>
    </row>
    <row r="385" customFormat="false" ht="15" hidden="false" customHeight="false" outlineLevel="0" collapsed="false">
      <c r="A385" s="63" t="s">
        <v>120</v>
      </c>
      <c r="B385" s="60" t="n">
        <f aca="false">Curves!E8</f>
        <v>0.957768</v>
      </c>
      <c r="C385" s="60" t="n">
        <f aca="false">Curves!E9</f>
        <v>0.96933</v>
      </c>
      <c r="D385" s="61" t="n">
        <f aca="false">SABR!AT10</f>
        <v>0.39978211956629</v>
      </c>
      <c r="E385" s="64" t="n">
        <f aca="false">Curves!Q63</f>
        <v>0.95320762385314</v>
      </c>
      <c r="F385" s="64" t="n">
        <f aca="false">Curves!Q64</f>
        <v>0.946234479809646</v>
      </c>
      <c r="G385" s="60" t="n">
        <f aca="false">Curves!E12</f>
        <v>0.967393</v>
      </c>
      <c r="H385" s="60" t="n">
        <f aca="false">Curves!E13</f>
        <v>0.960645</v>
      </c>
      <c r="I385" s="62" t="n">
        <f aca="false">NPV_Engine!$B$4*B385*(C385/NPV_Engine!$B$8)*(1+0.5*(D385-NPV_Engine!$B$13))*(AVERAGE(E385,F385,G385)/B385)*(H385/NPV_Engine!$B$12)</f>
        <v>9556117.01220929</v>
      </c>
    </row>
    <row r="386" customFormat="false" ht="15" hidden="false" customHeight="false" outlineLevel="0" collapsed="false">
      <c r="A386" s="63" t="s">
        <v>121</v>
      </c>
      <c r="B386" s="60" t="n">
        <f aca="false">Curves!E8</f>
        <v>0.957768</v>
      </c>
      <c r="C386" s="60" t="n">
        <f aca="false">Curves!E9</f>
        <v>0.96933</v>
      </c>
      <c r="D386" s="61" t="n">
        <f aca="false">SABR!AT10</f>
        <v>0.39978211956629</v>
      </c>
      <c r="E386" s="64" t="n">
        <f aca="false">Curves!Q71</f>
        <v>0.9563957060858</v>
      </c>
      <c r="F386" s="64" t="n">
        <f aca="false">Curves!Q72</f>
        <v>0.945344255389449</v>
      </c>
      <c r="G386" s="60" t="n">
        <f aca="false">Curves!E12</f>
        <v>0.967393</v>
      </c>
      <c r="H386" s="60" t="n">
        <f aca="false">Curves!E13</f>
        <v>0.960645</v>
      </c>
      <c r="I386" s="62" t="n">
        <f aca="false">NPV_Engine!$B$4*B386*(C386/NPV_Engine!$B$8)*(1+0.5*(D386-NPV_Engine!$B$13))*(AVERAGE(E386,F386,G386)/B386)*(H386/NPV_Engine!$B$12)</f>
        <v>9563776.53825083</v>
      </c>
    </row>
    <row r="387" customFormat="false" ht="15" hidden="false" customHeight="false" outlineLevel="0" collapsed="false">
      <c r="A387" s="63" t="s">
        <v>122</v>
      </c>
      <c r="B387" s="60" t="n">
        <f aca="false">Curves!E8</f>
        <v>0.957768</v>
      </c>
      <c r="C387" s="60" t="n">
        <f aca="false">Curves!E9</f>
        <v>0.96933</v>
      </c>
      <c r="D387" s="61" t="n">
        <f aca="false">SABR!AT10</f>
        <v>0.39978211956629</v>
      </c>
      <c r="E387" s="64" t="n">
        <f aca="false">Curves!Q79</f>
        <v>0.952137896569466</v>
      </c>
      <c r="F387" s="64" t="n">
        <f aca="false">Curves!Q80</f>
        <v>0.944482088523894</v>
      </c>
      <c r="G387" s="60" t="n">
        <f aca="false">Curves!E12</f>
        <v>0.967393</v>
      </c>
      <c r="H387" s="60" t="n">
        <f aca="false">Curves!E13</f>
        <v>0.960645</v>
      </c>
      <c r="I387" s="62" t="n">
        <f aca="false">NPV_Engine!$B$4*B387*(C387/NPV_Engine!$B$8)*(1+0.5*(D387-NPV_Engine!$B$13))*(AVERAGE(E387,F387,G387)/B387)*(H387/NPV_Engine!$B$12)</f>
        <v>9546709.9503112</v>
      </c>
    </row>
    <row r="388" customFormat="false" ht="15" hidden="false" customHeight="false" outlineLevel="0" collapsed="false">
      <c r="A388" s="63" t="s">
        <v>123</v>
      </c>
      <c r="B388" s="60" t="n">
        <f aca="false">Curves!E8</f>
        <v>0.957768</v>
      </c>
      <c r="C388" s="60" t="n">
        <f aca="false">Curves!E9</f>
        <v>0.96933</v>
      </c>
      <c r="D388" s="61" t="n">
        <f aca="false">SABR!AT10</f>
        <v>0.39978211956629</v>
      </c>
      <c r="E388" s="64" t="n">
        <f aca="false">Curves!Q87</f>
        <v>0.951644904713199</v>
      </c>
      <c r="F388" s="64" t="n">
        <f aca="false">Curves!Q88</f>
        <v>0.950115469489328</v>
      </c>
      <c r="G388" s="60" t="n">
        <f aca="false">Curves!E12</f>
        <v>0.967393</v>
      </c>
      <c r="H388" s="60" t="n">
        <f aca="false">Curves!E13</f>
        <v>0.960645</v>
      </c>
      <c r="I388" s="62" t="n">
        <f aca="false">NPV_Engine!$B$4*B388*(C388/NPV_Engine!$B$8)*(1+0.5*(D388-NPV_Engine!$B$13))*(AVERAGE(E388,F388,G388)/B388)*(H388/NPV_Engine!$B$12)</f>
        <v>9563844.58067509</v>
      </c>
    </row>
    <row r="389" customFormat="false" ht="15" hidden="false" customHeight="false" outlineLevel="0" collapsed="false">
      <c r="A389" s="63" t="s">
        <v>124</v>
      </c>
      <c r="B389" s="60" t="n">
        <f aca="false">Curves!E8</f>
        <v>0.957768</v>
      </c>
      <c r="C389" s="60" t="n">
        <f aca="false">Curves!E9</f>
        <v>0.96933</v>
      </c>
      <c r="D389" s="61" t="n">
        <f aca="false">SABR!AT10</f>
        <v>0.39978211956629</v>
      </c>
      <c r="E389" s="64" t="n">
        <f aca="false">Curves!Q95</f>
        <v>0.950824572103433</v>
      </c>
      <c r="F389" s="64" t="n">
        <f aca="false">Curves!Q96</f>
        <v>0.942346869047631</v>
      </c>
      <c r="G389" s="60" t="n">
        <f aca="false">Curves!E12</f>
        <v>0.967393</v>
      </c>
      <c r="H389" s="60" t="n">
        <f aca="false">Curves!E13</f>
        <v>0.960645</v>
      </c>
      <c r="I389" s="62" t="n">
        <f aca="false">NPV_Engine!$B$4*B389*(C389/NPV_Engine!$B$8)*(1+0.5*(D389-NPV_Engine!$B$13))*(AVERAGE(E389,F389,G389)/B389)*(H389/NPV_Engine!$B$12)</f>
        <v>9535214.80383688</v>
      </c>
    </row>
    <row r="390" customFormat="false" ht="15" hidden="false" customHeight="false" outlineLevel="0" collapsed="false">
      <c r="A390" s="63" t="s">
        <v>125</v>
      </c>
      <c r="B390" s="60" t="n">
        <f aca="false">Curves!E8</f>
        <v>0.957768</v>
      </c>
      <c r="C390" s="60" t="n">
        <f aca="false">Curves!E9</f>
        <v>0.96933</v>
      </c>
      <c r="D390" s="61" t="n">
        <f aca="false">SABR!AT10</f>
        <v>0.39978211956629</v>
      </c>
      <c r="E390" s="64" t="n">
        <f aca="false">Curves!Q103</f>
        <v>0.950069418905633</v>
      </c>
      <c r="F390" s="64" t="n">
        <f aca="false">Curves!Q104</f>
        <v>0.941085187512815</v>
      </c>
      <c r="G390" s="60" t="n">
        <f aca="false">Curves!E12</f>
        <v>0.967393</v>
      </c>
      <c r="H390" s="60" t="n">
        <f aca="false">Curves!E13</f>
        <v>0.960645</v>
      </c>
      <c r="I390" s="62" t="n">
        <f aca="false">NPV_Engine!$B$4*B390*(C390/NPV_Engine!$B$8)*(1+0.5*(D390-NPV_Engine!$B$13))*(AVERAGE(E390,F390,G390)/B390)*(H390/NPV_Engine!$B$12)</f>
        <v>9528492.02139483</v>
      </c>
    </row>
    <row r="391" customFormat="false" ht="15" hidden="false" customHeight="false" outlineLevel="0" collapsed="false">
      <c r="A391" s="63" t="s">
        <v>126</v>
      </c>
      <c r="B391" s="60" t="n">
        <f aca="false">Curves!E8</f>
        <v>0.957768</v>
      </c>
      <c r="C391" s="60" t="n">
        <f aca="false">Curves!E9</f>
        <v>0.96933</v>
      </c>
      <c r="D391" s="61" t="n">
        <f aca="false">SABR!AT10</f>
        <v>0.39978211956629</v>
      </c>
      <c r="E391" s="64" t="n">
        <f aca="false">Curves!Q111</f>
        <v>0.957237796944819</v>
      </c>
      <c r="F391" s="64" t="n">
        <f aca="false">Curves!Q112</f>
        <v>0.94825631913984</v>
      </c>
      <c r="G391" s="60" t="n">
        <f aca="false">Curves!E12</f>
        <v>0.967393</v>
      </c>
      <c r="H391" s="60" t="n">
        <f aca="false">Curves!E13</f>
        <v>0.960645</v>
      </c>
      <c r="I391" s="62" t="n">
        <f aca="false">NPV_Engine!$B$4*B391*(C391/NPV_Engine!$B$8)*(1+0.5*(D391-NPV_Engine!$B$13))*(AVERAGE(E391,F391,G391)/B391)*(H391/NPV_Engine!$B$12)</f>
        <v>9576290.38694886</v>
      </c>
    </row>
    <row r="394" customFormat="false" ht="15" hidden="false" customHeight="false" outlineLevel="0" collapsed="false">
      <c r="A394" s="67" t="s">
        <v>306</v>
      </c>
      <c r="B394" s="67"/>
      <c r="C394" s="67"/>
      <c r="D394" s="67"/>
      <c r="E394" s="67"/>
      <c r="F394" s="67"/>
      <c r="G394" s="67"/>
      <c r="H394" s="67"/>
      <c r="I394" s="67"/>
      <c r="J394" s="58" t="s">
        <v>307</v>
      </c>
    </row>
    <row r="395" customFormat="false" ht="39.55" hidden="false" customHeight="false" outlineLevel="0" collapsed="false">
      <c r="A395" s="22" t="s">
        <v>179</v>
      </c>
      <c r="B395" s="22" t="s">
        <v>180</v>
      </c>
      <c r="C395" s="22" t="s">
        <v>181</v>
      </c>
      <c r="D395" s="22" t="s">
        <v>182</v>
      </c>
      <c r="E395" s="22" t="s">
        <v>183</v>
      </c>
      <c r="F395" s="22" t="s">
        <v>184</v>
      </c>
      <c r="G395" s="22" t="s">
        <v>185</v>
      </c>
      <c r="H395" s="22" t="s">
        <v>186</v>
      </c>
      <c r="I395" s="22" t="s">
        <v>187</v>
      </c>
    </row>
    <row r="396" customFormat="false" ht="15" hidden="false" customHeight="false" outlineLevel="0" collapsed="false">
      <c r="A396" s="59" t="s">
        <v>188</v>
      </c>
      <c r="B396" s="60" t="n">
        <f aca="false">Curves!E8</f>
        <v>0.957768</v>
      </c>
      <c r="C396" s="60" t="n">
        <f aca="false">Curves!E9</f>
        <v>0.96933</v>
      </c>
      <c r="D396" s="61" t="n">
        <f aca="false">SABR!AT10</f>
        <v>0.39978211956629</v>
      </c>
      <c r="E396" s="60" t="n">
        <f aca="false">Curves!E10</f>
        <v>0.958726</v>
      </c>
      <c r="F396" s="60" t="n">
        <f aca="false">Curves!E11</f>
        <v>0.954899</v>
      </c>
      <c r="G396" s="60" t="n">
        <f aca="false">Curves!E12</f>
        <v>0.967393</v>
      </c>
      <c r="H396" s="60" t="n">
        <f aca="false">Curves!E13</f>
        <v>0.960645</v>
      </c>
      <c r="I396" s="62" t="n">
        <f aca="false">NPV_Engine!$B$4*B396*(C396/NPV_Engine!$B$8)*(1+0.5*(D396-NPV_Engine!$B$13))*(AVERAGE(E396,F396,G396)/B396)*(H396/NPV_Engine!$B$12)</f>
        <v>9603393.33333333</v>
      </c>
    </row>
    <row r="397" customFormat="false" ht="15" hidden="false" customHeight="false" outlineLevel="0" collapsed="false">
      <c r="A397" s="63" t="s">
        <v>117</v>
      </c>
      <c r="B397" s="60" t="n">
        <f aca="false">Curves!E8</f>
        <v>0.957768</v>
      </c>
      <c r="C397" s="60" t="n">
        <f aca="false">Curves!E9</f>
        <v>0.96933</v>
      </c>
      <c r="D397" s="61" t="n">
        <f aca="false">SABR!AT10</f>
        <v>0.39978211956629</v>
      </c>
      <c r="E397" s="60" t="n">
        <f aca="false">Curves!E10</f>
        <v>0.958726</v>
      </c>
      <c r="F397" s="64" t="n">
        <f aca="false">Curves!Q40</f>
        <v>0.949311346582243</v>
      </c>
      <c r="G397" s="60" t="n">
        <f aca="false">Curves!E12</f>
        <v>0.967393</v>
      </c>
      <c r="H397" s="60" t="n">
        <f aca="false">Curves!E13</f>
        <v>0.960645</v>
      </c>
      <c r="I397" s="62" t="n">
        <f aca="false">NPV_Engine!$B$4*B397*(C397/NPV_Engine!$B$8)*(1+0.5*(D397-NPV_Engine!$B$13))*(AVERAGE(E397,F397,G397)/B397)*(H397/NPV_Engine!$B$12)</f>
        <v>9584767.82194081</v>
      </c>
    </row>
    <row r="398" customFormat="false" ht="15" hidden="false" customHeight="false" outlineLevel="0" collapsed="false">
      <c r="A398" s="63" t="s">
        <v>118</v>
      </c>
      <c r="B398" s="60" t="n">
        <f aca="false">Curves!E8</f>
        <v>0.957768</v>
      </c>
      <c r="C398" s="60" t="n">
        <f aca="false">Curves!E9</f>
        <v>0.96933</v>
      </c>
      <c r="D398" s="61" t="n">
        <f aca="false">SABR!AT10</f>
        <v>0.39978211956629</v>
      </c>
      <c r="E398" s="60" t="n">
        <f aca="false">Curves!E10</f>
        <v>0.958726</v>
      </c>
      <c r="F398" s="64" t="n">
        <f aca="false">Curves!Q48</f>
        <v>0.952091864437955</v>
      </c>
      <c r="G398" s="60" t="n">
        <f aca="false">Curves!E12</f>
        <v>0.967393</v>
      </c>
      <c r="H398" s="60" t="n">
        <f aca="false">Curves!E13</f>
        <v>0.960645</v>
      </c>
      <c r="I398" s="62" t="n">
        <f aca="false">NPV_Engine!$B$4*B398*(C398/NPV_Engine!$B$8)*(1+0.5*(D398-NPV_Engine!$B$13))*(AVERAGE(E398,F398,G398)/B398)*(H398/NPV_Engine!$B$12)</f>
        <v>9594036.21479318</v>
      </c>
    </row>
    <row r="399" customFormat="false" ht="15" hidden="false" customHeight="false" outlineLevel="0" collapsed="false">
      <c r="A399" s="63" t="s">
        <v>119</v>
      </c>
      <c r="B399" s="60" t="n">
        <f aca="false">Curves!E8</f>
        <v>0.957768</v>
      </c>
      <c r="C399" s="60" t="n">
        <f aca="false">Curves!E9</f>
        <v>0.96933</v>
      </c>
      <c r="D399" s="61" t="n">
        <f aca="false">SABR!AT10</f>
        <v>0.39978211956629</v>
      </c>
      <c r="E399" s="60" t="n">
        <f aca="false">Curves!E10</f>
        <v>0.958726</v>
      </c>
      <c r="F399" s="64" t="n">
        <f aca="false">Curves!Q56</f>
        <v>0.953612707835657</v>
      </c>
      <c r="G399" s="60" t="n">
        <f aca="false">Curves!E12</f>
        <v>0.967393</v>
      </c>
      <c r="H399" s="60" t="n">
        <f aca="false">Curves!E13</f>
        <v>0.960645</v>
      </c>
      <c r="I399" s="62" t="n">
        <f aca="false">NPV_Engine!$B$4*B399*(C399/NPV_Engine!$B$8)*(1+0.5*(D399-NPV_Engine!$B$13))*(AVERAGE(E399,F399,G399)/B399)*(H399/NPV_Engine!$B$12)</f>
        <v>9599105.69278552</v>
      </c>
    </row>
    <row r="400" customFormat="false" ht="15" hidden="false" customHeight="false" outlineLevel="0" collapsed="false">
      <c r="A400" s="63" t="s">
        <v>120</v>
      </c>
      <c r="B400" s="60" t="n">
        <f aca="false">Curves!E8</f>
        <v>0.957768</v>
      </c>
      <c r="C400" s="60" t="n">
        <f aca="false">Curves!E9</f>
        <v>0.96933</v>
      </c>
      <c r="D400" s="61" t="n">
        <f aca="false">SABR!AT10</f>
        <v>0.39978211956629</v>
      </c>
      <c r="E400" s="60" t="n">
        <f aca="false">Curves!E10</f>
        <v>0.958726</v>
      </c>
      <c r="F400" s="64" t="n">
        <f aca="false">Curves!Q64</f>
        <v>0.946234479809646</v>
      </c>
      <c r="G400" s="60" t="n">
        <f aca="false">Curves!E12</f>
        <v>0.967393</v>
      </c>
      <c r="H400" s="60" t="n">
        <f aca="false">Curves!E13</f>
        <v>0.960645</v>
      </c>
      <c r="I400" s="62" t="n">
        <f aca="false">NPV_Engine!$B$4*B400*(C400/NPV_Engine!$B$8)*(1+0.5*(D400-NPV_Engine!$B$13))*(AVERAGE(E400,F400,G400)/B400)*(H400/NPV_Engine!$B$12)</f>
        <v>9574511.59936549</v>
      </c>
    </row>
    <row r="401" customFormat="false" ht="15" hidden="false" customHeight="false" outlineLevel="0" collapsed="false">
      <c r="A401" s="63" t="s">
        <v>121</v>
      </c>
      <c r="B401" s="60" t="n">
        <f aca="false">Curves!E8</f>
        <v>0.957768</v>
      </c>
      <c r="C401" s="60" t="n">
        <f aca="false">Curves!E9</f>
        <v>0.96933</v>
      </c>
      <c r="D401" s="61" t="n">
        <f aca="false">SABR!AT10</f>
        <v>0.39978211956629</v>
      </c>
      <c r="E401" s="60" t="n">
        <f aca="false">Curves!E10</f>
        <v>0.958726</v>
      </c>
      <c r="F401" s="64" t="n">
        <f aca="false">Curves!Q72</f>
        <v>0.945344255389449</v>
      </c>
      <c r="G401" s="60" t="n">
        <f aca="false">Curves!E12</f>
        <v>0.967393</v>
      </c>
      <c r="H401" s="60" t="n">
        <f aca="false">Curves!E13</f>
        <v>0.960645</v>
      </c>
      <c r="I401" s="62" t="n">
        <f aca="false">NPV_Engine!$B$4*B401*(C401/NPV_Engine!$B$8)*(1+0.5*(D401-NPV_Engine!$B$13))*(AVERAGE(E401,F401,G401)/B401)*(H401/NPV_Engine!$B$12)</f>
        <v>9571544.1846315</v>
      </c>
    </row>
    <row r="402" customFormat="false" ht="15" hidden="false" customHeight="false" outlineLevel="0" collapsed="false">
      <c r="A402" s="63" t="s">
        <v>122</v>
      </c>
      <c r="B402" s="60" t="n">
        <f aca="false">Curves!E8</f>
        <v>0.957768</v>
      </c>
      <c r="C402" s="60" t="n">
        <f aca="false">Curves!E9</f>
        <v>0.96933</v>
      </c>
      <c r="D402" s="61" t="n">
        <f aca="false">SABR!AT10</f>
        <v>0.39978211956629</v>
      </c>
      <c r="E402" s="60" t="n">
        <f aca="false">Curves!E10</f>
        <v>0.958726</v>
      </c>
      <c r="F402" s="64" t="n">
        <f aca="false">Curves!Q80</f>
        <v>0.944482088523894</v>
      </c>
      <c r="G402" s="60" t="n">
        <f aca="false">Curves!E12</f>
        <v>0.967393</v>
      </c>
      <c r="H402" s="60" t="n">
        <f aca="false">Curves!E13</f>
        <v>0.960645</v>
      </c>
      <c r="I402" s="62" t="n">
        <f aca="false">NPV_Engine!$B$4*B402*(C402/NPV_Engine!$B$8)*(1+0.5*(D402-NPV_Engine!$B$13))*(AVERAGE(E402,F402,G402)/B402)*(H402/NPV_Engine!$B$12)</f>
        <v>9568670.29507965</v>
      </c>
    </row>
    <row r="403" customFormat="false" ht="15" hidden="false" customHeight="false" outlineLevel="0" collapsed="false">
      <c r="A403" s="63" t="s">
        <v>123</v>
      </c>
      <c r="B403" s="60" t="n">
        <f aca="false">Curves!E8</f>
        <v>0.957768</v>
      </c>
      <c r="C403" s="60" t="n">
        <f aca="false">Curves!E9</f>
        <v>0.96933</v>
      </c>
      <c r="D403" s="61" t="n">
        <f aca="false">SABR!AT10</f>
        <v>0.39978211956629</v>
      </c>
      <c r="E403" s="60" t="n">
        <f aca="false">Curves!E10</f>
        <v>0.958726</v>
      </c>
      <c r="F403" s="64" t="n">
        <f aca="false">Curves!Q88</f>
        <v>0.950115469489328</v>
      </c>
      <c r="G403" s="60" t="n">
        <f aca="false">Curves!E12</f>
        <v>0.967393</v>
      </c>
      <c r="H403" s="60" t="n">
        <f aca="false">Curves!E13</f>
        <v>0.960645</v>
      </c>
      <c r="I403" s="62" t="n">
        <f aca="false">NPV_Engine!$B$4*B403*(C403/NPV_Engine!$B$8)*(1+0.5*(D403-NPV_Engine!$B$13))*(AVERAGE(E403,F403,G403)/B403)*(H403/NPV_Engine!$B$12)</f>
        <v>9587448.23163109</v>
      </c>
    </row>
    <row r="404" customFormat="false" ht="15" hidden="false" customHeight="false" outlineLevel="0" collapsed="false">
      <c r="A404" s="63" t="s">
        <v>124</v>
      </c>
      <c r="B404" s="60" t="n">
        <f aca="false">Curves!E8</f>
        <v>0.957768</v>
      </c>
      <c r="C404" s="60" t="n">
        <f aca="false">Curves!E9</f>
        <v>0.96933</v>
      </c>
      <c r="D404" s="61" t="n">
        <f aca="false">SABR!AT10</f>
        <v>0.39978211956629</v>
      </c>
      <c r="E404" s="60" t="n">
        <f aca="false">Curves!E10</f>
        <v>0.958726</v>
      </c>
      <c r="F404" s="64" t="n">
        <f aca="false">Curves!Q96</f>
        <v>0.942346869047631</v>
      </c>
      <c r="G404" s="60" t="n">
        <f aca="false">Curves!E12</f>
        <v>0.967393</v>
      </c>
      <c r="H404" s="60" t="n">
        <f aca="false">Curves!E13</f>
        <v>0.960645</v>
      </c>
      <c r="I404" s="62" t="n">
        <f aca="false">NPV_Engine!$B$4*B404*(C404/NPV_Engine!$B$8)*(1+0.5*(D404-NPV_Engine!$B$13))*(AVERAGE(E404,F404,G404)/B404)*(H404/NPV_Engine!$B$12)</f>
        <v>9561552.89682544</v>
      </c>
    </row>
    <row r="405" customFormat="false" ht="15" hidden="false" customHeight="false" outlineLevel="0" collapsed="false">
      <c r="A405" s="63" t="s">
        <v>125</v>
      </c>
      <c r="B405" s="60" t="n">
        <f aca="false">Curves!E8</f>
        <v>0.957768</v>
      </c>
      <c r="C405" s="60" t="n">
        <f aca="false">Curves!E9</f>
        <v>0.96933</v>
      </c>
      <c r="D405" s="61" t="n">
        <f aca="false">SABR!AT10</f>
        <v>0.39978211956629</v>
      </c>
      <c r="E405" s="60" t="n">
        <f aca="false">Curves!E10</f>
        <v>0.958726</v>
      </c>
      <c r="F405" s="64" t="n">
        <f aca="false">Curves!Q104</f>
        <v>0.941085187512815</v>
      </c>
      <c r="G405" s="60" t="n">
        <f aca="false">Curves!E12</f>
        <v>0.967393</v>
      </c>
      <c r="H405" s="60" t="n">
        <f aca="false">Curves!E13</f>
        <v>0.960645</v>
      </c>
      <c r="I405" s="62" t="n">
        <f aca="false">NPV_Engine!$B$4*B405*(C405/NPV_Engine!$B$8)*(1+0.5*(D405-NPV_Engine!$B$13))*(AVERAGE(E405,F405,G405)/B405)*(H405/NPV_Engine!$B$12)</f>
        <v>9557347.29170938</v>
      </c>
    </row>
    <row r="406" customFormat="false" ht="15" hidden="false" customHeight="false" outlineLevel="0" collapsed="false">
      <c r="A406" s="63" t="s">
        <v>126</v>
      </c>
      <c r="B406" s="60" t="n">
        <f aca="false">Curves!E8</f>
        <v>0.957768</v>
      </c>
      <c r="C406" s="60" t="n">
        <f aca="false">Curves!E9</f>
        <v>0.96933</v>
      </c>
      <c r="D406" s="61" t="n">
        <f aca="false">SABR!AT10</f>
        <v>0.39978211956629</v>
      </c>
      <c r="E406" s="60" t="n">
        <f aca="false">Curves!E10</f>
        <v>0.958726</v>
      </c>
      <c r="F406" s="64" t="n">
        <f aca="false">Curves!Q112</f>
        <v>0.94825631913984</v>
      </c>
      <c r="G406" s="60" t="n">
        <f aca="false">Curves!E12</f>
        <v>0.967393</v>
      </c>
      <c r="H406" s="60" t="n">
        <f aca="false">Curves!E13</f>
        <v>0.960645</v>
      </c>
      <c r="I406" s="62" t="n">
        <f aca="false">NPV_Engine!$B$4*B406*(C406/NPV_Engine!$B$8)*(1+0.5*(D406-NPV_Engine!$B$13))*(AVERAGE(E406,F406,G406)/B406)*(H406/NPV_Engine!$B$12)</f>
        <v>9581251.06379947</v>
      </c>
    </row>
    <row r="409" customFormat="false" ht="15" hidden="false" customHeight="false" outlineLevel="0" collapsed="false">
      <c r="A409" s="67" t="s">
        <v>308</v>
      </c>
      <c r="B409" s="67"/>
      <c r="C409" s="67"/>
      <c r="D409" s="67"/>
      <c r="E409" s="67"/>
      <c r="F409" s="67"/>
      <c r="G409" s="67"/>
      <c r="H409" s="67"/>
      <c r="I409" s="67"/>
      <c r="J409" s="58" t="s">
        <v>309</v>
      </c>
    </row>
    <row r="410" customFormat="false" ht="39.55" hidden="false" customHeight="false" outlineLevel="0" collapsed="false">
      <c r="A410" s="22" t="s">
        <v>179</v>
      </c>
      <c r="B410" s="22" t="s">
        <v>180</v>
      </c>
      <c r="C410" s="22" t="s">
        <v>181</v>
      </c>
      <c r="D410" s="22" t="s">
        <v>182</v>
      </c>
      <c r="E410" s="22" t="s">
        <v>183</v>
      </c>
      <c r="F410" s="22" t="s">
        <v>184</v>
      </c>
      <c r="G410" s="22" t="s">
        <v>185</v>
      </c>
      <c r="H410" s="22" t="s">
        <v>186</v>
      </c>
      <c r="I410" s="22" t="s">
        <v>187</v>
      </c>
    </row>
    <row r="411" customFormat="false" ht="15" hidden="false" customHeight="false" outlineLevel="0" collapsed="false">
      <c r="A411" s="59" t="s">
        <v>188</v>
      </c>
      <c r="B411" s="60" t="n">
        <f aca="false">Curves!E8</f>
        <v>0.957768</v>
      </c>
      <c r="C411" s="60" t="n">
        <f aca="false">Curves!E9</f>
        <v>0.96933</v>
      </c>
      <c r="D411" s="61" t="n">
        <f aca="false">SABR!AT10</f>
        <v>0.39978211956629</v>
      </c>
      <c r="E411" s="60" t="n">
        <f aca="false">Curves!E10</f>
        <v>0.958726</v>
      </c>
      <c r="F411" s="60" t="n">
        <f aca="false">Curves!E11</f>
        <v>0.954899</v>
      </c>
      <c r="G411" s="60" t="n">
        <f aca="false">Curves!E12</f>
        <v>0.967393</v>
      </c>
      <c r="H411" s="60" t="n">
        <f aca="false">Curves!E13</f>
        <v>0.960645</v>
      </c>
      <c r="I411" s="62" t="n">
        <f aca="false">NPV_Engine!$B$4*B411*(C411/NPV_Engine!$B$8)*(1+0.5*(D411-NPV_Engine!$B$13))*(AVERAGE(E411,F411,G411)/B411)*(H411/NPV_Engine!$B$12)</f>
        <v>9603393.33333333</v>
      </c>
    </row>
    <row r="412" customFormat="false" ht="15" hidden="false" customHeight="false" outlineLevel="0" collapsed="false">
      <c r="A412" s="63" t="s">
        <v>117</v>
      </c>
      <c r="B412" s="64" t="n">
        <f aca="false">Curves!Q37</f>
        <v>0.95645567308242</v>
      </c>
      <c r="C412" s="60" t="n">
        <f aca="false">Curves!E9</f>
        <v>0.96933</v>
      </c>
      <c r="D412" s="65" t="n">
        <f aca="false">SABR!AT60</f>
        <v>0.406538537771067</v>
      </c>
      <c r="E412" s="60" t="n">
        <f aca="false">Curves!E10</f>
        <v>0.958726</v>
      </c>
      <c r="F412" s="60" t="n">
        <f aca="false">Curves!E11</f>
        <v>0.954899</v>
      </c>
      <c r="G412" s="60" t="n">
        <f aca="false">Curves!E12</f>
        <v>0.967393</v>
      </c>
      <c r="H412" s="60" t="n">
        <f aca="false">Curves!E13</f>
        <v>0.960645</v>
      </c>
      <c r="I412" s="62" t="n">
        <f aca="false">NPV_Engine!$B$4*B412*(C412/NPV_Engine!$B$8)*(1+0.5*(D412-NPV_Engine!$B$13))*(AVERAGE(E412,F412,G412)/B412)*(H412/NPV_Engine!$B$12)</f>
        <v>9635835.60410581</v>
      </c>
    </row>
    <row r="413" customFormat="false" ht="15" hidden="false" customHeight="false" outlineLevel="0" collapsed="false">
      <c r="A413" s="63" t="s">
        <v>118</v>
      </c>
      <c r="B413" s="64" t="n">
        <f aca="false">Curves!Q45</f>
        <v>0.953984470417811</v>
      </c>
      <c r="C413" s="60" t="n">
        <f aca="false">Curves!E9</f>
        <v>0.96933</v>
      </c>
      <c r="D413" s="65" t="n">
        <f aca="false">SABR!AT74</f>
        <v>0.408312583119033</v>
      </c>
      <c r="E413" s="60" t="n">
        <f aca="false">Curves!E10</f>
        <v>0.958726</v>
      </c>
      <c r="F413" s="60" t="n">
        <f aca="false">Curves!E11</f>
        <v>0.954899</v>
      </c>
      <c r="G413" s="60" t="n">
        <f aca="false">Curves!E12</f>
        <v>0.967393</v>
      </c>
      <c r="H413" s="60" t="n">
        <f aca="false">Curves!E13</f>
        <v>0.960645</v>
      </c>
      <c r="I413" s="62" t="n">
        <f aca="false">NPV_Engine!$B$4*B413*(C413/NPV_Engine!$B$8)*(1+0.5*(D413-NPV_Engine!$B$13))*(AVERAGE(E413,F413,G413)/B413)*(H413/NPV_Engine!$B$12)</f>
        <v>9644354.03173966</v>
      </c>
    </row>
    <row r="414" customFormat="false" ht="15" hidden="false" customHeight="false" outlineLevel="0" collapsed="false">
      <c r="A414" s="63" t="s">
        <v>119</v>
      </c>
      <c r="B414" s="64" t="n">
        <f aca="false">Curves!Q53</f>
        <v>0.953428257833193</v>
      </c>
      <c r="C414" s="60" t="n">
        <f aca="false">Curves!E9</f>
        <v>0.96933</v>
      </c>
      <c r="D414" s="65" t="n">
        <f aca="false">SABR!AT88</f>
        <v>0.407971432425642</v>
      </c>
      <c r="E414" s="60" t="n">
        <f aca="false">Curves!E10</f>
        <v>0.958726</v>
      </c>
      <c r="F414" s="60" t="n">
        <f aca="false">Curves!E11</f>
        <v>0.954899</v>
      </c>
      <c r="G414" s="60" t="n">
        <f aca="false">Curves!E12</f>
        <v>0.967393</v>
      </c>
      <c r="H414" s="60" t="n">
        <f aca="false">Curves!E13</f>
        <v>0.960645</v>
      </c>
      <c r="I414" s="62" t="n">
        <f aca="false">NPV_Engine!$B$4*B414*(C414/NPV_Engine!$B$8)*(1+0.5*(D414-NPV_Engine!$B$13))*(AVERAGE(E414,F414,G414)/B414)*(H414/NPV_Engine!$B$12)</f>
        <v>9642715.92959237</v>
      </c>
    </row>
    <row r="415" customFormat="false" ht="15" hidden="false" customHeight="false" outlineLevel="0" collapsed="false">
      <c r="A415" s="63" t="s">
        <v>120</v>
      </c>
      <c r="B415" s="64" t="n">
        <f aca="false">Curves!Q61</f>
        <v>0.953041785744194</v>
      </c>
      <c r="C415" s="60" t="n">
        <f aca="false">Curves!E9</f>
        <v>0.96933</v>
      </c>
      <c r="D415" s="65" t="n">
        <f aca="false">SABR!AT102</f>
        <v>0.413770225261134</v>
      </c>
      <c r="E415" s="60" t="n">
        <f aca="false">Curves!E10</f>
        <v>0.958726</v>
      </c>
      <c r="F415" s="60" t="n">
        <f aca="false">Curves!E11</f>
        <v>0.954899</v>
      </c>
      <c r="G415" s="60" t="n">
        <f aca="false">Curves!E12</f>
        <v>0.967393</v>
      </c>
      <c r="H415" s="60" t="n">
        <f aca="false">Curves!E13</f>
        <v>0.960645</v>
      </c>
      <c r="I415" s="62" t="n">
        <f aca="false">NPV_Engine!$B$4*B415*(C415/NPV_Engine!$B$8)*(1+0.5*(D415-NPV_Engine!$B$13))*(AVERAGE(E415,F415,G415)/B415)*(H415/NPV_Engine!$B$12)</f>
        <v>9670559.97382124</v>
      </c>
    </row>
    <row r="416" customFormat="false" ht="15" hidden="false" customHeight="false" outlineLevel="0" collapsed="false">
      <c r="A416" s="63" t="s">
        <v>121</v>
      </c>
      <c r="B416" s="64" t="n">
        <f aca="false">Curves!Q69</f>
        <v>0.955487984146696</v>
      </c>
      <c r="C416" s="60" t="n">
        <f aca="false">Curves!E9</f>
        <v>0.96933</v>
      </c>
      <c r="D416" s="65" t="n">
        <f aca="false">SABR!AT116</f>
        <v>0.41063225788842</v>
      </c>
      <c r="E416" s="60" t="n">
        <f aca="false">Curves!E10</f>
        <v>0.958726</v>
      </c>
      <c r="F416" s="60" t="n">
        <f aca="false">Curves!E11</f>
        <v>0.954899</v>
      </c>
      <c r="G416" s="60" t="n">
        <f aca="false">Curves!E12</f>
        <v>0.967393</v>
      </c>
      <c r="H416" s="60" t="n">
        <f aca="false">Curves!E13</f>
        <v>0.960645</v>
      </c>
      <c r="I416" s="62" t="n">
        <f aca="false">NPV_Engine!$B$4*B416*(C416/NPV_Engine!$B$8)*(1+0.5*(D416-NPV_Engine!$B$13))*(AVERAGE(E416,F416,G416)/B416)*(H416/NPV_Engine!$B$12)</f>
        <v>9655492.40634758</v>
      </c>
    </row>
    <row r="417" customFormat="false" ht="15" hidden="false" customHeight="false" outlineLevel="0" collapsed="false">
      <c r="A417" s="63" t="s">
        <v>122</v>
      </c>
      <c r="B417" s="64" t="n">
        <f aca="false">Curves!Q77</f>
        <v>0.954991103789659</v>
      </c>
      <c r="C417" s="60" t="n">
        <f aca="false">Curves!E9</f>
        <v>0.96933</v>
      </c>
      <c r="D417" s="65" t="n">
        <f aca="false">SABR!AT130</f>
        <v>0.411928432857369</v>
      </c>
      <c r="E417" s="60" t="n">
        <f aca="false">Curves!E10</f>
        <v>0.958726</v>
      </c>
      <c r="F417" s="60" t="n">
        <f aca="false">Curves!E11</f>
        <v>0.954899</v>
      </c>
      <c r="G417" s="60" t="n">
        <f aca="false">Curves!E12</f>
        <v>0.967393</v>
      </c>
      <c r="H417" s="60" t="n">
        <f aca="false">Curves!E13</f>
        <v>0.960645</v>
      </c>
      <c r="I417" s="62" t="n">
        <f aca="false">NPV_Engine!$B$4*B417*(C417/NPV_Engine!$B$8)*(1+0.5*(D417-NPV_Engine!$B$13))*(AVERAGE(E417,F417,G417)/B417)*(H417/NPV_Engine!$B$12)</f>
        <v>9661716.2453754</v>
      </c>
    </row>
    <row r="418" customFormat="false" ht="15" hidden="false" customHeight="false" outlineLevel="0" collapsed="false">
      <c r="A418" s="63" t="s">
        <v>123</v>
      </c>
      <c r="B418" s="64" t="n">
        <f aca="false">Curves!Q85</f>
        <v>0.954631571739291</v>
      </c>
      <c r="C418" s="60" t="n">
        <f aca="false">Curves!E9</f>
        <v>0.96933</v>
      </c>
      <c r="D418" s="65" t="n">
        <f aca="false">SABR!AT144</f>
        <v>0.417726110712245</v>
      </c>
      <c r="E418" s="60" t="n">
        <f aca="false">Curves!E10</f>
        <v>0.958726</v>
      </c>
      <c r="F418" s="60" t="n">
        <f aca="false">Curves!E11</f>
        <v>0.954899</v>
      </c>
      <c r="G418" s="60" t="n">
        <f aca="false">Curves!E12</f>
        <v>0.967393</v>
      </c>
      <c r="H418" s="60" t="n">
        <f aca="false">Curves!E13</f>
        <v>0.960645</v>
      </c>
      <c r="I418" s="62" t="n">
        <f aca="false">NPV_Engine!$B$4*B418*(C418/NPV_Engine!$B$8)*(1+0.5*(D418-NPV_Engine!$B$13))*(AVERAGE(E418,F418,G418)/B418)*(H418/NPV_Engine!$B$12)</f>
        <v>9689554.93580556</v>
      </c>
    </row>
    <row r="419" customFormat="false" ht="15" hidden="false" customHeight="false" outlineLevel="0" collapsed="false">
      <c r="A419" s="63" t="s">
        <v>124</v>
      </c>
      <c r="B419" s="64" t="n">
        <f aca="false">Curves!Q93</f>
        <v>0.950859692250137</v>
      </c>
      <c r="C419" s="60" t="n">
        <f aca="false">Curves!E9</f>
        <v>0.96933</v>
      </c>
      <c r="D419" s="65" t="n">
        <f aca="false">SABR!AT158</f>
        <v>0.415066202564148</v>
      </c>
      <c r="E419" s="60" t="n">
        <f aca="false">Curves!E10</f>
        <v>0.958726</v>
      </c>
      <c r="F419" s="60" t="n">
        <f aca="false">Curves!E11</f>
        <v>0.954899</v>
      </c>
      <c r="G419" s="60" t="n">
        <f aca="false">Curves!E12</f>
        <v>0.967393</v>
      </c>
      <c r="H419" s="60" t="n">
        <f aca="false">Curves!E13</f>
        <v>0.960645</v>
      </c>
      <c r="I419" s="62" t="n">
        <f aca="false">NPV_Engine!$B$4*B419*(C419/NPV_Engine!$B$8)*(1+0.5*(D419-NPV_Engine!$B$13))*(AVERAGE(E419,F419,G419)/B419)*(H419/NPV_Engine!$B$12)</f>
        <v>9676782.8637172</v>
      </c>
    </row>
    <row r="420" customFormat="false" ht="15" hidden="false" customHeight="false" outlineLevel="0" collapsed="false">
      <c r="A420" s="63" t="s">
        <v>125</v>
      </c>
      <c r="B420" s="64" t="n">
        <f aca="false">Curves!Q101</f>
        <v>0.950629998326299</v>
      </c>
      <c r="C420" s="60" t="n">
        <f aca="false">Curves!E9</f>
        <v>0.96933</v>
      </c>
      <c r="D420" s="65" t="n">
        <f aca="false">SABR!AT172</f>
        <v>0.417862506985643</v>
      </c>
      <c r="E420" s="60" t="n">
        <f aca="false">Curves!E10</f>
        <v>0.958726</v>
      </c>
      <c r="F420" s="60" t="n">
        <f aca="false">Curves!E11</f>
        <v>0.954899</v>
      </c>
      <c r="G420" s="60" t="n">
        <f aca="false">Curves!E12</f>
        <v>0.967393</v>
      </c>
      <c r="H420" s="60" t="n">
        <f aca="false">Curves!E13</f>
        <v>0.960645</v>
      </c>
      <c r="I420" s="62" t="n">
        <f aca="false">NPV_Engine!$B$4*B420*(C420/NPV_Engine!$B$8)*(1+0.5*(D420-NPV_Engine!$B$13))*(AVERAGE(E420,F420,G420)/B420)*(H420/NPV_Engine!$B$12)</f>
        <v>9690209.86933688</v>
      </c>
    </row>
    <row r="421" customFormat="false" ht="15" hidden="false" customHeight="false" outlineLevel="0" collapsed="false">
      <c r="A421" s="63" t="s">
        <v>126</v>
      </c>
      <c r="B421" s="64" t="n">
        <f aca="false">Curves!Q109</f>
        <v>0.949924622570429</v>
      </c>
      <c r="C421" s="60" t="n">
        <f aca="false">Curves!E9</f>
        <v>0.96933</v>
      </c>
      <c r="D421" s="65" t="n">
        <f aca="false">SABR!AT186</f>
        <v>0.421340306298811</v>
      </c>
      <c r="E421" s="60" t="n">
        <f aca="false">Curves!E10</f>
        <v>0.958726</v>
      </c>
      <c r="F421" s="60" t="n">
        <f aca="false">Curves!E11</f>
        <v>0.954899</v>
      </c>
      <c r="G421" s="60" t="n">
        <f aca="false">Curves!E12</f>
        <v>0.967393</v>
      </c>
      <c r="H421" s="60" t="n">
        <f aca="false">Curves!E13</f>
        <v>0.960645</v>
      </c>
      <c r="I421" s="62" t="n">
        <f aca="false">NPV_Engine!$B$4*B421*(C421/NPV_Engine!$B$8)*(1+0.5*(D421-NPV_Engine!$B$13))*(AVERAGE(E421,F421,G421)/B421)*(H421/NPV_Engine!$B$12)</f>
        <v>9706909.20670625</v>
      </c>
    </row>
    <row r="424" customFormat="false" ht="15" hidden="false" customHeight="false" outlineLevel="0" collapsed="false">
      <c r="A424" s="67" t="s">
        <v>310</v>
      </c>
      <c r="B424" s="67"/>
      <c r="C424" s="67"/>
      <c r="D424" s="67"/>
      <c r="E424" s="67"/>
      <c r="F424" s="67"/>
      <c r="G424" s="67"/>
      <c r="H424" s="67"/>
      <c r="I424" s="67"/>
      <c r="J424" s="58" t="s">
        <v>311</v>
      </c>
    </row>
    <row r="425" customFormat="false" ht="39.55" hidden="false" customHeight="false" outlineLevel="0" collapsed="false">
      <c r="A425" s="22" t="s">
        <v>179</v>
      </c>
      <c r="B425" s="22" t="s">
        <v>180</v>
      </c>
      <c r="C425" s="22" t="s">
        <v>181</v>
      </c>
      <c r="D425" s="22" t="s">
        <v>182</v>
      </c>
      <c r="E425" s="22" t="s">
        <v>183</v>
      </c>
      <c r="F425" s="22" t="s">
        <v>184</v>
      </c>
      <c r="G425" s="22" t="s">
        <v>185</v>
      </c>
      <c r="H425" s="22" t="s">
        <v>186</v>
      </c>
      <c r="I425" s="22" t="s">
        <v>187</v>
      </c>
    </row>
    <row r="426" customFormat="false" ht="15" hidden="false" customHeight="false" outlineLevel="0" collapsed="false">
      <c r="A426" s="59" t="s">
        <v>188</v>
      </c>
      <c r="B426" s="60" t="n">
        <f aca="false">Curves!E8</f>
        <v>0.957768</v>
      </c>
      <c r="C426" s="60" t="n">
        <f aca="false">Curves!E9</f>
        <v>0.96933</v>
      </c>
      <c r="D426" s="61" t="n">
        <f aca="false">SABR!AT10</f>
        <v>0.39978211956629</v>
      </c>
      <c r="E426" s="60" t="n">
        <f aca="false">Curves!E10</f>
        <v>0.958726</v>
      </c>
      <c r="F426" s="60" t="n">
        <f aca="false">Curves!E11</f>
        <v>0.954899</v>
      </c>
      <c r="G426" s="60" t="n">
        <f aca="false">Curves!E12</f>
        <v>0.967393</v>
      </c>
      <c r="H426" s="60" t="n">
        <f aca="false">Curves!E13</f>
        <v>0.960645</v>
      </c>
      <c r="I426" s="62" t="n">
        <f aca="false">NPV_Engine!$B$4*B426*(C426/NPV_Engine!$B$8)*(1+0.5*(D426-NPV_Engine!$B$13))*(AVERAGE(E426,F426,G426)/B426)*(H426/NPV_Engine!$B$12)</f>
        <v>9603393.33333333</v>
      </c>
    </row>
    <row r="427" customFormat="false" ht="15" hidden="false" customHeight="false" outlineLevel="0" collapsed="false">
      <c r="A427" s="63" t="s">
        <v>117</v>
      </c>
      <c r="B427" s="60" t="n">
        <f aca="false">Curves!E8</f>
        <v>0.957768</v>
      </c>
      <c r="C427" s="60" t="n">
        <f aca="false">Curves!E9</f>
        <v>0.96933</v>
      </c>
      <c r="D427" s="65" t="n">
        <f aca="false">SABR!AT60</f>
        <v>0.406538537771067</v>
      </c>
      <c r="E427" s="60" t="n">
        <f aca="false">Curves!E10</f>
        <v>0.958726</v>
      </c>
      <c r="F427" s="60" t="n">
        <f aca="false">Curves!E11</f>
        <v>0.954899</v>
      </c>
      <c r="G427" s="60" t="n">
        <f aca="false">Curves!E12</f>
        <v>0.967393</v>
      </c>
      <c r="H427" s="60" t="n">
        <f aca="false">Curves!E13</f>
        <v>0.960645</v>
      </c>
      <c r="I427" s="62" t="n">
        <f aca="false">NPV_Engine!$B$4*B427*(C427/NPV_Engine!$B$8)*(1+0.5*(D427-NPV_Engine!$B$13))*(AVERAGE(E427,F427,G427)/B427)*(H427/NPV_Engine!$B$12)</f>
        <v>9635835.60410582</v>
      </c>
    </row>
    <row r="428" customFormat="false" ht="15" hidden="false" customHeight="false" outlineLevel="0" collapsed="false">
      <c r="A428" s="63" t="s">
        <v>118</v>
      </c>
      <c r="B428" s="60" t="n">
        <f aca="false">Curves!E8</f>
        <v>0.957768</v>
      </c>
      <c r="C428" s="60" t="n">
        <f aca="false">Curves!E9</f>
        <v>0.96933</v>
      </c>
      <c r="D428" s="65" t="n">
        <f aca="false">SABR!AT74</f>
        <v>0.408312583119033</v>
      </c>
      <c r="E428" s="60" t="n">
        <f aca="false">Curves!E10</f>
        <v>0.958726</v>
      </c>
      <c r="F428" s="60" t="n">
        <f aca="false">Curves!E11</f>
        <v>0.954899</v>
      </c>
      <c r="G428" s="60" t="n">
        <f aca="false">Curves!E12</f>
        <v>0.967393</v>
      </c>
      <c r="H428" s="60" t="n">
        <f aca="false">Curves!E13</f>
        <v>0.960645</v>
      </c>
      <c r="I428" s="62" t="n">
        <f aca="false">NPV_Engine!$B$4*B428*(C428/NPV_Engine!$B$8)*(1+0.5*(D428-NPV_Engine!$B$13))*(AVERAGE(E428,F428,G428)/B428)*(H428/NPV_Engine!$B$12)</f>
        <v>9644354.03173966</v>
      </c>
    </row>
    <row r="429" customFormat="false" ht="15" hidden="false" customHeight="false" outlineLevel="0" collapsed="false">
      <c r="A429" s="63" t="s">
        <v>119</v>
      </c>
      <c r="B429" s="60" t="n">
        <f aca="false">Curves!E8</f>
        <v>0.957768</v>
      </c>
      <c r="C429" s="60" t="n">
        <f aca="false">Curves!E9</f>
        <v>0.96933</v>
      </c>
      <c r="D429" s="65" t="n">
        <f aca="false">SABR!AT88</f>
        <v>0.407971432425642</v>
      </c>
      <c r="E429" s="60" t="n">
        <f aca="false">Curves!E10</f>
        <v>0.958726</v>
      </c>
      <c r="F429" s="60" t="n">
        <f aca="false">Curves!E11</f>
        <v>0.954899</v>
      </c>
      <c r="G429" s="60" t="n">
        <f aca="false">Curves!E12</f>
        <v>0.967393</v>
      </c>
      <c r="H429" s="60" t="n">
        <f aca="false">Curves!E13</f>
        <v>0.960645</v>
      </c>
      <c r="I429" s="62" t="n">
        <f aca="false">NPV_Engine!$B$4*B429*(C429/NPV_Engine!$B$8)*(1+0.5*(D429-NPV_Engine!$B$13))*(AVERAGE(E429,F429,G429)/B429)*(H429/NPV_Engine!$B$12)</f>
        <v>9642715.92959238</v>
      </c>
    </row>
    <row r="430" customFormat="false" ht="15" hidden="false" customHeight="false" outlineLevel="0" collapsed="false">
      <c r="A430" s="63" t="s">
        <v>120</v>
      </c>
      <c r="B430" s="60" t="n">
        <f aca="false">Curves!E8</f>
        <v>0.957768</v>
      </c>
      <c r="C430" s="60" t="n">
        <f aca="false">Curves!E9</f>
        <v>0.96933</v>
      </c>
      <c r="D430" s="65" t="n">
        <f aca="false">SABR!AT102</f>
        <v>0.413770225261134</v>
      </c>
      <c r="E430" s="60" t="n">
        <f aca="false">Curves!E10</f>
        <v>0.958726</v>
      </c>
      <c r="F430" s="60" t="n">
        <f aca="false">Curves!E11</f>
        <v>0.954899</v>
      </c>
      <c r="G430" s="60" t="n">
        <f aca="false">Curves!E12</f>
        <v>0.967393</v>
      </c>
      <c r="H430" s="60" t="n">
        <f aca="false">Curves!E13</f>
        <v>0.960645</v>
      </c>
      <c r="I430" s="62" t="n">
        <f aca="false">NPV_Engine!$B$4*B430*(C430/NPV_Engine!$B$8)*(1+0.5*(D430-NPV_Engine!$B$13))*(AVERAGE(E430,F430,G430)/B430)*(H430/NPV_Engine!$B$12)</f>
        <v>9670559.97382125</v>
      </c>
    </row>
    <row r="431" customFormat="false" ht="15" hidden="false" customHeight="false" outlineLevel="0" collapsed="false">
      <c r="A431" s="63" t="s">
        <v>121</v>
      </c>
      <c r="B431" s="60" t="n">
        <f aca="false">Curves!E8</f>
        <v>0.957768</v>
      </c>
      <c r="C431" s="60" t="n">
        <f aca="false">Curves!E9</f>
        <v>0.96933</v>
      </c>
      <c r="D431" s="65" t="n">
        <f aca="false">SABR!AT116</f>
        <v>0.41063225788842</v>
      </c>
      <c r="E431" s="60" t="n">
        <f aca="false">Curves!E10</f>
        <v>0.958726</v>
      </c>
      <c r="F431" s="60" t="n">
        <f aca="false">Curves!E11</f>
        <v>0.954899</v>
      </c>
      <c r="G431" s="60" t="n">
        <f aca="false">Curves!E12</f>
        <v>0.967393</v>
      </c>
      <c r="H431" s="60" t="n">
        <f aca="false">Curves!E13</f>
        <v>0.960645</v>
      </c>
      <c r="I431" s="62" t="n">
        <f aca="false">NPV_Engine!$B$4*B431*(C431/NPV_Engine!$B$8)*(1+0.5*(D431-NPV_Engine!$B$13))*(AVERAGE(E431,F431,G431)/B431)*(H431/NPV_Engine!$B$12)</f>
        <v>9655492.40634758</v>
      </c>
    </row>
    <row r="432" customFormat="false" ht="15" hidden="false" customHeight="false" outlineLevel="0" collapsed="false">
      <c r="A432" s="63" t="s">
        <v>122</v>
      </c>
      <c r="B432" s="60" t="n">
        <f aca="false">Curves!E8</f>
        <v>0.957768</v>
      </c>
      <c r="C432" s="60" t="n">
        <f aca="false">Curves!E9</f>
        <v>0.96933</v>
      </c>
      <c r="D432" s="65" t="n">
        <f aca="false">SABR!AT130</f>
        <v>0.411928432857369</v>
      </c>
      <c r="E432" s="60" t="n">
        <f aca="false">Curves!E10</f>
        <v>0.958726</v>
      </c>
      <c r="F432" s="60" t="n">
        <f aca="false">Curves!E11</f>
        <v>0.954899</v>
      </c>
      <c r="G432" s="60" t="n">
        <f aca="false">Curves!E12</f>
        <v>0.967393</v>
      </c>
      <c r="H432" s="60" t="n">
        <f aca="false">Curves!E13</f>
        <v>0.960645</v>
      </c>
      <c r="I432" s="62" t="n">
        <f aca="false">NPV_Engine!$B$4*B432*(C432/NPV_Engine!$B$8)*(1+0.5*(D432-NPV_Engine!$B$13))*(AVERAGE(E432,F432,G432)/B432)*(H432/NPV_Engine!$B$12)</f>
        <v>9661716.2453754</v>
      </c>
    </row>
    <row r="433" customFormat="false" ht="15" hidden="false" customHeight="false" outlineLevel="0" collapsed="false">
      <c r="A433" s="63" t="s">
        <v>123</v>
      </c>
      <c r="B433" s="60" t="n">
        <f aca="false">Curves!E8</f>
        <v>0.957768</v>
      </c>
      <c r="C433" s="60" t="n">
        <f aca="false">Curves!E9</f>
        <v>0.96933</v>
      </c>
      <c r="D433" s="65" t="n">
        <f aca="false">SABR!AT144</f>
        <v>0.417726110712245</v>
      </c>
      <c r="E433" s="60" t="n">
        <f aca="false">Curves!E10</f>
        <v>0.958726</v>
      </c>
      <c r="F433" s="60" t="n">
        <f aca="false">Curves!E11</f>
        <v>0.954899</v>
      </c>
      <c r="G433" s="60" t="n">
        <f aca="false">Curves!E12</f>
        <v>0.967393</v>
      </c>
      <c r="H433" s="60" t="n">
        <f aca="false">Curves!E13</f>
        <v>0.960645</v>
      </c>
      <c r="I433" s="62" t="n">
        <f aca="false">NPV_Engine!$B$4*B433*(C433/NPV_Engine!$B$8)*(1+0.5*(D433-NPV_Engine!$B$13))*(AVERAGE(E433,F433,G433)/B433)*(H433/NPV_Engine!$B$12)</f>
        <v>9689554.93580556</v>
      </c>
    </row>
    <row r="434" customFormat="false" ht="15" hidden="false" customHeight="false" outlineLevel="0" collapsed="false">
      <c r="A434" s="63" t="s">
        <v>124</v>
      </c>
      <c r="B434" s="60" t="n">
        <f aca="false">Curves!E8</f>
        <v>0.957768</v>
      </c>
      <c r="C434" s="60" t="n">
        <f aca="false">Curves!E9</f>
        <v>0.96933</v>
      </c>
      <c r="D434" s="65" t="n">
        <f aca="false">SABR!AT158</f>
        <v>0.415066202564148</v>
      </c>
      <c r="E434" s="60" t="n">
        <f aca="false">Curves!E10</f>
        <v>0.958726</v>
      </c>
      <c r="F434" s="60" t="n">
        <f aca="false">Curves!E11</f>
        <v>0.954899</v>
      </c>
      <c r="G434" s="60" t="n">
        <f aca="false">Curves!E12</f>
        <v>0.967393</v>
      </c>
      <c r="H434" s="60" t="n">
        <f aca="false">Curves!E13</f>
        <v>0.960645</v>
      </c>
      <c r="I434" s="62" t="n">
        <f aca="false">NPV_Engine!$B$4*B434*(C434/NPV_Engine!$B$8)*(1+0.5*(D434-NPV_Engine!$B$13))*(AVERAGE(E434,F434,G434)/B434)*(H434/NPV_Engine!$B$12)</f>
        <v>9676782.86371721</v>
      </c>
    </row>
    <row r="435" customFormat="false" ht="15" hidden="false" customHeight="false" outlineLevel="0" collapsed="false">
      <c r="A435" s="63" t="s">
        <v>125</v>
      </c>
      <c r="B435" s="60" t="n">
        <f aca="false">Curves!E8</f>
        <v>0.957768</v>
      </c>
      <c r="C435" s="60" t="n">
        <f aca="false">Curves!E9</f>
        <v>0.96933</v>
      </c>
      <c r="D435" s="65" t="n">
        <f aca="false">SABR!AT172</f>
        <v>0.417862506985643</v>
      </c>
      <c r="E435" s="60" t="n">
        <f aca="false">Curves!E10</f>
        <v>0.958726</v>
      </c>
      <c r="F435" s="60" t="n">
        <f aca="false">Curves!E11</f>
        <v>0.954899</v>
      </c>
      <c r="G435" s="60" t="n">
        <f aca="false">Curves!E12</f>
        <v>0.967393</v>
      </c>
      <c r="H435" s="60" t="n">
        <f aca="false">Curves!E13</f>
        <v>0.960645</v>
      </c>
      <c r="I435" s="62" t="n">
        <f aca="false">NPV_Engine!$B$4*B435*(C435/NPV_Engine!$B$8)*(1+0.5*(D435-NPV_Engine!$B$13))*(AVERAGE(E435,F435,G435)/B435)*(H435/NPV_Engine!$B$12)</f>
        <v>9690209.86933688</v>
      </c>
    </row>
    <row r="436" customFormat="false" ht="15" hidden="false" customHeight="false" outlineLevel="0" collapsed="false">
      <c r="A436" s="63" t="s">
        <v>126</v>
      </c>
      <c r="B436" s="60" t="n">
        <f aca="false">Curves!E8</f>
        <v>0.957768</v>
      </c>
      <c r="C436" s="60" t="n">
        <f aca="false">Curves!E9</f>
        <v>0.96933</v>
      </c>
      <c r="D436" s="65" t="n">
        <f aca="false">SABR!AT186</f>
        <v>0.421340306298811</v>
      </c>
      <c r="E436" s="60" t="n">
        <f aca="false">Curves!E10</f>
        <v>0.958726</v>
      </c>
      <c r="F436" s="60" t="n">
        <f aca="false">Curves!E11</f>
        <v>0.954899</v>
      </c>
      <c r="G436" s="60" t="n">
        <f aca="false">Curves!E12</f>
        <v>0.967393</v>
      </c>
      <c r="H436" s="60" t="n">
        <f aca="false">Curves!E13</f>
        <v>0.960645</v>
      </c>
      <c r="I436" s="62" t="n">
        <f aca="false">NPV_Engine!$B$4*B436*(C436/NPV_Engine!$B$8)*(1+0.5*(D436-NPV_Engine!$B$13))*(AVERAGE(E436,F436,G436)/B436)*(H436/NPV_Engine!$B$12)</f>
        <v>9706909.20670626</v>
      </c>
    </row>
    <row r="439" customFormat="false" ht="15" hidden="false" customHeight="false" outlineLevel="0" collapsed="false">
      <c r="A439" s="67" t="s">
        <v>312</v>
      </c>
      <c r="B439" s="67"/>
      <c r="C439" s="67"/>
      <c r="D439" s="67"/>
      <c r="E439" s="67"/>
      <c r="F439" s="67"/>
      <c r="G439" s="67"/>
      <c r="H439" s="67"/>
      <c r="I439" s="67"/>
      <c r="J439" s="58" t="s">
        <v>311</v>
      </c>
    </row>
    <row r="440" customFormat="false" ht="39.55" hidden="false" customHeight="false" outlineLevel="0" collapsed="false">
      <c r="A440" s="22" t="s">
        <v>179</v>
      </c>
      <c r="B440" s="22" t="s">
        <v>180</v>
      </c>
      <c r="C440" s="22" t="s">
        <v>181</v>
      </c>
      <c r="D440" s="22" t="s">
        <v>182</v>
      </c>
      <c r="E440" s="22" t="s">
        <v>183</v>
      </c>
      <c r="F440" s="22" t="s">
        <v>184</v>
      </c>
      <c r="G440" s="22" t="s">
        <v>185</v>
      </c>
      <c r="H440" s="22" t="s">
        <v>186</v>
      </c>
      <c r="I440" s="22" t="s">
        <v>187</v>
      </c>
    </row>
    <row r="441" customFormat="false" ht="15" hidden="false" customHeight="false" outlineLevel="0" collapsed="false">
      <c r="A441" s="59" t="s">
        <v>188</v>
      </c>
      <c r="B441" s="60" t="n">
        <f aca="false">Curves!E8</f>
        <v>0.957768</v>
      </c>
      <c r="C441" s="60" t="n">
        <f aca="false">Curves!E9</f>
        <v>0.96933</v>
      </c>
      <c r="D441" s="61" t="n">
        <f aca="false">SABR!AT10</f>
        <v>0.39978211956629</v>
      </c>
      <c r="E441" s="60" t="n">
        <f aca="false">Curves!E10</f>
        <v>0.958726</v>
      </c>
      <c r="F441" s="60" t="n">
        <f aca="false">Curves!E11</f>
        <v>0.954899</v>
      </c>
      <c r="G441" s="60" t="n">
        <f aca="false">Curves!E12</f>
        <v>0.967393</v>
      </c>
      <c r="H441" s="60" t="n">
        <f aca="false">Curves!E13</f>
        <v>0.960645</v>
      </c>
      <c r="I441" s="62" t="n">
        <f aca="false">NPV_Engine!$B$4*B441*(C441/NPV_Engine!$B$8)*(1+0.5*(D441-NPV_Engine!$B$13))*(AVERAGE(E441,F441,G441)/B441)*(H441/NPV_Engine!$B$12)</f>
        <v>9603393.33333333</v>
      </c>
    </row>
    <row r="442" customFormat="false" ht="15" hidden="false" customHeight="false" outlineLevel="0" collapsed="false">
      <c r="A442" s="63" t="s">
        <v>117</v>
      </c>
      <c r="B442" s="60" t="n">
        <f aca="false">Curves!E8</f>
        <v>0.957768</v>
      </c>
      <c r="C442" s="60" t="n">
        <f aca="false">Curves!E9</f>
        <v>0.96933</v>
      </c>
      <c r="D442" s="65" t="n">
        <f aca="false">SABR!AT60</f>
        <v>0.406538537771067</v>
      </c>
      <c r="E442" s="60" t="n">
        <f aca="false">Curves!E10</f>
        <v>0.958726</v>
      </c>
      <c r="F442" s="60" t="n">
        <f aca="false">Curves!E11</f>
        <v>0.954899</v>
      </c>
      <c r="G442" s="60" t="n">
        <f aca="false">Curves!E12</f>
        <v>0.967393</v>
      </c>
      <c r="H442" s="60" t="n">
        <f aca="false">Curves!E13</f>
        <v>0.960645</v>
      </c>
      <c r="I442" s="62" t="n">
        <f aca="false">NPV_Engine!$B$4*B442*(C442/NPV_Engine!$B$8)*(1+0.5*(D442-NPV_Engine!$B$13))*(AVERAGE(E442,F442,G442)/B442)*(H442/NPV_Engine!$B$12)</f>
        <v>9635835.60410582</v>
      </c>
    </row>
    <row r="443" customFormat="false" ht="15" hidden="false" customHeight="false" outlineLevel="0" collapsed="false">
      <c r="A443" s="63" t="s">
        <v>118</v>
      </c>
      <c r="B443" s="60" t="n">
        <f aca="false">Curves!E8</f>
        <v>0.957768</v>
      </c>
      <c r="C443" s="60" t="n">
        <f aca="false">Curves!E9</f>
        <v>0.96933</v>
      </c>
      <c r="D443" s="65" t="n">
        <f aca="false">SABR!AT74</f>
        <v>0.408312583119033</v>
      </c>
      <c r="E443" s="60" t="n">
        <f aca="false">Curves!E10</f>
        <v>0.958726</v>
      </c>
      <c r="F443" s="60" t="n">
        <f aca="false">Curves!E11</f>
        <v>0.954899</v>
      </c>
      <c r="G443" s="60" t="n">
        <f aca="false">Curves!E12</f>
        <v>0.967393</v>
      </c>
      <c r="H443" s="60" t="n">
        <f aca="false">Curves!E13</f>
        <v>0.960645</v>
      </c>
      <c r="I443" s="62" t="n">
        <f aca="false">NPV_Engine!$B$4*B443*(C443/NPV_Engine!$B$8)*(1+0.5*(D443-NPV_Engine!$B$13))*(AVERAGE(E443,F443,G443)/B443)*(H443/NPV_Engine!$B$12)</f>
        <v>9644354.03173966</v>
      </c>
    </row>
    <row r="444" customFormat="false" ht="15" hidden="false" customHeight="false" outlineLevel="0" collapsed="false">
      <c r="A444" s="63" t="s">
        <v>119</v>
      </c>
      <c r="B444" s="60" t="n">
        <f aca="false">Curves!E8</f>
        <v>0.957768</v>
      </c>
      <c r="C444" s="60" t="n">
        <f aca="false">Curves!E9</f>
        <v>0.96933</v>
      </c>
      <c r="D444" s="65" t="n">
        <f aca="false">SABR!AT88</f>
        <v>0.407971432425642</v>
      </c>
      <c r="E444" s="60" t="n">
        <f aca="false">Curves!E10</f>
        <v>0.958726</v>
      </c>
      <c r="F444" s="60" t="n">
        <f aca="false">Curves!E11</f>
        <v>0.954899</v>
      </c>
      <c r="G444" s="60" t="n">
        <f aca="false">Curves!E12</f>
        <v>0.967393</v>
      </c>
      <c r="H444" s="60" t="n">
        <f aca="false">Curves!E13</f>
        <v>0.960645</v>
      </c>
      <c r="I444" s="62" t="n">
        <f aca="false">NPV_Engine!$B$4*B444*(C444/NPV_Engine!$B$8)*(1+0.5*(D444-NPV_Engine!$B$13))*(AVERAGE(E444,F444,G444)/B444)*(H444/NPV_Engine!$B$12)</f>
        <v>9642715.92959238</v>
      </c>
    </row>
    <row r="445" customFormat="false" ht="15" hidden="false" customHeight="false" outlineLevel="0" collapsed="false">
      <c r="A445" s="63" t="s">
        <v>120</v>
      </c>
      <c r="B445" s="60" t="n">
        <f aca="false">Curves!E8</f>
        <v>0.957768</v>
      </c>
      <c r="C445" s="60" t="n">
        <f aca="false">Curves!E9</f>
        <v>0.96933</v>
      </c>
      <c r="D445" s="65" t="n">
        <f aca="false">SABR!AT102</f>
        <v>0.413770225261134</v>
      </c>
      <c r="E445" s="60" t="n">
        <f aca="false">Curves!E10</f>
        <v>0.958726</v>
      </c>
      <c r="F445" s="60" t="n">
        <f aca="false">Curves!E11</f>
        <v>0.954899</v>
      </c>
      <c r="G445" s="60" t="n">
        <f aca="false">Curves!E12</f>
        <v>0.967393</v>
      </c>
      <c r="H445" s="60" t="n">
        <f aca="false">Curves!E13</f>
        <v>0.960645</v>
      </c>
      <c r="I445" s="62" t="n">
        <f aca="false">NPV_Engine!$B$4*B445*(C445/NPV_Engine!$B$8)*(1+0.5*(D445-NPV_Engine!$B$13))*(AVERAGE(E445,F445,G445)/B445)*(H445/NPV_Engine!$B$12)</f>
        <v>9670559.97382125</v>
      </c>
    </row>
    <row r="446" customFormat="false" ht="15" hidden="false" customHeight="false" outlineLevel="0" collapsed="false">
      <c r="A446" s="63" t="s">
        <v>121</v>
      </c>
      <c r="B446" s="60" t="n">
        <f aca="false">Curves!E8</f>
        <v>0.957768</v>
      </c>
      <c r="C446" s="60" t="n">
        <f aca="false">Curves!E9</f>
        <v>0.96933</v>
      </c>
      <c r="D446" s="65" t="n">
        <f aca="false">SABR!AT116</f>
        <v>0.41063225788842</v>
      </c>
      <c r="E446" s="60" t="n">
        <f aca="false">Curves!E10</f>
        <v>0.958726</v>
      </c>
      <c r="F446" s="60" t="n">
        <f aca="false">Curves!E11</f>
        <v>0.954899</v>
      </c>
      <c r="G446" s="60" t="n">
        <f aca="false">Curves!E12</f>
        <v>0.967393</v>
      </c>
      <c r="H446" s="60" t="n">
        <f aca="false">Curves!E13</f>
        <v>0.960645</v>
      </c>
      <c r="I446" s="62" t="n">
        <f aca="false">NPV_Engine!$B$4*B446*(C446/NPV_Engine!$B$8)*(1+0.5*(D446-NPV_Engine!$B$13))*(AVERAGE(E446,F446,G446)/B446)*(H446/NPV_Engine!$B$12)</f>
        <v>9655492.40634758</v>
      </c>
    </row>
    <row r="447" customFormat="false" ht="15" hidden="false" customHeight="false" outlineLevel="0" collapsed="false">
      <c r="A447" s="63" t="s">
        <v>122</v>
      </c>
      <c r="B447" s="60" t="n">
        <f aca="false">Curves!E8</f>
        <v>0.957768</v>
      </c>
      <c r="C447" s="60" t="n">
        <f aca="false">Curves!E9</f>
        <v>0.96933</v>
      </c>
      <c r="D447" s="65" t="n">
        <f aca="false">SABR!AT130</f>
        <v>0.411928432857369</v>
      </c>
      <c r="E447" s="60" t="n">
        <f aca="false">Curves!E10</f>
        <v>0.958726</v>
      </c>
      <c r="F447" s="60" t="n">
        <f aca="false">Curves!E11</f>
        <v>0.954899</v>
      </c>
      <c r="G447" s="60" t="n">
        <f aca="false">Curves!E12</f>
        <v>0.967393</v>
      </c>
      <c r="H447" s="60" t="n">
        <f aca="false">Curves!E13</f>
        <v>0.960645</v>
      </c>
      <c r="I447" s="62" t="n">
        <f aca="false">NPV_Engine!$B$4*B447*(C447/NPV_Engine!$B$8)*(1+0.5*(D447-NPV_Engine!$B$13))*(AVERAGE(E447,F447,G447)/B447)*(H447/NPV_Engine!$B$12)</f>
        <v>9661716.2453754</v>
      </c>
    </row>
    <row r="448" customFormat="false" ht="15" hidden="false" customHeight="false" outlineLevel="0" collapsed="false">
      <c r="A448" s="63" t="s">
        <v>123</v>
      </c>
      <c r="B448" s="60" t="n">
        <f aca="false">Curves!E8</f>
        <v>0.957768</v>
      </c>
      <c r="C448" s="60" t="n">
        <f aca="false">Curves!E9</f>
        <v>0.96933</v>
      </c>
      <c r="D448" s="65" t="n">
        <f aca="false">SABR!AT144</f>
        <v>0.417726110712245</v>
      </c>
      <c r="E448" s="60" t="n">
        <f aca="false">Curves!E10</f>
        <v>0.958726</v>
      </c>
      <c r="F448" s="60" t="n">
        <f aca="false">Curves!E11</f>
        <v>0.954899</v>
      </c>
      <c r="G448" s="60" t="n">
        <f aca="false">Curves!E12</f>
        <v>0.967393</v>
      </c>
      <c r="H448" s="60" t="n">
        <f aca="false">Curves!E13</f>
        <v>0.960645</v>
      </c>
      <c r="I448" s="62" t="n">
        <f aca="false">NPV_Engine!$B$4*B448*(C448/NPV_Engine!$B$8)*(1+0.5*(D448-NPV_Engine!$B$13))*(AVERAGE(E448,F448,G448)/B448)*(H448/NPV_Engine!$B$12)</f>
        <v>9689554.93580556</v>
      </c>
    </row>
    <row r="449" customFormat="false" ht="15" hidden="false" customHeight="false" outlineLevel="0" collapsed="false">
      <c r="A449" s="63" t="s">
        <v>124</v>
      </c>
      <c r="B449" s="60" t="n">
        <f aca="false">Curves!E8</f>
        <v>0.957768</v>
      </c>
      <c r="C449" s="60" t="n">
        <f aca="false">Curves!E9</f>
        <v>0.96933</v>
      </c>
      <c r="D449" s="65" t="n">
        <f aca="false">SABR!AT158</f>
        <v>0.415066202564148</v>
      </c>
      <c r="E449" s="60" t="n">
        <f aca="false">Curves!E10</f>
        <v>0.958726</v>
      </c>
      <c r="F449" s="60" t="n">
        <f aca="false">Curves!E11</f>
        <v>0.954899</v>
      </c>
      <c r="G449" s="60" t="n">
        <f aca="false">Curves!E12</f>
        <v>0.967393</v>
      </c>
      <c r="H449" s="60" t="n">
        <f aca="false">Curves!E13</f>
        <v>0.960645</v>
      </c>
      <c r="I449" s="62" t="n">
        <f aca="false">NPV_Engine!$B$4*B449*(C449/NPV_Engine!$B$8)*(1+0.5*(D449-NPV_Engine!$B$13))*(AVERAGE(E449,F449,G449)/B449)*(H449/NPV_Engine!$B$12)</f>
        <v>9676782.86371721</v>
      </c>
    </row>
    <row r="450" customFormat="false" ht="15" hidden="false" customHeight="false" outlineLevel="0" collapsed="false">
      <c r="A450" s="63" t="s">
        <v>125</v>
      </c>
      <c r="B450" s="60" t="n">
        <f aca="false">Curves!E8</f>
        <v>0.957768</v>
      </c>
      <c r="C450" s="60" t="n">
        <f aca="false">Curves!E9</f>
        <v>0.96933</v>
      </c>
      <c r="D450" s="65" t="n">
        <f aca="false">SABR!AT172</f>
        <v>0.417862506985643</v>
      </c>
      <c r="E450" s="60" t="n">
        <f aca="false">Curves!E10</f>
        <v>0.958726</v>
      </c>
      <c r="F450" s="60" t="n">
        <f aca="false">Curves!E11</f>
        <v>0.954899</v>
      </c>
      <c r="G450" s="60" t="n">
        <f aca="false">Curves!E12</f>
        <v>0.967393</v>
      </c>
      <c r="H450" s="60" t="n">
        <f aca="false">Curves!E13</f>
        <v>0.960645</v>
      </c>
      <c r="I450" s="62" t="n">
        <f aca="false">NPV_Engine!$B$4*B450*(C450/NPV_Engine!$B$8)*(1+0.5*(D450-NPV_Engine!$B$13))*(AVERAGE(E450,F450,G450)/B450)*(H450/NPV_Engine!$B$12)</f>
        <v>9690209.86933688</v>
      </c>
    </row>
    <row r="451" customFormat="false" ht="15" hidden="false" customHeight="false" outlineLevel="0" collapsed="false">
      <c r="A451" s="63" t="s">
        <v>126</v>
      </c>
      <c r="B451" s="60" t="n">
        <f aca="false">Curves!E8</f>
        <v>0.957768</v>
      </c>
      <c r="C451" s="60" t="n">
        <f aca="false">Curves!E9</f>
        <v>0.96933</v>
      </c>
      <c r="D451" s="65" t="n">
        <f aca="false">SABR!AT186</f>
        <v>0.421340306298811</v>
      </c>
      <c r="E451" s="60" t="n">
        <f aca="false">Curves!E10</f>
        <v>0.958726</v>
      </c>
      <c r="F451" s="60" t="n">
        <f aca="false">Curves!E11</f>
        <v>0.954899</v>
      </c>
      <c r="G451" s="60" t="n">
        <f aca="false">Curves!E12</f>
        <v>0.967393</v>
      </c>
      <c r="H451" s="60" t="n">
        <f aca="false">Curves!E13</f>
        <v>0.960645</v>
      </c>
      <c r="I451" s="62" t="n">
        <f aca="false">NPV_Engine!$B$4*B451*(C451/NPV_Engine!$B$8)*(1+0.5*(D451-NPV_Engine!$B$13))*(AVERAGE(E451,F451,G451)/B451)*(H451/NPV_Engine!$B$12)</f>
        <v>9706909.20670626</v>
      </c>
    </row>
    <row r="454" customFormat="false" ht="15" hidden="false" customHeight="false" outlineLevel="0" collapsed="false">
      <c r="A454" s="67" t="s">
        <v>313</v>
      </c>
      <c r="B454" s="67"/>
      <c r="C454" s="67"/>
      <c r="D454" s="67"/>
      <c r="E454" s="67"/>
      <c r="F454" s="67"/>
      <c r="G454" s="67"/>
      <c r="H454" s="67"/>
      <c r="I454" s="67"/>
      <c r="J454" s="58" t="s">
        <v>311</v>
      </c>
    </row>
    <row r="455" customFormat="false" ht="39.55" hidden="false" customHeight="false" outlineLevel="0" collapsed="false">
      <c r="A455" s="22" t="s">
        <v>179</v>
      </c>
      <c r="B455" s="22" t="s">
        <v>180</v>
      </c>
      <c r="C455" s="22" t="s">
        <v>181</v>
      </c>
      <c r="D455" s="22" t="s">
        <v>182</v>
      </c>
      <c r="E455" s="22" t="s">
        <v>183</v>
      </c>
      <c r="F455" s="22" t="s">
        <v>184</v>
      </c>
      <c r="G455" s="22" t="s">
        <v>185</v>
      </c>
      <c r="H455" s="22" t="s">
        <v>186</v>
      </c>
      <c r="I455" s="22" t="s">
        <v>187</v>
      </c>
    </row>
    <row r="456" customFormat="false" ht="15" hidden="false" customHeight="false" outlineLevel="0" collapsed="false">
      <c r="A456" s="59" t="s">
        <v>188</v>
      </c>
      <c r="B456" s="60" t="n">
        <f aca="false">Curves!E8</f>
        <v>0.957768</v>
      </c>
      <c r="C456" s="60" t="n">
        <f aca="false">Curves!E9</f>
        <v>0.96933</v>
      </c>
      <c r="D456" s="61" t="n">
        <f aca="false">SABR!AT10</f>
        <v>0.39978211956629</v>
      </c>
      <c r="E456" s="60" t="n">
        <f aca="false">Curves!E10</f>
        <v>0.958726</v>
      </c>
      <c r="F456" s="60" t="n">
        <f aca="false">Curves!E11</f>
        <v>0.954899</v>
      </c>
      <c r="G456" s="60" t="n">
        <f aca="false">Curves!E12</f>
        <v>0.967393</v>
      </c>
      <c r="H456" s="60" t="n">
        <f aca="false">Curves!E13</f>
        <v>0.960645</v>
      </c>
      <c r="I456" s="62" t="n">
        <f aca="false">NPV_Engine!$B$4*B456*(C456/NPV_Engine!$B$8)*(1+0.5*(D456-NPV_Engine!$B$13))*(AVERAGE(E456,F456,G456)/B456)*(H456/NPV_Engine!$B$12)</f>
        <v>9603393.33333333</v>
      </c>
    </row>
    <row r="457" customFormat="false" ht="15" hidden="false" customHeight="false" outlineLevel="0" collapsed="false">
      <c r="A457" s="63" t="s">
        <v>117</v>
      </c>
      <c r="B457" s="60" t="n">
        <f aca="false">Curves!E8</f>
        <v>0.957768</v>
      </c>
      <c r="C457" s="60" t="n">
        <f aca="false">Curves!E9</f>
        <v>0.96933</v>
      </c>
      <c r="D457" s="65" t="n">
        <f aca="false">SABR!AT60</f>
        <v>0.406538537771067</v>
      </c>
      <c r="E457" s="60" t="n">
        <f aca="false">Curves!E10</f>
        <v>0.958726</v>
      </c>
      <c r="F457" s="60" t="n">
        <f aca="false">Curves!E11</f>
        <v>0.954899</v>
      </c>
      <c r="G457" s="60" t="n">
        <f aca="false">Curves!E12</f>
        <v>0.967393</v>
      </c>
      <c r="H457" s="60" t="n">
        <f aca="false">Curves!E13</f>
        <v>0.960645</v>
      </c>
      <c r="I457" s="62" t="n">
        <f aca="false">NPV_Engine!$B$4*B457*(C457/NPV_Engine!$B$8)*(1+0.5*(D457-NPV_Engine!$B$13))*(AVERAGE(E457,F457,G457)/B457)*(H457/NPV_Engine!$B$12)</f>
        <v>9635835.60410582</v>
      </c>
    </row>
    <row r="458" customFormat="false" ht="15" hidden="false" customHeight="false" outlineLevel="0" collapsed="false">
      <c r="A458" s="63" t="s">
        <v>118</v>
      </c>
      <c r="B458" s="60" t="n">
        <f aca="false">Curves!E8</f>
        <v>0.957768</v>
      </c>
      <c r="C458" s="60" t="n">
        <f aca="false">Curves!E9</f>
        <v>0.96933</v>
      </c>
      <c r="D458" s="65" t="n">
        <f aca="false">SABR!AT74</f>
        <v>0.408312583119033</v>
      </c>
      <c r="E458" s="60" t="n">
        <f aca="false">Curves!E10</f>
        <v>0.958726</v>
      </c>
      <c r="F458" s="60" t="n">
        <f aca="false">Curves!E11</f>
        <v>0.954899</v>
      </c>
      <c r="G458" s="60" t="n">
        <f aca="false">Curves!E12</f>
        <v>0.967393</v>
      </c>
      <c r="H458" s="60" t="n">
        <f aca="false">Curves!E13</f>
        <v>0.960645</v>
      </c>
      <c r="I458" s="62" t="n">
        <f aca="false">NPV_Engine!$B$4*B458*(C458/NPV_Engine!$B$8)*(1+0.5*(D458-NPV_Engine!$B$13))*(AVERAGE(E458,F458,G458)/B458)*(H458/NPV_Engine!$B$12)</f>
        <v>9644354.03173966</v>
      </c>
    </row>
    <row r="459" customFormat="false" ht="15" hidden="false" customHeight="false" outlineLevel="0" collapsed="false">
      <c r="A459" s="63" t="s">
        <v>119</v>
      </c>
      <c r="B459" s="60" t="n">
        <f aca="false">Curves!E8</f>
        <v>0.957768</v>
      </c>
      <c r="C459" s="60" t="n">
        <f aca="false">Curves!E9</f>
        <v>0.96933</v>
      </c>
      <c r="D459" s="65" t="n">
        <f aca="false">SABR!AT88</f>
        <v>0.407971432425642</v>
      </c>
      <c r="E459" s="60" t="n">
        <f aca="false">Curves!E10</f>
        <v>0.958726</v>
      </c>
      <c r="F459" s="60" t="n">
        <f aca="false">Curves!E11</f>
        <v>0.954899</v>
      </c>
      <c r="G459" s="60" t="n">
        <f aca="false">Curves!E12</f>
        <v>0.967393</v>
      </c>
      <c r="H459" s="60" t="n">
        <f aca="false">Curves!E13</f>
        <v>0.960645</v>
      </c>
      <c r="I459" s="62" t="n">
        <f aca="false">NPV_Engine!$B$4*B459*(C459/NPV_Engine!$B$8)*(1+0.5*(D459-NPV_Engine!$B$13))*(AVERAGE(E459,F459,G459)/B459)*(H459/NPV_Engine!$B$12)</f>
        <v>9642715.92959238</v>
      </c>
    </row>
    <row r="460" customFormat="false" ht="15" hidden="false" customHeight="false" outlineLevel="0" collapsed="false">
      <c r="A460" s="63" t="s">
        <v>120</v>
      </c>
      <c r="B460" s="60" t="n">
        <f aca="false">Curves!E8</f>
        <v>0.957768</v>
      </c>
      <c r="C460" s="60" t="n">
        <f aca="false">Curves!E9</f>
        <v>0.96933</v>
      </c>
      <c r="D460" s="65" t="n">
        <f aca="false">SABR!AT102</f>
        <v>0.413770225261134</v>
      </c>
      <c r="E460" s="60" t="n">
        <f aca="false">Curves!E10</f>
        <v>0.958726</v>
      </c>
      <c r="F460" s="60" t="n">
        <f aca="false">Curves!E11</f>
        <v>0.954899</v>
      </c>
      <c r="G460" s="60" t="n">
        <f aca="false">Curves!E12</f>
        <v>0.967393</v>
      </c>
      <c r="H460" s="60" t="n">
        <f aca="false">Curves!E13</f>
        <v>0.960645</v>
      </c>
      <c r="I460" s="62" t="n">
        <f aca="false">NPV_Engine!$B$4*B460*(C460/NPV_Engine!$B$8)*(1+0.5*(D460-NPV_Engine!$B$13))*(AVERAGE(E460,F460,G460)/B460)*(H460/NPV_Engine!$B$12)</f>
        <v>9670559.97382125</v>
      </c>
    </row>
    <row r="461" customFormat="false" ht="15" hidden="false" customHeight="false" outlineLevel="0" collapsed="false">
      <c r="A461" s="63" t="s">
        <v>121</v>
      </c>
      <c r="B461" s="60" t="n">
        <f aca="false">Curves!E8</f>
        <v>0.957768</v>
      </c>
      <c r="C461" s="60" t="n">
        <f aca="false">Curves!E9</f>
        <v>0.96933</v>
      </c>
      <c r="D461" s="65" t="n">
        <f aca="false">SABR!AT116</f>
        <v>0.41063225788842</v>
      </c>
      <c r="E461" s="60" t="n">
        <f aca="false">Curves!E10</f>
        <v>0.958726</v>
      </c>
      <c r="F461" s="60" t="n">
        <f aca="false">Curves!E11</f>
        <v>0.954899</v>
      </c>
      <c r="G461" s="60" t="n">
        <f aca="false">Curves!E12</f>
        <v>0.967393</v>
      </c>
      <c r="H461" s="60" t="n">
        <f aca="false">Curves!E13</f>
        <v>0.960645</v>
      </c>
      <c r="I461" s="62" t="n">
        <f aca="false">NPV_Engine!$B$4*B461*(C461/NPV_Engine!$B$8)*(1+0.5*(D461-NPV_Engine!$B$13))*(AVERAGE(E461,F461,G461)/B461)*(H461/NPV_Engine!$B$12)</f>
        <v>9655492.40634758</v>
      </c>
    </row>
    <row r="462" customFormat="false" ht="15" hidden="false" customHeight="false" outlineLevel="0" collapsed="false">
      <c r="A462" s="63" t="s">
        <v>122</v>
      </c>
      <c r="B462" s="60" t="n">
        <f aca="false">Curves!E8</f>
        <v>0.957768</v>
      </c>
      <c r="C462" s="60" t="n">
        <f aca="false">Curves!E9</f>
        <v>0.96933</v>
      </c>
      <c r="D462" s="65" t="n">
        <f aca="false">SABR!AT130</f>
        <v>0.411928432857369</v>
      </c>
      <c r="E462" s="60" t="n">
        <f aca="false">Curves!E10</f>
        <v>0.958726</v>
      </c>
      <c r="F462" s="60" t="n">
        <f aca="false">Curves!E11</f>
        <v>0.954899</v>
      </c>
      <c r="G462" s="60" t="n">
        <f aca="false">Curves!E12</f>
        <v>0.967393</v>
      </c>
      <c r="H462" s="60" t="n">
        <f aca="false">Curves!E13</f>
        <v>0.960645</v>
      </c>
      <c r="I462" s="62" t="n">
        <f aca="false">NPV_Engine!$B$4*B462*(C462/NPV_Engine!$B$8)*(1+0.5*(D462-NPV_Engine!$B$13))*(AVERAGE(E462,F462,G462)/B462)*(H462/NPV_Engine!$B$12)</f>
        <v>9661716.2453754</v>
      </c>
    </row>
    <row r="463" customFormat="false" ht="15" hidden="false" customHeight="false" outlineLevel="0" collapsed="false">
      <c r="A463" s="63" t="s">
        <v>123</v>
      </c>
      <c r="B463" s="60" t="n">
        <f aca="false">Curves!E8</f>
        <v>0.957768</v>
      </c>
      <c r="C463" s="60" t="n">
        <f aca="false">Curves!E9</f>
        <v>0.96933</v>
      </c>
      <c r="D463" s="65" t="n">
        <f aca="false">SABR!AT144</f>
        <v>0.417726110712245</v>
      </c>
      <c r="E463" s="60" t="n">
        <f aca="false">Curves!E10</f>
        <v>0.958726</v>
      </c>
      <c r="F463" s="60" t="n">
        <f aca="false">Curves!E11</f>
        <v>0.954899</v>
      </c>
      <c r="G463" s="60" t="n">
        <f aca="false">Curves!E12</f>
        <v>0.967393</v>
      </c>
      <c r="H463" s="60" t="n">
        <f aca="false">Curves!E13</f>
        <v>0.960645</v>
      </c>
      <c r="I463" s="62" t="n">
        <f aca="false">NPV_Engine!$B$4*B463*(C463/NPV_Engine!$B$8)*(1+0.5*(D463-NPV_Engine!$B$13))*(AVERAGE(E463,F463,G463)/B463)*(H463/NPV_Engine!$B$12)</f>
        <v>9689554.93580556</v>
      </c>
    </row>
    <row r="464" customFormat="false" ht="15" hidden="false" customHeight="false" outlineLevel="0" collapsed="false">
      <c r="A464" s="63" t="s">
        <v>124</v>
      </c>
      <c r="B464" s="60" t="n">
        <f aca="false">Curves!E8</f>
        <v>0.957768</v>
      </c>
      <c r="C464" s="60" t="n">
        <f aca="false">Curves!E9</f>
        <v>0.96933</v>
      </c>
      <c r="D464" s="65" t="n">
        <f aca="false">SABR!AT158</f>
        <v>0.415066202564148</v>
      </c>
      <c r="E464" s="60" t="n">
        <f aca="false">Curves!E10</f>
        <v>0.958726</v>
      </c>
      <c r="F464" s="60" t="n">
        <f aca="false">Curves!E11</f>
        <v>0.954899</v>
      </c>
      <c r="G464" s="60" t="n">
        <f aca="false">Curves!E12</f>
        <v>0.967393</v>
      </c>
      <c r="H464" s="60" t="n">
        <f aca="false">Curves!E13</f>
        <v>0.960645</v>
      </c>
      <c r="I464" s="62" t="n">
        <f aca="false">NPV_Engine!$B$4*B464*(C464/NPV_Engine!$B$8)*(1+0.5*(D464-NPV_Engine!$B$13))*(AVERAGE(E464,F464,G464)/B464)*(H464/NPV_Engine!$B$12)</f>
        <v>9676782.86371721</v>
      </c>
    </row>
    <row r="465" customFormat="false" ht="15" hidden="false" customHeight="false" outlineLevel="0" collapsed="false">
      <c r="A465" s="63" t="s">
        <v>125</v>
      </c>
      <c r="B465" s="60" t="n">
        <f aca="false">Curves!E8</f>
        <v>0.957768</v>
      </c>
      <c r="C465" s="60" t="n">
        <f aca="false">Curves!E9</f>
        <v>0.96933</v>
      </c>
      <c r="D465" s="65" t="n">
        <f aca="false">SABR!AT172</f>
        <v>0.417862506985643</v>
      </c>
      <c r="E465" s="60" t="n">
        <f aca="false">Curves!E10</f>
        <v>0.958726</v>
      </c>
      <c r="F465" s="60" t="n">
        <f aca="false">Curves!E11</f>
        <v>0.954899</v>
      </c>
      <c r="G465" s="60" t="n">
        <f aca="false">Curves!E12</f>
        <v>0.967393</v>
      </c>
      <c r="H465" s="60" t="n">
        <f aca="false">Curves!E13</f>
        <v>0.960645</v>
      </c>
      <c r="I465" s="62" t="n">
        <f aca="false">NPV_Engine!$B$4*B465*(C465/NPV_Engine!$B$8)*(1+0.5*(D465-NPV_Engine!$B$13))*(AVERAGE(E465,F465,G465)/B465)*(H465/NPV_Engine!$B$12)</f>
        <v>9690209.86933688</v>
      </c>
    </row>
    <row r="466" customFormat="false" ht="15" hidden="false" customHeight="false" outlineLevel="0" collapsed="false">
      <c r="A466" s="63" t="s">
        <v>126</v>
      </c>
      <c r="B466" s="60" t="n">
        <f aca="false">Curves!E8</f>
        <v>0.957768</v>
      </c>
      <c r="C466" s="60" t="n">
        <f aca="false">Curves!E9</f>
        <v>0.96933</v>
      </c>
      <c r="D466" s="65" t="n">
        <f aca="false">SABR!AT186</f>
        <v>0.421340306298811</v>
      </c>
      <c r="E466" s="60" t="n">
        <f aca="false">Curves!E10</f>
        <v>0.958726</v>
      </c>
      <c r="F466" s="60" t="n">
        <f aca="false">Curves!E11</f>
        <v>0.954899</v>
      </c>
      <c r="G466" s="60" t="n">
        <f aca="false">Curves!E12</f>
        <v>0.967393</v>
      </c>
      <c r="H466" s="60" t="n">
        <f aca="false">Curves!E13</f>
        <v>0.960645</v>
      </c>
      <c r="I466" s="62" t="n">
        <f aca="false">NPV_Engine!$B$4*B466*(C466/NPV_Engine!$B$8)*(1+0.5*(D466-NPV_Engine!$B$13))*(AVERAGE(E466,F466,G466)/B466)*(H466/NPV_Engine!$B$12)</f>
        <v>9706909.20670626</v>
      </c>
    </row>
    <row r="469" customFormat="false" ht="15" hidden="false" customHeight="false" outlineLevel="0" collapsed="false">
      <c r="A469" s="67" t="s">
        <v>314</v>
      </c>
      <c r="B469" s="67"/>
      <c r="C469" s="67"/>
      <c r="D469" s="67"/>
      <c r="E469" s="67"/>
      <c r="F469" s="67"/>
      <c r="G469" s="67"/>
      <c r="H469" s="67"/>
      <c r="I469" s="67"/>
      <c r="J469" s="58" t="s">
        <v>315</v>
      </c>
    </row>
    <row r="470" customFormat="false" ht="39.55" hidden="false" customHeight="false" outlineLevel="0" collapsed="false">
      <c r="A470" s="22" t="s">
        <v>179</v>
      </c>
      <c r="B470" s="22" t="s">
        <v>180</v>
      </c>
      <c r="C470" s="22" t="s">
        <v>181</v>
      </c>
      <c r="D470" s="22" t="s">
        <v>182</v>
      </c>
      <c r="E470" s="22" t="s">
        <v>183</v>
      </c>
      <c r="F470" s="22" t="s">
        <v>184</v>
      </c>
      <c r="G470" s="22" t="s">
        <v>185</v>
      </c>
      <c r="H470" s="22" t="s">
        <v>186</v>
      </c>
      <c r="I470" s="22" t="s">
        <v>187</v>
      </c>
    </row>
    <row r="471" customFormat="false" ht="15" hidden="false" customHeight="false" outlineLevel="0" collapsed="false">
      <c r="A471" s="59" t="s">
        <v>188</v>
      </c>
      <c r="B471" s="60" t="n">
        <f aca="false">Curves!E8</f>
        <v>0.957768</v>
      </c>
      <c r="C471" s="60" t="n">
        <f aca="false">Curves!E9</f>
        <v>0.96933</v>
      </c>
      <c r="D471" s="61" t="n">
        <f aca="false">SABR!AT10</f>
        <v>0.39978211956629</v>
      </c>
      <c r="E471" s="60" t="n">
        <f aca="false">Curves!E10</f>
        <v>0.958726</v>
      </c>
      <c r="F471" s="60" t="n">
        <f aca="false">Curves!E11</f>
        <v>0.954899</v>
      </c>
      <c r="G471" s="60" t="n">
        <f aca="false">Curves!E12</f>
        <v>0.967393</v>
      </c>
      <c r="H471" s="60" t="n">
        <f aca="false">Curves!E13</f>
        <v>0.960645</v>
      </c>
      <c r="I471" s="62" t="n">
        <f aca="false">NPV_Engine!$B$4*B471*(C471/NPV_Engine!$B$8)*(1+0.5*(D471-NPV_Engine!$B$13))*(AVERAGE(E471,F471,G471)/B471)*(H471/NPV_Engine!$B$12)</f>
        <v>9603393.33333333</v>
      </c>
    </row>
    <row r="472" customFormat="false" ht="15" hidden="false" customHeight="false" outlineLevel="0" collapsed="false">
      <c r="A472" s="63" t="s">
        <v>117</v>
      </c>
      <c r="B472" s="60" t="n">
        <f aca="false">Curves!E8</f>
        <v>0.957768</v>
      </c>
      <c r="C472" s="60" t="n">
        <f aca="false">Curves!E9</f>
        <v>0.96933</v>
      </c>
      <c r="D472" s="61" t="n">
        <f aca="false">SABR!AT10</f>
        <v>0.39978211956629</v>
      </c>
      <c r="E472" s="60" t="n">
        <f aca="false">Curves!E10</f>
        <v>0.958726</v>
      </c>
      <c r="F472" s="60" t="n">
        <f aca="false">Curves!E11</f>
        <v>0.954899</v>
      </c>
      <c r="G472" s="60" t="n">
        <f aca="false">Curves!E12</f>
        <v>0.967393</v>
      </c>
      <c r="H472" s="64" t="n">
        <f aca="false">Curves!Q42</f>
        <v>0.958550489609229</v>
      </c>
      <c r="I472" s="62" t="n">
        <f aca="false">NPV_Engine!$B$4*B472*(C472/NPV_Engine!$B$8)*(1+0.5*(D472-NPV_Engine!$B$13))*(AVERAGE(E472,F472,G472)/B472)*(H472/NPV_Engine!$B$12)</f>
        <v>9582454.89392718</v>
      </c>
    </row>
    <row r="473" customFormat="false" ht="15" hidden="false" customHeight="false" outlineLevel="0" collapsed="false">
      <c r="A473" s="63" t="s">
        <v>118</v>
      </c>
      <c r="B473" s="60" t="n">
        <f aca="false">Curves!E8</f>
        <v>0.957768</v>
      </c>
      <c r="C473" s="60" t="n">
        <f aca="false">Curves!E9</f>
        <v>0.96933</v>
      </c>
      <c r="D473" s="61" t="n">
        <f aca="false">SABR!AT10</f>
        <v>0.39978211956629</v>
      </c>
      <c r="E473" s="60" t="n">
        <f aca="false">Curves!E10</f>
        <v>0.958726</v>
      </c>
      <c r="F473" s="60" t="n">
        <f aca="false">Curves!E11</f>
        <v>0.954899</v>
      </c>
      <c r="G473" s="60" t="n">
        <f aca="false">Curves!E12</f>
        <v>0.967393</v>
      </c>
      <c r="H473" s="64" t="n">
        <f aca="false">Curves!Q50</f>
        <v>0.957836117465444</v>
      </c>
      <c r="I473" s="62" t="n">
        <f aca="false">NPV_Engine!$B$4*B473*(C473/NPV_Engine!$B$8)*(1+0.5*(D473-NPV_Engine!$B$13))*(AVERAGE(E473,F473,G473)/B473)*(H473/NPV_Engine!$B$12)</f>
        <v>9575313.44554287</v>
      </c>
    </row>
    <row r="474" customFormat="false" ht="15" hidden="false" customHeight="false" outlineLevel="0" collapsed="false">
      <c r="A474" s="63" t="s">
        <v>119</v>
      </c>
      <c r="B474" s="60" t="n">
        <f aca="false">Curves!E8</f>
        <v>0.957768</v>
      </c>
      <c r="C474" s="60" t="n">
        <f aca="false">Curves!E9</f>
        <v>0.96933</v>
      </c>
      <c r="D474" s="61" t="n">
        <f aca="false">SABR!AT10</f>
        <v>0.39978211956629</v>
      </c>
      <c r="E474" s="60" t="n">
        <f aca="false">Curves!E10</f>
        <v>0.958726</v>
      </c>
      <c r="F474" s="60" t="n">
        <f aca="false">Curves!E11</f>
        <v>0.954899</v>
      </c>
      <c r="G474" s="60" t="n">
        <f aca="false">Curves!E12</f>
        <v>0.967393</v>
      </c>
      <c r="H474" s="64" t="n">
        <f aca="false">Curves!Q58</f>
        <v>0.95758460198965</v>
      </c>
      <c r="I474" s="62" t="n">
        <f aca="false">NPV_Engine!$B$4*B474*(C474/NPV_Engine!$B$8)*(1+0.5*(D474-NPV_Engine!$B$13))*(AVERAGE(E474,F474,G474)/B474)*(H474/NPV_Engine!$B$12)</f>
        <v>9572799.09107949</v>
      </c>
    </row>
    <row r="475" customFormat="false" ht="15" hidden="false" customHeight="false" outlineLevel="0" collapsed="false">
      <c r="A475" s="63" t="s">
        <v>120</v>
      </c>
      <c r="B475" s="60" t="n">
        <f aca="false">Curves!E8</f>
        <v>0.957768</v>
      </c>
      <c r="C475" s="60" t="n">
        <f aca="false">Curves!E9</f>
        <v>0.96933</v>
      </c>
      <c r="D475" s="61" t="n">
        <f aca="false">SABR!AT10</f>
        <v>0.39978211956629</v>
      </c>
      <c r="E475" s="60" t="n">
        <f aca="false">Curves!E10</f>
        <v>0.958726</v>
      </c>
      <c r="F475" s="60" t="n">
        <f aca="false">Curves!E11</f>
        <v>0.954899</v>
      </c>
      <c r="G475" s="60" t="n">
        <f aca="false">Curves!E12</f>
        <v>0.967393</v>
      </c>
      <c r="H475" s="64" t="n">
        <f aca="false">Curves!Q66</f>
        <v>0.962263559855125</v>
      </c>
      <c r="I475" s="62" t="n">
        <f aca="false">NPV_Engine!$B$4*B475*(C475/NPV_Engine!$B$8)*(1+0.5*(D475-NPV_Engine!$B$13))*(AVERAGE(E475,F475,G475)/B475)*(H475/NPV_Engine!$B$12)</f>
        <v>9619573.78180526</v>
      </c>
    </row>
    <row r="476" customFormat="false" ht="15" hidden="false" customHeight="false" outlineLevel="0" collapsed="false">
      <c r="A476" s="63" t="s">
        <v>121</v>
      </c>
      <c r="B476" s="60" t="n">
        <f aca="false">Curves!E8</f>
        <v>0.957768</v>
      </c>
      <c r="C476" s="60" t="n">
        <f aca="false">Curves!E9</f>
        <v>0.96933</v>
      </c>
      <c r="D476" s="61" t="n">
        <f aca="false">SABR!AT10</f>
        <v>0.39978211956629</v>
      </c>
      <c r="E476" s="60" t="n">
        <f aca="false">Curves!E10</f>
        <v>0.958726</v>
      </c>
      <c r="F476" s="60" t="n">
        <f aca="false">Curves!E11</f>
        <v>0.954899</v>
      </c>
      <c r="G476" s="60" t="n">
        <f aca="false">Curves!E12</f>
        <v>0.967393</v>
      </c>
      <c r="H476" s="64" t="n">
        <f aca="false">Curves!Q74</f>
        <v>0.956804885239764</v>
      </c>
      <c r="I476" s="62" t="n">
        <f aca="false">NPV_Engine!$B$4*B476*(C476/NPV_Engine!$B$8)*(1+0.5*(D476-NPV_Engine!$B$13))*(AVERAGE(E476,F476,G476)/B476)*(H476/NPV_Engine!$B$12)</f>
        <v>9565004.40455352</v>
      </c>
    </row>
    <row r="477" customFormat="false" ht="15" hidden="false" customHeight="false" outlineLevel="0" collapsed="false">
      <c r="A477" s="63" t="s">
        <v>122</v>
      </c>
      <c r="B477" s="60" t="n">
        <f aca="false">Curves!E8</f>
        <v>0.957768</v>
      </c>
      <c r="C477" s="60" t="n">
        <f aca="false">Curves!E9</f>
        <v>0.96933</v>
      </c>
      <c r="D477" s="61" t="n">
        <f aca="false">SABR!AT10</f>
        <v>0.39978211956629</v>
      </c>
      <c r="E477" s="60" t="n">
        <f aca="false">Curves!E10</f>
        <v>0.958726</v>
      </c>
      <c r="F477" s="60" t="n">
        <f aca="false">Curves!E11</f>
        <v>0.954899</v>
      </c>
      <c r="G477" s="60" t="n">
        <f aca="false">Curves!E12</f>
        <v>0.967393</v>
      </c>
      <c r="H477" s="64" t="n">
        <f aca="false">Curves!Q82</f>
        <v>0.958736934866277</v>
      </c>
      <c r="I477" s="62" t="n">
        <f aca="false">NPV_Engine!$B$4*B477*(C477/NPV_Engine!$B$8)*(1+0.5*(D477-NPV_Engine!$B$13))*(AVERAGE(E477,F477,G477)/B477)*(H477/NPV_Engine!$B$12)</f>
        <v>9584318.75324937</v>
      </c>
    </row>
    <row r="478" customFormat="false" ht="15" hidden="false" customHeight="false" outlineLevel="0" collapsed="false">
      <c r="A478" s="63" t="s">
        <v>123</v>
      </c>
      <c r="B478" s="60" t="n">
        <f aca="false">Curves!E8</f>
        <v>0.957768</v>
      </c>
      <c r="C478" s="60" t="n">
        <f aca="false">Curves!E9</f>
        <v>0.96933</v>
      </c>
      <c r="D478" s="61" t="n">
        <f aca="false">SABR!AT10</f>
        <v>0.39978211956629</v>
      </c>
      <c r="E478" s="60" t="n">
        <f aca="false">Curves!E10</f>
        <v>0.958726</v>
      </c>
      <c r="F478" s="60" t="n">
        <f aca="false">Curves!E11</f>
        <v>0.954899</v>
      </c>
      <c r="G478" s="60" t="n">
        <f aca="false">Curves!E12</f>
        <v>0.967393</v>
      </c>
      <c r="H478" s="64" t="n">
        <f aca="false">Curves!Q90</f>
        <v>0.956260628257328</v>
      </c>
      <c r="I478" s="62" t="n">
        <f aca="false">NPV_Engine!$B$4*B478*(C478/NPV_Engine!$B$8)*(1+0.5*(D478-NPV_Engine!$B$13))*(AVERAGE(E478,F478,G478)/B478)*(H478/NPV_Engine!$B$12)</f>
        <v>9559563.56649498</v>
      </c>
    </row>
    <row r="479" customFormat="false" ht="15" hidden="false" customHeight="false" outlineLevel="0" collapsed="false">
      <c r="A479" s="63" t="s">
        <v>124</v>
      </c>
      <c r="B479" s="60" t="n">
        <f aca="false">Curves!E8</f>
        <v>0.957768</v>
      </c>
      <c r="C479" s="60" t="n">
        <f aca="false">Curves!E9</f>
        <v>0.96933</v>
      </c>
      <c r="D479" s="61" t="n">
        <f aca="false">SABR!AT10</f>
        <v>0.39978211956629</v>
      </c>
      <c r="E479" s="60" t="n">
        <f aca="false">Curves!E10</f>
        <v>0.958726</v>
      </c>
      <c r="F479" s="60" t="n">
        <f aca="false">Curves!E11</f>
        <v>0.954899</v>
      </c>
      <c r="G479" s="60" t="n">
        <f aca="false">Curves!E12</f>
        <v>0.967393</v>
      </c>
      <c r="H479" s="64" t="n">
        <f aca="false">Curves!Q98</f>
        <v>0.960229712665626</v>
      </c>
      <c r="I479" s="62" t="n">
        <f aca="false">NPV_Engine!$B$4*B479*(C479/NPV_Engine!$B$8)*(1+0.5*(D479-NPV_Engine!$B$13))*(AVERAGE(E479,F479,G479)/B479)*(H479/NPV_Engine!$B$12)</f>
        <v>9599241.78138819</v>
      </c>
    </row>
    <row r="480" customFormat="false" ht="15" hidden="false" customHeight="false" outlineLevel="0" collapsed="false">
      <c r="A480" s="63" t="s">
        <v>125</v>
      </c>
      <c r="B480" s="60" t="n">
        <f aca="false">Curves!E8</f>
        <v>0.957768</v>
      </c>
      <c r="C480" s="60" t="n">
        <f aca="false">Curves!E9</f>
        <v>0.96933</v>
      </c>
      <c r="D480" s="61" t="n">
        <f aca="false">SABR!AT10</f>
        <v>0.39978211956629</v>
      </c>
      <c r="E480" s="60" t="n">
        <f aca="false">Curves!E10</f>
        <v>0.958726</v>
      </c>
      <c r="F480" s="60" t="n">
        <f aca="false">Curves!E11</f>
        <v>0.954899</v>
      </c>
      <c r="G480" s="60" t="n">
        <f aca="false">Curves!E12</f>
        <v>0.967393</v>
      </c>
      <c r="H480" s="64" t="n">
        <f aca="false">Curves!Q106</f>
        <v>0.955591148630945</v>
      </c>
      <c r="I480" s="62" t="n">
        <f aca="false">NPV_Engine!$B$4*B480*(C480/NPV_Engine!$B$8)*(1+0.5*(D480-NPV_Engine!$B$13))*(AVERAGE(E480,F480,G480)/B480)*(H480/NPV_Engine!$B$12)</f>
        <v>9552870.90044165</v>
      </c>
    </row>
    <row r="481" customFormat="false" ht="15" hidden="false" customHeight="false" outlineLevel="0" collapsed="false">
      <c r="A481" s="63" t="s">
        <v>126</v>
      </c>
      <c r="B481" s="60" t="n">
        <f aca="false">Curves!E8</f>
        <v>0.957768</v>
      </c>
      <c r="C481" s="60" t="n">
        <f aca="false">Curves!E9</f>
        <v>0.96933</v>
      </c>
      <c r="D481" s="61" t="n">
        <f aca="false">SABR!AT10</f>
        <v>0.39978211956629</v>
      </c>
      <c r="E481" s="60" t="n">
        <f aca="false">Curves!E10</f>
        <v>0.958726</v>
      </c>
      <c r="F481" s="60" t="n">
        <f aca="false">Curves!E11</f>
        <v>0.954899</v>
      </c>
      <c r="G481" s="60" t="n">
        <f aca="false">Curves!E12</f>
        <v>0.967393</v>
      </c>
      <c r="H481" s="64" t="n">
        <f aca="false">Curves!Q114</f>
        <v>0.955213344747142</v>
      </c>
      <c r="I481" s="62" t="n">
        <f aca="false">NPV_Engine!$B$4*B481*(C481/NPV_Engine!$B$8)*(1+0.5*(D481-NPV_Engine!$B$13))*(AVERAGE(E481,F481,G481)/B481)*(H481/NPV_Engine!$B$12)</f>
        <v>9549094.06373399</v>
      </c>
    </row>
    <row r="484" customFormat="false" ht="15" hidden="false" customHeight="false" outlineLevel="0" collapsed="false">
      <c r="A484" s="67" t="s">
        <v>316</v>
      </c>
      <c r="B484" s="67"/>
      <c r="C484" s="67"/>
      <c r="D484" s="67"/>
      <c r="E484" s="67"/>
      <c r="F484" s="67"/>
      <c r="G484" s="67"/>
      <c r="H484" s="67"/>
      <c r="I484" s="67"/>
      <c r="J484" s="58" t="s">
        <v>317</v>
      </c>
    </row>
    <row r="485" customFormat="false" ht="39.55" hidden="false" customHeight="false" outlineLevel="0" collapsed="false">
      <c r="A485" s="22" t="s">
        <v>179</v>
      </c>
      <c r="B485" s="22" t="s">
        <v>180</v>
      </c>
      <c r="C485" s="22" t="s">
        <v>181</v>
      </c>
      <c r="D485" s="22" t="s">
        <v>182</v>
      </c>
      <c r="E485" s="22" t="s">
        <v>183</v>
      </c>
      <c r="F485" s="22" t="s">
        <v>184</v>
      </c>
      <c r="G485" s="22" t="s">
        <v>185</v>
      </c>
      <c r="H485" s="22" t="s">
        <v>186</v>
      </c>
      <c r="I485" s="22" t="s">
        <v>187</v>
      </c>
    </row>
    <row r="486" customFormat="false" ht="15" hidden="false" customHeight="false" outlineLevel="0" collapsed="false">
      <c r="A486" s="59" t="s">
        <v>188</v>
      </c>
      <c r="B486" s="60" t="n">
        <f aca="false">Curves!E8</f>
        <v>0.957768</v>
      </c>
      <c r="C486" s="60" t="n">
        <f aca="false">Curves!E9</f>
        <v>0.96933</v>
      </c>
      <c r="D486" s="61" t="n">
        <f aca="false">SABR!AT10</f>
        <v>0.39978211956629</v>
      </c>
      <c r="E486" s="60" t="n">
        <f aca="false">Curves!E10</f>
        <v>0.958726</v>
      </c>
      <c r="F486" s="60" t="n">
        <f aca="false">Curves!E11</f>
        <v>0.954899</v>
      </c>
      <c r="G486" s="60" t="n">
        <f aca="false">Curves!E12</f>
        <v>0.967393</v>
      </c>
      <c r="H486" s="60" t="n">
        <f aca="false">Curves!E13</f>
        <v>0.960645</v>
      </c>
      <c r="I486" s="62" t="n">
        <f aca="false">NPV_Engine!$B$4*B486*(C486/NPV_Engine!$B$8)*(1+0.5*(D486-NPV_Engine!$B$13))*(AVERAGE(E486,F486,G486)/B486)*(H486/NPV_Engine!$B$12)</f>
        <v>9603393.33333333</v>
      </c>
    </row>
    <row r="487" customFormat="false" ht="15" hidden="false" customHeight="false" outlineLevel="0" collapsed="false">
      <c r="A487" s="63" t="s">
        <v>117</v>
      </c>
      <c r="B487" s="64" t="n">
        <f aca="false">Curves!Q37</f>
        <v>0.95645567308242</v>
      </c>
      <c r="C487" s="60" t="n">
        <f aca="false">Curves!E9</f>
        <v>0.96933</v>
      </c>
      <c r="D487" s="65" t="n">
        <f aca="false">SABR!AT60</f>
        <v>0.406538537771067</v>
      </c>
      <c r="E487" s="64" t="n">
        <f aca="false">Curves!Q39</f>
        <v>0.958061825595622</v>
      </c>
      <c r="F487" s="64" t="n">
        <f aca="false">Curves!Q40</f>
        <v>0.949311346582243</v>
      </c>
      <c r="G487" s="60" t="n">
        <f aca="false">Curves!E12</f>
        <v>0.967393</v>
      </c>
      <c r="H487" s="64" t="n">
        <f aca="false">Curves!Q42</f>
        <v>0.958550489609229</v>
      </c>
      <c r="I487" s="62" t="n">
        <f aca="false">NPV_Engine!$B$4*B487*(C487/NPV_Engine!$B$8)*(1+0.5*(D487-NPV_Engine!$B$13))*(AVERAGE(E487,F487,G487)/B487)*(H487/NPV_Engine!$B$12)</f>
        <v>9593962.19430447</v>
      </c>
    </row>
    <row r="488" customFormat="false" ht="15" hidden="false" customHeight="false" outlineLevel="0" collapsed="false">
      <c r="A488" s="63" t="s">
        <v>118</v>
      </c>
      <c r="B488" s="64" t="n">
        <f aca="false">Curves!Q45</f>
        <v>0.953984470417811</v>
      </c>
      <c r="C488" s="60" t="n">
        <f aca="false">Curves!E9</f>
        <v>0.96933</v>
      </c>
      <c r="D488" s="65" t="n">
        <f aca="false">SABR!AT74</f>
        <v>0.408312583119033</v>
      </c>
      <c r="E488" s="64" t="n">
        <f aca="false">Curves!Q47</f>
        <v>0.954588922832977</v>
      </c>
      <c r="F488" s="64" t="n">
        <f aca="false">Curves!Q48</f>
        <v>0.952091864437955</v>
      </c>
      <c r="G488" s="60" t="n">
        <f aca="false">Curves!E12</f>
        <v>0.967393</v>
      </c>
      <c r="H488" s="64" t="n">
        <f aca="false">Curves!Q50</f>
        <v>0.957836117465444</v>
      </c>
      <c r="I488" s="62" t="n">
        <f aca="false">NPV_Engine!$B$4*B488*(C488/NPV_Engine!$B$8)*(1+0.5*(D488-NPV_Engine!$B$13))*(AVERAGE(E488,F488,G488)/B488)*(H488/NPV_Engine!$B$12)</f>
        <v>9592976.24259209</v>
      </c>
    </row>
    <row r="489" customFormat="false" ht="15" hidden="false" customHeight="false" outlineLevel="0" collapsed="false">
      <c r="A489" s="63" t="s">
        <v>119</v>
      </c>
      <c r="B489" s="64" t="n">
        <f aca="false">Curves!Q53</f>
        <v>0.953428257833193</v>
      </c>
      <c r="C489" s="60" t="n">
        <f aca="false">Curves!E9</f>
        <v>0.96933</v>
      </c>
      <c r="D489" s="65" t="n">
        <f aca="false">SABR!AT88</f>
        <v>0.407971432425642</v>
      </c>
      <c r="E489" s="64" t="n">
        <f aca="false">Curves!Q55</f>
        <v>0.954008957495664</v>
      </c>
      <c r="F489" s="64" t="n">
        <f aca="false">Curves!Q56</f>
        <v>0.953612707835657</v>
      </c>
      <c r="G489" s="60" t="n">
        <f aca="false">Curves!E12</f>
        <v>0.967393</v>
      </c>
      <c r="H489" s="64" t="n">
        <f aca="false">Curves!Q58</f>
        <v>0.95758460198965</v>
      </c>
      <c r="I489" s="62" t="n">
        <f aca="false">NPV_Engine!$B$4*B489*(C489/NPV_Engine!$B$8)*(1+0.5*(D489-NPV_Engine!$B$13))*(AVERAGE(E489,F489,G489)/B489)*(H489/NPV_Engine!$B$12)</f>
        <v>9591967.37215523</v>
      </c>
    </row>
    <row r="490" customFormat="false" ht="15" hidden="false" customHeight="false" outlineLevel="0" collapsed="false">
      <c r="A490" s="63" t="s">
        <v>120</v>
      </c>
      <c r="B490" s="64" t="n">
        <f aca="false">Curves!Q61</f>
        <v>0.953041785744194</v>
      </c>
      <c r="C490" s="60" t="n">
        <f aca="false">Curves!E9</f>
        <v>0.96933</v>
      </c>
      <c r="D490" s="65" t="n">
        <f aca="false">SABR!AT102</f>
        <v>0.413770225261134</v>
      </c>
      <c r="E490" s="64" t="n">
        <f aca="false">Curves!Q63</f>
        <v>0.95320762385314</v>
      </c>
      <c r="F490" s="64" t="n">
        <f aca="false">Curves!Q64</f>
        <v>0.946234479809646</v>
      </c>
      <c r="G490" s="60" t="n">
        <f aca="false">Curves!E12</f>
        <v>0.967393</v>
      </c>
      <c r="H490" s="64" t="n">
        <f aca="false">Curves!Q66</f>
        <v>0.962263559855125</v>
      </c>
      <c r="I490" s="62" t="n">
        <f aca="false">NPV_Engine!$B$4*B490*(C490/NPV_Engine!$B$8)*(1+0.5*(D490-NPV_Engine!$B$13))*(AVERAGE(E490,F490,G490)/B490)*(H490/NPV_Engine!$B$12)</f>
        <v>9639166.40353319</v>
      </c>
    </row>
    <row r="491" customFormat="false" ht="15" hidden="false" customHeight="false" outlineLevel="0" collapsed="false">
      <c r="A491" s="63" t="s">
        <v>121</v>
      </c>
      <c r="B491" s="64" t="n">
        <f aca="false">Curves!Q69</f>
        <v>0.955487984146696</v>
      </c>
      <c r="C491" s="60" t="n">
        <f aca="false">Curves!E9</f>
        <v>0.96933</v>
      </c>
      <c r="D491" s="65" t="n">
        <f aca="false">SABR!AT116</f>
        <v>0.41063225788842</v>
      </c>
      <c r="E491" s="64" t="n">
        <f aca="false">Curves!Q71</f>
        <v>0.9563957060858</v>
      </c>
      <c r="F491" s="64" t="n">
        <f aca="false">Curves!Q72</f>
        <v>0.945344255389449</v>
      </c>
      <c r="G491" s="60" t="n">
        <f aca="false">Curves!E12</f>
        <v>0.967393</v>
      </c>
      <c r="H491" s="64" t="n">
        <f aca="false">Curves!Q74</f>
        <v>0.956804885239764</v>
      </c>
      <c r="I491" s="62" t="n">
        <f aca="false">NPV_Engine!$B$4*B491*(C491/NPV_Engine!$B$8)*(1+0.5*(D491-NPV_Engine!$B$13))*(AVERAGE(E491,F491,G491)/B491)*(H491/NPV_Engine!$B$12)</f>
        <v>9577222.72069658</v>
      </c>
    </row>
    <row r="492" customFormat="false" ht="15" hidden="false" customHeight="false" outlineLevel="0" collapsed="false">
      <c r="A492" s="63" t="s">
        <v>122</v>
      </c>
      <c r="B492" s="64" t="n">
        <f aca="false">Curves!Q77</f>
        <v>0.954991103789659</v>
      </c>
      <c r="C492" s="60" t="n">
        <f aca="false">Curves!E9</f>
        <v>0.96933</v>
      </c>
      <c r="D492" s="65" t="n">
        <f aca="false">SABR!AT130</f>
        <v>0.411928432857369</v>
      </c>
      <c r="E492" s="64" t="n">
        <f aca="false">Curves!Q79</f>
        <v>0.952137896569466</v>
      </c>
      <c r="F492" s="64" t="n">
        <f aca="false">Curves!Q80</f>
        <v>0.944482088523894</v>
      </c>
      <c r="G492" s="60" t="n">
        <f aca="false">Curves!E12</f>
        <v>0.967393</v>
      </c>
      <c r="H492" s="64" t="n">
        <f aca="false">Curves!Q82</f>
        <v>0.958736934866277</v>
      </c>
      <c r="I492" s="62" t="n">
        <f aca="false">NPV_Engine!$B$4*B492*(C492/NPV_Engine!$B$8)*(1+0.5*(D492-NPV_Engine!$B$13))*(AVERAGE(E492,F492,G492)/B492)*(H492/NPV_Engine!$B$12)</f>
        <v>9585611.4624728</v>
      </c>
    </row>
    <row r="493" customFormat="false" ht="15" hidden="false" customHeight="false" outlineLevel="0" collapsed="false">
      <c r="A493" s="63" t="s">
        <v>123</v>
      </c>
      <c r="B493" s="64" t="n">
        <f aca="false">Curves!Q85</f>
        <v>0.954631571739291</v>
      </c>
      <c r="C493" s="60" t="n">
        <f aca="false">Curves!E9</f>
        <v>0.96933</v>
      </c>
      <c r="D493" s="65" t="n">
        <f aca="false">SABR!AT144</f>
        <v>0.417726110712245</v>
      </c>
      <c r="E493" s="64" t="n">
        <f aca="false">Curves!Q87</f>
        <v>0.951644904713199</v>
      </c>
      <c r="F493" s="64" t="n">
        <f aca="false">Curves!Q88</f>
        <v>0.950115469489328</v>
      </c>
      <c r="G493" s="60" t="n">
        <f aca="false">Curves!E12</f>
        <v>0.967393</v>
      </c>
      <c r="H493" s="64" t="n">
        <f aca="false">Curves!Q90</f>
        <v>0.956260628257328</v>
      </c>
      <c r="I493" s="62" t="n">
        <f aca="false">NPV_Engine!$B$4*B493*(C493/NPV_Engine!$B$8)*(1+0.5*(D493-NPV_Engine!$B$13))*(AVERAGE(E493,F493,G493)/B493)*(H493/NPV_Engine!$B$12)</f>
        <v>9605610.46405802</v>
      </c>
    </row>
    <row r="494" customFormat="false" ht="15" hidden="false" customHeight="false" outlineLevel="0" collapsed="false">
      <c r="A494" s="63" t="s">
        <v>124</v>
      </c>
      <c r="B494" s="64" t="n">
        <f aca="false">Curves!Q93</f>
        <v>0.950859692250137</v>
      </c>
      <c r="C494" s="60" t="n">
        <f aca="false">Curves!E9</f>
        <v>0.96933</v>
      </c>
      <c r="D494" s="65" t="n">
        <f aca="false">SABR!AT158</f>
        <v>0.415066202564148</v>
      </c>
      <c r="E494" s="64" t="n">
        <f aca="false">Curves!Q95</f>
        <v>0.950824572103433</v>
      </c>
      <c r="F494" s="64" t="n">
        <f aca="false">Curves!Q96</f>
        <v>0.942346869047631</v>
      </c>
      <c r="G494" s="60" t="n">
        <f aca="false">Curves!E12</f>
        <v>0.967393</v>
      </c>
      <c r="H494" s="64" t="n">
        <f aca="false">Curves!Q98</f>
        <v>0.960229712665626</v>
      </c>
      <c r="I494" s="62" t="n">
        <f aca="false">NPV_Engine!$B$4*B494*(C494/NPV_Engine!$B$8)*(1+0.5*(D494-NPV_Engine!$B$13))*(AVERAGE(E494,F494,G494)/B494)*(H494/NPV_Engine!$B$12)</f>
        <v>9603929.73164404</v>
      </c>
    </row>
    <row r="495" customFormat="false" ht="15" hidden="false" customHeight="false" outlineLevel="0" collapsed="false">
      <c r="A495" s="63" t="s">
        <v>125</v>
      </c>
      <c r="B495" s="64" t="n">
        <f aca="false">Curves!Q101</f>
        <v>0.950629998326299</v>
      </c>
      <c r="C495" s="60" t="n">
        <f aca="false">Curves!E9</f>
        <v>0.96933</v>
      </c>
      <c r="D495" s="65" t="n">
        <f aca="false">SABR!AT172</f>
        <v>0.417862506985643</v>
      </c>
      <c r="E495" s="64" t="n">
        <f aca="false">Curves!Q103</f>
        <v>0.950069418905633</v>
      </c>
      <c r="F495" s="64" t="n">
        <f aca="false">Curves!Q104</f>
        <v>0.941085187512815</v>
      </c>
      <c r="G495" s="60" t="n">
        <f aca="false">Curves!E12</f>
        <v>0.967393</v>
      </c>
      <c r="H495" s="64" t="n">
        <f aca="false">Curves!Q106</f>
        <v>0.955591148630945</v>
      </c>
      <c r="I495" s="62" t="n">
        <f aca="false">NPV_Engine!$B$4*B495*(C495/NPV_Engine!$B$8)*(1+0.5*(D495-NPV_Engine!$B$13))*(AVERAGE(E495,F495,G495)/B495)*(H495/NPV_Engine!$B$12)</f>
        <v>9564049.8796776</v>
      </c>
    </row>
    <row r="496" customFormat="false" ht="15" hidden="false" customHeight="false" outlineLevel="0" collapsed="false">
      <c r="A496" s="63" t="s">
        <v>126</v>
      </c>
      <c r="B496" s="64" t="n">
        <f aca="false">Curves!Q109</f>
        <v>0.949924622570429</v>
      </c>
      <c r="C496" s="60" t="n">
        <f aca="false">Curves!E9</f>
        <v>0.96933</v>
      </c>
      <c r="D496" s="65" t="n">
        <f aca="false">SABR!AT186</f>
        <v>0.421340306298811</v>
      </c>
      <c r="E496" s="64" t="n">
        <f aca="false">Curves!Q111</f>
        <v>0.957237796944819</v>
      </c>
      <c r="F496" s="64" t="n">
        <f aca="false">Curves!Q112</f>
        <v>0.94825631913984</v>
      </c>
      <c r="G496" s="60" t="n">
        <f aca="false">Curves!E12</f>
        <v>0.967393</v>
      </c>
      <c r="H496" s="64" t="n">
        <f aca="false">Curves!Q114</f>
        <v>0.955213344747142</v>
      </c>
      <c r="I496" s="62" t="n">
        <f aca="false">NPV_Engine!$B$4*B496*(C496/NPV_Engine!$B$8)*(1+0.5*(D496-NPV_Engine!$B$13))*(AVERAGE(E496,F496,G496)/B496)*(H496/NPV_Engine!$B$12)</f>
        <v>9624784.44528686</v>
      </c>
    </row>
    <row r="499" customFormat="false" ht="15" hidden="false" customHeight="false" outlineLevel="0" collapsed="false">
      <c r="A499" s="67" t="s">
        <v>318</v>
      </c>
      <c r="B499" s="67"/>
      <c r="C499" s="67"/>
      <c r="D499" s="67"/>
      <c r="E499" s="67"/>
      <c r="F499" s="67"/>
      <c r="G499" s="67"/>
      <c r="H499" s="67"/>
      <c r="I499" s="67"/>
      <c r="J499" s="58" t="s">
        <v>319</v>
      </c>
    </row>
    <row r="500" customFormat="false" ht="39.55" hidden="false" customHeight="false" outlineLevel="0" collapsed="false">
      <c r="A500" s="22" t="s">
        <v>179</v>
      </c>
      <c r="B500" s="22" t="s">
        <v>180</v>
      </c>
      <c r="C500" s="22" t="s">
        <v>181</v>
      </c>
      <c r="D500" s="22" t="s">
        <v>182</v>
      </c>
      <c r="E500" s="22" t="s">
        <v>183</v>
      </c>
      <c r="F500" s="22" t="s">
        <v>184</v>
      </c>
      <c r="G500" s="22" t="s">
        <v>185</v>
      </c>
      <c r="H500" s="22" t="s">
        <v>186</v>
      </c>
      <c r="I500" s="22" t="s">
        <v>187</v>
      </c>
    </row>
    <row r="501" customFormat="false" ht="15" hidden="false" customHeight="false" outlineLevel="0" collapsed="false">
      <c r="A501" s="59" t="s">
        <v>188</v>
      </c>
      <c r="B501" s="60" t="n">
        <f aca="false">Curves!E8</f>
        <v>0.957768</v>
      </c>
      <c r="C501" s="60" t="n">
        <f aca="false">Curves!E9</f>
        <v>0.96933</v>
      </c>
      <c r="D501" s="61" t="n">
        <f aca="false">SABR!AT10</f>
        <v>0.39978211956629</v>
      </c>
      <c r="E501" s="60" t="n">
        <f aca="false">Curves!E10</f>
        <v>0.958726</v>
      </c>
      <c r="F501" s="60" t="n">
        <f aca="false">Curves!E11</f>
        <v>0.954899</v>
      </c>
      <c r="G501" s="60" t="n">
        <f aca="false">Curves!E12</f>
        <v>0.967393</v>
      </c>
      <c r="H501" s="60" t="n">
        <f aca="false">Curves!E13</f>
        <v>0.960645</v>
      </c>
      <c r="I501" s="62" t="n">
        <f aca="false">NPV_Engine!$B$4*B501*(C501/NPV_Engine!$B$8)*(1+0.5*(D501-NPV_Engine!$B$13))*(AVERAGE(E501,F501,G501)/B501)*(H501/NPV_Engine!$B$12)</f>
        <v>9603393.33333333</v>
      </c>
    </row>
    <row r="502" customFormat="false" ht="15" hidden="false" customHeight="false" outlineLevel="0" collapsed="false">
      <c r="A502" s="63" t="s">
        <v>117</v>
      </c>
      <c r="B502" s="60" t="n">
        <f aca="false">Curves!E8</f>
        <v>0.957768</v>
      </c>
      <c r="C502" s="60" t="n">
        <f aca="false">Curves!E9</f>
        <v>0.96933</v>
      </c>
      <c r="D502" s="65" t="n">
        <f aca="false">SABR!AT60</f>
        <v>0.406538537771067</v>
      </c>
      <c r="E502" s="64" t="n">
        <f aca="false">Curves!Q39</f>
        <v>0.958061825595622</v>
      </c>
      <c r="F502" s="64" t="n">
        <f aca="false">Curves!Q40</f>
        <v>0.949311346582243</v>
      </c>
      <c r="G502" s="60" t="n">
        <f aca="false">Curves!E12</f>
        <v>0.967393</v>
      </c>
      <c r="H502" s="60" t="n">
        <f aca="false">Curves!E13</f>
        <v>0.960645</v>
      </c>
      <c r="I502" s="62" t="n">
        <f aca="false">NPV_Engine!$B$4*B502*(C502/NPV_Engine!$B$8)*(1+0.5*(D502-NPV_Engine!$B$13))*(AVERAGE(E502,F502,G502)/B502)*(H502/NPV_Engine!$B$12)</f>
        <v>9614925.77809318</v>
      </c>
    </row>
    <row r="503" customFormat="false" ht="15" hidden="false" customHeight="false" outlineLevel="0" collapsed="false">
      <c r="A503" s="63" t="s">
        <v>118</v>
      </c>
      <c r="B503" s="60" t="n">
        <f aca="false">Curves!E8</f>
        <v>0.957768</v>
      </c>
      <c r="C503" s="60" t="n">
        <f aca="false">Curves!E9</f>
        <v>0.96933</v>
      </c>
      <c r="D503" s="65" t="n">
        <f aca="false">SABR!AT74</f>
        <v>0.408312583119033</v>
      </c>
      <c r="E503" s="64" t="n">
        <f aca="false">Curves!Q47</f>
        <v>0.954588922832977</v>
      </c>
      <c r="F503" s="64" t="n">
        <f aca="false">Curves!Q48</f>
        <v>0.952091864437955</v>
      </c>
      <c r="G503" s="60" t="n">
        <f aca="false">Curves!E12</f>
        <v>0.967393</v>
      </c>
      <c r="H503" s="60" t="n">
        <f aca="false">Curves!E13</f>
        <v>0.960645</v>
      </c>
      <c r="I503" s="62" t="n">
        <f aca="false">NPV_Engine!$B$4*B503*(C503/NPV_Engine!$B$8)*(1+0.5*(D503-NPV_Engine!$B$13))*(AVERAGE(E503,F503,G503)/B503)*(H503/NPV_Engine!$B$12)</f>
        <v>9621107.92705345</v>
      </c>
    </row>
    <row r="504" customFormat="false" ht="15" hidden="false" customHeight="false" outlineLevel="0" collapsed="false">
      <c r="A504" s="63" t="s">
        <v>119</v>
      </c>
      <c r="B504" s="60" t="n">
        <f aca="false">Curves!E8</f>
        <v>0.957768</v>
      </c>
      <c r="C504" s="60" t="n">
        <f aca="false">Curves!E9</f>
        <v>0.96933</v>
      </c>
      <c r="D504" s="65" t="n">
        <f aca="false">SABR!AT88</f>
        <v>0.407971432425642</v>
      </c>
      <c r="E504" s="64" t="n">
        <f aca="false">Curves!Q55</f>
        <v>0.954008957495664</v>
      </c>
      <c r="F504" s="64" t="n">
        <f aca="false">Curves!Q56</f>
        <v>0.953612707835657</v>
      </c>
      <c r="G504" s="60" t="n">
        <f aca="false">Curves!E12</f>
        <v>0.967393</v>
      </c>
      <c r="H504" s="60" t="n">
        <f aca="false">Curves!E13</f>
        <v>0.960645</v>
      </c>
      <c r="I504" s="62" t="n">
        <f aca="false">NPV_Engine!$B$4*B504*(C504/NPV_Engine!$B$8)*(1+0.5*(D504-NPV_Engine!$B$13))*(AVERAGE(E504,F504,G504)/B504)*(H504/NPV_Engine!$B$12)</f>
        <v>9622622.87538711</v>
      </c>
    </row>
    <row r="505" customFormat="false" ht="15" hidden="false" customHeight="false" outlineLevel="0" collapsed="false">
      <c r="A505" s="63" t="s">
        <v>120</v>
      </c>
      <c r="B505" s="60" t="n">
        <f aca="false">Curves!E8</f>
        <v>0.957768</v>
      </c>
      <c r="C505" s="60" t="n">
        <f aca="false">Curves!E9</f>
        <v>0.96933</v>
      </c>
      <c r="D505" s="65" t="n">
        <f aca="false">SABR!AT102</f>
        <v>0.413770225261134</v>
      </c>
      <c r="E505" s="64" t="n">
        <f aca="false">Curves!Q63</f>
        <v>0.95320762385314</v>
      </c>
      <c r="F505" s="64" t="n">
        <f aca="false">Curves!Q64</f>
        <v>0.946234479809646</v>
      </c>
      <c r="G505" s="60" t="n">
        <f aca="false">Curves!E12</f>
        <v>0.967393</v>
      </c>
      <c r="H505" s="60" t="n">
        <f aca="false">Curves!E13</f>
        <v>0.960645</v>
      </c>
      <c r="I505" s="62" t="n">
        <f aca="false">NPV_Engine!$B$4*B505*(C505/NPV_Engine!$B$8)*(1+0.5*(D505-NPV_Engine!$B$13))*(AVERAGE(E505,F505,G505)/B505)*(H505/NPV_Engine!$B$12)</f>
        <v>9622952.99960883</v>
      </c>
    </row>
    <row r="506" customFormat="false" ht="15" hidden="false" customHeight="false" outlineLevel="0" collapsed="false">
      <c r="A506" s="63" t="s">
        <v>121</v>
      </c>
      <c r="B506" s="60" t="n">
        <f aca="false">Curves!E8</f>
        <v>0.957768</v>
      </c>
      <c r="C506" s="60" t="n">
        <f aca="false">Curves!E9</f>
        <v>0.96933</v>
      </c>
      <c r="D506" s="65" t="n">
        <f aca="false">SABR!AT116</f>
        <v>0.41063225788842</v>
      </c>
      <c r="E506" s="64" t="n">
        <f aca="false">Curves!Q71</f>
        <v>0.9563957060858</v>
      </c>
      <c r="F506" s="64" t="n">
        <f aca="false">Curves!Q72</f>
        <v>0.945344255389449</v>
      </c>
      <c r="G506" s="60" t="n">
        <f aca="false">Curves!E12</f>
        <v>0.967393</v>
      </c>
      <c r="H506" s="60" t="n">
        <f aca="false">Curves!E13</f>
        <v>0.960645</v>
      </c>
      <c r="I506" s="62" t="n">
        <f aca="false">NPV_Engine!$B$4*B506*(C506/NPV_Engine!$B$8)*(1+0.5*(D506-NPV_Engine!$B$13))*(AVERAGE(E506,F506,G506)/B506)*(H506/NPV_Engine!$B$12)</f>
        <v>9615660.68741181</v>
      </c>
    </row>
    <row r="507" customFormat="false" ht="15" hidden="false" customHeight="false" outlineLevel="0" collapsed="false">
      <c r="A507" s="63" t="s">
        <v>122</v>
      </c>
      <c r="B507" s="60" t="n">
        <f aca="false">Curves!E8</f>
        <v>0.957768</v>
      </c>
      <c r="C507" s="60" t="n">
        <f aca="false">Curves!E9</f>
        <v>0.96933</v>
      </c>
      <c r="D507" s="65" t="n">
        <f aca="false">SABR!AT130</f>
        <v>0.411928432857369</v>
      </c>
      <c r="E507" s="64" t="n">
        <f aca="false">Curves!Q79</f>
        <v>0.952137896569466</v>
      </c>
      <c r="F507" s="64" t="n">
        <f aca="false">Curves!Q80</f>
        <v>0.944482088523894</v>
      </c>
      <c r="G507" s="60" t="n">
        <f aca="false">Curves!E12</f>
        <v>0.967393</v>
      </c>
      <c r="H507" s="60" t="n">
        <f aca="false">Curves!E13</f>
        <v>0.960645</v>
      </c>
      <c r="I507" s="62" t="n">
        <f aca="false">NPV_Engine!$B$4*B507*(C507/NPV_Engine!$B$8)*(1+0.5*(D507-NPV_Engine!$B$13))*(AVERAGE(E507,F507,G507)/B507)*(H507/NPV_Engine!$B$12)</f>
        <v>9604688.61528897</v>
      </c>
    </row>
    <row r="508" customFormat="false" ht="15" hidden="false" customHeight="false" outlineLevel="0" collapsed="false">
      <c r="A508" s="63" t="s">
        <v>123</v>
      </c>
      <c r="B508" s="60" t="n">
        <f aca="false">Curves!E8</f>
        <v>0.957768</v>
      </c>
      <c r="C508" s="60" t="n">
        <f aca="false">Curves!E9</f>
        <v>0.96933</v>
      </c>
      <c r="D508" s="65" t="n">
        <f aca="false">SABR!AT144</f>
        <v>0.417726110712245</v>
      </c>
      <c r="E508" s="64" t="n">
        <f aca="false">Curves!Q87</f>
        <v>0.951644904713199</v>
      </c>
      <c r="F508" s="64" t="n">
        <f aca="false">Curves!Q88</f>
        <v>0.950115469489328</v>
      </c>
      <c r="G508" s="60" t="n">
        <f aca="false">Curves!E12</f>
        <v>0.967393</v>
      </c>
      <c r="H508" s="60" t="n">
        <f aca="false">Curves!E13</f>
        <v>0.960645</v>
      </c>
      <c r="I508" s="62" t="n">
        <f aca="false">NPV_Engine!$B$4*B508*(C508/NPV_Engine!$B$8)*(1+0.5*(D508-NPV_Engine!$B$13))*(AVERAGE(E508,F508,G508)/B508)*(H508/NPV_Engine!$B$12)</f>
        <v>9649651.35191355</v>
      </c>
    </row>
    <row r="509" customFormat="false" ht="15" hidden="false" customHeight="false" outlineLevel="0" collapsed="false">
      <c r="A509" s="63" t="s">
        <v>124</v>
      </c>
      <c r="B509" s="60" t="n">
        <f aca="false">Curves!E8</f>
        <v>0.957768</v>
      </c>
      <c r="C509" s="60" t="n">
        <f aca="false">Curves!E9</f>
        <v>0.96933</v>
      </c>
      <c r="D509" s="65" t="n">
        <f aca="false">SABR!AT158</f>
        <v>0.415066202564148</v>
      </c>
      <c r="E509" s="64" t="n">
        <f aca="false">Curves!Q95</f>
        <v>0.950824572103433</v>
      </c>
      <c r="F509" s="64" t="n">
        <f aca="false">Curves!Q96</f>
        <v>0.942346869047631</v>
      </c>
      <c r="G509" s="60" t="n">
        <f aca="false">Curves!E12</f>
        <v>0.967393</v>
      </c>
      <c r="H509" s="60" t="n">
        <f aca="false">Curves!E13</f>
        <v>0.960645</v>
      </c>
      <c r="I509" s="62" t="n">
        <f aca="false">NPV_Engine!$B$4*B509*(C509/NPV_Engine!$B$8)*(1+0.5*(D509-NPV_Engine!$B$13))*(AVERAGE(E509,F509,G509)/B509)*(H509/NPV_Engine!$B$12)</f>
        <v>9608083.31106901</v>
      </c>
    </row>
    <row r="510" customFormat="false" ht="15" hidden="false" customHeight="false" outlineLevel="0" collapsed="false">
      <c r="A510" s="63" t="s">
        <v>125</v>
      </c>
      <c r="B510" s="60" t="n">
        <f aca="false">Curves!E8</f>
        <v>0.957768</v>
      </c>
      <c r="C510" s="60" t="n">
        <f aca="false">Curves!E9</f>
        <v>0.96933</v>
      </c>
      <c r="D510" s="65" t="n">
        <f aca="false">SABR!AT172</f>
        <v>0.417862506985643</v>
      </c>
      <c r="E510" s="64" t="n">
        <f aca="false">Curves!Q103</f>
        <v>0.950069418905633</v>
      </c>
      <c r="F510" s="64" t="n">
        <f aca="false">Curves!Q104</f>
        <v>0.941085187512815</v>
      </c>
      <c r="G510" s="60" t="n">
        <f aca="false">Curves!E12</f>
        <v>0.967393</v>
      </c>
      <c r="H510" s="60" t="n">
        <f aca="false">Curves!E13</f>
        <v>0.960645</v>
      </c>
      <c r="I510" s="62" t="n">
        <f aca="false">NPV_Engine!$B$4*B510*(C510/NPV_Engine!$B$8)*(1+0.5*(D510-NPV_Engine!$B$13))*(AVERAGE(E510,F510,G510)/B510)*(H510/NPV_Engine!$B$12)</f>
        <v>9614631.43502934</v>
      </c>
    </row>
    <row r="511" customFormat="false" ht="15" hidden="false" customHeight="false" outlineLevel="0" collapsed="false">
      <c r="A511" s="63" t="s">
        <v>126</v>
      </c>
      <c r="B511" s="60" t="n">
        <f aca="false">Curves!E8</f>
        <v>0.957768</v>
      </c>
      <c r="C511" s="60" t="n">
        <f aca="false">Curves!E9</f>
        <v>0.96933</v>
      </c>
      <c r="D511" s="65" t="n">
        <f aca="false">SABR!AT186</f>
        <v>0.421340306298811</v>
      </c>
      <c r="E511" s="64" t="n">
        <f aca="false">Curves!Q111</f>
        <v>0.957237796944819</v>
      </c>
      <c r="F511" s="64" t="n">
        <f aca="false">Curves!Q112</f>
        <v>0.94825631913984</v>
      </c>
      <c r="G511" s="60" t="n">
        <f aca="false">Curves!E12</f>
        <v>0.967393</v>
      </c>
      <c r="H511" s="60" t="n">
        <f aca="false">Curves!E13</f>
        <v>0.960645</v>
      </c>
      <c r="I511" s="62" t="n">
        <f aca="false">NPV_Engine!$B$4*B511*(C511/NPV_Engine!$B$8)*(1+0.5*(D511-NPV_Engine!$B$13))*(AVERAGE(E511,F511,G511)/B511)*(H511/NPV_Engine!$B$12)</f>
        <v>9679514.11513221</v>
      </c>
    </row>
    <row r="514" customFormat="false" ht="15" hidden="false" customHeight="false" outlineLevel="0" collapsed="false">
      <c r="A514" s="67" t="s">
        <v>320</v>
      </c>
      <c r="B514" s="67"/>
      <c r="C514" s="67"/>
      <c r="D514" s="67"/>
      <c r="E514" s="67"/>
      <c r="F514" s="67"/>
      <c r="G514" s="67"/>
      <c r="H514" s="67"/>
      <c r="I514" s="67"/>
      <c r="J514" s="58" t="s">
        <v>321</v>
      </c>
    </row>
    <row r="515" customFormat="false" ht="39.55" hidden="false" customHeight="false" outlineLevel="0" collapsed="false">
      <c r="A515" s="22" t="s">
        <v>179</v>
      </c>
      <c r="B515" s="22" t="s">
        <v>180</v>
      </c>
      <c r="C515" s="22" t="s">
        <v>181</v>
      </c>
      <c r="D515" s="22" t="s">
        <v>182</v>
      </c>
      <c r="E515" s="22" t="s">
        <v>183</v>
      </c>
      <c r="F515" s="22" t="s">
        <v>184</v>
      </c>
      <c r="G515" s="22" t="s">
        <v>185</v>
      </c>
      <c r="H515" s="22" t="s">
        <v>186</v>
      </c>
      <c r="I515" s="22" t="s">
        <v>187</v>
      </c>
    </row>
    <row r="516" customFormat="false" ht="15" hidden="false" customHeight="false" outlineLevel="0" collapsed="false">
      <c r="A516" s="59" t="s">
        <v>188</v>
      </c>
      <c r="B516" s="60" t="n">
        <f aca="false">Curves!E8</f>
        <v>0.957768</v>
      </c>
      <c r="C516" s="60" t="n">
        <f aca="false">Curves!E9</f>
        <v>0.96933</v>
      </c>
      <c r="D516" s="61" t="n">
        <f aca="false">SABR!AT10</f>
        <v>0.39978211956629</v>
      </c>
      <c r="E516" s="60" t="n">
        <f aca="false">Curves!E10</f>
        <v>0.958726</v>
      </c>
      <c r="F516" s="60" t="n">
        <f aca="false">Curves!E11</f>
        <v>0.954899</v>
      </c>
      <c r="G516" s="60" t="n">
        <f aca="false">Curves!E12</f>
        <v>0.967393</v>
      </c>
      <c r="H516" s="60" t="n">
        <f aca="false">Curves!E13</f>
        <v>0.960645</v>
      </c>
      <c r="I516" s="62" t="n">
        <f aca="false">NPV_Engine!$B$4*B516*(C516/NPV_Engine!$B$8)*(1+0.5*(D516-NPV_Engine!$B$13))*(AVERAGE(E516,F516,G516)/B516)*(H516/NPV_Engine!$B$12)</f>
        <v>9603393.33333333</v>
      </c>
    </row>
    <row r="517" customFormat="false" ht="15" hidden="false" customHeight="false" outlineLevel="0" collapsed="false">
      <c r="A517" s="63" t="s">
        <v>117</v>
      </c>
      <c r="B517" s="60" t="n">
        <f aca="false">Curves!E8</f>
        <v>0.957768</v>
      </c>
      <c r="C517" s="60" t="n">
        <f aca="false">Curves!E9</f>
        <v>0.96933</v>
      </c>
      <c r="D517" s="65" t="n">
        <f aca="false">SABR!AT60</f>
        <v>0.406538537771067</v>
      </c>
      <c r="E517" s="60" t="n">
        <f aca="false">Curves!E10</f>
        <v>0.958726</v>
      </c>
      <c r="F517" s="64" t="n">
        <f aca="false">Curves!Q40</f>
        <v>0.949311346582243</v>
      </c>
      <c r="G517" s="60" t="n">
        <f aca="false">Curves!E12</f>
        <v>0.967393</v>
      </c>
      <c r="H517" s="60" t="n">
        <f aca="false">Curves!E13</f>
        <v>0.960645</v>
      </c>
      <c r="I517" s="62" t="n">
        <f aca="false">NPV_Engine!$B$4*B517*(C517/NPV_Engine!$B$8)*(1+0.5*(D517-NPV_Engine!$B$13))*(AVERAGE(E517,F517,G517)/B517)*(H517/NPV_Engine!$B$12)</f>
        <v>9617147.17184117</v>
      </c>
    </row>
    <row r="518" customFormat="false" ht="15" hidden="false" customHeight="false" outlineLevel="0" collapsed="false">
      <c r="A518" s="63" t="s">
        <v>118</v>
      </c>
      <c r="B518" s="60" t="n">
        <f aca="false">Curves!E8</f>
        <v>0.957768</v>
      </c>
      <c r="C518" s="60" t="n">
        <f aca="false">Curves!E9</f>
        <v>0.96933</v>
      </c>
      <c r="D518" s="65" t="n">
        <f aca="false">SABR!AT74</f>
        <v>0.408312583119033</v>
      </c>
      <c r="E518" s="60" t="n">
        <f aca="false">Curves!E10</f>
        <v>0.958726</v>
      </c>
      <c r="F518" s="64" t="n">
        <f aca="false">Curves!Q48</f>
        <v>0.952091864437955</v>
      </c>
      <c r="G518" s="60" t="n">
        <f aca="false">Curves!E12</f>
        <v>0.967393</v>
      </c>
      <c r="H518" s="60" t="n">
        <f aca="false">Curves!E13</f>
        <v>0.960645</v>
      </c>
      <c r="I518" s="62" t="n">
        <f aca="false">NPV_Engine!$B$4*B518*(C518/NPV_Engine!$B$8)*(1+0.5*(D518-NPV_Engine!$B$13))*(AVERAGE(E518,F518,G518)/B518)*(H518/NPV_Engine!$B$12)</f>
        <v>9634957.00292018</v>
      </c>
    </row>
    <row r="519" customFormat="false" ht="15" hidden="false" customHeight="false" outlineLevel="0" collapsed="false">
      <c r="A519" s="63" t="s">
        <v>119</v>
      </c>
      <c r="B519" s="60" t="n">
        <f aca="false">Curves!E8</f>
        <v>0.957768</v>
      </c>
      <c r="C519" s="60" t="n">
        <f aca="false">Curves!E9</f>
        <v>0.96933</v>
      </c>
      <c r="D519" s="65" t="n">
        <f aca="false">SABR!AT88</f>
        <v>0.407971432425642</v>
      </c>
      <c r="E519" s="60" t="n">
        <f aca="false">Curves!E10</f>
        <v>0.958726</v>
      </c>
      <c r="F519" s="64" t="n">
        <f aca="false">Curves!Q56</f>
        <v>0.953612707835657</v>
      </c>
      <c r="G519" s="60" t="n">
        <f aca="false">Curves!E12</f>
        <v>0.967393</v>
      </c>
      <c r="H519" s="60" t="n">
        <f aca="false">Curves!E13</f>
        <v>0.960645</v>
      </c>
      <c r="I519" s="62" t="n">
        <f aca="false">NPV_Engine!$B$4*B519*(C519/NPV_Engine!$B$8)*(1+0.5*(D519-NPV_Engine!$B$13))*(AVERAGE(E519,F519,G519)/B519)*(H519/NPV_Engine!$B$12)</f>
        <v>9638410.73262963</v>
      </c>
    </row>
    <row r="520" customFormat="false" ht="15" hidden="false" customHeight="false" outlineLevel="0" collapsed="false">
      <c r="A520" s="63" t="s">
        <v>120</v>
      </c>
      <c r="B520" s="60" t="n">
        <f aca="false">Curves!E8</f>
        <v>0.957768</v>
      </c>
      <c r="C520" s="60" t="n">
        <f aca="false">Curves!E9</f>
        <v>0.96933</v>
      </c>
      <c r="D520" s="65" t="n">
        <f aca="false">SABR!AT102</f>
        <v>0.413770225261134</v>
      </c>
      <c r="E520" s="60" t="n">
        <f aca="false">Curves!E10</f>
        <v>0.958726</v>
      </c>
      <c r="F520" s="64" t="n">
        <f aca="false">Curves!Q64</f>
        <v>0.946234479809646</v>
      </c>
      <c r="G520" s="60" t="n">
        <f aca="false">Curves!E12</f>
        <v>0.967393</v>
      </c>
      <c r="H520" s="60" t="n">
        <f aca="false">Curves!E13</f>
        <v>0.960645</v>
      </c>
      <c r="I520" s="62" t="n">
        <f aca="false">NPV_Engine!$B$4*B520*(C520/NPV_Engine!$B$8)*(1+0.5*(D520-NPV_Engine!$B$13))*(AVERAGE(E520,F520,G520)/B520)*(H520/NPV_Engine!$B$12)</f>
        <v>9641476.2394797</v>
      </c>
    </row>
    <row r="521" customFormat="false" ht="15" hidden="false" customHeight="false" outlineLevel="0" collapsed="false">
      <c r="A521" s="63" t="s">
        <v>121</v>
      </c>
      <c r="B521" s="60" t="n">
        <f aca="false">Curves!E8</f>
        <v>0.957768</v>
      </c>
      <c r="C521" s="60" t="n">
        <f aca="false">Curves!E9</f>
        <v>0.96933</v>
      </c>
      <c r="D521" s="65" t="n">
        <f aca="false">SABR!AT116</f>
        <v>0.41063225788842</v>
      </c>
      <c r="E521" s="60" t="n">
        <f aca="false">Curves!E10</f>
        <v>0.958726</v>
      </c>
      <c r="F521" s="64" t="n">
        <f aca="false">Curves!Q72</f>
        <v>0.945344255389449</v>
      </c>
      <c r="G521" s="60" t="n">
        <f aca="false">Curves!E12</f>
        <v>0.967393</v>
      </c>
      <c r="H521" s="60" t="n">
        <f aca="false">Curves!E13</f>
        <v>0.960645</v>
      </c>
      <c r="I521" s="62" t="n">
        <f aca="false">NPV_Engine!$B$4*B521*(C521/NPV_Engine!$B$8)*(1+0.5*(D521-NPV_Engine!$B$13))*(AVERAGE(E521,F521,G521)/B521)*(H521/NPV_Engine!$B$12)</f>
        <v>9623470.47381131</v>
      </c>
    </row>
    <row r="522" customFormat="false" ht="15" hidden="false" customHeight="false" outlineLevel="0" collapsed="false">
      <c r="A522" s="63" t="s">
        <v>122</v>
      </c>
      <c r="B522" s="60" t="n">
        <f aca="false">Curves!E8</f>
        <v>0.957768</v>
      </c>
      <c r="C522" s="60" t="n">
        <f aca="false">Curves!E9</f>
        <v>0.96933</v>
      </c>
      <c r="D522" s="65" t="n">
        <f aca="false">SABR!AT130</f>
        <v>0.411928432857369</v>
      </c>
      <c r="E522" s="60" t="n">
        <f aca="false">Curves!E10</f>
        <v>0.958726</v>
      </c>
      <c r="F522" s="64" t="n">
        <f aca="false">Curves!Q80</f>
        <v>0.944482088523894</v>
      </c>
      <c r="G522" s="60" t="n">
        <f aca="false">Curves!E12</f>
        <v>0.967393</v>
      </c>
      <c r="H522" s="60" t="n">
        <f aca="false">Curves!E13</f>
        <v>0.960645</v>
      </c>
      <c r="I522" s="62" t="n">
        <f aca="false">NPV_Engine!$B$4*B522*(C522/NPV_Engine!$B$8)*(1+0.5*(D522-NPV_Engine!$B$13))*(AVERAGE(E522,F522,G522)/B522)*(H522/NPV_Engine!$B$12)</f>
        <v>9626782.32867119</v>
      </c>
    </row>
    <row r="523" customFormat="false" ht="15" hidden="false" customHeight="false" outlineLevel="0" collapsed="false">
      <c r="A523" s="63" t="s">
        <v>123</v>
      </c>
      <c r="B523" s="60" t="n">
        <f aca="false">Curves!E8</f>
        <v>0.957768</v>
      </c>
      <c r="C523" s="60" t="n">
        <f aca="false">Curves!E9</f>
        <v>0.96933</v>
      </c>
      <c r="D523" s="65" t="n">
        <f aca="false">SABR!AT144</f>
        <v>0.417726110712245</v>
      </c>
      <c r="E523" s="60" t="n">
        <f aca="false">Curves!E10</f>
        <v>0.958726</v>
      </c>
      <c r="F523" s="64" t="n">
        <f aca="false">Curves!Q88</f>
        <v>0.950115469489328</v>
      </c>
      <c r="G523" s="60" t="n">
        <f aca="false">Curves!E12</f>
        <v>0.967393</v>
      </c>
      <c r="H523" s="60" t="n">
        <f aca="false">Curves!E13</f>
        <v>0.960645</v>
      </c>
      <c r="I523" s="62" t="n">
        <f aca="false">NPV_Engine!$B$4*B523*(C523/NPV_Engine!$B$8)*(1+0.5*(D523-NPV_Engine!$B$13))*(AVERAGE(E523,F523,G523)/B523)*(H523/NPV_Engine!$B$12)</f>
        <v>9673466.77472143</v>
      </c>
    </row>
    <row r="524" customFormat="false" ht="15" hidden="false" customHeight="false" outlineLevel="0" collapsed="false">
      <c r="A524" s="63" t="s">
        <v>124</v>
      </c>
      <c r="B524" s="60" t="n">
        <f aca="false">Curves!E8</f>
        <v>0.957768</v>
      </c>
      <c r="C524" s="60" t="n">
        <f aca="false">Curves!E9</f>
        <v>0.96933</v>
      </c>
      <c r="D524" s="65" t="n">
        <f aca="false">SABR!AT158</f>
        <v>0.415066202564148</v>
      </c>
      <c r="E524" s="60" t="n">
        <f aca="false">Curves!E10</f>
        <v>0.958726</v>
      </c>
      <c r="F524" s="64" t="n">
        <f aca="false">Curves!Q96</f>
        <v>0.942346869047631</v>
      </c>
      <c r="G524" s="60" t="n">
        <f aca="false">Curves!E12</f>
        <v>0.967393</v>
      </c>
      <c r="H524" s="60" t="n">
        <f aca="false">Curves!E13</f>
        <v>0.960645</v>
      </c>
      <c r="I524" s="62" t="n">
        <f aca="false">NPV_Engine!$B$4*B524*(C524/NPV_Engine!$B$8)*(1+0.5*(D524-NPV_Engine!$B$13))*(AVERAGE(E524,F524,G524)/B524)*(H524/NPV_Engine!$B$12)</f>
        <v>9634622.68085718</v>
      </c>
    </row>
    <row r="525" customFormat="false" ht="15" hidden="false" customHeight="false" outlineLevel="0" collapsed="false">
      <c r="A525" s="63" t="s">
        <v>125</v>
      </c>
      <c r="B525" s="60" t="n">
        <f aca="false">Curves!E8</f>
        <v>0.957768</v>
      </c>
      <c r="C525" s="60" t="n">
        <f aca="false">Curves!E9</f>
        <v>0.96933</v>
      </c>
      <c r="D525" s="65" t="n">
        <f aca="false">SABR!AT172</f>
        <v>0.417862506985643</v>
      </c>
      <c r="E525" s="60" t="n">
        <f aca="false">Curves!E10</f>
        <v>0.958726</v>
      </c>
      <c r="F525" s="64" t="n">
        <f aca="false">Curves!Q104</f>
        <v>0.941085187512815</v>
      </c>
      <c r="G525" s="60" t="n">
        <f aca="false">Curves!E12</f>
        <v>0.967393</v>
      </c>
      <c r="H525" s="60" t="n">
        <f aca="false">Curves!E13</f>
        <v>0.960645</v>
      </c>
      <c r="I525" s="62" t="n">
        <f aca="false">NPV_Engine!$B$4*B525*(C525/NPV_Engine!$B$8)*(1+0.5*(D525-NPV_Engine!$B$13))*(AVERAGE(E525,F525,G525)/B525)*(H525/NPV_Engine!$B$12)</f>
        <v>9643747.56257709</v>
      </c>
    </row>
    <row r="526" customFormat="false" ht="15" hidden="false" customHeight="false" outlineLevel="0" collapsed="false">
      <c r="A526" s="63" t="s">
        <v>126</v>
      </c>
      <c r="B526" s="60" t="n">
        <f aca="false">Curves!E8</f>
        <v>0.957768</v>
      </c>
      <c r="C526" s="60" t="n">
        <f aca="false">Curves!E9</f>
        <v>0.96933</v>
      </c>
      <c r="D526" s="65" t="n">
        <f aca="false">SABR!AT186</f>
        <v>0.421340306298811</v>
      </c>
      <c r="E526" s="60" t="n">
        <f aca="false">Curves!E10</f>
        <v>0.958726</v>
      </c>
      <c r="F526" s="64" t="n">
        <f aca="false">Curves!Q112</f>
        <v>0.94825631913984</v>
      </c>
      <c r="G526" s="60" t="n">
        <f aca="false">Curves!E12</f>
        <v>0.967393</v>
      </c>
      <c r="H526" s="60" t="n">
        <f aca="false">Curves!E13</f>
        <v>0.960645</v>
      </c>
      <c r="I526" s="62" t="n">
        <f aca="false">NPV_Engine!$B$4*B526*(C526/NPV_Engine!$B$8)*(1+0.5*(D526-NPV_Engine!$B$13))*(AVERAGE(E526,F526,G526)/B526)*(H526/NPV_Engine!$B$12)</f>
        <v>9684528.26358174</v>
      </c>
    </row>
    <row r="529" customFormat="false" ht="15" hidden="false" customHeight="false" outlineLevel="0" collapsed="false">
      <c r="A529" s="67" t="s">
        <v>322</v>
      </c>
      <c r="B529" s="67"/>
      <c r="C529" s="67"/>
      <c r="D529" s="67"/>
      <c r="E529" s="67"/>
      <c r="F529" s="67"/>
      <c r="G529" s="67"/>
      <c r="H529" s="67"/>
      <c r="I529" s="67"/>
      <c r="J529" s="58" t="s">
        <v>311</v>
      </c>
    </row>
    <row r="530" customFormat="false" ht="39.55" hidden="false" customHeight="false" outlineLevel="0" collapsed="false">
      <c r="A530" s="22" t="s">
        <v>179</v>
      </c>
      <c r="B530" s="22" t="s">
        <v>180</v>
      </c>
      <c r="C530" s="22" t="s">
        <v>181</v>
      </c>
      <c r="D530" s="22" t="s">
        <v>182</v>
      </c>
      <c r="E530" s="22" t="s">
        <v>183</v>
      </c>
      <c r="F530" s="22" t="s">
        <v>184</v>
      </c>
      <c r="G530" s="22" t="s">
        <v>185</v>
      </c>
      <c r="H530" s="22" t="s">
        <v>186</v>
      </c>
      <c r="I530" s="22" t="s">
        <v>187</v>
      </c>
    </row>
    <row r="531" customFormat="false" ht="15" hidden="false" customHeight="false" outlineLevel="0" collapsed="false">
      <c r="A531" s="59" t="s">
        <v>188</v>
      </c>
      <c r="B531" s="60" t="n">
        <f aca="false">Curves!E8</f>
        <v>0.957768</v>
      </c>
      <c r="C531" s="60" t="n">
        <f aca="false">Curves!E9</f>
        <v>0.96933</v>
      </c>
      <c r="D531" s="61" t="n">
        <f aca="false">SABR!AT10</f>
        <v>0.39978211956629</v>
      </c>
      <c r="E531" s="60" t="n">
        <f aca="false">Curves!E10</f>
        <v>0.958726</v>
      </c>
      <c r="F531" s="60" t="n">
        <f aca="false">Curves!E11</f>
        <v>0.954899</v>
      </c>
      <c r="G531" s="60" t="n">
        <f aca="false">Curves!E12</f>
        <v>0.967393</v>
      </c>
      <c r="H531" s="60" t="n">
        <f aca="false">Curves!E13</f>
        <v>0.960645</v>
      </c>
      <c r="I531" s="62" t="n">
        <f aca="false">NPV_Engine!$B$4*B531*(C531/NPV_Engine!$B$8)*(1+0.5*(D531-NPV_Engine!$B$13))*(AVERAGE(E531,F531,G531)/B531)*(H531/NPV_Engine!$B$12)</f>
        <v>9603393.33333333</v>
      </c>
    </row>
    <row r="532" customFormat="false" ht="15" hidden="false" customHeight="false" outlineLevel="0" collapsed="false">
      <c r="A532" s="63" t="s">
        <v>117</v>
      </c>
      <c r="B532" s="60" t="n">
        <f aca="false">Curves!E8</f>
        <v>0.957768</v>
      </c>
      <c r="C532" s="60" t="n">
        <f aca="false">Curves!E9</f>
        <v>0.96933</v>
      </c>
      <c r="D532" s="65" t="n">
        <f aca="false">SABR!AT60</f>
        <v>0.406538537771067</v>
      </c>
      <c r="E532" s="60" t="n">
        <f aca="false">Curves!E10</f>
        <v>0.958726</v>
      </c>
      <c r="F532" s="60" t="n">
        <f aca="false">Curves!E11</f>
        <v>0.954899</v>
      </c>
      <c r="G532" s="60" t="n">
        <f aca="false">Curves!E12</f>
        <v>0.967393</v>
      </c>
      <c r="H532" s="60" t="n">
        <f aca="false">Curves!E13</f>
        <v>0.960645</v>
      </c>
      <c r="I532" s="62" t="n">
        <f aca="false">NPV_Engine!$B$4*B532*(C532/NPV_Engine!$B$8)*(1+0.5*(D532-NPV_Engine!$B$13))*(AVERAGE(E532,F532,G532)/B532)*(H532/NPV_Engine!$B$12)</f>
        <v>9635835.60410582</v>
      </c>
    </row>
    <row r="533" customFormat="false" ht="15" hidden="false" customHeight="false" outlineLevel="0" collapsed="false">
      <c r="A533" s="63" t="s">
        <v>118</v>
      </c>
      <c r="B533" s="60" t="n">
        <f aca="false">Curves!E8</f>
        <v>0.957768</v>
      </c>
      <c r="C533" s="60" t="n">
        <f aca="false">Curves!E9</f>
        <v>0.96933</v>
      </c>
      <c r="D533" s="65" t="n">
        <f aca="false">SABR!AT74</f>
        <v>0.408312583119033</v>
      </c>
      <c r="E533" s="60" t="n">
        <f aca="false">Curves!E10</f>
        <v>0.958726</v>
      </c>
      <c r="F533" s="60" t="n">
        <f aca="false">Curves!E11</f>
        <v>0.954899</v>
      </c>
      <c r="G533" s="60" t="n">
        <f aca="false">Curves!E12</f>
        <v>0.967393</v>
      </c>
      <c r="H533" s="60" t="n">
        <f aca="false">Curves!E13</f>
        <v>0.960645</v>
      </c>
      <c r="I533" s="62" t="n">
        <f aca="false">NPV_Engine!$B$4*B533*(C533/NPV_Engine!$B$8)*(1+0.5*(D533-NPV_Engine!$B$13))*(AVERAGE(E533,F533,G533)/B533)*(H533/NPV_Engine!$B$12)</f>
        <v>9644354.03173966</v>
      </c>
    </row>
    <row r="534" customFormat="false" ht="15" hidden="false" customHeight="false" outlineLevel="0" collapsed="false">
      <c r="A534" s="63" t="s">
        <v>119</v>
      </c>
      <c r="B534" s="60" t="n">
        <f aca="false">Curves!E8</f>
        <v>0.957768</v>
      </c>
      <c r="C534" s="60" t="n">
        <f aca="false">Curves!E9</f>
        <v>0.96933</v>
      </c>
      <c r="D534" s="65" t="n">
        <f aca="false">SABR!AT88</f>
        <v>0.407971432425642</v>
      </c>
      <c r="E534" s="60" t="n">
        <f aca="false">Curves!E10</f>
        <v>0.958726</v>
      </c>
      <c r="F534" s="60" t="n">
        <f aca="false">Curves!E11</f>
        <v>0.954899</v>
      </c>
      <c r="G534" s="60" t="n">
        <f aca="false">Curves!E12</f>
        <v>0.967393</v>
      </c>
      <c r="H534" s="60" t="n">
        <f aca="false">Curves!E13</f>
        <v>0.960645</v>
      </c>
      <c r="I534" s="62" t="n">
        <f aca="false">NPV_Engine!$B$4*B534*(C534/NPV_Engine!$B$8)*(1+0.5*(D534-NPV_Engine!$B$13))*(AVERAGE(E534,F534,G534)/B534)*(H534/NPV_Engine!$B$12)</f>
        <v>9642715.92959238</v>
      </c>
    </row>
    <row r="535" customFormat="false" ht="15" hidden="false" customHeight="false" outlineLevel="0" collapsed="false">
      <c r="A535" s="63" t="s">
        <v>120</v>
      </c>
      <c r="B535" s="60" t="n">
        <f aca="false">Curves!E8</f>
        <v>0.957768</v>
      </c>
      <c r="C535" s="60" t="n">
        <f aca="false">Curves!E9</f>
        <v>0.96933</v>
      </c>
      <c r="D535" s="65" t="n">
        <f aca="false">SABR!AT102</f>
        <v>0.413770225261134</v>
      </c>
      <c r="E535" s="60" t="n">
        <f aca="false">Curves!E10</f>
        <v>0.958726</v>
      </c>
      <c r="F535" s="60" t="n">
        <f aca="false">Curves!E11</f>
        <v>0.954899</v>
      </c>
      <c r="G535" s="60" t="n">
        <f aca="false">Curves!E12</f>
        <v>0.967393</v>
      </c>
      <c r="H535" s="60" t="n">
        <f aca="false">Curves!E13</f>
        <v>0.960645</v>
      </c>
      <c r="I535" s="62" t="n">
        <f aca="false">NPV_Engine!$B$4*B535*(C535/NPV_Engine!$B$8)*(1+0.5*(D535-NPV_Engine!$B$13))*(AVERAGE(E535,F535,G535)/B535)*(H535/NPV_Engine!$B$12)</f>
        <v>9670559.97382125</v>
      </c>
    </row>
    <row r="536" customFormat="false" ht="15" hidden="false" customHeight="false" outlineLevel="0" collapsed="false">
      <c r="A536" s="63" t="s">
        <v>121</v>
      </c>
      <c r="B536" s="60" t="n">
        <f aca="false">Curves!E8</f>
        <v>0.957768</v>
      </c>
      <c r="C536" s="60" t="n">
        <f aca="false">Curves!E9</f>
        <v>0.96933</v>
      </c>
      <c r="D536" s="65" t="n">
        <f aca="false">SABR!AT116</f>
        <v>0.41063225788842</v>
      </c>
      <c r="E536" s="60" t="n">
        <f aca="false">Curves!E10</f>
        <v>0.958726</v>
      </c>
      <c r="F536" s="60" t="n">
        <f aca="false">Curves!E11</f>
        <v>0.954899</v>
      </c>
      <c r="G536" s="60" t="n">
        <f aca="false">Curves!E12</f>
        <v>0.967393</v>
      </c>
      <c r="H536" s="60" t="n">
        <f aca="false">Curves!E13</f>
        <v>0.960645</v>
      </c>
      <c r="I536" s="62" t="n">
        <f aca="false">NPV_Engine!$B$4*B536*(C536/NPV_Engine!$B$8)*(1+0.5*(D536-NPV_Engine!$B$13))*(AVERAGE(E536,F536,G536)/B536)*(H536/NPV_Engine!$B$12)</f>
        <v>9655492.40634758</v>
      </c>
    </row>
    <row r="537" customFormat="false" ht="15" hidden="false" customHeight="false" outlineLevel="0" collapsed="false">
      <c r="A537" s="63" t="s">
        <v>122</v>
      </c>
      <c r="B537" s="60" t="n">
        <f aca="false">Curves!E8</f>
        <v>0.957768</v>
      </c>
      <c r="C537" s="60" t="n">
        <f aca="false">Curves!E9</f>
        <v>0.96933</v>
      </c>
      <c r="D537" s="65" t="n">
        <f aca="false">SABR!AT130</f>
        <v>0.411928432857369</v>
      </c>
      <c r="E537" s="60" t="n">
        <f aca="false">Curves!E10</f>
        <v>0.958726</v>
      </c>
      <c r="F537" s="60" t="n">
        <f aca="false">Curves!E11</f>
        <v>0.954899</v>
      </c>
      <c r="G537" s="60" t="n">
        <f aca="false">Curves!E12</f>
        <v>0.967393</v>
      </c>
      <c r="H537" s="60" t="n">
        <f aca="false">Curves!E13</f>
        <v>0.960645</v>
      </c>
      <c r="I537" s="62" t="n">
        <f aca="false">NPV_Engine!$B$4*B537*(C537/NPV_Engine!$B$8)*(1+0.5*(D537-NPV_Engine!$B$13))*(AVERAGE(E537,F537,G537)/B537)*(H537/NPV_Engine!$B$12)</f>
        <v>9661716.2453754</v>
      </c>
    </row>
    <row r="538" customFormat="false" ht="15" hidden="false" customHeight="false" outlineLevel="0" collapsed="false">
      <c r="A538" s="63" t="s">
        <v>123</v>
      </c>
      <c r="B538" s="60" t="n">
        <f aca="false">Curves!E8</f>
        <v>0.957768</v>
      </c>
      <c r="C538" s="60" t="n">
        <f aca="false">Curves!E9</f>
        <v>0.96933</v>
      </c>
      <c r="D538" s="65" t="n">
        <f aca="false">SABR!AT144</f>
        <v>0.417726110712245</v>
      </c>
      <c r="E538" s="60" t="n">
        <f aca="false">Curves!E10</f>
        <v>0.958726</v>
      </c>
      <c r="F538" s="60" t="n">
        <f aca="false">Curves!E11</f>
        <v>0.954899</v>
      </c>
      <c r="G538" s="60" t="n">
        <f aca="false">Curves!E12</f>
        <v>0.967393</v>
      </c>
      <c r="H538" s="60" t="n">
        <f aca="false">Curves!E13</f>
        <v>0.960645</v>
      </c>
      <c r="I538" s="62" t="n">
        <f aca="false">NPV_Engine!$B$4*B538*(C538/NPV_Engine!$B$8)*(1+0.5*(D538-NPV_Engine!$B$13))*(AVERAGE(E538,F538,G538)/B538)*(H538/NPV_Engine!$B$12)</f>
        <v>9689554.93580556</v>
      </c>
    </row>
    <row r="539" customFormat="false" ht="15" hidden="false" customHeight="false" outlineLevel="0" collapsed="false">
      <c r="A539" s="63" t="s">
        <v>124</v>
      </c>
      <c r="B539" s="60" t="n">
        <f aca="false">Curves!E8</f>
        <v>0.957768</v>
      </c>
      <c r="C539" s="60" t="n">
        <f aca="false">Curves!E9</f>
        <v>0.96933</v>
      </c>
      <c r="D539" s="65" t="n">
        <f aca="false">SABR!AT158</f>
        <v>0.415066202564148</v>
      </c>
      <c r="E539" s="60" t="n">
        <f aca="false">Curves!E10</f>
        <v>0.958726</v>
      </c>
      <c r="F539" s="60" t="n">
        <f aca="false">Curves!E11</f>
        <v>0.954899</v>
      </c>
      <c r="G539" s="60" t="n">
        <f aca="false">Curves!E12</f>
        <v>0.967393</v>
      </c>
      <c r="H539" s="60" t="n">
        <f aca="false">Curves!E13</f>
        <v>0.960645</v>
      </c>
      <c r="I539" s="62" t="n">
        <f aca="false">NPV_Engine!$B$4*B539*(C539/NPV_Engine!$B$8)*(1+0.5*(D539-NPV_Engine!$B$13))*(AVERAGE(E539,F539,G539)/B539)*(H539/NPV_Engine!$B$12)</f>
        <v>9676782.86371721</v>
      </c>
    </row>
    <row r="540" customFormat="false" ht="15" hidden="false" customHeight="false" outlineLevel="0" collapsed="false">
      <c r="A540" s="63" t="s">
        <v>125</v>
      </c>
      <c r="B540" s="60" t="n">
        <f aca="false">Curves!E8</f>
        <v>0.957768</v>
      </c>
      <c r="C540" s="60" t="n">
        <f aca="false">Curves!E9</f>
        <v>0.96933</v>
      </c>
      <c r="D540" s="65" t="n">
        <f aca="false">SABR!AT172</f>
        <v>0.417862506985643</v>
      </c>
      <c r="E540" s="60" t="n">
        <f aca="false">Curves!E10</f>
        <v>0.958726</v>
      </c>
      <c r="F540" s="60" t="n">
        <f aca="false">Curves!E11</f>
        <v>0.954899</v>
      </c>
      <c r="G540" s="60" t="n">
        <f aca="false">Curves!E12</f>
        <v>0.967393</v>
      </c>
      <c r="H540" s="60" t="n">
        <f aca="false">Curves!E13</f>
        <v>0.960645</v>
      </c>
      <c r="I540" s="62" t="n">
        <f aca="false">NPV_Engine!$B$4*B540*(C540/NPV_Engine!$B$8)*(1+0.5*(D540-NPV_Engine!$B$13))*(AVERAGE(E540,F540,G540)/B540)*(H540/NPV_Engine!$B$12)</f>
        <v>9690209.86933688</v>
      </c>
    </row>
    <row r="541" customFormat="false" ht="15" hidden="false" customHeight="false" outlineLevel="0" collapsed="false">
      <c r="A541" s="63" t="s">
        <v>126</v>
      </c>
      <c r="B541" s="60" t="n">
        <f aca="false">Curves!E8</f>
        <v>0.957768</v>
      </c>
      <c r="C541" s="60" t="n">
        <f aca="false">Curves!E9</f>
        <v>0.96933</v>
      </c>
      <c r="D541" s="65" t="n">
        <f aca="false">SABR!AT186</f>
        <v>0.421340306298811</v>
      </c>
      <c r="E541" s="60" t="n">
        <f aca="false">Curves!E10</f>
        <v>0.958726</v>
      </c>
      <c r="F541" s="60" t="n">
        <f aca="false">Curves!E11</f>
        <v>0.954899</v>
      </c>
      <c r="G541" s="60" t="n">
        <f aca="false">Curves!E12</f>
        <v>0.967393</v>
      </c>
      <c r="H541" s="60" t="n">
        <f aca="false">Curves!E13</f>
        <v>0.960645</v>
      </c>
      <c r="I541" s="62" t="n">
        <f aca="false">NPV_Engine!$B$4*B541*(C541/NPV_Engine!$B$8)*(1+0.5*(D541-NPV_Engine!$B$13))*(AVERAGE(E541,F541,G541)/B541)*(H541/NPV_Engine!$B$12)</f>
        <v>9706909.20670626</v>
      </c>
    </row>
  </sheetData>
  <mergeCells count="38">
    <mergeCell ref="A1:I1"/>
    <mergeCell ref="A2:I2"/>
    <mergeCell ref="A4:I4"/>
    <mergeCell ref="A19:I19"/>
    <mergeCell ref="A34:I34"/>
    <mergeCell ref="A49:I49"/>
    <mergeCell ref="A64:I64"/>
    <mergeCell ref="A79:I79"/>
    <mergeCell ref="A94:I94"/>
    <mergeCell ref="A109:I109"/>
    <mergeCell ref="A124:I124"/>
    <mergeCell ref="A139:I139"/>
    <mergeCell ref="A154:I154"/>
    <mergeCell ref="A169:I169"/>
    <mergeCell ref="A184:I184"/>
    <mergeCell ref="A199:I199"/>
    <mergeCell ref="A214:I214"/>
    <mergeCell ref="A229:I229"/>
    <mergeCell ref="A244:I244"/>
    <mergeCell ref="A259:I259"/>
    <mergeCell ref="A274:I274"/>
    <mergeCell ref="A289:I289"/>
    <mergeCell ref="A304:I304"/>
    <mergeCell ref="A319:I319"/>
    <mergeCell ref="A334:I334"/>
    <mergeCell ref="A349:I349"/>
    <mergeCell ref="A364:I364"/>
    <mergeCell ref="A379:I379"/>
    <mergeCell ref="A394:I394"/>
    <mergeCell ref="A409:I409"/>
    <mergeCell ref="A424:I424"/>
    <mergeCell ref="A439:I439"/>
    <mergeCell ref="A454:I454"/>
    <mergeCell ref="A469:I469"/>
    <mergeCell ref="A484:I484"/>
    <mergeCell ref="A499:I499"/>
    <mergeCell ref="A514:I514"/>
    <mergeCell ref="A529:I5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5"/>
  </cols>
  <sheetData>
    <row r="1" customFormat="false" ht="17.35" hidden="false" customHeight="false" outlineLevel="0" collapsed="false">
      <c r="A1" s="56" t="s">
        <v>323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customFormat="false" ht="39.75" hidden="false" customHeight="true" outlineLevel="0" collapsed="false">
      <c r="A2" s="15" t="s">
        <v>324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customFormat="false" ht="15" hidden="false" customHeight="false" outlineLevel="0" collapsed="false">
      <c r="A4" s="57" t="s">
        <v>325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customFormat="false" ht="26.85" hidden="false" customHeight="false" outlineLevel="0" collapsed="false">
      <c r="A5" s="68" t="s">
        <v>146</v>
      </c>
      <c r="B5" s="22" t="s">
        <v>228</v>
      </c>
      <c r="C5" s="22" t="s">
        <v>229</v>
      </c>
      <c r="D5" s="22" t="s">
        <v>230</v>
      </c>
      <c r="E5" s="22" t="s">
        <v>231</v>
      </c>
      <c r="F5" s="22" t="s">
        <v>232</v>
      </c>
      <c r="G5" s="22" t="s">
        <v>233</v>
      </c>
      <c r="H5" s="22" t="s">
        <v>234</v>
      </c>
      <c r="I5" s="22" t="s">
        <v>235</v>
      </c>
      <c r="J5" s="22" t="s">
        <v>236</v>
      </c>
      <c r="K5" s="22" t="s">
        <v>237</v>
      </c>
      <c r="L5" s="22" t="s">
        <v>238</v>
      </c>
      <c r="M5" s="22" t="s">
        <v>239</v>
      </c>
    </row>
    <row r="6" customFormat="false" ht="15" hidden="false" customHeight="false" outlineLevel="0" collapsed="false">
      <c r="A6" s="63" t="s">
        <v>117</v>
      </c>
      <c r="B6" s="69" t="n">
        <f aca="false">FullReduced_LH_NPV_Engine!I7-FullReduced_LH_NPV_Engine!I6</f>
        <v>-973.093121731654</v>
      </c>
      <c r="C6" s="69" t="n">
        <f aca="false">FullReduced_LH_NPV_Engine!I22-FullReduced_LH_NPV_Engine!I21</f>
        <v>-973.093121731654</v>
      </c>
      <c r="D6" s="69" t="n">
        <f aca="false">FullReduced_LH_NPV_Engine!I37-FullReduced_LH_NPV_Engine!I36</f>
        <v>-2445.76340065151</v>
      </c>
      <c r="E6" s="69" t="n">
        <f aca="false">FullReduced_LH_NPV_Engine!I52-FullReduced_LH_NPV_Engine!I51</f>
        <v>5863.11966151744</v>
      </c>
      <c r="F6" s="69" t="n">
        <f aca="false">FullReduced_LH_NPV_Engine!I67-FullReduced_LH_NPV_Engine!I66</f>
        <v>9176.67118108086</v>
      </c>
      <c r="G6" s="69" t="n">
        <f aca="false">FullReduced_LH_NPV_Engine!I82-FullReduced_LH_NPV_Engine!I81</f>
        <v>9176.67118108086</v>
      </c>
      <c r="H6" s="69" t="n">
        <f aca="false">FullReduced_LH_NPV_Engine!I97-FullReduced_LH_NPV_Engine!I96</f>
        <v>9176.67118108086</v>
      </c>
      <c r="I6" s="69" t="n">
        <f aca="false">FullReduced_LH_NPV_Engine!I112-FullReduced_LH_NPV_Engine!I111</f>
        <v>-6403.70543263294</v>
      </c>
      <c r="J6" s="69" t="n">
        <f aca="false">FullReduced_LH_NPV_Engine!I127-FullReduced_LH_NPV_Engine!I126</f>
        <v>-1517.53334775008</v>
      </c>
      <c r="K6" s="69" t="n">
        <f aca="false">FullReduced_LH_NPV_Engine!I142-FullReduced_LH_NPV_Engine!I141</f>
        <v>8202.64820514992</v>
      </c>
      <c r="L6" s="69" t="n">
        <f aca="false">FullReduced_LH_NPV_Engine!I157-FullReduced_LH_NPV_Engine!I156</f>
        <v>6728.57069334574</v>
      </c>
      <c r="M6" s="69" t="n">
        <f aca="false">FullReduced_LH_NPV_Engine!I172-FullReduced_LH_NPV_Engine!I171</f>
        <v>9176.67118108086</v>
      </c>
    </row>
    <row r="7" customFormat="false" ht="15" hidden="false" customHeight="false" outlineLevel="0" collapsed="false">
      <c r="A7" s="63" t="s">
        <v>118</v>
      </c>
      <c r="B7" s="69" t="n">
        <f aca="false">FullReduced_LH_NPV_Engine!I8-FullReduced_LH_NPV_Engine!I6</f>
        <v>-13666.3314382005</v>
      </c>
      <c r="C7" s="69" t="n">
        <f aca="false">FullReduced_LH_NPV_Engine!I23-FullReduced_LH_NPV_Engine!I21</f>
        <v>-13666.3314382005</v>
      </c>
      <c r="D7" s="69" t="n">
        <f aca="false">FullReduced_LH_NPV_Engine!I38-FullReduced_LH_NPV_Engine!I36</f>
        <v>-6720.79148193635</v>
      </c>
      <c r="E7" s="69" t="n">
        <f aca="false">FullReduced_LH_NPV_Engine!I53-FullReduced_LH_NPV_Engine!I51</f>
        <v>-1471.19419524074</v>
      </c>
      <c r="F7" s="69" t="n">
        <f aca="false">FullReduced_LH_NPV_Engine!I68-FullReduced_LH_NPV_Engine!I66</f>
        <v>8193.49713529833</v>
      </c>
      <c r="G7" s="69" t="n">
        <f aca="false">FullReduced_LH_NPV_Engine!I83-FullReduced_LH_NPV_Engine!I81</f>
        <v>8193.49713529833</v>
      </c>
      <c r="H7" s="69" t="n">
        <f aca="false">FullReduced_LH_NPV_Engine!I98-FullReduced_LH_NPV_Engine!I96</f>
        <v>8193.49713529833</v>
      </c>
      <c r="I7" s="69" t="n">
        <f aca="false">FullReduced_LH_NPV_Engine!I113-FullReduced_LH_NPV_Engine!I111</f>
        <v>-7398.63807907328</v>
      </c>
      <c r="J7" s="69" t="n">
        <f aca="false">FullReduced_LH_NPV_Engine!I128-FullReduced_LH_NPV_Engine!I126</f>
        <v>-22522.4094689302</v>
      </c>
      <c r="K7" s="69" t="n">
        <f aca="false">FullReduced_LH_NPV_Engine!I143-FullReduced_LH_NPV_Engine!I141</f>
        <v>-5484.49424888194</v>
      </c>
      <c r="L7" s="69" t="n">
        <f aca="false">FullReduced_LH_NPV_Engine!I158-FullReduced_LH_NPV_Engine!I156</f>
        <v>1466.97155668959</v>
      </c>
      <c r="M7" s="69" t="n">
        <f aca="false">FullReduced_LH_NPV_Engine!I173-FullReduced_LH_NPV_Engine!I171</f>
        <v>8193.49713529833</v>
      </c>
    </row>
    <row r="8" customFormat="false" ht="15" hidden="false" customHeight="false" outlineLevel="0" collapsed="false">
      <c r="A8" s="63" t="s">
        <v>119</v>
      </c>
      <c r="B8" s="69" t="n">
        <f aca="false">FullReduced_LH_NPV_Engine!I9-FullReduced_LH_NPV_Engine!I6</f>
        <v>-5286.84419209883</v>
      </c>
      <c r="C8" s="69" t="n">
        <f aca="false">FullReduced_LH_NPV_Engine!I24-FullReduced_LH_NPV_Engine!I21</f>
        <v>-5286.84419209883</v>
      </c>
      <c r="D8" s="69" t="n">
        <f aca="false">FullReduced_LH_NPV_Engine!I39-FullReduced_LH_NPV_Engine!I36</f>
        <v>2965.91845721751</v>
      </c>
      <c r="E8" s="69" t="n">
        <f aca="false">FullReduced_LH_NPV_Engine!I54-FullReduced_LH_NPV_Engine!I51</f>
        <v>516.945576695725</v>
      </c>
      <c r="F8" s="69" t="n">
        <f aca="false">FullReduced_LH_NPV_Engine!I69-FullReduced_LH_NPV_Engine!I66</f>
        <v>10487.5547053013</v>
      </c>
      <c r="G8" s="69" t="n">
        <f aca="false">FullReduced_LH_NPV_Engine!I84-FullReduced_LH_NPV_Engine!I81</f>
        <v>10487.5547053013</v>
      </c>
      <c r="H8" s="69" t="n">
        <f aca="false">FullReduced_LH_NPV_Engine!I99-FullReduced_LH_NPV_Engine!I96</f>
        <v>10487.5547053013</v>
      </c>
      <c r="I8" s="69" t="n">
        <f aca="false">FullReduced_LH_NPV_Engine!I114-FullReduced_LH_NPV_Engine!I111</f>
        <v>-9230.24145971239</v>
      </c>
      <c r="J8" s="69" t="n">
        <f aca="false">FullReduced_LH_NPV_Engine!I129-FullReduced_LH_NPV_Engine!I126</f>
        <v>-13995.8398313727</v>
      </c>
      <c r="K8" s="69" t="n">
        <f aca="false">FullReduced_LH_NPV_Engine!I144-FullReduced_LH_NPV_Engine!I141</f>
        <v>5194.93692195602</v>
      </c>
      <c r="L8" s="69" t="n">
        <f aca="false">FullReduced_LH_NPV_Engine!I159-FullReduced_LH_NPV_Engine!I156</f>
        <v>13456.7121459693</v>
      </c>
      <c r="M8" s="69" t="n">
        <f aca="false">FullReduced_LH_NPV_Engine!I174-FullReduced_LH_NPV_Engine!I171</f>
        <v>10487.5547053013</v>
      </c>
    </row>
    <row r="9" customFormat="false" ht="15" hidden="false" customHeight="false" outlineLevel="0" collapsed="false">
      <c r="A9" s="63" t="s">
        <v>120</v>
      </c>
      <c r="B9" s="69" t="n">
        <f aca="false">FullReduced_LH_NPV_Engine!I10-FullReduced_LH_NPV_Engine!I6</f>
        <v>-21955.9992691297</v>
      </c>
      <c r="C9" s="69" t="n">
        <f aca="false">FullReduced_LH_NPV_Engine!I25-FullReduced_LH_NPV_Engine!I21</f>
        <v>-21955.9992691297</v>
      </c>
      <c r="D9" s="69" t="n">
        <f aca="false">FullReduced_LH_NPV_Engine!I40-FullReduced_LH_NPV_Engine!I36</f>
        <v>-9246.39597023651</v>
      </c>
      <c r="E9" s="69" t="n">
        <f aca="false">FullReduced_LH_NPV_Engine!I55-FullReduced_LH_NPV_Engine!I51</f>
        <v>11479.1339987032</v>
      </c>
      <c r="F9" s="69" t="n">
        <f aca="false">FullReduced_LH_NPV_Engine!I70-FullReduced_LH_NPV_Engine!I66</f>
        <v>17369.4081421196</v>
      </c>
      <c r="G9" s="69" t="n">
        <f aca="false">FullReduced_LH_NPV_Engine!I85-FullReduced_LH_NPV_Engine!I81</f>
        <v>17369.4081421196</v>
      </c>
      <c r="H9" s="69" t="n">
        <f aca="false">FullReduced_LH_NPV_Engine!I100-FullReduced_LH_NPV_Engine!I96</f>
        <v>17369.4081421196</v>
      </c>
      <c r="I9" s="69" t="n">
        <f aca="false">FullReduced_LH_NPV_Engine!I115-FullReduced_LH_NPV_Engine!I111</f>
        <v>-9927.61678853072</v>
      </c>
      <c r="J9" s="69" t="n">
        <f aca="false">FullReduced_LH_NPV_Engine!I130-FullReduced_LH_NPV_Engine!I126</f>
        <v>-20419.868808629</v>
      </c>
      <c r="K9" s="69" t="n">
        <f aca="false">FullReduced_LH_NPV_Engine!I145-FullReduced_LH_NPV_Engine!I141</f>
        <v>-4626.30237273872</v>
      </c>
      <c r="L9" s="69" t="n">
        <f aca="false">FullReduced_LH_NPV_Engine!I160-FullReduced_LH_NPV_Engine!I156</f>
        <v>8106.28845559992</v>
      </c>
      <c r="M9" s="69" t="n">
        <f aca="false">FullReduced_LH_NPV_Engine!I175-FullReduced_LH_NPV_Engine!I171</f>
        <v>17369.4081421196</v>
      </c>
    </row>
    <row r="10" customFormat="false" ht="15" hidden="false" customHeight="false" outlineLevel="0" collapsed="false">
      <c r="A10" s="63" t="s">
        <v>121</v>
      </c>
      <c r="B10" s="69" t="n">
        <f aca="false">FullReduced_LH_NPV_Engine!I11-FullReduced_LH_NPV_Engine!I6</f>
        <v>-19848.2141159158</v>
      </c>
      <c r="C10" s="69" t="n">
        <f aca="false">FullReduced_LH_NPV_Engine!I26-FullReduced_LH_NPV_Engine!I21</f>
        <v>-19848.2141159158</v>
      </c>
      <c r="D10" s="69" t="n">
        <f aca="false">FullReduced_LH_NPV_Engine!I41-FullReduced_LH_NPV_Engine!I36</f>
        <v>-9355.76857875288</v>
      </c>
      <c r="E10" s="69" t="n">
        <f aca="false">FullReduced_LH_NPV_Engine!I56-FullReduced_LH_NPV_Engine!I51</f>
        <v>2190.9491064772</v>
      </c>
      <c r="F10" s="69" t="n">
        <f aca="false">FullReduced_LH_NPV_Engine!I71-FullReduced_LH_NPV_Engine!I66</f>
        <v>15730.9150480721</v>
      </c>
      <c r="G10" s="69" t="n">
        <f aca="false">FullReduced_LH_NPV_Engine!I86-FullReduced_LH_NPV_Engine!I81</f>
        <v>15730.9150480721</v>
      </c>
      <c r="H10" s="69" t="n">
        <f aca="false">FullReduced_LH_NPV_Engine!I101-FullReduced_LH_NPV_Engine!I96</f>
        <v>15730.9150480721</v>
      </c>
      <c r="I10" s="69" t="n">
        <f aca="false">FullReduced_LH_NPV_Engine!I116-FullReduced_LH_NPV_Engine!I111</f>
        <v>-4894.17334497534</v>
      </c>
      <c r="J10" s="69" t="n">
        <f aca="false">FullReduced_LH_NPV_Engine!I131-FullReduced_LH_NPV_Engine!I126</f>
        <v>-22546.9656176176</v>
      </c>
      <c r="K10" s="69" t="n">
        <f aca="false">FullReduced_LH_NPV_Engine!I146-FullReduced_LH_NPV_Engine!I141</f>
        <v>-4149.81159328856</v>
      </c>
      <c r="L10" s="69" t="n">
        <f aca="false">FullReduced_LH_NPV_Engine!I161-FullReduced_LH_NPV_Engine!I156</f>
        <v>6359.82117797434</v>
      </c>
      <c r="M10" s="69" t="n">
        <f aca="false">FullReduced_LH_NPV_Engine!I176-FullReduced_LH_NPV_Engine!I171</f>
        <v>15730.9150480721</v>
      </c>
    </row>
    <row r="11" customFormat="false" ht="15" hidden="false" customHeight="false" outlineLevel="0" collapsed="false">
      <c r="A11" s="63" t="s">
        <v>122</v>
      </c>
      <c r="B11" s="69" t="n">
        <f aca="false">FullReduced_LH_NPV_Engine!I12-FullReduced_LH_NPV_Engine!I6</f>
        <v>-13097.5999094713</v>
      </c>
      <c r="C11" s="69" t="n">
        <f aca="false">FullReduced_LH_NPV_Engine!I27-FullReduced_LH_NPV_Engine!I21</f>
        <v>-13097.5999094713</v>
      </c>
      <c r="D11" s="69" t="n">
        <f aca="false">FullReduced_LH_NPV_Engine!I42-FullReduced_LH_NPV_Engine!I36</f>
        <v>-10804.7625937387</v>
      </c>
      <c r="E11" s="69" t="n">
        <f aca="false">FullReduced_LH_NPV_Engine!I57-FullReduced_LH_NPV_Engine!I51</f>
        <v>22964.7372643314</v>
      </c>
      <c r="F11" s="69" t="n">
        <f aca="false">FullReduced_LH_NPV_Engine!I72-FullReduced_LH_NPV_Engine!I66</f>
        <v>24578.4552248474</v>
      </c>
      <c r="G11" s="69" t="n">
        <f aca="false">FullReduced_LH_NPV_Engine!I87-FullReduced_LH_NPV_Engine!I81</f>
        <v>24578.4552248474</v>
      </c>
      <c r="H11" s="69" t="n">
        <f aca="false">FullReduced_LH_NPV_Engine!I102-FullReduced_LH_NPV_Engine!I96</f>
        <v>24578.4552248474</v>
      </c>
      <c r="I11" s="69" t="n">
        <f aca="false">FullReduced_LH_NPV_Engine!I117-FullReduced_LH_NPV_Engine!I111</f>
        <v>-5554.45204625651</v>
      </c>
      <c r="J11" s="69" t="n">
        <f aca="false">FullReduced_LH_NPV_Engine!I132-FullReduced_LH_NPV_Engine!I126</f>
        <v>4275.67594102584</v>
      </c>
      <c r="K11" s="69" t="n">
        <f aca="false">FullReduced_LH_NPV_Engine!I147-FullReduced_LH_NPV_Engine!I141</f>
        <v>11447.3339587301</v>
      </c>
      <c r="L11" s="69" t="n">
        <f aca="false">FullReduced_LH_NPV_Engine!I162-FullReduced_LH_NPV_Engine!I156</f>
        <v>13746.0394501556</v>
      </c>
      <c r="M11" s="69" t="n">
        <f aca="false">FullReduced_LH_NPV_Engine!I177-FullReduced_LH_NPV_Engine!I171</f>
        <v>24578.4552248474</v>
      </c>
    </row>
    <row r="12" customFormat="false" ht="15" hidden="false" customHeight="false" outlineLevel="0" collapsed="false">
      <c r="A12" s="63" t="s">
        <v>123</v>
      </c>
      <c r="B12" s="69" t="n">
        <f aca="false">FullReduced_LH_NPV_Engine!I13-FullReduced_LH_NPV_Engine!I6</f>
        <v>-28164.667918792</v>
      </c>
      <c r="C12" s="69" t="n">
        <f aca="false">FullReduced_LH_NPV_Engine!I28-FullReduced_LH_NPV_Engine!I21</f>
        <v>-28164.667918792</v>
      </c>
      <c r="D12" s="69" t="n">
        <f aca="false">FullReduced_LH_NPV_Engine!I43-FullReduced_LH_NPV_Engine!I36</f>
        <v>-11438.2591947764</v>
      </c>
      <c r="E12" s="69" t="n">
        <f aca="false">FullReduced_LH_NPV_Engine!I58-FullReduced_LH_NPV_Engine!I51</f>
        <v>3571.34552059323</v>
      </c>
      <c r="F12" s="69" t="n">
        <f aca="false">FullReduced_LH_NPV_Engine!I73-FullReduced_LH_NPV_Engine!I66</f>
        <v>19990.9406225067</v>
      </c>
      <c r="G12" s="69" t="n">
        <f aca="false">FullReduced_LH_NPV_Engine!I88-FullReduced_LH_NPV_Engine!I81</f>
        <v>19990.9406225067</v>
      </c>
      <c r="H12" s="69" t="n">
        <f aca="false">FullReduced_LH_NPV_Engine!I103-FullReduced_LH_NPV_Engine!I96</f>
        <v>19990.9406225067</v>
      </c>
      <c r="I12" s="69" t="n">
        <f aca="false">FullReduced_LH_NPV_Engine!I118-FullReduced_LH_NPV_Engine!I111</f>
        <v>-13730.2859590966</v>
      </c>
      <c r="J12" s="69" t="n">
        <f aca="false">FullReduced_LH_NPV_Engine!I133-FullReduced_LH_NPV_Engine!I126</f>
        <v>-38298.9054849744</v>
      </c>
      <c r="K12" s="69" t="n">
        <f aca="false">FullReduced_LH_NPV_Engine!I148-FullReduced_LH_NPV_Engine!I141</f>
        <v>-8232.35638544895</v>
      </c>
      <c r="L12" s="69" t="n">
        <f aca="false">FullReduced_LH_NPV_Engine!I163-FullReduced_LH_NPV_Engine!I156</f>
        <v>8528.87093153782</v>
      </c>
      <c r="M12" s="69" t="n">
        <f aca="false">FullReduced_LH_NPV_Engine!I178-FullReduced_LH_NPV_Engine!I171</f>
        <v>19990.9406225067</v>
      </c>
    </row>
    <row r="13" customFormat="false" ht="15" hidden="false" customHeight="false" outlineLevel="0" collapsed="false">
      <c r="A13" s="63" t="s">
        <v>124</v>
      </c>
      <c r="B13" s="69" t="n">
        <f aca="false">FullReduced_LH_NPV_Engine!I14-FullReduced_LH_NPV_Engine!I6</f>
        <v>-31333.5162067972</v>
      </c>
      <c r="C13" s="69" t="n">
        <f aca="false">FullReduced_LH_NPV_Engine!I29-FullReduced_LH_NPV_Engine!I21</f>
        <v>-31333.5162067972</v>
      </c>
      <c r="D13" s="69" t="n">
        <f aca="false">FullReduced_LH_NPV_Engine!I44-FullReduced_LH_NPV_Engine!I36</f>
        <v>-12694.5112911034</v>
      </c>
      <c r="E13" s="69" t="n">
        <f aca="false">FullReduced_LH_NPV_Engine!I59-FullReduced_LH_NPV_Engine!I51</f>
        <v>19722.63969055</v>
      </c>
      <c r="F13" s="69" t="n">
        <f aca="false">FullReduced_LH_NPV_Engine!I74-FullReduced_LH_NPV_Engine!I66</f>
        <v>26872.1327077188</v>
      </c>
      <c r="G13" s="69" t="n">
        <f aca="false">FullReduced_LH_NPV_Engine!I89-FullReduced_LH_NPV_Engine!I81</f>
        <v>26872.1327077188</v>
      </c>
      <c r="H13" s="69" t="n">
        <f aca="false">FullReduced_LH_NPV_Engine!I104-FullReduced_LH_NPV_Engine!I96</f>
        <v>26872.1327077188</v>
      </c>
      <c r="I13" s="69" t="n">
        <f aca="false">FullReduced_LH_NPV_Engine!I119-FullReduced_LH_NPV_Engine!I111</f>
        <v>-6271.41420589946</v>
      </c>
      <c r="J13" s="69" t="n">
        <f aca="false">FullReduced_LH_NPV_Engine!I134-FullReduced_LH_NPV_Engine!I126</f>
        <v>-17939.016449105</v>
      </c>
      <c r="K13" s="69" t="n">
        <f aca="false">FullReduced_LH_NPV_Engine!I149-FullReduced_LH_NPV_Engine!I141</f>
        <v>-4549.0606748946</v>
      </c>
      <c r="L13" s="69" t="n">
        <f aca="false">FullReduced_LH_NPV_Engine!I164-FullReduced_LH_NPV_Engine!I156</f>
        <v>14142.0997441988</v>
      </c>
      <c r="M13" s="69" t="n">
        <f aca="false">FullReduced_LH_NPV_Engine!I179-FullReduced_LH_NPV_Engine!I171</f>
        <v>26872.1327077188</v>
      </c>
    </row>
    <row r="14" customFormat="false" ht="15" hidden="false" customHeight="false" outlineLevel="0" collapsed="false">
      <c r="A14" s="63" t="s">
        <v>125</v>
      </c>
      <c r="B14" s="69" t="n">
        <f aca="false">FullReduced_LH_NPV_Engine!I15-FullReduced_LH_NPV_Engine!I6</f>
        <v>-33199.6407282073</v>
      </c>
      <c r="C14" s="69" t="n">
        <f aca="false">FullReduced_LH_NPV_Engine!I30-FullReduced_LH_NPV_Engine!I21</f>
        <v>-33199.6407282073</v>
      </c>
      <c r="D14" s="69" t="n">
        <f aca="false">FullReduced_LH_NPV_Engine!I45-FullReduced_LH_NPV_Engine!I36</f>
        <v>-13327.4026729316</v>
      </c>
      <c r="E14" s="69" t="n">
        <f aca="false">FullReduced_LH_NPV_Engine!I60-FullReduced_LH_NPV_Engine!I51</f>
        <v>10851.9901075866</v>
      </c>
      <c r="F14" s="69" t="n">
        <f aca="false">FullReduced_LH_NPV_Engine!I75-FullReduced_LH_NPV_Engine!I66</f>
        <v>30148.7225192338</v>
      </c>
      <c r="G14" s="69" t="n">
        <f aca="false">FullReduced_LH_NPV_Engine!I90-FullReduced_LH_NPV_Engine!I81</f>
        <v>30148.7225192338</v>
      </c>
      <c r="H14" s="69" t="n">
        <f aca="false">FullReduced_LH_NPV_Engine!I105-FullReduced_LH_NPV_Engine!I96</f>
        <v>30148.7225192338</v>
      </c>
      <c r="I14" s="69" t="n">
        <f aca="false">FullReduced_LH_NPV_Engine!I120-FullReduced_LH_NPV_Engine!I111</f>
        <v>2086.080002198</v>
      </c>
      <c r="J14" s="69" t="n">
        <f aca="false">FullReduced_LH_NPV_Engine!I135-FullReduced_LH_NPV_Engine!I126</f>
        <v>-20303.9493284617</v>
      </c>
      <c r="K14" s="69" t="n">
        <f aca="false">FullReduced_LH_NPV_Engine!I150-FullReduced_LH_NPV_Engine!I141</f>
        <v>-3155.14457160421</v>
      </c>
      <c r="L14" s="69" t="n">
        <f aca="false">FullReduced_LH_NPV_Engine!I165-FullReduced_LH_NPV_Engine!I156</f>
        <v>16779.4800349828</v>
      </c>
      <c r="M14" s="69" t="n">
        <f aca="false">FullReduced_LH_NPV_Engine!I180-FullReduced_LH_NPV_Engine!I171</f>
        <v>30148.7225192338</v>
      </c>
    </row>
    <row r="15" customFormat="false" ht="15" hidden="false" customHeight="false" outlineLevel="0" collapsed="false">
      <c r="A15" s="63" t="s">
        <v>126</v>
      </c>
      <c r="B15" s="69" t="n">
        <f aca="false">FullReduced_LH_NPV_Engine!I16-FullReduced_LH_NPV_Engine!I6</f>
        <v>-26875.7320251837</v>
      </c>
      <c r="C15" s="69" t="n">
        <f aca="false">FullReduced_LH_NPV_Engine!I31-FullReduced_LH_NPV_Engine!I21</f>
        <v>-26875.7320251837</v>
      </c>
      <c r="D15" s="69" t="n">
        <f aca="false">FullReduced_LH_NPV_Engine!I46-FullReduced_LH_NPV_Engine!I36</f>
        <v>-6336.86540906504</v>
      </c>
      <c r="E15" s="69" t="n">
        <f aca="false">FullReduced_LH_NPV_Engine!I61-FullReduced_LH_NPV_Engine!I51</f>
        <v>19169.1823462714</v>
      </c>
      <c r="F15" s="69" t="n">
        <f aca="false">FullReduced_LH_NPV_Engine!I76-FullReduced_LH_NPV_Engine!I66</f>
        <v>27527.4593577273</v>
      </c>
      <c r="G15" s="69" t="n">
        <f aca="false">FullReduced_LH_NPV_Engine!I91-FullReduced_LH_NPV_Engine!I81</f>
        <v>27527.4593577273</v>
      </c>
      <c r="H15" s="69" t="n">
        <f aca="false">FullReduced_LH_NPV_Engine!I106-FullReduced_LH_NPV_Engine!I96</f>
        <v>27527.4593577273</v>
      </c>
      <c r="I15" s="69" t="n">
        <f aca="false">FullReduced_LH_NPV_Engine!I121-FullReduced_LH_NPV_Engine!I111</f>
        <v>-16543.4125047084</v>
      </c>
      <c r="J15" s="69" t="n">
        <f aca="false">FullReduced_LH_NPV_Engine!I136-FullReduced_LH_NPV_Engine!I126</f>
        <v>-24290.240205409</v>
      </c>
      <c r="K15" s="69" t="n">
        <f aca="false">FullReduced_LH_NPV_Engine!I151-FullReduced_LH_NPV_Engine!I141</f>
        <v>574.689915105701</v>
      </c>
      <c r="L15" s="69" t="n">
        <f aca="false">FullReduced_LH_NPV_Engine!I166-FullReduced_LH_NPV_Engine!I156</f>
        <v>21172.4297645092</v>
      </c>
      <c r="M15" s="69" t="n">
        <f aca="false">FullReduced_LH_NPV_Engine!I181-FullReduced_LH_NPV_Engine!I171</f>
        <v>27527.4593577273</v>
      </c>
    </row>
    <row r="17" customFormat="false" ht="15" hidden="false" customHeight="false" outlineLevel="0" collapsed="false">
      <c r="A17" s="59" t="s">
        <v>200</v>
      </c>
      <c r="B17" s="70" t="n">
        <f aca="false">MIN(B6:B15)</f>
        <v>-33199.6407282073</v>
      </c>
      <c r="C17" s="70" t="n">
        <f aca="false">MIN(C6:C15)</f>
        <v>-33199.6407282073</v>
      </c>
      <c r="D17" s="70" t="n">
        <f aca="false">MIN(D6:D15)</f>
        <v>-13327.4026729316</v>
      </c>
      <c r="E17" s="70" t="n">
        <f aca="false">MIN(E6:E15)</f>
        <v>-1471.19419524074</v>
      </c>
      <c r="F17" s="70" t="n">
        <f aca="false">MIN(F6:F15)</f>
        <v>8193.49713529833</v>
      </c>
      <c r="G17" s="70" t="n">
        <f aca="false">MIN(G6:G15)</f>
        <v>8193.49713529833</v>
      </c>
      <c r="H17" s="70" t="n">
        <f aca="false">MIN(H6:H15)</f>
        <v>8193.49713529833</v>
      </c>
      <c r="I17" s="70" t="n">
        <f aca="false">MIN(I6:I15)</f>
        <v>-16543.4125047084</v>
      </c>
      <c r="J17" s="70" t="n">
        <f aca="false">MIN(J6:J15)</f>
        <v>-38298.9054849744</v>
      </c>
      <c r="K17" s="70" t="n">
        <f aca="false">MIN(K6:K15)</f>
        <v>-8232.35638544895</v>
      </c>
      <c r="L17" s="70" t="n">
        <f aca="false">MIN(L6:L15)</f>
        <v>1466.97155668959</v>
      </c>
      <c r="M17" s="70" t="n">
        <f aca="false">MIN(M6:M15)</f>
        <v>8193.49713529833</v>
      </c>
    </row>
    <row r="18" customFormat="false" ht="15" hidden="false" customHeight="false" outlineLevel="0" collapsed="false">
      <c r="A18" s="59" t="s">
        <v>201</v>
      </c>
      <c r="B18" s="70" t="n">
        <f aca="false">MAX(B6:B15)</f>
        <v>-973.093121731654</v>
      </c>
      <c r="C18" s="70" t="n">
        <f aca="false">MAX(C6:C15)</f>
        <v>-973.093121731654</v>
      </c>
      <c r="D18" s="70" t="n">
        <f aca="false">MAX(D6:D15)</f>
        <v>2965.91845721751</v>
      </c>
      <c r="E18" s="70" t="n">
        <f aca="false">MAX(E6:E15)</f>
        <v>22964.7372643314</v>
      </c>
      <c r="F18" s="70" t="n">
        <f aca="false">MAX(F6:F15)</f>
        <v>30148.7225192338</v>
      </c>
      <c r="G18" s="70" t="n">
        <f aca="false">MAX(G6:G15)</f>
        <v>30148.7225192338</v>
      </c>
      <c r="H18" s="70" t="n">
        <f aca="false">MAX(H6:H15)</f>
        <v>30148.7225192338</v>
      </c>
      <c r="I18" s="70" t="n">
        <f aca="false">MAX(I6:I15)</f>
        <v>2086.080002198</v>
      </c>
      <c r="J18" s="70" t="n">
        <f aca="false">MAX(J6:J15)</f>
        <v>4275.67594102584</v>
      </c>
      <c r="K18" s="70" t="n">
        <f aca="false">MAX(K6:K15)</f>
        <v>11447.3339587301</v>
      </c>
      <c r="L18" s="70" t="n">
        <f aca="false">MAX(L6:L15)</f>
        <v>21172.4297645092</v>
      </c>
      <c r="M18" s="70" t="n">
        <f aca="false">MAX(M6:M15)</f>
        <v>30148.7225192338</v>
      </c>
    </row>
    <row r="19" customFormat="false" ht="15" hidden="false" customHeight="false" outlineLevel="0" collapsed="false">
      <c r="A19" s="59" t="s">
        <v>202</v>
      </c>
      <c r="B19" s="70" t="n">
        <f aca="false">SUMPRODUCT(SMALL($B$6:$B$15,{1,2,3,4,5,6}))/6</f>
        <v>-26896.2950440043</v>
      </c>
      <c r="C19" s="70" t="n">
        <f aca="false">SUMPRODUCT(SMALL($C$6:$C$15,{1,2,3,4,5,6}))/6</f>
        <v>-26896.2950440043</v>
      </c>
      <c r="D19" s="70" t="n">
        <f aca="false">SUMPRODUCT(SMALL($D$6:$D$15,{1,2,3,4,5,6}))/6</f>
        <v>-11144.5167169233</v>
      </c>
      <c r="E19" s="70" t="n">
        <f aca="false">SUMPRODUCT(SMALL($E$6:$E$15,{1,2,3,4,5,6}))/6</f>
        <v>3587.19262960491</v>
      </c>
      <c r="F19" s="70" t="n">
        <f aca="false">SUMPRODUCT(SMALL($F$6:$F$15,{1,2,3,4,5,6}))/6</f>
        <v>13491.4978057298</v>
      </c>
      <c r="G19" s="70" t="n">
        <f aca="false">SUMPRODUCT(SMALL($G$6:$G$15,{1,2,3,4,5,6}))/6</f>
        <v>13491.4978057298</v>
      </c>
      <c r="H19" s="70" t="n">
        <f aca="false">SUMPRODUCT(SMALL($H$6:$H$15,{1,2,3,4,5,6}))/6</f>
        <v>13491.4978057298</v>
      </c>
      <c r="I19" s="70" t="n">
        <f aca="false">SUMPRODUCT(SMALL($I$6:$I$15,{1,2,3,4,5,6}))/6</f>
        <v>-10538.9833706257</v>
      </c>
      <c r="J19" s="70" t="n">
        <f aca="false">SUMPRODUCT(SMALL($J$6:$J$15,{1,2,3,4,5,6}))/6</f>
        <v>-24730.3898190036</v>
      </c>
      <c r="K19" s="70" t="n">
        <f aca="false">SUMPRODUCT(SMALL($K$6:$K$15,{1,2,3,4,5,6}))/6</f>
        <v>-5032.86164114283</v>
      </c>
      <c r="L19" s="70" t="n">
        <f aca="false">SUMPRODUCT(SMALL($L$6:$L$15,{1,2,3,4,5,6}))/6</f>
        <v>7441.20582685278</v>
      </c>
      <c r="M19" s="70" t="n">
        <f aca="false">SUMPRODUCT(SMALL($M$6:$M$15,{1,2,3,4,5,6}))/6</f>
        <v>13491.4978057298</v>
      </c>
    </row>
    <row r="22" customFormat="false" ht="15" hidden="false" customHeight="false" outlineLevel="0" collapsed="false">
      <c r="A22" s="66" t="s">
        <v>326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23" customFormat="false" ht="26.85" hidden="false" customHeight="false" outlineLevel="0" collapsed="false">
      <c r="A23" s="68" t="s">
        <v>146</v>
      </c>
      <c r="B23" s="22" t="s">
        <v>228</v>
      </c>
      <c r="C23" s="22" t="s">
        <v>229</v>
      </c>
      <c r="D23" s="22" t="s">
        <v>230</v>
      </c>
      <c r="E23" s="22" t="s">
        <v>231</v>
      </c>
      <c r="F23" s="22" t="s">
        <v>232</v>
      </c>
      <c r="G23" s="22" t="s">
        <v>233</v>
      </c>
      <c r="H23" s="22" t="s">
        <v>234</v>
      </c>
      <c r="I23" s="22" t="s">
        <v>235</v>
      </c>
      <c r="J23" s="22" t="s">
        <v>236</v>
      </c>
      <c r="K23" s="22" t="s">
        <v>237</v>
      </c>
      <c r="L23" s="22" t="s">
        <v>238</v>
      </c>
      <c r="M23" s="22" t="s">
        <v>239</v>
      </c>
    </row>
    <row r="24" customFormat="false" ht="15" hidden="false" customHeight="false" outlineLevel="0" collapsed="false">
      <c r="A24" s="63" t="s">
        <v>117</v>
      </c>
      <c r="B24" s="69" t="n">
        <f aca="false">FullReduced_LH_NPV_Engine!I187-FullReduced_LH_NPV_Engine!I186</f>
        <v>-5926.02951589599</v>
      </c>
      <c r="C24" s="69" t="n">
        <f aca="false">FullReduced_LH_NPV_Engine!I202-FullReduced_LH_NPV_Engine!I201</f>
        <v>-5926.02951589599</v>
      </c>
      <c r="D24" s="69" t="n">
        <f aca="false">FullReduced_LH_NPV_Engine!I217-FullReduced_LH_NPV_Engine!I216</f>
        <v>-2445.76340065151</v>
      </c>
      <c r="E24" s="69" t="n">
        <f aca="false">FullReduced_LH_NPV_Engine!I232-FullReduced_LH_NPV_Engine!I231</f>
        <v>9176.671181079</v>
      </c>
      <c r="F24" s="69" t="n">
        <f aca="false">FullReduced_LH_NPV_Engine!I247-FullReduced_LH_NPV_Engine!I246</f>
        <v>9176.67118108086</v>
      </c>
      <c r="G24" s="69" t="n">
        <f aca="false">FullReduced_LH_NPV_Engine!I262-FullReduced_LH_NPV_Engine!I261</f>
        <v>9176.67118108086</v>
      </c>
      <c r="H24" s="69" t="n">
        <f aca="false">FullReduced_LH_NPV_Engine!I277-FullReduced_LH_NPV_Engine!I276</f>
        <v>9176.67118108086</v>
      </c>
      <c r="I24" s="69" t="n">
        <f aca="false">FullReduced_LH_NPV_Engine!I292-FullReduced_LH_NPV_Engine!I291</f>
        <v>-6403.70543263294</v>
      </c>
      <c r="J24" s="69" t="n">
        <f aca="false">FullReduced_LH_NPV_Engine!I307-FullReduced_LH_NPV_Engine!I306</f>
        <v>-3160.89028366469</v>
      </c>
      <c r="K24" s="69" t="n">
        <f aca="false">FullReduced_LH_NPV_Engine!I322-FullReduced_LH_NPV_Engine!I321</f>
        <v>3244.97895593382</v>
      </c>
      <c r="L24" s="69" t="n">
        <f aca="false">FullReduced_LH_NPV_Engine!I337-FullReduced_LH_NPV_Engine!I336</f>
        <v>6728.57069334574</v>
      </c>
      <c r="M24" s="69" t="n">
        <f aca="false">FullReduced_LH_NPV_Engine!I352-FullReduced_LH_NPV_Engine!I351</f>
        <v>9176.67118108086</v>
      </c>
    </row>
    <row r="25" customFormat="false" ht="15" hidden="false" customHeight="false" outlineLevel="0" collapsed="false">
      <c r="A25" s="63" t="s">
        <v>118</v>
      </c>
      <c r="B25" s="69" t="n">
        <f aca="false">FullReduced_LH_NPV_Engine!I188-FullReduced_LH_NPV_Engine!I186</f>
        <v>-8266.42886774801</v>
      </c>
      <c r="C25" s="69" t="n">
        <f aca="false">FullReduced_LH_NPV_Engine!I203-FullReduced_LH_NPV_Engine!I201</f>
        <v>-8266.42886774801</v>
      </c>
      <c r="D25" s="69" t="n">
        <f aca="false">FullReduced_LH_NPV_Engine!I218-FullReduced_LH_NPV_Engine!I216</f>
        <v>-6720.79148193635</v>
      </c>
      <c r="E25" s="69" t="n">
        <f aca="false">FullReduced_LH_NPV_Engine!I233-FullReduced_LH_NPV_Engine!I231</f>
        <v>8193.49713529833</v>
      </c>
      <c r="F25" s="69" t="n">
        <f aca="false">FullReduced_LH_NPV_Engine!I248-FullReduced_LH_NPV_Engine!I246</f>
        <v>8193.49713529833</v>
      </c>
      <c r="G25" s="69" t="n">
        <f aca="false">FullReduced_LH_NPV_Engine!I263-FullReduced_LH_NPV_Engine!I261</f>
        <v>8193.49713529833</v>
      </c>
      <c r="H25" s="69" t="n">
        <f aca="false">FullReduced_LH_NPV_Engine!I278-FullReduced_LH_NPV_Engine!I276</f>
        <v>8193.49713529833</v>
      </c>
      <c r="I25" s="69" t="n">
        <f aca="false">FullReduced_LH_NPV_Engine!I293-FullReduced_LH_NPV_Engine!I291</f>
        <v>-7398.63807907328</v>
      </c>
      <c r="J25" s="69" t="n">
        <f aca="false">FullReduced_LH_NPV_Engine!I308-FullReduced_LH_NPV_Engine!I306</f>
        <v>-7478.56100538373</v>
      </c>
      <c r="K25" s="69" t="n">
        <f aca="false">FullReduced_LH_NPV_Engine!I323-FullReduced_LH_NPV_Engine!I321</f>
        <v>-79.9845479372889</v>
      </c>
      <c r="L25" s="69" t="n">
        <f aca="false">FullReduced_LH_NPV_Engine!I338-FullReduced_LH_NPV_Engine!I336</f>
        <v>1466.97155668959</v>
      </c>
      <c r="M25" s="69" t="n">
        <f aca="false">FullReduced_LH_NPV_Engine!I353-FullReduced_LH_NPV_Engine!I351</f>
        <v>8193.49713529833</v>
      </c>
    </row>
    <row r="26" customFormat="false" ht="15" hidden="false" customHeight="false" outlineLevel="0" collapsed="false">
      <c r="A26" s="63" t="s">
        <v>119</v>
      </c>
      <c r="B26" s="69" t="n">
        <f aca="false">FullReduced_LH_NPV_Engine!I189-FullReduced_LH_NPV_Engine!I186</f>
        <v>-2139.41530350037</v>
      </c>
      <c r="C26" s="69" t="n">
        <f aca="false">FullReduced_LH_NPV_Engine!I204-FullReduced_LH_NPV_Engine!I201</f>
        <v>-2139.41530350037</v>
      </c>
      <c r="D26" s="69" t="n">
        <f aca="false">FullReduced_LH_NPV_Engine!I219-FullReduced_LH_NPV_Engine!I216</f>
        <v>2965.91845721751</v>
      </c>
      <c r="E26" s="69" t="n">
        <f aca="false">FullReduced_LH_NPV_Engine!I234-FullReduced_LH_NPV_Engine!I231</f>
        <v>10487.5547053013</v>
      </c>
      <c r="F26" s="69" t="n">
        <f aca="false">FullReduced_LH_NPV_Engine!I249-FullReduced_LH_NPV_Engine!I246</f>
        <v>10487.5547053013</v>
      </c>
      <c r="G26" s="69" t="n">
        <f aca="false">FullReduced_LH_NPV_Engine!I264-FullReduced_LH_NPV_Engine!I261</f>
        <v>10487.5547053013</v>
      </c>
      <c r="H26" s="69" t="n">
        <f aca="false">FullReduced_LH_NPV_Engine!I279-FullReduced_LH_NPV_Engine!I276</f>
        <v>10487.5547053013</v>
      </c>
      <c r="I26" s="69" t="n">
        <f aca="false">FullReduced_LH_NPV_Engine!I294-FullReduced_LH_NPV_Engine!I291</f>
        <v>-9230.24145971239</v>
      </c>
      <c r="J26" s="69" t="n">
        <f aca="false">FullReduced_LH_NPV_Engine!I309-FullReduced_LH_NPV_Engine!I306</f>
        <v>-892.459960436449</v>
      </c>
      <c r="K26" s="69" t="n">
        <f aca="false">FullReduced_LH_NPV_Engine!I324-FullReduced_LH_NPV_Engine!I321</f>
        <v>8345.80301566608</v>
      </c>
      <c r="L26" s="69" t="n">
        <f aca="false">FullReduced_LH_NPV_Engine!I339-FullReduced_LH_NPV_Engine!I336</f>
        <v>13456.7121459693</v>
      </c>
      <c r="M26" s="69" t="n">
        <f aca="false">FullReduced_LH_NPV_Engine!I354-FullReduced_LH_NPV_Engine!I351</f>
        <v>10487.5547053013</v>
      </c>
    </row>
    <row r="27" customFormat="false" ht="15" hidden="false" customHeight="false" outlineLevel="0" collapsed="false">
      <c r="A27" s="63" t="s">
        <v>120</v>
      </c>
      <c r="B27" s="69" t="n">
        <f aca="false">FullReduced_LH_NPV_Engine!I190-FullReduced_LH_NPV_Engine!I186</f>
        <v>-14819.8970080186</v>
      </c>
      <c r="C27" s="69" t="n">
        <f aca="false">FullReduced_LH_NPV_Engine!I205-FullReduced_LH_NPV_Engine!I201</f>
        <v>-14819.8970080186</v>
      </c>
      <c r="D27" s="69" t="n">
        <f aca="false">FullReduced_LH_NPV_Engine!I220-FullReduced_LH_NPV_Engine!I216</f>
        <v>-9246.39597023651</v>
      </c>
      <c r="E27" s="69" t="n">
        <f aca="false">FullReduced_LH_NPV_Engine!I235-FullReduced_LH_NPV_Engine!I231</f>
        <v>17369.4081421178</v>
      </c>
      <c r="F27" s="69" t="n">
        <f aca="false">FullReduced_LH_NPV_Engine!I250-FullReduced_LH_NPV_Engine!I246</f>
        <v>17369.4081421196</v>
      </c>
      <c r="G27" s="69" t="n">
        <f aca="false">FullReduced_LH_NPV_Engine!I265-FullReduced_LH_NPV_Engine!I261</f>
        <v>17369.4081421196</v>
      </c>
      <c r="H27" s="69" t="n">
        <f aca="false">FullReduced_LH_NPV_Engine!I280-FullReduced_LH_NPV_Engine!I276</f>
        <v>17369.4081421196</v>
      </c>
      <c r="I27" s="69" t="n">
        <f aca="false">FullReduced_LH_NPV_Engine!I295-FullReduced_LH_NPV_Engine!I291</f>
        <v>-9927.61678853072</v>
      </c>
      <c r="J27" s="69" t="n">
        <f aca="false">FullReduced_LH_NPV_Engine!I310-FullReduced_LH_NPV_Engine!I306</f>
        <v>-7407.51789404824</v>
      </c>
      <c r="K27" s="69" t="n">
        <f aca="false">FullReduced_LH_NPV_Engine!I325-FullReduced_LH_NPV_Engine!I321</f>
        <v>2522.70677122101</v>
      </c>
      <c r="L27" s="69" t="n">
        <f aca="false">FullReduced_LH_NPV_Engine!I340-FullReduced_LH_NPV_Engine!I336</f>
        <v>8106.28845559992</v>
      </c>
      <c r="M27" s="69" t="n">
        <f aca="false">FullReduced_LH_NPV_Engine!I355-FullReduced_LH_NPV_Engine!I351</f>
        <v>17369.4081421196</v>
      </c>
    </row>
    <row r="28" customFormat="false" ht="15" hidden="false" customHeight="false" outlineLevel="0" collapsed="false">
      <c r="A28" s="63" t="s">
        <v>121</v>
      </c>
      <c r="B28" s="69" t="n">
        <f aca="false">FullReduced_LH_NPV_Engine!I191-FullReduced_LH_NPV_Engine!I186</f>
        <v>-12090.4311299082</v>
      </c>
      <c r="C28" s="69" t="n">
        <f aca="false">FullReduced_LH_NPV_Engine!I206-FullReduced_LH_NPV_Engine!I201</f>
        <v>-12090.4311299082</v>
      </c>
      <c r="D28" s="69" t="n">
        <f aca="false">FullReduced_LH_NPV_Engine!I221-FullReduced_LH_NPV_Engine!I216</f>
        <v>-9355.76857875288</v>
      </c>
      <c r="E28" s="69" t="n">
        <f aca="false">FullReduced_LH_NPV_Engine!I236-FullReduced_LH_NPV_Engine!I231</f>
        <v>15730.9150480703</v>
      </c>
      <c r="F28" s="69" t="n">
        <f aca="false">FullReduced_LH_NPV_Engine!I251-FullReduced_LH_NPV_Engine!I246</f>
        <v>15730.9150480721</v>
      </c>
      <c r="G28" s="69" t="n">
        <f aca="false">FullReduced_LH_NPV_Engine!I266-FullReduced_LH_NPV_Engine!I261</f>
        <v>15730.9150480721</v>
      </c>
      <c r="H28" s="69" t="n">
        <f aca="false">FullReduced_LH_NPV_Engine!I281-FullReduced_LH_NPV_Engine!I276</f>
        <v>15730.9150480721</v>
      </c>
      <c r="I28" s="69" t="n">
        <f aca="false">FullReduced_LH_NPV_Engine!I296-FullReduced_LH_NPV_Engine!I291</f>
        <v>-4894.17334497534</v>
      </c>
      <c r="J28" s="69" t="n">
        <f aca="false">FullReduced_LH_NPV_Engine!I311-FullReduced_LH_NPV_Engine!I306</f>
        <v>-1275.33945913613</v>
      </c>
      <c r="K28" s="69" t="n">
        <f aca="false">FullReduced_LH_NPV_Engine!I326-FullReduced_LH_NPV_Engine!I321</f>
        <v>3620.67909101583</v>
      </c>
      <c r="L28" s="69" t="n">
        <f aca="false">FullReduced_LH_NPV_Engine!I341-FullReduced_LH_NPV_Engine!I336</f>
        <v>6359.82117797434</v>
      </c>
      <c r="M28" s="69" t="n">
        <f aca="false">FullReduced_LH_NPV_Engine!I356-FullReduced_LH_NPV_Engine!I351</f>
        <v>15730.9150480721</v>
      </c>
    </row>
    <row r="29" customFormat="false" ht="15" hidden="false" customHeight="false" outlineLevel="0" collapsed="false">
      <c r="A29" s="63" t="s">
        <v>122</v>
      </c>
      <c r="B29" s="69" t="n">
        <f aca="false">FullReduced_LH_NPV_Engine!I192-FullReduced_LH_NPV_Engine!I186</f>
        <v>-11968.0071792994</v>
      </c>
      <c r="C29" s="69" t="n">
        <f aca="false">FullReduced_LH_NPV_Engine!I207-FullReduced_LH_NPV_Engine!I201</f>
        <v>-11968.0071792994</v>
      </c>
      <c r="D29" s="69" t="n">
        <f aca="false">FullReduced_LH_NPV_Engine!I222-FullReduced_LH_NPV_Engine!I216</f>
        <v>-10804.7625937387</v>
      </c>
      <c r="E29" s="69" t="n">
        <f aca="false">FullReduced_LH_NPV_Engine!I237-FullReduced_LH_NPV_Engine!I231</f>
        <v>24578.4552248456</v>
      </c>
      <c r="F29" s="69" t="n">
        <f aca="false">FullReduced_LH_NPV_Engine!I252-FullReduced_LH_NPV_Engine!I246</f>
        <v>24578.4552248474</v>
      </c>
      <c r="G29" s="69" t="n">
        <f aca="false">FullReduced_LH_NPV_Engine!I267-FullReduced_LH_NPV_Engine!I261</f>
        <v>24578.4552248474</v>
      </c>
      <c r="H29" s="69" t="n">
        <f aca="false">FullReduced_LH_NPV_Engine!I282-FullReduced_LH_NPV_Engine!I276</f>
        <v>24578.4552248474</v>
      </c>
      <c r="I29" s="69" t="n">
        <f aca="false">FullReduced_LH_NPV_Engine!I297-FullReduced_LH_NPV_Engine!I291</f>
        <v>-5554.45204625651</v>
      </c>
      <c r="J29" s="69" t="n">
        <f aca="false">FullReduced_LH_NPV_Engine!I312-FullReduced_LH_NPV_Engine!I306</f>
        <v>7018.0896978192</v>
      </c>
      <c r="K29" s="69" t="n">
        <f aca="false">FullReduced_LH_NPV_Engine!I327-FullReduced_LH_NPV_Engine!I321</f>
        <v>12579.8177132923</v>
      </c>
      <c r="L29" s="69" t="n">
        <f aca="false">FullReduced_LH_NPV_Engine!I342-FullReduced_LH_NPV_Engine!I336</f>
        <v>13746.0394501556</v>
      </c>
      <c r="M29" s="69" t="n">
        <f aca="false">FullReduced_LH_NPV_Engine!I357-FullReduced_LH_NPV_Engine!I351</f>
        <v>24578.4552248474</v>
      </c>
    </row>
    <row r="30" customFormat="false" ht="15" hidden="false" customHeight="false" outlineLevel="0" collapsed="false">
      <c r="A30" s="63" t="s">
        <v>123</v>
      </c>
      <c r="B30" s="69" t="n">
        <f aca="false">FullReduced_LH_NPV_Engine!I193-FullReduced_LH_NPV_Engine!I186</f>
        <v>-18807.1679485701</v>
      </c>
      <c r="C30" s="69" t="n">
        <f aca="false">FullReduced_LH_NPV_Engine!I208-FullReduced_LH_NPV_Engine!I201</f>
        <v>-18807.1679485701</v>
      </c>
      <c r="D30" s="69" t="n">
        <f aca="false">FullReduced_LH_NPV_Engine!I223-FullReduced_LH_NPV_Engine!I216</f>
        <v>-11438.2591947764</v>
      </c>
      <c r="E30" s="69" t="n">
        <f aca="false">FullReduced_LH_NPV_Engine!I238-FullReduced_LH_NPV_Engine!I231</f>
        <v>19990.9406225067</v>
      </c>
      <c r="F30" s="69" t="n">
        <f aca="false">FullReduced_LH_NPV_Engine!I253-FullReduced_LH_NPV_Engine!I246</f>
        <v>19990.9406225067</v>
      </c>
      <c r="G30" s="69" t="n">
        <f aca="false">FullReduced_LH_NPV_Engine!I268-FullReduced_LH_NPV_Engine!I261</f>
        <v>19990.9406225067</v>
      </c>
      <c r="H30" s="69" t="n">
        <f aca="false">FullReduced_LH_NPV_Engine!I283-FullReduced_LH_NPV_Engine!I276</f>
        <v>19990.9406225067</v>
      </c>
      <c r="I30" s="69" t="n">
        <f aca="false">FullReduced_LH_NPV_Engine!I298-FullReduced_LH_NPV_Engine!I291</f>
        <v>-13730.2859590966</v>
      </c>
      <c r="J30" s="69" t="n">
        <f aca="false">FullReduced_LH_NPV_Engine!I313-FullReduced_LH_NPV_Engine!I306</f>
        <v>-12587.2998030689</v>
      </c>
      <c r="K30" s="69" t="n">
        <f aca="false">FullReduced_LH_NPV_Engine!I328-FullReduced_LH_NPV_Engine!I321</f>
        <v>1144.62266053259</v>
      </c>
      <c r="L30" s="69" t="n">
        <f aca="false">FullReduced_LH_NPV_Engine!I343-FullReduced_LH_NPV_Engine!I336</f>
        <v>8528.87093153782</v>
      </c>
      <c r="M30" s="69" t="n">
        <f aca="false">FullReduced_LH_NPV_Engine!I358-FullReduced_LH_NPV_Engine!I351</f>
        <v>19990.9406225067</v>
      </c>
    </row>
    <row r="31" customFormat="false" ht="15" hidden="false" customHeight="false" outlineLevel="0" collapsed="false">
      <c r="A31" s="63" t="s">
        <v>124</v>
      </c>
      <c r="B31" s="69" t="n">
        <f aca="false">FullReduced_LH_NPV_Engine!I194-FullReduced_LH_NPV_Engine!I186</f>
        <v>-20797.3258059993</v>
      </c>
      <c r="C31" s="69" t="n">
        <f aca="false">FullReduced_LH_NPV_Engine!I209-FullReduced_LH_NPV_Engine!I201</f>
        <v>-20797.3258059993</v>
      </c>
      <c r="D31" s="69" t="n">
        <f aca="false">FullReduced_LH_NPV_Engine!I224-FullReduced_LH_NPV_Engine!I216</f>
        <v>-12694.5112911034</v>
      </c>
      <c r="E31" s="69" t="n">
        <f aca="false">FullReduced_LH_NPV_Engine!I239-FullReduced_LH_NPV_Engine!I231</f>
        <v>26872.1327077169</v>
      </c>
      <c r="F31" s="69" t="n">
        <f aca="false">FullReduced_LH_NPV_Engine!I254-FullReduced_LH_NPV_Engine!I246</f>
        <v>26872.1327077188</v>
      </c>
      <c r="G31" s="69" t="n">
        <f aca="false">FullReduced_LH_NPV_Engine!I269-FullReduced_LH_NPV_Engine!I261</f>
        <v>26872.1327077188</v>
      </c>
      <c r="H31" s="69" t="n">
        <f aca="false">FullReduced_LH_NPV_Engine!I284-FullReduced_LH_NPV_Engine!I276</f>
        <v>26872.1327077188</v>
      </c>
      <c r="I31" s="69" t="n">
        <f aca="false">FullReduced_LH_NPV_Engine!I299-FullReduced_LH_NPV_Engine!I291</f>
        <v>-6271.41420589946</v>
      </c>
      <c r="J31" s="69" t="n">
        <f aca="false">FullReduced_LH_NPV_Engine!I314-FullReduced_LH_NPV_Engine!I306</f>
        <v>-258.731299763545</v>
      </c>
      <c r="K31" s="69" t="n">
        <f aca="false">FullReduced_LH_NPV_Engine!I329-FullReduced_LH_NPV_Engine!I321</f>
        <v>6016.61200335063</v>
      </c>
      <c r="L31" s="69" t="n">
        <f aca="false">FullReduced_LH_NPV_Engine!I344-FullReduced_LH_NPV_Engine!I336</f>
        <v>14142.0997441988</v>
      </c>
      <c r="M31" s="69" t="n">
        <f aca="false">FullReduced_LH_NPV_Engine!I359-FullReduced_LH_NPV_Engine!I351</f>
        <v>26872.1327077188</v>
      </c>
    </row>
    <row r="32" customFormat="false" ht="15" hidden="false" customHeight="false" outlineLevel="0" collapsed="false">
      <c r="A32" s="63" t="s">
        <v>125</v>
      </c>
      <c r="B32" s="69" t="n">
        <f aca="false">FullReduced_LH_NPV_Engine!I195-FullReduced_LH_NPV_Engine!I186</f>
        <v>-21978.0344418325</v>
      </c>
      <c r="C32" s="69" t="n">
        <f aca="false">FullReduced_LH_NPV_Engine!I210-FullReduced_LH_NPV_Engine!I201</f>
        <v>-21978.0344418325</v>
      </c>
      <c r="D32" s="69" t="n">
        <f aca="false">FullReduced_LH_NPV_Engine!I225-FullReduced_LH_NPV_Engine!I216</f>
        <v>-13327.4026729316</v>
      </c>
      <c r="E32" s="69" t="n">
        <f aca="false">FullReduced_LH_NPV_Engine!I240-FullReduced_LH_NPV_Engine!I231</f>
        <v>30148.722519232</v>
      </c>
      <c r="F32" s="69" t="n">
        <f aca="false">FullReduced_LH_NPV_Engine!I255-FullReduced_LH_NPV_Engine!I246</f>
        <v>30148.7225192338</v>
      </c>
      <c r="G32" s="69" t="n">
        <f aca="false">FullReduced_LH_NPV_Engine!I270-FullReduced_LH_NPV_Engine!I261</f>
        <v>30148.7225192338</v>
      </c>
      <c r="H32" s="69" t="n">
        <f aca="false">FullReduced_LH_NPV_Engine!I285-FullReduced_LH_NPV_Engine!I276</f>
        <v>30148.7225192338</v>
      </c>
      <c r="I32" s="69" t="n">
        <f aca="false">FullReduced_LH_NPV_Engine!I300-FullReduced_LH_NPV_Engine!I291</f>
        <v>2086.080002198</v>
      </c>
      <c r="J32" s="69" t="n">
        <f aca="false">FullReduced_LH_NPV_Engine!I315-FullReduced_LH_NPV_Engine!I306</f>
        <v>10189.5305038076</v>
      </c>
      <c r="K32" s="69" t="n">
        <f aca="false">FullReduced_LH_NPV_Engine!I330-FullReduced_LH_NPV_Engine!I321</f>
        <v>8101.69062630273</v>
      </c>
      <c r="L32" s="69" t="n">
        <f aca="false">FullReduced_LH_NPV_Engine!I345-FullReduced_LH_NPV_Engine!I336</f>
        <v>16779.4800349828</v>
      </c>
      <c r="M32" s="69" t="n">
        <f aca="false">FullReduced_LH_NPV_Engine!I360-FullReduced_LH_NPV_Engine!I351</f>
        <v>30148.7225192338</v>
      </c>
    </row>
    <row r="33" customFormat="false" ht="15" hidden="false" customHeight="false" outlineLevel="0" collapsed="false">
      <c r="A33" s="63" t="s">
        <v>126</v>
      </c>
      <c r="B33" s="69" t="n">
        <f aca="false">FullReduced_LH_NPV_Engine!I196-FullReduced_LH_NPV_Engine!I186</f>
        <v>-15275.5432635769</v>
      </c>
      <c r="C33" s="69" t="n">
        <f aca="false">FullReduced_LH_NPV_Engine!I211-FullReduced_LH_NPV_Engine!I201</f>
        <v>-15275.5432635769</v>
      </c>
      <c r="D33" s="69" t="n">
        <f aca="false">FullReduced_LH_NPV_Engine!I226-FullReduced_LH_NPV_Engine!I216</f>
        <v>-6336.86540906504</v>
      </c>
      <c r="E33" s="69" t="n">
        <f aca="false">FullReduced_LH_NPV_Engine!I241-FullReduced_LH_NPV_Engine!I231</f>
        <v>27527.4593577273</v>
      </c>
      <c r="F33" s="69" t="n">
        <f aca="false">FullReduced_LH_NPV_Engine!I256-FullReduced_LH_NPV_Engine!I246</f>
        <v>27527.4593577273</v>
      </c>
      <c r="G33" s="69" t="n">
        <f aca="false">FullReduced_LH_NPV_Engine!I271-FullReduced_LH_NPV_Engine!I261</f>
        <v>27527.4593577273</v>
      </c>
      <c r="H33" s="69" t="n">
        <f aca="false">FullReduced_LH_NPV_Engine!I286-FullReduced_LH_NPV_Engine!I276</f>
        <v>27527.4593577273</v>
      </c>
      <c r="I33" s="69" t="n">
        <f aca="false">FullReduced_LH_NPV_Engine!I301-FullReduced_LH_NPV_Engine!I291</f>
        <v>-16543.4125047084</v>
      </c>
      <c r="J33" s="69" t="n">
        <f aca="false">FullReduced_LH_NPV_Engine!I316-FullReduced_LH_NPV_Engine!I306</f>
        <v>-4356.31318959966</v>
      </c>
      <c r="K33" s="69" t="n">
        <f aca="false">FullReduced_LH_NPV_Engine!I331-FullReduced_LH_NPV_Engine!I321</f>
        <v>12208.1298113484</v>
      </c>
      <c r="L33" s="69" t="n">
        <f aca="false">FullReduced_LH_NPV_Engine!I346-FullReduced_LH_NPV_Engine!I336</f>
        <v>21172.4297645092</v>
      </c>
      <c r="M33" s="69" t="n">
        <f aca="false">FullReduced_LH_NPV_Engine!I361-FullReduced_LH_NPV_Engine!I351</f>
        <v>27527.4593577273</v>
      </c>
    </row>
    <row r="35" customFormat="false" ht="15" hidden="false" customHeight="false" outlineLevel="0" collapsed="false">
      <c r="A35" s="59" t="s">
        <v>200</v>
      </c>
      <c r="B35" s="70" t="n">
        <f aca="false">MIN(B24:B33)</f>
        <v>-21978.0344418325</v>
      </c>
      <c r="C35" s="70" t="n">
        <f aca="false">MIN(C24:C33)</f>
        <v>-21978.0344418325</v>
      </c>
      <c r="D35" s="70" t="n">
        <f aca="false">MIN(D24:D33)</f>
        <v>-13327.4026729316</v>
      </c>
      <c r="E35" s="70" t="n">
        <f aca="false">MIN(E24:E33)</f>
        <v>8193.49713529833</v>
      </c>
      <c r="F35" s="70" t="n">
        <f aca="false">MIN(F24:F33)</f>
        <v>8193.49713529833</v>
      </c>
      <c r="G35" s="70" t="n">
        <f aca="false">MIN(G24:G33)</f>
        <v>8193.49713529833</v>
      </c>
      <c r="H35" s="70" t="n">
        <f aca="false">MIN(H24:H33)</f>
        <v>8193.49713529833</v>
      </c>
      <c r="I35" s="70" t="n">
        <f aca="false">MIN(I24:I33)</f>
        <v>-16543.4125047084</v>
      </c>
      <c r="J35" s="70" t="n">
        <f aca="false">MIN(J24:J33)</f>
        <v>-12587.2998030689</v>
      </c>
      <c r="K35" s="70" t="n">
        <f aca="false">MIN(K24:K33)</f>
        <v>-79.9845479372889</v>
      </c>
      <c r="L35" s="70" t="n">
        <f aca="false">MIN(L24:L33)</f>
        <v>1466.97155668959</v>
      </c>
      <c r="M35" s="70" t="n">
        <f aca="false">MIN(M24:M33)</f>
        <v>8193.49713529833</v>
      </c>
    </row>
    <row r="36" customFormat="false" ht="15" hidden="false" customHeight="false" outlineLevel="0" collapsed="false">
      <c r="A36" s="59" t="s">
        <v>201</v>
      </c>
      <c r="B36" s="70" t="n">
        <f aca="false">MAX(B24:B33)</f>
        <v>-2139.41530350037</v>
      </c>
      <c r="C36" s="70" t="n">
        <f aca="false">MAX(C24:C33)</f>
        <v>-2139.41530350037</v>
      </c>
      <c r="D36" s="70" t="n">
        <f aca="false">MAX(D24:D33)</f>
        <v>2965.91845721751</v>
      </c>
      <c r="E36" s="70" t="n">
        <f aca="false">MAX(E24:E33)</f>
        <v>30148.722519232</v>
      </c>
      <c r="F36" s="70" t="n">
        <f aca="false">MAX(F24:F33)</f>
        <v>30148.7225192338</v>
      </c>
      <c r="G36" s="70" t="n">
        <f aca="false">MAX(G24:G33)</f>
        <v>30148.7225192338</v>
      </c>
      <c r="H36" s="70" t="n">
        <f aca="false">MAX(H24:H33)</f>
        <v>30148.7225192338</v>
      </c>
      <c r="I36" s="70" t="n">
        <f aca="false">MAX(I24:I33)</f>
        <v>2086.080002198</v>
      </c>
      <c r="J36" s="70" t="n">
        <f aca="false">MAX(J24:J33)</f>
        <v>10189.5305038076</v>
      </c>
      <c r="K36" s="70" t="n">
        <f aca="false">MAX(K24:K33)</f>
        <v>12579.8177132923</v>
      </c>
      <c r="L36" s="70" t="n">
        <f aca="false">MAX(L24:L33)</f>
        <v>21172.4297645092</v>
      </c>
      <c r="M36" s="70" t="n">
        <f aca="false">MAX(M24:M33)</f>
        <v>30148.7225192338</v>
      </c>
    </row>
    <row r="37" customFormat="false" ht="15" hidden="false" customHeight="false" outlineLevel="0" collapsed="false">
      <c r="A37" s="59" t="s">
        <v>202</v>
      </c>
      <c r="B37" s="70" t="n">
        <f aca="false">SUMPRODUCT(SMALL($B$24:$B$33,{1,2,3,4,5,6}))/6</f>
        <v>-17294.7332663176</v>
      </c>
      <c r="C37" s="70" t="n">
        <f aca="false">SUMPRODUCT(SMALL($C$24:$C$33,{1,2,3,4,5,6}))/6</f>
        <v>-17294.7332663176</v>
      </c>
      <c r="D37" s="70" t="n">
        <f aca="false">SUMPRODUCT(SMALL($D$24:$D$33,{1,2,3,4,5,6}))/6</f>
        <v>-11144.5167169233</v>
      </c>
      <c r="E37" s="70" t="n">
        <f aca="false">SUMPRODUCT(SMALL($E$24:$E$33,{1,2,3,4,5,6}))/6</f>
        <v>13491.4978057289</v>
      </c>
      <c r="F37" s="70" t="n">
        <f aca="false">SUMPRODUCT(SMALL($F$24:$F$33,{1,2,3,4,5,6}))/6</f>
        <v>13491.4978057298</v>
      </c>
      <c r="G37" s="70" t="n">
        <f aca="false">SUMPRODUCT(SMALL($G$24:$G$33,{1,2,3,4,5,6}))/6</f>
        <v>13491.4978057298</v>
      </c>
      <c r="H37" s="70" t="n">
        <f aca="false">SUMPRODUCT(SMALL($H$24:$H$33,{1,2,3,4,5,6}))/6</f>
        <v>13491.4978057298</v>
      </c>
      <c r="I37" s="70" t="n">
        <f aca="false">SUMPRODUCT(SMALL($I$24:$I$33,{1,2,3,4,5,6}))/6</f>
        <v>-10538.9833706257</v>
      </c>
      <c r="J37" s="70" t="n">
        <f aca="false">SUMPRODUCT(SMALL($J$24:$J$33,{1,2,3,4,5,6}))/6</f>
        <v>-6044.32027248355</v>
      </c>
      <c r="K37" s="70" t="n">
        <f aca="false">SUMPRODUCT(SMALL($K$24:$K$33,{1,2,3,4,5,6}))/6</f>
        <v>2744.93582235277</v>
      </c>
      <c r="L37" s="70" t="n">
        <f aca="false">SUMPRODUCT(SMALL($L$24:$L$33,{1,2,3,4,5,6}))/6</f>
        <v>7441.20582685278</v>
      </c>
      <c r="M37" s="70" t="n">
        <f aca="false">SUMPRODUCT(SMALL($M$24:$M$33,{1,2,3,4,5,6}))/6</f>
        <v>13491.4978057298</v>
      </c>
    </row>
    <row r="40" customFormat="false" ht="15" hidden="false" customHeight="false" outlineLevel="0" collapsed="false">
      <c r="A40" s="67" t="s">
        <v>327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</row>
    <row r="41" customFormat="false" ht="26.85" hidden="false" customHeight="false" outlineLevel="0" collapsed="false">
      <c r="A41" s="68" t="s">
        <v>146</v>
      </c>
      <c r="B41" s="22" t="s">
        <v>228</v>
      </c>
      <c r="C41" s="22" t="s">
        <v>229</v>
      </c>
      <c r="D41" s="22" t="s">
        <v>230</v>
      </c>
      <c r="E41" s="22" t="s">
        <v>231</v>
      </c>
      <c r="F41" s="22" t="s">
        <v>232</v>
      </c>
      <c r="G41" s="22" t="s">
        <v>233</v>
      </c>
      <c r="H41" s="22" t="s">
        <v>234</v>
      </c>
      <c r="I41" s="22" t="s">
        <v>235</v>
      </c>
      <c r="J41" s="22" t="s">
        <v>236</v>
      </c>
      <c r="K41" s="22" t="s">
        <v>237</v>
      </c>
      <c r="L41" s="22" t="s">
        <v>238</v>
      </c>
      <c r="M41" s="22" t="s">
        <v>239</v>
      </c>
    </row>
    <row r="42" customFormat="false" ht="15" hidden="false" customHeight="false" outlineLevel="0" collapsed="false">
      <c r="A42" s="63" t="s">
        <v>117</v>
      </c>
      <c r="B42" s="69" t="n">
        <f aca="false">FullReduced_LH_NPV_Engine!I367-FullReduced_LH_NPV_Engine!I366</f>
        <v>-20839.426073784</v>
      </c>
      <c r="C42" s="69" t="n">
        <f aca="false">FullReduced_LH_NPV_Engine!I382-FullReduced_LH_NPV_Engine!I381</f>
        <v>-20839.426073784</v>
      </c>
      <c r="D42" s="69" t="n">
        <f aca="false">FullReduced_LH_NPV_Engine!I397-FullReduced_LH_NPV_Engine!I396</f>
        <v>-18625.5113925245</v>
      </c>
      <c r="E42" s="69" t="n">
        <f aca="false">FullReduced_LH_NPV_Engine!I412-FullReduced_LH_NPV_Engine!I411</f>
        <v>32442.2707724795</v>
      </c>
      <c r="F42" s="69" t="n">
        <f aca="false">FullReduced_LH_NPV_Engine!I427-FullReduced_LH_NPV_Engine!I426</f>
        <v>32442.2707724832</v>
      </c>
      <c r="G42" s="69" t="n">
        <f aca="false">FullReduced_LH_NPV_Engine!I442-FullReduced_LH_NPV_Engine!I441</f>
        <v>32442.2707724832</v>
      </c>
      <c r="H42" s="69" t="n">
        <f aca="false">FullReduced_LH_NPV_Engine!I457-FullReduced_LH_NPV_Engine!I456</f>
        <v>32442.2707724832</v>
      </c>
      <c r="I42" s="69" t="n">
        <f aca="false">FullReduced_LH_NPV_Engine!I472-FullReduced_LH_NPV_Engine!I471</f>
        <v>-20938.4394061528</v>
      </c>
      <c r="J42" s="69" t="n">
        <f aca="false">FullReduced_LH_NPV_Engine!I487-FullReduced_LH_NPV_Engine!I486</f>
        <v>-9431.13902886398</v>
      </c>
      <c r="K42" s="69" t="n">
        <f aca="false">FullReduced_LH_NPV_Engine!I502-FullReduced_LH_NPV_Engine!I501</f>
        <v>11532.4447598476</v>
      </c>
      <c r="L42" s="69" t="n">
        <f aca="false">FullReduced_LH_NPV_Engine!I517-FullReduced_LH_NPV_Engine!I516</f>
        <v>13753.8385078348</v>
      </c>
      <c r="M42" s="69" t="n">
        <f aca="false">FullReduced_LH_NPV_Engine!I532-FullReduced_LH_NPV_Engine!I531</f>
        <v>32442.2707724832</v>
      </c>
    </row>
    <row r="43" customFormat="false" ht="15" hidden="false" customHeight="false" outlineLevel="0" collapsed="false">
      <c r="A43" s="63" t="s">
        <v>118</v>
      </c>
      <c r="B43" s="69" t="n">
        <f aca="false">FullReduced_LH_NPV_Engine!I368-FullReduced_LH_NPV_Engine!I366</f>
        <v>-23147.3757635616</v>
      </c>
      <c r="C43" s="69" t="n">
        <f aca="false">FullReduced_LH_NPV_Engine!I383-FullReduced_LH_NPV_Engine!I381</f>
        <v>-23147.3757635616</v>
      </c>
      <c r="D43" s="69" t="n">
        <f aca="false">FullReduced_LH_NPV_Engine!I398-FullReduced_LH_NPV_Engine!I396</f>
        <v>-9357.11854015105</v>
      </c>
      <c r="E43" s="69" t="n">
        <f aca="false">FullReduced_LH_NPV_Engine!I413-FullReduced_LH_NPV_Engine!I411</f>
        <v>40960.6984063219</v>
      </c>
      <c r="F43" s="69" t="n">
        <f aca="false">FullReduced_LH_NPV_Engine!I428-FullReduced_LH_NPV_Engine!I426</f>
        <v>40960.6984063257</v>
      </c>
      <c r="G43" s="69" t="n">
        <f aca="false">FullReduced_LH_NPV_Engine!I443-FullReduced_LH_NPV_Engine!I441</f>
        <v>40960.6984063257</v>
      </c>
      <c r="H43" s="69" t="n">
        <f aca="false">FullReduced_LH_NPV_Engine!I458-FullReduced_LH_NPV_Engine!I456</f>
        <v>40960.6984063257</v>
      </c>
      <c r="I43" s="69" t="n">
        <f aca="false">FullReduced_LH_NPV_Engine!I473-FullReduced_LH_NPV_Engine!I471</f>
        <v>-28079.8877904695</v>
      </c>
      <c r="J43" s="69" t="n">
        <f aca="false">FullReduced_LH_NPV_Engine!I488-FullReduced_LH_NPV_Engine!I486</f>
        <v>-10417.0907412451</v>
      </c>
      <c r="K43" s="69" t="n">
        <f aca="false">FullReduced_LH_NPV_Engine!I503-FullReduced_LH_NPV_Engine!I501</f>
        <v>17714.5937201176</v>
      </c>
      <c r="L43" s="69" t="n">
        <f aca="false">FullReduced_LH_NPV_Engine!I518-FullReduced_LH_NPV_Engine!I516</f>
        <v>31563.6695868429</v>
      </c>
      <c r="M43" s="69" t="n">
        <f aca="false">FullReduced_LH_NPV_Engine!I533-FullReduced_LH_NPV_Engine!I531</f>
        <v>40960.6984063257</v>
      </c>
    </row>
    <row r="44" customFormat="false" ht="15" hidden="false" customHeight="false" outlineLevel="0" collapsed="false">
      <c r="A44" s="63" t="s">
        <v>119</v>
      </c>
      <c r="B44" s="69" t="n">
        <f aca="false">FullReduced_LH_NPV_Engine!I369-FullReduced_LH_NPV_Engine!I366</f>
        <v>-20011.1155622639</v>
      </c>
      <c r="C44" s="69" t="n">
        <f aca="false">FullReduced_LH_NPV_Engine!I384-FullReduced_LH_NPV_Engine!I381</f>
        <v>-20011.1155622639</v>
      </c>
      <c r="D44" s="69" t="n">
        <f aca="false">FullReduced_LH_NPV_Engine!I399-FullReduced_LH_NPV_Engine!I396</f>
        <v>-4287.64054781012</v>
      </c>
      <c r="E44" s="69" t="n">
        <f aca="false">FullReduced_LH_NPV_Engine!I414-FullReduced_LH_NPV_Engine!I411</f>
        <v>39322.5962590389</v>
      </c>
      <c r="F44" s="69" t="n">
        <f aca="false">FullReduced_LH_NPV_Engine!I429-FullReduced_LH_NPV_Engine!I426</f>
        <v>39322.5962590408</v>
      </c>
      <c r="G44" s="69" t="n">
        <f aca="false">FullReduced_LH_NPV_Engine!I444-FullReduced_LH_NPV_Engine!I441</f>
        <v>39322.5962590408</v>
      </c>
      <c r="H44" s="69" t="n">
        <f aca="false">FullReduced_LH_NPV_Engine!I459-FullReduced_LH_NPV_Engine!I456</f>
        <v>39322.5962590408</v>
      </c>
      <c r="I44" s="69" t="n">
        <f aca="false">FullReduced_LH_NPV_Engine!I474-FullReduced_LH_NPV_Engine!I471</f>
        <v>-30594.2422538474</v>
      </c>
      <c r="J44" s="69" t="n">
        <f aca="false">FullReduced_LH_NPV_Engine!I489-FullReduced_LH_NPV_Engine!I486</f>
        <v>-11425.9611781035</v>
      </c>
      <c r="K44" s="69" t="n">
        <f aca="false">FullReduced_LH_NPV_Engine!I504-FullReduced_LH_NPV_Engine!I501</f>
        <v>19229.542053774</v>
      </c>
      <c r="L44" s="69" t="n">
        <f aca="false">FullReduced_LH_NPV_Engine!I519-FullReduced_LH_NPV_Engine!I516</f>
        <v>35017.399296293</v>
      </c>
      <c r="M44" s="69" t="n">
        <f aca="false">FullReduced_LH_NPV_Engine!I534-FullReduced_LH_NPV_Engine!I531</f>
        <v>39322.5962590408</v>
      </c>
    </row>
    <row r="45" customFormat="false" ht="15" hidden="false" customHeight="false" outlineLevel="0" collapsed="false">
      <c r="A45" s="63" t="s">
        <v>120</v>
      </c>
      <c r="B45" s="69" t="n">
        <f aca="false">FullReduced_LH_NPV_Engine!I370-FullReduced_LH_NPV_Engine!I366</f>
        <v>-47276.321124047</v>
      </c>
      <c r="C45" s="69" t="n">
        <f aca="false">FullReduced_LH_NPV_Engine!I385-FullReduced_LH_NPV_Engine!I381</f>
        <v>-47276.321124047</v>
      </c>
      <c r="D45" s="69" t="n">
        <f aca="false">FullReduced_LH_NPV_Engine!I400-FullReduced_LH_NPV_Engine!I396</f>
        <v>-28881.7339678481</v>
      </c>
      <c r="E45" s="69" t="n">
        <f aca="false">FullReduced_LH_NPV_Engine!I415-FullReduced_LH_NPV_Engine!I411</f>
        <v>67166.6404879075</v>
      </c>
      <c r="F45" s="69" t="n">
        <f aca="false">FullReduced_LH_NPV_Engine!I430-FullReduced_LH_NPV_Engine!I426</f>
        <v>67166.640487913</v>
      </c>
      <c r="G45" s="69" t="n">
        <f aca="false">FullReduced_LH_NPV_Engine!I445-FullReduced_LH_NPV_Engine!I441</f>
        <v>67166.640487913</v>
      </c>
      <c r="H45" s="69" t="n">
        <f aca="false">FullReduced_LH_NPV_Engine!I460-FullReduced_LH_NPV_Engine!I456</f>
        <v>67166.640487913</v>
      </c>
      <c r="I45" s="69" t="n">
        <f aca="false">FullReduced_LH_NPV_Engine!I475-FullReduced_LH_NPV_Engine!I471</f>
        <v>16180.4484719206</v>
      </c>
      <c r="J45" s="69" t="n">
        <f aca="false">FullReduced_LH_NPV_Engine!I490-FullReduced_LH_NPV_Engine!I486</f>
        <v>35773.0701998528</v>
      </c>
      <c r="K45" s="69" t="n">
        <f aca="false">FullReduced_LH_NPV_Engine!I505-FullReduced_LH_NPV_Engine!I501</f>
        <v>19559.6662754919</v>
      </c>
      <c r="L45" s="69" t="n">
        <f aca="false">FullReduced_LH_NPV_Engine!I520-FullReduced_LH_NPV_Engine!I516</f>
        <v>38082.906146368</v>
      </c>
      <c r="M45" s="69" t="n">
        <f aca="false">FullReduced_LH_NPV_Engine!I535-FullReduced_LH_NPV_Engine!I531</f>
        <v>67166.640487913</v>
      </c>
    </row>
    <row r="46" customFormat="false" ht="15" hidden="false" customHeight="false" outlineLevel="0" collapsed="false">
      <c r="A46" s="63" t="s">
        <v>121</v>
      </c>
      <c r="B46" s="69" t="n">
        <f aca="false">FullReduced_LH_NPV_Engine!I371-FullReduced_LH_NPV_Engine!I366</f>
        <v>-39616.7950825021</v>
      </c>
      <c r="C46" s="69" t="n">
        <f aca="false">FullReduced_LH_NPV_Engine!I386-FullReduced_LH_NPV_Engine!I381</f>
        <v>-39616.7950825021</v>
      </c>
      <c r="D46" s="69" t="n">
        <f aca="false">FullReduced_LH_NPV_Engine!I401-FullReduced_LH_NPV_Engine!I396</f>
        <v>-31849.1487018373</v>
      </c>
      <c r="E46" s="69" t="n">
        <f aca="false">FullReduced_LH_NPV_Engine!I416-FullReduced_LH_NPV_Engine!I411</f>
        <v>52099.0730142407</v>
      </c>
      <c r="F46" s="69" t="n">
        <f aca="false">FullReduced_LH_NPV_Engine!I431-FullReduced_LH_NPV_Engine!I426</f>
        <v>52099.0730142444</v>
      </c>
      <c r="G46" s="69" t="n">
        <f aca="false">FullReduced_LH_NPV_Engine!I446-FullReduced_LH_NPV_Engine!I441</f>
        <v>52099.0730142444</v>
      </c>
      <c r="H46" s="69" t="n">
        <f aca="false">FullReduced_LH_NPV_Engine!I461-FullReduced_LH_NPV_Engine!I456</f>
        <v>52099.0730142444</v>
      </c>
      <c r="I46" s="69" t="n">
        <f aca="false">FullReduced_LH_NPV_Engine!I476-FullReduced_LH_NPV_Engine!I471</f>
        <v>-38388.9287798144</v>
      </c>
      <c r="J46" s="69" t="n">
        <f aca="false">FullReduced_LH_NPV_Engine!I491-FullReduced_LH_NPV_Engine!I486</f>
        <v>-26170.6126367524</v>
      </c>
      <c r="K46" s="69" t="n">
        <f aca="false">FullReduced_LH_NPV_Engine!I506-FullReduced_LH_NPV_Engine!I501</f>
        <v>12267.3540784791</v>
      </c>
      <c r="L46" s="69" t="n">
        <f aca="false">FullReduced_LH_NPV_Engine!I521-FullReduced_LH_NPV_Engine!I516</f>
        <v>20077.1404779777</v>
      </c>
      <c r="M46" s="69" t="n">
        <f aca="false">FullReduced_LH_NPV_Engine!I536-FullReduced_LH_NPV_Engine!I531</f>
        <v>52099.0730142444</v>
      </c>
    </row>
    <row r="47" customFormat="false" ht="15" hidden="false" customHeight="false" outlineLevel="0" collapsed="false">
      <c r="A47" s="63" t="s">
        <v>122</v>
      </c>
      <c r="B47" s="69" t="n">
        <f aca="false">FullReduced_LH_NPV_Engine!I372-FullReduced_LH_NPV_Engine!I366</f>
        <v>-56683.3830221351</v>
      </c>
      <c r="C47" s="69" t="n">
        <f aca="false">FullReduced_LH_NPV_Engine!I387-FullReduced_LH_NPV_Engine!I381</f>
        <v>-56683.3830221351</v>
      </c>
      <c r="D47" s="69" t="n">
        <f aca="false">FullReduced_LH_NPV_Engine!I402-FullReduced_LH_NPV_Engine!I396</f>
        <v>-34723.0382536892</v>
      </c>
      <c r="E47" s="69" t="n">
        <f aca="false">FullReduced_LH_NPV_Engine!I417-FullReduced_LH_NPV_Engine!I411</f>
        <v>58322.9120420646</v>
      </c>
      <c r="F47" s="69" t="n">
        <f aca="false">FullReduced_LH_NPV_Engine!I432-FullReduced_LH_NPV_Engine!I426</f>
        <v>58322.9120420646</v>
      </c>
      <c r="G47" s="69" t="n">
        <f aca="false">FullReduced_LH_NPV_Engine!I447-FullReduced_LH_NPV_Engine!I441</f>
        <v>58322.9120420646</v>
      </c>
      <c r="H47" s="69" t="n">
        <f aca="false">FullReduced_LH_NPV_Engine!I462-FullReduced_LH_NPV_Engine!I456</f>
        <v>58322.9120420646</v>
      </c>
      <c r="I47" s="69" t="n">
        <f aca="false">FullReduced_LH_NPV_Engine!I477-FullReduced_LH_NPV_Engine!I471</f>
        <v>-19074.5800839607</v>
      </c>
      <c r="J47" s="69" t="n">
        <f aca="false">FullReduced_LH_NPV_Engine!I492-FullReduced_LH_NPV_Engine!I486</f>
        <v>-17781.8708605375</v>
      </c>
      <c r="K47" s="69" t="n">
        <f aca="false">FullReduced_LH_NPV_Engine!I507-FullReduced_LH_NPV_Engine!I501</f>
        <v>1295.28195563704</v>
      </c>
      <c r="L47" s="69" t="n">
        <f aca="false">FullReduced_LH_NPV_Engine!I522-FullReduced_LH_NPV_Engine!I516</f>
        <v>23388.9953378513</v>
      </c>
      <c r="M47" s="69" t="n">
        <f aca="false">FullReduced_LH_NPV_Engine!I537-FullReduced_LH_NPV_Engine!I531</f>
        <v>58322.9120420646</v>
      </c>
    </row>
    <row r="48" customFormat="false" ht="15" hidden="false" customHeight="false" outlineLevel="0" collapsed="false">
      <c r="A48" s="63" t="s">
        <v>123</v>
      </c>
      <c r="B48" s="69" t="n">
        <f aca="false">FullReduced_LH_NPV_Engine!I373-FullReduced_LH_NPV_Engine!I366</f>
        <v>-39548.7526582461</v>
      </c>
      <c r="C48" s="69" t="n">
        <f aca="false">FullReduced_LH_NPV_Engine!I388-FullReduced_LH_NPV_Engine!I381</f>
        <v>-39548.7526582461</v>
      </c>
      <c r="D48" s="69" t="n">
        <f aca="false">FullReduced_LH_NPV_Engine!I403-FullReduced_LH_NPV_Engine!I396</f>
        <v>-15945.1017022412</v>
      </c>
      <c r="E48" s="69" t="n">
        <f aca="false">FullReduced_LH_NPV_Engine!I418-FullReduced_LH_NPV_Engine!I411</f>
        <v>86161.6024722252</v>
      </c>
      <c r="F48" s="69" t="n">
        <f aca="false">FullReduced_LH_NPV_Engine!I433-FullReduced_LH_NPV_Engine!I426</f>
        <v>86161.6024722252</v>
      </c>
      <c r="G48" s="69" t="n">
        <f aca="false">FullReduced_LH_NPV_Engine!I448-FullReduced_LH_NPV_Engine!I441</f>
        <v>86161.6024722252</v>
      </c>
      <c r="H48" s="69" t="n">
        <f aca="false">FullReduced_LH_NPV_Engine!I463-FullReduced_LH_NPV_Engine!I456</f>
        <v>86161.6024722252</v>
      </c>
      <c r="I48" s="69" t="n">
        <f aca="false">FullReduced_LH_NPV_Engine!I478-FullReduced_LH_NPV_Engine!I471</f>
        <v>-43829.766838355</v>
      </c>
      <c r="J48" s="69" t="n">
        <f aca="false">FullReduced_LH_NPV_Engine!I493-FullReduced_LH_NPV_Engine!I486</f>
        <v>2217.13072468899</v>
      </c>
      <c r="K48" s="69" t="n">
        <f aca="false">FullReduced_LH_NPV_Engine!I508-FullReduced_LH_NPV_Engine!I501</f>
        <v>46258.0185802113</v>
      </c>
      <c r="L48" s="69" t="n">
        <f aca="false">FullReduced_LH_NPV_Engine!I523-FullReduced_LH_NPV_Engine!I516</f>
        <v>70073.4413881004</v>
      </c>
      <c r="M48" s="69" t="n">
        <f aca="false">FullReduced_LH_NPV_Engine!I538-FullReduced_LH_NPV_Engine!I531</f>
        <v>86161.6024722252</v>
      </c>
    </row>
    <row r="49" customFormat="false" ht="15" hidden="false" customHeight="false" outlineLevel="0" collapsed="false">
      <c r="A49" s="63" t="s">
        <v>124</v>
      </c>
      <c r="B49" s="69" t="n">
        <f aca="false">FullReduced_LH_NPV_Engine!I374-FullReduced_LH_NPV_Engine!I366</f>
        <v>-68178.5294964518</v>
      </c>
      <c r="C49" s="69" t="n">
        <f aca="false">FullReduced_LH_NPV_Engine!I389-FullReduced_LH_NPV_Engine!I381</f>
        <v>-68178.5294964518</v>
      </c>
      <c r="D49" s="69" t="n">
        <f aca="false">FullReduced_LH_NPV_Engine!I404-FullReduced_LH_NPV_Engine!I396</f>
        <v>-41840.4365078956</v>
      </c>
      <c r="E49" s="69" t="n">
        <f aca="false">FullReduced_LH_NPV_Engine!I419-FullReduced_LH_NPV_Engine!I411</f>
        <v>73389.53038387</v>
      </c>
      <c r="F49" s="69" t="n">
        <f aca="false">FullReduced_LH_NPV_Engine!I434-FullReduced_LH_NPV_Engine!I426</f>
        <v>73389.5303838719</v>
      </c>
      <c r="G49" s="69" t="n">
        <f aca="false">FullReduced_LH_NPV_Engine!I449-FullReduced_LH_NPV_Engine!I441</f>
        <v>73389.5303838719</v>
      </c>
      <c r="H49" s="69" t="n">
        <f aca="false">FullReduced_LH_NPV_Engine!I464-FullReduced_LH_NPV_Engine!I456</f>
        <v>73389.5303838719</v>
      </c>
      <c r="I49" s="69" t="n">
        <f aca="false">FullReduced_LH_NPV_Engine!I479-FullReduced_LH_NPV_Engine!I471</f>
        <v>-4151.55194514617</v>
      </c>
      <c r="J49" s="69" t="n">
        <f aca="false">FullReduced_LH_NPV_Engine!I494-FullReduced_LH_NPV_Engine!I486</f>
        <v>536.398310706019</v>
      </c>
      <c r="K49" s="69" t="n">
        <f aca="false">FullReduced_LH_NPV_Engine!I509-FullReduced_LH_NPV_Engine!I501</f>
        <v>4689.97773567215</v>
      </c>
      <c r="L49" s="69" t="n">
        <f aca="false">FullReduced_LH_NPV_Engine!I524-FullReduced_LH_NPV_Engine!I516</f>
        <v>31229.3475238495</v>
      </c>
      <c r="M49" s="69" t="n">
        <f aca="false">FullReduced_LH_NPV_Engine!I539-FullReduced_LH_NPV_Engine!I531</f>
        <v>73389.5303838719</v>
      </c>
    </row>
    <row r="50" customFormat="false" ht="15" hidden="false" customHeight="false" outlineLevel="0" collapsed="false">
      <c r="A50" s="63" t="s">
        <v>125</v>
      </c>
      <c r="B50" s="69" t="n">
        <f aca="false">FullReduced_LH_NPV_Engine!I375-FullReduced_LH_NPV_Engine!I366</f>
        <v>-74901.3119385056</v>
      </c>
      <c r="C50" s="69" t="n">
        <f aca="false">FullReduced_LH_NPV_Engine!I390-FullReduced_LH_NPV_Engine!I381</f>
        <v>-74901.3119385056</v>
      </c>
      <c r="D50" s="69" t="n">
        <f aca="false">FullReduced_LH_NPV_Engine!I405-FullReduced_LH_NPV_Engine!I396</f>
        <v>-46046.04162395</v>
      </c>
      <c r="E50" s="69" t="n">
        <f aca="false">FullReduced_LH_NPV_Engine!I420-FullReduced_LH_NPV_Engine!I411</f>
        <v>86816.5360035449</v>
      </c>
      <c r="F50" s="69" t="n">
        <f aca="false">FullReduced_LH_NPV_Engine!I435-FullReduced_LH_NPV_Engine!I426</f>
        <v>86816.5360035468</v>
      </c>
      <c r="G50" s="69" t="n">
        <f aca="false">FullReduced_LH_NPV_Engine!I450-FullReduced_LH_NPV_Engine!I441</f>
        <v>86816.5360035468</v>
      </c>
      <c r="H50" s="69" t="n">
        <f aca="false">FullReduced_LH_NPV_Engine!I465-FullReduced_LH_NPV_Engine!I456</f>
        <v>86816.5360035468</v>
      </c>
      <c r="I50" s="69" t="n">
        <f aca="false">FullReduced_LH_NPV_Engine!I480-FullReduced_LH_NPV_Engine!I471</f>
        <v>-50522.4328916892</v>
      </c>
      <c r="J50" s="69" t="n">
        <f aca="false">FullReduced_LH_NPV_Engine!I495-FullReduced_LH_NPV_Engine!I486</f>
        <v>-39343.4536557384</v>
      </c>
      <c r="K50" s="69" t="n">
        <f aca="false">FullReduced_LH_NPV_Engine!I510-FullReduced_LH_NPV_Engine!I501</f>
        <v>11238.1016960088</v>
      </c>
      <c r="L50" s="69" t="n">
        <f aca="false">FullReduced_LH_NPV_Engine!I525-FullReduced_LH_NPV_Engine!I516</f>
        <v>40354.2292437516</v>
      </c>
      <c r="M50" s="69" t="n">
        <f aca="false">FullReduced_LH_NPV_Engine!I540-FullReduced_LH_NPV_Engine!I531</f>
        <v>86816.5360035468</v>
      </c>
    </row>
    <row r="51" customFormat="false" ht="15" hidden="false" customHeight="false" outlineLevel="0" collapsed="false">
      <c r="A51" s="63" t="s">
        <v>126</v>
      </c>
      <c r="B51" s="69" t="n">
        <f aca="false">FullReduced_LH_NPV_Engine!I376-FullReduced_LH_NPV_Engine!I366</f>
        <v>-27102.9463844709</v>
      </c>
      <c r="C51" s="69" t="n">
        <f aca="false">FullReduced_LH_NPV_Engine!I391-FullReduced_LH_NPV_Engine!I381</f>
        <v>-27102.9463844709</v>
      </c>
      <c r="D51" s="69" t="n">
        <f aca="false">FullReduced_LH_NPV_Engine!I406-FullReduced_LH_NPV_Engine!I396</f>
        <v>-22142.269533867</v>
      </c>
      <c r="E51" s="69" t="n">
        <f aca="false">FullReduced_LH_NPV_Engine!I421-FullReduced_LH_NPV_Engine!I411</f>
        <v>103515.87337292</v>
      </c>
      <c r="F51" s="69" t="n">
        <f aca="false">FullReduced_LH_NPV_Engine!I436-FullReduced_LH_NPV_Engine!I426</f>
        <v>103515.873372922</v>
      </c>
      <c r="G51" s="69" t="n">
        <f aca="false">FullReduced_LH_NPV_Engine!I451-FullReduced_LH_NPV_Engine!I441</f>
        <v>103515.873372922</v>
      </c>
      <c r="H51" s="69" t="n">
        <f aca="false">FullReduced_LH_NPV_Engine!I466-FullReduced_LH_NPV_Engine!I456</f>
        <v>103515.873372922</v>
      </c>
      <c r="I51" s="69" t="n">
        <f aca="false">FullReduced_LH_NPV_Engine!I481-FullReduced_LH_NPV_Engine!I471</f>
        <v>-54299.2695993483</v>
      </c>
      <c r="J51" s="69" t="n">
        <f aca="false">FullReduced_LH_NPV_Engine!I496-FullReduced_LH_NPV_Engine!I486</f>
        <v>21391.1119535305</v>
      </c>
      <c r="K51" s="69" t="n">
        <f aca="false">FullReduced_LH_NPV_Engine!I511-FullReduced_LH_NPV_Engine!I501</f>
        <v>76120.7817988712</v>
      </c>
      <c r="L51" s="69" t="n">
        <f aca="false">FullReduced_LH_NPV_Engine!I526-FullReduced_LH_NPV_Engine!I516</f>
        <v>81134.9302484077</v>
      </c>
      <c r="M51" s="69" t="n">
        <f aca="false">FullReduced_LH_NPV_Engine!I541-FullReduced_LH_NPV_Engine!I531</f>
        <v>103515.873372922</v>
      </c>
    </row>
    <row r="53" customFormat="false" ht="15" hidden="false" customHeight="false" outlineLevel="0" collapsed="false">
      <c r="A53" s="59" t="s">
        <v>200</v>
      </c>
      <c r="B53" s="70" t="n">
        <f aca="false">MIN(B42:B51)</f>
        <v>-74901.3119385056</v>
      </c>
      <c r="C53" s="70" t="n">
        <f aca="false">MIN(C42:C51)</f>
        <v>-74901.3119385056</v>
      </c>
      <c r="D53" s="70" t="n">
        <f aca="false">MIN(D42:D51)</f>
        <v>-46046.04162395</v>
      </c>
      <c r="E53" s="70" t="n">
        <f aca="false">MIN(E42:E51)</f>
        <v>32442.2707724795</v>
      </c>
      <c r="F53" s="70" t="n">
        <f aca="false">MIN(F42:F51)</f>
        <v>32442.2707724832</v>
      </c>
      <c r="G53" s="70" t="n">
        <f aca="false">MIN(G42:G51)</f>
        <v>32442.2707724832</v>
      </c>
      <c r="H53" s="70" t="n">
        <f aca="false">MIN(H42:H51)</f>
        <v>32442.2707724832</v>
      </c>
      <c r="I53" s="70" t="n">
        <f aca="false">MIN(I42:I51)</f>
        <v>-54299.2695993483</v>
      </c>
      <c r="J53" s="70" t="n">
        <f aca="false">MIN(J42:J51)</f>
        <v>-39343.4536557384</v>
      </c>
      <c r="K53" s="70" t="n">
        <f aca="false">MIN(K42:K51)</f>
        <v>1295.28195563704</v>
      </c>
      <c r="L53" s="70" t="n">
        <f aca="false">MIN(L42:L51)</f>
        <v>13753.8385078348</v>
      </c>
      <c r="M53" s="70" t="n">
        <f aca="false">MIN(M42:M51)</f>
        <v>32442.2707724832</v>
      </c>
    </row>
    <row r="54" customFormat="false" ht="15" hidden="false" customHeight="false" outlineLevel="0" collapsed="false">
      <c r="A54" s="59" t="s">
        <v>201</v>
      </c>
      <c r="B54" s="70" t="n">
        <f aca="false">MAX(B42:B51)</f>
        <v>-20011.1155622639</v>
      </c>
      <c r="C54" s="70" t="n">
        <f aca="false">MAX(C42:C51)</f>
        <v>-20011.1155622639</v>
      </c>
      <c r="D54" s="70" t="n">
        <f aca="false">MAX(D42:D51)</f>
        <v>-4287.64054781012</v>
      </c>
      <c r="E54" s="70" t="n">
        <f aca="false">MAX(E42:E51)</f>
        <v>103515.87337292</v>
      </c>
      <c r="F54" s="70" t="n">
        <f aca="false">MAX(F42:F51)</f>
        <v>103515.873372922</v>
      </c>
      <c r="G54" s="70" t="n">
        <f aca="false">MAX(G42:G51)</f>
        <v>103515.873372922</v>
      </c>
      <c r="H54" s="70" t="n">
        <f aca="false">MAX(H42:H51)</f>
        <v>103515.873372922</v>
      </c>
      <c r="I54" s="70" t="n">
        <f aca="false">MAX(I42:I51)</f>
        <v>16180.4484719206</v>
      </c>
      <c r="J54" s="70" t="n">
        <f aca="false">MAX(J42:J51)</f>
        <v>35773.0701998528</v>
      </c>
      <c r="K54" s="70" t="n">
        <f aca="false">MAX(K42:K51)</f>
        <v>76120.7817988712</v>
      </c>
      <c r="L54" s="70" t="n">
        <f aca="false">MAX(L42:L51)</f>
        <v>81134.9302484077</v>
      </c>
      <c r="M54" s="70" t="n">
        <f aca="false">MAX(M42:M51)</f>
        <v>103515.873372922</v>
      </c>
    </row>
    <row r="55" customFormat="false" ht="15" hidden="false" customHeight="false" outlineLevel="0" collapsed="false">
      <c r="A55" s="59" t="s">
        <v>202</v>
      </c>
      <c r="B55" s="70" t="n">
        <f aca="false">SUMPRODUCT(SMALL($B$42:$B$51,{1,2,3,4,5,6}))/6</f>
        <v>-54367.515553648</v>
      </c>
      <c r="C55" s="70" t="n">
        <f aca="false">SUMPRODUCT(SMALL($C$42:$C$51,{1,2,3,4,5,6}))/6</f>
        <v>-54367.515553648</v>
      </c>
      <c r="D55" s="70" t="n">
        <f aca="false">SUMPRODUCT(SMALL($D$42:$D$51,{1,2,3,4,5,6}))/6</f>
        <v>-34247.1114315145</v>
      </c>
      <c r="E55" s="70" t="n">
        <f aca="false">SUMPRODUCT(SMALL($E$42:$E$51,{1,2,3,4,5,6}))/6</f>
        <v>48385.6984970088</v>
      </c>
      <c r="F55" s="70" t="n">
        <f aca="false">SUMPRODUCT(SMALL($F$42:$F$51,{1,2,3,4,5,6}))/6</f>
        <v>48385.6984970119</v>
      </c>
      <c r="G55" s="70" t="n">
        <f aca="false">SUMPRODUCT(SMALL($G$42:$G$51,{1,2,3,4,5,6}))/6</f>
        <v>48385.6984970119</v>
      </c>
      <c r="H55" s="70" t="n">
        <f aca="false">SUMPRODUCT(SMALL($H$42:$H$51,{1,2,3,4,5,6}))/6</f>
        <v>48385.6984970119</v>
      </c>
      <c r="I55" s="70" t="n">
        <f aca="false">SUMPRODUCT(SMALL($I$42:$I$51,{1,2,3,4,5,6}))/6</f>
        <v>-40952.4213589206</v>
      </c>
      <c r="J55" s="70" t="n">
        <f aca="false">SUMPRODUCT(SMALL($J$42:$J$51,{1,2,3,4,5,6}))/6</f>
        <v>-19095.0213502068</v>
      </c>
      <c r="K55" s="70" t="n">
        <f aca="false">SUMPRODUCT(SMALL($K$42:$K$51,{1,2,3,4,5,6}))/6</f>
        <v>9789.62565762705</v>
      </c>
      <c r="L55" s="70" t="n">
        <f aca="false">SUMPRODUCT(SMALL($L$42:$L$51,{1,2,3,4,5,6}))/6</f>
        <v>25838.3984551082</v>
      </c>
      <c r="M55" s="70" t="n">
        <f aca="false">SUMPRODUCT(SMALL($M$42:$M$51,{1,2,3,4,5,6}))/6</f>
        <v>48385.6984970119</v>
      </c>
    </row>
    <row r="58" customFormat="false" ht="15" hidden="false" customHeight="false" outlineLevel="0" collapsed="false">
      <c r="A58" s="71" t="s">
        <v>328</v>
      </c>
      <c r="B58" s="71"/>
      <c r="C58" s="71"/>
      <c r="D58" s="71"/>
      <c r="E58" s="71"/>
      <c r="F58" s="71"/>
    </row>
    <row r="59" customFormat="false" ht="22.35" hidden="false" customHeight="true" outlineLevel="0" collapsed="false">
      <c r="A59" s="15" t="s">
        <v>329</v>
      </c>
      <c r="B59" s="15"/>
      <c r="C59" s="15"/>
      <c r="D59" s="15"/>
      <c r="E59" s="15"/>
      <c r="F59" s="15"/>
    </row>
    <row r="61" customFormat="false" ht="26.85" hidden="false" customHeight="false" outlineLevel="0" collapsed="false">
      <c r="A61" s="22" t="s">
        <v>330</v>
      </c>
      <c r="B61" s="22" t="s">
        <v>331</v>
      </c>
      <c r="C61" s="22" t="s">
        <v>332</v>
      </c>
      <c r="D61" s="22" t="s">
        <v>333</v>
      </c>
      <c r="E61" s="22" t="s">
        <v>334</v>
      </c>
      <c r="F61" s="22" t="s">
        <v>335</v>
      </c>
    </row>
    <row r="62" customFormat="false" ht="15" hidden="false" customHeight="false" outlineLevel="0" collapsed="false">
      <c r="A62" s="59" t="s">
        <v>252</v>
      </c>
      <c r="B62" s="69" t="n">
        <f aca="false">B55</f>
        <v>-54367.515553648</v>
      </c>
      <c r="C62" s="69" t="n">
        <f aca="false">B37</f>
        <v>-17294.7332663176</v>
      </c>
      <c r="D62" s="72" t="n">
        <f aca="false">B62/C62</f>
        <v>3.14358797655073</v>
      </c>
      <c r="E62" s="69" t="n">
        <f aca="false">B19</f>
        <v>-26896.2950440043</v>
      </c>
      <c r="F62" s="70" t="n">
        <f aca="false">D62*E62</f>
        <v>-84550.869714093</v>
      </c>
    </row>
    <row r="63" customFormat="false" ht="15" hidden="false" customHeight="false" outlineLevel="0" collapsed="false">
      <c r="A63" s="59" t="s">
        <v>253</v>
      </c>
      <c r="B63" s="69" t="n">
        <f aca="false">C55</f>
        <v>-54367.515553648</v>
      </c>
      <c r="C63" s="69" t="n">
        <f aca="false">C37</f>
        <v>-17294.7332663176</v>
      </c>
      <c r="D63" s="72" t="n">
        <f aca="false">B63/C63</f>
        <v>3.14358797655073</v>
      </c>
      <c r="E63" s="69" t="n">
        <f aca="false">C19</f>
        <v>-26896.2950440043</v>
      </c>
      <c r="F63" s="70" t="n">
        <f aca="false">D63*E63</f>
        <v>-84550.869714093</v>
      </c>
    </row>
    <row r="64" customFormat="false" ht="15" hidden="false" customHeight="false" outlineLevel="0" collapsed="false">
      <c r="A64" s="59" t="s">
        <v>254</v>
      </c>
      <c r="B64" s="69" t="n">
        <f aca="false">D55</f>
        <v>-34247.1114315145</v>
      </c>
      <c r="C64" s="69" t="n">
        <f aca="false">D37</f>
        <v>-11144.5167169233</v>
      </c>
      <c r="D64" s="72" t="n">
        <f aca="false">B64/C64</f>
        <v>3.07300103731814</v>
      </c>
      <c r="E64" s="69" t="n">
        <f aca="false">D19</f>
        <v>-11144.5167169233</v>
      </c>
      <c r="F64" s="70" t="n">
        <f aca="false">D64*E64</f>
        <v>-34247.1114315145</v>
      </c>
    </row>
    <row r="65" customFormat="false" ht="15" hidden="false" customHeight="false" outlineLevel="0" collapsed="false">
      <c r="A65" s="59" t="s">
        <v>255</v>
      </c>
      <c r="B65" s="69" t="n">
        <f aca="false">E55</f>
        <v>48385.6984970088</v>
      </c>
      <c r="C65" s="69" t="n">
        <f aca="false">E37</f>
        <v>13491.4978057289</v>
      </c>
      <c r="D65" s="72" t="n">
        <f aca="false">B65/C65</f>
        <v>3.58638449145823</v>
      </c>
      <c r="E65" s="69" t="n">
        <f aca="false">E19</f>
        <v>3587.19262960491</v>
      </c>
      <c r="F65" s="70" t="n">
        <f aca="false">D65*E65</f>
        <v>12865.0520146883</v>
      </c>
    </row>
    <row r="66" customFormat="false" ht="15" hidden="false" customHeight="false" outlineLevel="0" collapsed="false">
      <c r="A66" s="59" t="s">
        <v>256</v>
      </c>
      <c r="B66" s="69" t="n">
        <f aca="false">F55</f>
        <v>48385.6984970119</v>
      </c>
      <c r="C66" s="69" t="n">
        <f aca="false">F37</f>
        <v>13491.4978057298</v>
      </c>
      <c r="D66" s="72" t="n">
        <f aca="false">B66/C66</f>
        <v>3.58638449145821</v>
      </c>
      <c r="E66" s="69" t="n">
        <f aca="false">F19</f>
        <v>13491.4978057298</v>
      </c>
      <c r="F66" s="70" t="n">
        <f aca="false">D66*E66</f>
        <v>48385.6984970119</v>
      </c>
    </row>
    <row r="67" customFormat="false" ht="15" hidden="false" customHeight="false" outlineLevel="0" collapsed="false">
      <c r="A67" s="59" t="s">
        <v>257</v>
      </c>
      <c r="B67" s="69" t="n">
        <f aca="false">G55</f>
        <v>48385.6984970119</v>
      </c>
      <c r="C67" s="69" t="n">
        <f aca="false">G37</f>
        <v>13491.4978057298</v>
      </c>
      <c r="D67" s="72" t="n">
        <f aca="false">B67/C67</f>
        <v>3.58638449145821</v>
      </c>
      <c r="E67" s="69" t="n">
        <f aca="false">G19</f>
        <v>13491.4978057298</v>
      </c>
      <c r="F67" s="70" t="n">
        <f aca="false">D67*E67</f>
        <v>48385.6984970119</v>
      </c>
    </row>
    <row r="68" customFormat="false" ht="15" hidden="false" customHeight="false" outlineLevel="0" collapsed="false">
      <c r="A68" s="59" t="s">
        <v>258</v>
      </c>
      <c r="B68" s="69" t="n">
        <f aca="false">H55</f>
        <v>48385.6984970119</v>
      </c>
      <c r="C68" s="69" t="n">
        <f aca="false">H37</f>
        <v>13491.4978057298</v>
      </c>
      <c r="D68" s="72" t="n">
        <f aca="false">B68/C68</f>
        <v>3.58638449145821</v>
      </c>
      <c r="E68" s="69" t="n">
        <f aca="false">H19</f>
        <v>13491.4978057298</v>
      </c>
      <c r="F68" s="70" t="n">
        <f aca="false">D68*E68</f>
        <v>48385.6984970119</v>
      </c>
    </row>
    <row r="69" customFormat="false" ht="15" hidden="false" customHeight="false" outlineLevel="0" collapsed="false">
      <c r="A69" s="59" t="s">
        <v>259</v>
      </c>
      <c r="B69" s="69" t="n">
        <f aca="false">I55</f>
        <v>-40952.4213589206</v>
      </c>
      <c r="C69" s="69" t="n">
        <f aca="false">I37</f>
        <v>-10538.9833706257</v>
      </c>
      <c r="D69" s="72" t="n">
        <f aca="false">B69/C69</f>
        <v>3.88580377430553</v>
      </c>
      <c r="E69" s="69" t="n">
        <f aca="false">I19</f>
        <v>-10538.9833706257</v>
      </c>
      <c r="F69" s="70" t="n">
        <f aca="false">D69*E69</f>
        <v>-40952.4213589206</v>
      </c>
    </row>
    <row r="70" customFormat="false" ht="15" hidden="false" customHeight="false" outlineLevel="0" collapsed="false">
      <c r="A70" s="59" t="s">
        <v>260</v>
      </c>
      <c r="B70" s="69" t="n">
        <f aca="false">J55</f>
        <v>-19095.0213502068</v>
      </c>
      <c r="C70" s="69" t="n">
        <f aca="false">J37</f>
        <v>-6044.32027248355</v>
      </c>
      <c r="D70" s="72" t="n">
        <f aca="false">B70/C70</f>
        <v>3.1591676961818</v>
      </c>
      <c r="E70" s="69" t="n">
        <f aca="false">J19</f>
        <v>-24730.3898190036</v>
      </c>
      <c r="F70" s="70" t="n">
        <f aca="false">D70*E70</f>
        <v>-78127.4486301795</v>
      </c>
    </row>
    <row r="71" customFormat="false" ht="15" hidden="false" customHeight="false" outlineLevel="0" collapsed="false">
      <c r="A71" s="59" t="s">
        <v>261</v>
      </c>
      <c r="B71" s="69" t="n">
        <f aca="false">K55</f>
        <v>9789.62565762705</v>
      </c>
      <c r="C71" s="69" t="n">
        <f aca="false">K37</f>
        <v>2744.93582235277</v>
      </c>
      <c r="D71" s="72" t="n">
        <f aca="false">B71/C71</f>
        <v>3.56643152743588</v>
      </c>
      <c r="E71" s="69" t="n">
        <f aca="false">K19</f>
        <v>-5032.86164114283</v>
      </c>
      <c r="F71" s="70" t="n">
        <f aca="false">D71*E71</f>
        <v>-17949.3564301945</v>
      </c>
    </row>
    <row r="72" customFormat="false" ht="15" hidden="false" customHeight="false" outlineLevel="0" collapsed="false">
      <c r="A72" s="59" t="s">
        <v>262</v>
      </c>
      <c r="B72" s="69" t="n">
        <f aca="false">L55</f>
        <v>25838.3984551082</v>
      </c>
      <c r="C72" s="69" t="n">
        <f aca="false">L37</f>
        <v>7441.20582685278</v>
      </c>
      <c r="D72" s="72" t="n">
        <f aca="false">B72/C72</f>
        <v>3.47234024381723</v>
      </c>
      <c r="E72" s="69" t="n">
        <f aca="false">L19</f>
        <v>7441.20582685278</v>
      </c>
      <c r="F72" s="70" t="n">
        <f aca="false">D72*E72</f>
        <v>25838.3984551082</v>
      </c>
    </row>
    <row r="73" customFormat="false" ht="15" hidden="false" customHeight="false" outlineLevel="0" collapsed="false">
      <c r="A73" s="59" t="s">
        <v>263</v>
      </c>
      <c r="B73" s="69" t="n">
        <f aca="false">M55</f>
        <v>48385.6984970119</v>
      </c>
      <c r="C73" s="69" t="n">
        <f aca="false">M37</f>
        <v>13491.4978057298</v>
      </c>
      <c r="D73" s="72" t="n">
        <f aca="false">B73/C73</f>
        <v>3.58638449145821</v>
      </c>
      <c r="E73" s="69" t="n">
        <f aca="false">M19</f>
        <v>13491.4978057298</v>
      </c>
      <c r="F73" s="70" t="n">
        <f aca="false">D73*E73</f>
        <v>48385.6984970119</v>
      </c>
    </row>
    <row r="75" customFormat="false" ht="39.75" hidden="false" customHeight="true" outlineLevel="0" collapsed="false">
      <c r="A75" s="15" t="s">
        <v>336</v>
      </c>
      <c r="B75" s="15"/>
      <c r="C75" s="15"/>
      <c r="D75" s="15"/>
      <c r="E75" s="15"/>
      <c r="F75" s="15"/>
    </row>
  </sheetData>
  <mergeCells count="8">
    <mergeCell ref="A1:M1"/>
    <mergeCell ref="A2:M2"/>
    <mergeCell ref="A4:M4"/>
    <mergeCell ref="A22:M22"/>
    <mergeCell ref="A40:M40"/>
    <mergeCell ref="A58:F58"/>
    <mergeCell ref="A59:F59"/>
    <mergeCell ref="A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2026-08-04T11:28:17Z</dcterms:created>
  <dc:creator>openpyxl</dc:creator>
  <dc:description/>
  <dc:language>en-US</dc:language>
  <cp:lastModifiedBy/>
  <dcterms:modified xsi:type="dcterms:W3CDTF">2026-08-10T11:42:52Z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