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5fba7ca3a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" sheetId="1" r:id="R25a4562243004f06"/>
    <x:sheet xmlns:r="http://schemas.openxmlformats.org/officeDocument/2006/relationships" name="Inputs" sheetId="2" r:id="R3a13c1272acb445d"/>
    <x:sheet xmlns:r="http://schemas.openxmlformats.org/officeDocument/2006/relationships" name="RF_Returns" sheetId="3" r:id="R9d78850a20dc4613"/>
    <x:sheet xmlns:r="http://schemas.openxmlformats.org/officeDocument/2006/relationships" name="Shock_Calibration" sheetId="4" r:id="R02360fd054e74c2c"/>
    <x:sheet xmlns:r="http://schemas.openxmlformats.org/officeDocument/2006/relationships" name="Loss_Profile" sheetId="5" r:id="R8a34c59330674822"/>
    <x:sheet xmlns:r="http://schemas.openxmlformats.org/officeDocument/2006/relationships" name="SES_Output" sheetId="6" r:id="Raaada83f44cf41cc"/>
    <x:sheet xmlns:r="http://schemas.openxmlformats.org/officeDocument/2006/relationships" name="Sources" sheetId="7" r:id="R2bb59df1c774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%"/>
    <x:numFmt numFmtId="202" formatCode="$#,##0"/>
    <x:numFmt numFmtId="203" formatCode="0"/>
    <x:numFmt numFmtId="204" formatCode="0.00"/>
    <x:numFmt numFmtId="205" formatCode="0.00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334155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CBD5E1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205" fontId="0" fillId="7" borderId="0" xfId="0" applyNumberFormat="1" applyFont="1" applyFill="1" applyBorder="1" applyAlignment="1">
      <x:alignment wrapText="1"/>
    </x:xf>
    <x:xf numFmtId="205" fontId="5" fillId="8" borderId="0" xfId="0" applyNumberFormat="1" applyFont="1" applyFill="1" applyBorder="1" applyAlignment="1">
      <x:alignment wrapText="1"/>
    </x:xf>
    <x:xf numFmtId="205" fontId="0" fillId="7" borderId="1" xfId="0" applyNumberFormat="1" applyFont="1" applyFill="1" applyBorder="1" applyAlignment="1">
      <x:alignment wrapText="1"/>
    </x:xf>
    <x:xf numFmtId="205" fontId="5" fillId="8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202" fontId="5" fillId="8" borderId="0" xfId="0" applyNumberFormat="1" applyFont="1" applyFill="1" applyBorder="1" applyAlignment="1">
      <x:alignment wrapText="1"/>
    </x:xf>
    <x:xf numFmtId="202" fontId="5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3" fontId="0" fillId="5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4" fontId="0" fillId="5" borderId="0" xfId="0" applyNumberFormat="1" applyFont="1" applyFill="1" applyBorder="1" applyAlignment="1">
      <x:alignment vertical="top" wrapText="1"/>
    </x:xf>
    <x:xf numFmtId="202" fontId="0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3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4" fontId="0" fillId="5" borderId="1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5" fontId="0" fillId="7" borderId="0" xfId="0" applyNumberFormat="1" applyFont="1" applyFill="1" applyBorder="1" applyAlignment="1">
      <x:alignment vertical="top" wrapText="1"/>
    </x:xf>
    <x:xf numFmtId="205" fontId="5" fillId="8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5" fontId="0" fillId="7" borderId="1" xfId="0" applyNumberFormat="1" applyFont="1" applyFill="1" applyBorder="1" applyAlignment="1">
      <x:alignment vertical="top" wrapText="1"/>
    </x:xf>
    <x:xf numFmtId="205" fontId="5" fillId="8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7" borderId="1" xfId="0" applyNumberFormat="1" applyFont="1" applyFill="1" applyBorder="1" applyAlignment="1">
      <x:alignment vertical="top" wrapText="1"/>
    </x:xf>
    <x:xf numFmtId="202" fontId="5" fillId="8" borderId="0" xfId="0" applyNumberFormat="1" applyFont="1" applyFill="1" applyBorder="1" applyAlignment="1">
      <x:alignment vertical="top" wrapText="1"/>
    </x:xf>
    <x:xf numFmtId="202" fontId="5" fillId="8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/>
    </x:xf>
    <x:xf numFmtId="0" fontId="3" fillId="4" borderId="3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1c93847f448d9" /><Relationship Type="http://schemas.openxmlformats.org/officeDocument/2006/relationships/theme" Target="/xl/theme/theme1.xml" Id="R955a248e71b84941" /><Relationship Type="http://schemas.openxmlformats.org/officeDocument/2006/relationships/sharedStrings" Target="/xl/sharedStrings.xml" Id="Rdd7f6c3498a34601" /><Relationship Type="http://schemas.openxmlformats.org/officeDocument/2006/relationships/worksheet" Target="/xl/worksheets/sheet1.xml" Id="R25a4562243004f06" /><Relationship Type="http://schemas.openxmlformats.org/officeDocument/2006/relationships/worksheet" Target="/xl/worksheets/sheet2.xml" Id="R3a13c1272acb445d" /><Relationship Type="http://schemas.openxmlformats.org/officeDocument/2006/relationships/worksheet" Target="/xl/worksheets/sheet3.xml" Id="R9d78850a20dc4613" /><Relationship Type="http://schemas.openxmlformats.org/officeDocument/2006/relationships/worksheet" Target="/xl/worksheets/sheet4.xml" Id="R02360fd054e74c2c" /><Relationship Type="http://schemas.openxmlformats.org/officeDocument/2006/relationships/worksheet" Target="/xl/worksheets/sheet5.xml" Id="R8a34c59330674822" /><Relationship Type="http://schemas.openxmlformats.org/officeDocument/2006/relationships/worksheet" Target="/xl/worksheets/sheet6.xml" Id="Raaada83f44cf41cc" /><Relationship Type="http://schemas.openxmlformats.org/officeDocument/2006/relationships/worksheet" Target="/xl/worksheets/sheet7.xml" Id="R2bb59df1c77444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e7ba41e0cd47b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Shock x (bps)</c:v>
          </c:tx>
          <c:cat>
            <c:strRef>
              <c:f>'Loss_Profile'!$A$6:$A$9</c:f>
              <c:strCache>
                <c:ptCount val="0"/>
              </c:strCache>
            </c:strRef>
          </c:cat>
          <c:val>
            <c:numRef>
              <c:f>'Loss_Profile'!$B$6:$B$9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RF value after shock</c:v>
          </c:tx>
          <c:cat>
            <c:strRef>
              <c:f>'Loss_Profile'!$A$6:$A$9</c:f>
              <c:strCache>
                <c:ptCount val="0"/>
              </c:strCache>
            </c:strRef>
          </c:cat>
          <c:val>
            <c:numRef>
              <c:f>'Loss_Profile'!$C$6:$C$9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Base NPV</c:v>
          </c:tx>
          <c:cat>
            <c:strRef>
              <c:f>'Loss_Profile'!$A$6:$A$9</c:f>
              <c:strCache>
                <c:ptCount val="0"/>
              </c:strCache>
            </c:strRef>
          </c:cat>
          <c:val>
            <c:numRef>
              <c:f>'Loss_Profile'!$D$6:$D$9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Loss model</c:v>
          </c:tx>
          <c:cat>
            <c:strRef>
              <c:f>'Loss_Profile'!$A$6:$A$9</c:f>
              <c:strCache>
                <c:ptCount val="0"/>
              </c:strCache>
            </c:strRef>
          </c:cat>
          <c:val>
            <c:numRef>
              <c:f>'Loss_Profile'!$E$6:$E$9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Stressed NPV</c:v>
          </c:tx>
          <c:cat>
            <c:strRef>
              <c:f>'Loss_Profile'!$A$6:$A$9</c:f>
              <c:strCache>
                <c:ptCount val="0"/>
              </c:strCache>
            </c:strRef>
          </c:cat>
          <c:val>
            <c:numRef>
              <c:f>'Loss_Profile'!$F$6:$F$9</c:f>
              <c:numCache>
                <c:formatCode>$#,##0</c:formatCode>
                <c:ptCount val="0"/>
              </c:numCache>
            </c:numRef>
          </c:val>
        </c:ser>
        <c:ser>
          <c:idx val="5"/>
          <c:order val="5"/>
          <c:tx>
            <c:v>Loss</c:v>
          </c:tx>
          <c:cat>
            <c:strRef>
              <c:f>'Loss_Profile'!$A$6:$A$9</c:f>
              <c:strCache>
                <c:ptCount val="0"/>
              </c:strCache>
            </c:strRef>
          </c:cat>
          <c:val>
            <c:numRef>
              <c:f>'Loss_Profile'!$G$6:$G$9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e7ba41e0cd47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c9336cdf65042e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28" hidden="0" customHeight="1">
      <x:c r="A1" s="76" t="str">
        <x:v>SES / SSRM Single-NMRF Methodology - Simplified</x:v>
      </x:c>
      <x:c r="B1" s="81"/>
      <x:c r="C1" s="81"/>
      <x:c r="D1" s="81"/>
    </x:row>
    <x:row r="2">
      <x:c r="A2" s="81"/>
      <x:c r="B2" s="81"/>
      <x:c r="C2" s="81"/>
      <x:c r="D2" s="81"/>
    </x:row>
    <x:row r="3" ht="24" hidden="0" customHeight="1">
      <x:c r="A3" s="82" t="str">
        <x:v>Workflow used in this workbook</x:v>
      </x:c>
      <x:c r="B3" s="81"/>
      <x:c r="C3" s="81"/>
      <x:c r="D3" s="81"/>
    </x:row>
    <x:row r="4" ht="15" hidden="0" customHeight="1">
      <x:c r="A4" s="83" t="str">
        <x:v>Step</x:v>
      </x:c>
      <x:c r="B4" s="83" t="str">
        <x:v>Business meaning</x:v>
      </x:c>
      <x:c r="C4" s="83" t="str">
        <x:v>Workbook implementation</x:v>
      </x:c>
      <x:c r="D4" s="83" t="str">
        <x:v>Key control</x:v>
      </x:c>
    </x:row>
    <x:row r="5" ht="56" hidden="0" customHeight="1">
      <x:c r="A5" s="84" t="n">
        <x:v>1</x:v>
      </x:c>
      <x:c r="B5" s="81" t="str">
        <x:v>Start with the RFET outcome: risk factor is non-modellable.</x:v>
      </x:c>
      <x:c r="C5" s="81" t="str">
        <x:v>Inputs sheet identifies the NMRF and risk class.</x:v>
      </x:c>
      <x:c r="D5" s="81" t="str">
        <x:v>Only NMRFs go through this SES path.</x:v>
      </x:c>
    </x:row>
    <x:row r="6" ht="56" hidden="0" customHeight="1">
      <x:c r="A6" s="84" t="n">
        <x:v>2</x:v>
      </x:c>
      <x:c r="B6" s="81" t="str">
        <x:v>Build stress-period 10-business-day return series.</x:v>
      </x:c>
      <x:c r="C6" s="81" t="str">
        <x:v>RF_Returns sheet contains pre-computed 10-day shocks in bps.</x:v>
      </x:c>
      <x:c r="D6" s="81" t="str">
        <x:v>Use nearest-to-10-day rescaling if observations are sparse.</x:v>
      </x:c>
    </x:row>
    <x:row r="7" ht="56" hidden="0" customHeight="1">
      <x:c r="A7" s="84" t="n">
        <x:v>3</x:v>
      </x:c>
      <x:c r="B7" s="81" t="str">
        <x:v>Pick shock calibration method based on number of returns.</x:v>
      </x:c>
      <x:c r="C7" s="81" t="str">
        <x:v>Shock_Calibration!B4 selects Historical / Asigma / Fallback.</x:v>
      </x:c>
      <x:c r="D7" s="81" t="str">
        <x:v>N &gt;= 200 historical; 12 &lt;= N &lt; 200 asigma; N &lt; 12 fallback.</x:v>
      </x:c>
    </x:row>
    <x:row r="8" ht="56" hidden="0" customHeight="1">
      <x:c r="A8" s="84" t="n">
        <x:v>4</x:v>
      </x:c>
      <x:c r="B8" s="81" t="str">
        <x:v>Calibrate down/up shocks.</x:v>
      </x:c>
      <x:c r="C8" s="81" t="str">
        <x:v>Shock_Calibration computes CS_down and CS_up.</x:v>
      </x:c>
      <x:c r="D8" s="81" t="str">
        <x:v>UCF increases the shock when fewer observations are available.</x:v>
      </x:c>
    </x:row>
    <x:row r="9" ht="56" hidden="0" customHeight="1">
      <x:c r="A9" s="84" t="n">
        <x:v>5</x:v>
      </x:c>
      <x:c r="B9" s="81" t="str">
        <x:v>Revalue portfolio on four grid shocks.</x:v>
      </x:c>
      <x:c r="C9" s="81" t="str">
        <x:v>Loss_Profile calculates loss at -CS_down, -0.8CS_down, +0.8CS_up, +CS_up.</x:v>
      </x:c>
      <x:c r="D9" s="81" t="str">
        <x:v>Loss = Base NPV - Stressed NPV; loss positive.</x:v>
      </x:c>
    </x:row>
    <x:row r="10" ht="56" hidden="0" customHeight="1">
      <x:c r="A10" s="84" t="n">
        <x:v>6</x:v>
      </x:c>
      <x:c r="B10" s="81" t="str">
        <x:v>Select extreme scenario future shock.</x:v>
      </x:c>
      <x:c r="C10" s="81" t="str">
        <x:v>SES_Output selects the shock with maximum loss.</x:v>
      </x:c>
      <x:c r="D10" s="81" t="str">
        <x:v>Worst point can be boundary or inner point.</x:v>
      </x:c>
    </x:row>
    <x:row r="11" ht="56" hidden="0" customHeight="1">
      <x:c r="A11" s="84" t="n">
        <x:v>7</x:v>
      </x:c>
      <x:c r="B11" s="81" t="str">
        <x:v>Apply non-linearity correction only if boundary point wins.</x:v>
      </x:c>
      <x:c r="C11" s="81" t="str">
        <x:v>SES_Output computes K using 0.8, 1.0, and 1.2 times FSD.</x:v>
      </x:c>
      <x:c r="D11" s="81" t="str">
        <x:v>K is floored at 0.9 and capped at 5.</x:v>
      </x:c>
    </x:row>
    <x:row r="12" ht="56" hidden="0" customHeight="1">
      <x:c r="A12" s="84" t="n">
        <x:v>8</x:v>
      </x:c>
      <x:c r="B12" s="81" t="str">
        <x:v>Scale from 10-day to liquidity horizon.</x:v>
      </x:c>
      <x:c r="C12" s="81" t="str">
        <x:v>SES_Output scales SS10d by sqrt(max(LH,20)/10).</x:v>
      </x:c>
      <x:c r="D12" s="81" t="str">
        <x:v>LH is floored at 20 business days.</x:v>
      </x:c>
    </x:row>
    <x:row r="13" ht="56" hidden="0" customHeight="1">
      <x:c r="A13" s="84" t="n">
        <x:v>9</x:v>
      </x:c>
      <x:c r="B13" s="81" t="str">
        <x:v>For a single NMRF, SES equals the final scaled SS.</x:v>
      </x:c>
      <x:c r="C13" s="81" t="str">
        <x:v>SES_Output shows final SES contribution.</x:v>
      </x:c>
      <x:c r="D13" s="81" t="str">
        <x:v>Portfolio-level aggregation is covered in the methodology document.</x:v>
      </x:c>
    </x:row>
    <x:row r="14">
      <x:c r="A14" s="81"/>
      <x:c r="B14" s="81"/>
      <x:c r="C14" s="81"/>
      <x:c r="D14" s="81"/>
    </x:row>
    <x:row r="15" ht="15" hidden="0" customHeight="1">
      <x:c r="A15" s="82" t="str">
        <x:v>Plain-English logic</x:v>
      </x:c>
      <x:c r="B15" s="81"/>
      <x:c r="C15" s="81"/>
      <x:c r="D15" s="81"/>
    </x:row>
    <x:row r="16" ht="15" hidden="0" customHeight="1">
      <x:c r="A16" s="83" t="str">
        <x:v>Question</x:v>
      </x:c>
      <x:c r="B16" s="83" t="str">
        <x:v>Simple answer</x:v>
      </x:c>
      <x:c r="C16" s="81"/>
      <x:c r="D16" s="81"/>
    </x:row>
    <x:row r="17" ht="46" hidden="0" customHeight="1">
      <x:c r="A17" s="81" t="str">
        <x:v>What is SES for NMRF?</x:v>
      </x:c>
      <x:c r="B17" s="81" t="str">
        <x:v>It is the capital for risks that failed modellability; it is incremental to modellable ES.</x:v>
      </x:c>
      <x:c r="C17" s="81"/>
      <x:c r="D17" s="81"/>
    </x:row>
    <x:row r="18" ht="46" hidden="0" customHeight="1">
      <x:c r="A18" s="81" t="str">
        <x:v>Why not compute ES directly for every NMRF?</x:v>
      </x:c>
      <x:c r="B18" s="81" t="str">
        <x:v>Direct ES requires many revaluations per NMRF. The simplified method uses only a few stressed revaluations.</x:v>
      </x:c>
      <x:c r="C18" s="81"/>
      <x:c r="D18" s="81"/>
    </x:row>
    <x:row r="19" ht="46" hidden="0" customHeight="1">
      <x:c r="A19" s="81" t="str">
        <x:v>What does the method stress?</x:v>
      </x:c>
      <x:c r="B19" s="81" t="str">
        <x:v>It stresses the risk factor return distribution first, then revalues the portfolio at extreme up/down shocks.</x:v>
      </x:c>
      <x:c r="C19" s="81"/>
      <x:c r="D19" s="81"/>
    </x:row>
    <x:row r="20" ht="46" hidden="0" customHeight="1">
      <x:c r="A20" s="81" t="str">
        <x:v>Why both up and down?</x:v>
      </x:c>
      <x:c r="B20" s="81" t="str">
        <x:v>The portfolio may lose money when the risk factor rises or falls; the method takes the worse side.</x:v>
      </x:c>
      <x:c r="C20" s="81"/>
      <x:c r="D20" s="81"/>
    </x:row>
    <x:row r="21" ht="46" hidden="0" customHeight="1">
      <x:c r="A21" s="81" t="str">
        <x:v>Why UCF?</x:v>
      </x:c>
      <x:c r="B21" s="81" t="str">
        <x:v>Less data means more estimation uncertainty, so the shock is inflated.</x:v>
      </x:c>
      <x:c r="C21" s="81"/>
      <x:c r="D21" s="81"/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F1"/>
    <x:mergeCell ref="A3:F3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50" hidden="0" customWidth="1"/>
  </x:cols>
  <x:sheetData>
    <x:row r="1" ht="28" hidden="0" customHeight="1">
      <x:c r="A1" s="80" t="str">
        <x:v>Inputs - Single NMRF Example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83" t="str">
        <x:v>Input</x:v>
      </x:c>
      <x:c r="B3" s="83" t="str">
        <x:v>Value</x:v>
      </x:c>
      <x:c r="C3" s="83" t="str">
        <x:v>Unit</x:v>
      </x:c>
      <x:c r="D3" s="83" t="str">
        <x:v>Notes</x:v>
      </x:c>
      <x:c r="E3" s="81"/>
      <x:c r="F3" s="81"/>
      <x:c r="G3" s="81"/>
      <x:c r="H3" s="81"/>
      <x:c r="I3" s="81"/>
      <x:c r="J3" s="81"/>
    </x:row>
    <x:row r="4" ht="15" hidden="0" customHeight="1">
      <x:c r="A4" s="81" t="str">
        <x:v>Reference date</x:v>
      </x:c>
      <x:c r="B4" s="92" t="n">
        <x:v>46226</x:v>
      </x:c>
      <x:c r="C4" s="81" t="str"/>
      <x:c r="D4" s="81" t="str">
        <x:v>Example date only</x:v>
      </x:c>
      <x:c r="E4" s="81"/>
      <x:c r="F4" s="81"/>
      <x:c r="G4" s="81"/>
      <x:c r="H4" s="81"/>
      <x:c r="I4" s="81"/>
      <x:c r="J4" s="81"/>
    </x:row>
    <x:row r="5" ht="15" hidden="0" customHeight="1">
      <x:c r="A5" s="81" t="str">
        <x:v>NMRF name</x:v>
      </x:c>
      <x:c r="B5" s="93" t="str">
        <x:v>5Y EUR/USD XCCY basis</x:v>
      </x:c>
      <x:c r="C5" s="81" t="str"/>
      <x:c r="D5" s="81" t="str">
        <x:v>Example risk factor</x:v>
      </x:c>
      <x:c r="E5" s="81"/>
      <x:c r="F5" s="81"/>
      <x:c r="G5" s="81"/>
      <x:c r="H5" s="81"/>
      <x:c r="I5" s="81"/>
      <x:c r="J5" s="81"/>
    </x:row>
    <x:row r="6" ht="15" hidden="0" customHeight="1">
      <x:c r="A6" s="81" t="str">
        <x:v>Risk class</x:v>
      </x:c>
      <x:c r="B6" s="94" t="str">
        <x:v>IR / FX basis</x:v>
      </x:c>
      <x:c r="C6" s="81" t="str"/>
      <x:c r="D6" s="81" t="str">
        <x:v>For illustration</x:v>
      </x:c>
      <x:c r="E6" s="81"/>
      <x:c r="F6" s="81"/>
      <x:c r="G6" s="81"/>
      <x:c r="H6" s="81"/>
      <x:c r="I6" s="81"/>
      <x:c r="J6" s="81"/>
    </x:row>
    <x:row r="7" ht="15" hidden="0" customHeight="1">
      <x:c r="A7" s="81" t="str">
        <x:v>Return type</x:v>
      </x:c>
      <x:c r="B7" s="94" t="str">
        <x:v>Absolute</x:v>
      </x:c>
      <x:c r="C7" s="81" t="str">
        <x:v>bps</x:v>
      </x:c>
      <x:c r="D7" s="81" t="str">
        <x:v>RF shocks are absolute bps changes</x:v>
      </x:c>
      <x:c r="E7" s="81"/>
      <x:c r="F7" s="81"/>
      <x:c r="G7" s="81"/>
      <x:c r="H7" s="81"/>
      <x:c r="I7" s="81"/>
      <x:c r="J7" s="81"/>
    </x:row>
    <x:row r="8" ht="15" hidden="0" customHeight="1">
      <x:c r="A8" s="81" t="str">
        <x:v>Liquidity horizon</x:v>
      </x:c>
      <x:c r="B8" s="95" t="n">
        <x:v>40</x:v>
      </x:c>
      <x:c r="C8" s="81" t="str">
        <x:v>business days</x:v>
      </x:c>
      <x:c r="D8" s="81" t="str">
        <x:v>Scaled after SS10d</x:v>
      </x:c>
      <x:c r="E8" s="81"/>
      <x:c r="F8" s="81"/>
      <x:c r="G8" s="81"/>
      <x:c r="H8" s="81"/>
      <x:c r="I8" s="81"/>
      <x:c r="J8" s="81"/>
    </x:row>
    <x:row r="9" ht="15" hidden="0" customHeight="1">
      <x:c r="A9" s="81" t="str">
        <x:v>Alpha tail</x:v>
      </x:c>
      <x:c r="B9" s="95" t="n">
        <x:v>0.025</x:v>
      </x:c>
      <x:c r="C9" s="81" t="str"/>
      <x:c r="D9" s="81" t="str">
        <x:v>2.5% tail = 97.5% confidence ES</x:v>
      </x:c>
      <x:c r="E9" s="81"/>
      <x:c r="F9" s="81"/>
      <x:c r="G9" s="81"/>
      <x:c r="H9" s="81"/>
      <x:c r="I9" s="81"/>
      <x:c r="J9" s="81"/>
    </x:row>
    <x:row r="10" ht="15" hidden="0" customHeight="1">
      <x:c r="A10" s="81" t="str">
        <x:v>C_asigma_ES</x:v>
      </x:c>
      <x:c r="B10" s="95" t="n">
        <x:v>3</x:v>
      </x:c>
      <x:c r="C10" s="81" t="str"/>
      <x:c r="D10" s="81" t="str">
        <x:v>Asymmetrical sigma multiplier</x:v>
      </x:c>
      <x:c r="E10" s="81"/>
      <x:c r="F10" s="81"/>
      <x:c r="G10" s="81"/>
      <x:c r="H10" s="81"/>
      <x:c r="I10" s="81"/>
      <x:c r="J10" s="81"/>
    </x:row>
    <x:row r="11" ht="15" hidden="0" customHeight="1">
      <x:c r="A11" s="81" t="str">
        <x:v>Phi_asigma</x:v>
      </x:c>
      <x:c r="B11" s="96" t="n">
        <x:v>1.04</x:v>
      </x:c>
      <x:c r="C11" s="81" t="str"/>
      <x:c r="D11" s="81" t="str">
        <x:v>Tail shape constant for asigma method</x:v>
      </x:c>
      <x:c r="E11" s="81"/>
      <x:c r="F11" s="81"/>
      <x:c r="G11" s="81"/>
      <x:c r="H11" s="81"/>
      <x:c r="I11" s="81"/>
      <x:c r="J11" s="81"/>
    </x:row>
    <x:row r="12" ht="15" hidden="0" customHeight="1">
      <x:c r="A12" s="81" t="str">
        <x:v>UCF_A</x:v>
      </x:c>
      <x:c r="B12" s="96" t="n">
        <x:v>0.95</x:v>
      </x:c>
      <x:c r="C12" s="81" t="str"/>
      <x:c r="D12" s="81" t="str">
        <x:v>Uncertainty compensation constant</x:v>
      </x:c>
      <x:c r="E12" s="81"/>
      <x:c r="F12" s="81"/>
      <x:c r="G12" s="81"/>
      <x:c r="H12" s="81"/>
      <x:c r="I12" s="81"/>
      <x:c r="J12" s="81"/>
    </x:row>
    <x:row r="13" ht="15" hidden="0" customHeight="1">
      <x:c r="A13" s="81" t="str">
        <x:v>UCF_B</x:v>
      </x:c>
      <x:c r="B13" s="96" t="n">
        <x:v>1</x:v>
      </x:c>
      <x:c r="C13" s="81" t="str"/>
      <x:c r="D13" s="81" t="str">
        <x:v>Uncertainty compensation constant</x:v>
      </x:c>
      <x:c r="E13" s="81"/>
      <x:c r="F13" s="81"/>
      <x:c r="G13" s="81"/>
      <x:c r="H13" s="81"/>
      <x:c r="I13" s="81"/>
      <x:c r="J13" s="81"/>
    </x:row>
    <x:row r="14" ht="15" hidden="0" customHeight="1">
      <x:c r="A14" s="81" t="str">
        <x:v>Base NPV</x:v>
      </x:c>
      <x:c r="B14" s="97" t="n">
        <x:v>100000000</x:v>
      </x:c>
      <x:c r="C14" s="81" t="str">
        <x:v>USD</x:v>
      </x:c>
      <x:c r="D14" s="81" t="str">
        <x:v>Illustrative portfolio PV</x:v>
      </x:c>
      <x:c r="E14" s="81"/>
      <x:c r="F14" s="81"/>
      <x:c r="G14" s="81"/>
      <x:c r="H14" s="81"/>
      <x:c r="I14" s="81"/>
      <x:c r="J14" s="81"/>
    </x:row>
    <x:row r="15" ht="15" hidden="0" customHeight="1">
      <x:c r="A15" s="81" t="str">
        <x:v>Delta loss per bp</x:v>
      </x:c>
      <x:c r="B15" s="97" t="n">
        <x:v>75000</x:v>
      </x:c>
      <x:c r="C15" s="81" t="str">
        <x:v>USD / bp</x:v>
      </x:c>
      <x:c r="D15" s="81" t="str">
        <x:v>Positive means upward RF shock creates loss</x:v>
      </x:c>
      <x:c r="E15" s="81"/>
      <x:c r="F15" s="81"/>
      <x:c r="G15" s="81"/>
      <x:c r="H15" s="81"/>
      <x:c r="I15" s="81"/>
      <x:c r="J15" s="81"/>
    </x:row>
    <x:row r="16" ht="15" hidden="0" customHeight="1">
      <x:c r="A16" s="81" t="str">
        <x:v>Gamma loss per bp^2</x:v>
      </x:c>
      <x:c r="B16" s="97" t="n">
        <x:v>1500</x:v>
      </x:c>
      <x:c r="C16" s="81" t="str">
        <x:v>USD / bp^2</x:v>
      </x:c>
      <x:c r="D16" s="81" t="str">
        <x:v>Simple convexity term for example</x:v>
      </x:c>
      <x:c r="E16" s="81"/>
      <x:c r="F16" s="81"/>
      <x:c r="G16" s="81"/>
      <x:c r="H16" s="81"/>
      <x:c r="I16" s="81"/>
      <x:c r="J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5.3800048828125" hidden="0" customWidth="1"/>
    <x:col min="2" max="2" width="15.130000114440918" hidden="0" customWidth="1"/>
    <x:col min="3" max="3" width="12.130000114440918" hidden="0" customWidth="1"/>
    <x:col min="4" max="4" width="11" hidden="0" customWidth="1"/>
    <x:col min="5" max="5" width="8.630000114440918" hidden="0" customWidth="1"/>
    <x:col min="6" max="6" width="30" hidden="0" customWidth="1"/>
  </x:cols>
  <x:sheetData>
    <x:row r="1" ht="28" hidden="0" customHeight="1">
      <x:c r="A1" s="80" t="str">
        <x:v>RF_Returns - Stress Period 10-Day Shocks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106" t="str">
        <x:v>In production, these rows would be built from stressed-period RF observations using rolling or nearest-to-10-business-day returns. For the example, they are already expressed as 10-day absolute shocks in bps.</x:v>
      </x:c>
      <x:c r="B3" s="81"/>
      <x:c r="C3" s="81"/>
      <x:c r="D3" s="81"/>
      <x:c r="E3" s="81"/>
      <x:c r="F3" s="81"/>
      <x:c r="G3" s="81"/>
      <x:c r="H3" s="81"/>
      <x:c r="I3" s="81"/>
      <x:c r="J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</x:row>
    <x:row r="5" ht="15" hidden="0" customHeight="1">
      <x:c r="A5" s="83" t="str">
        <x:v>Obs #</x:v>
      </x:c>
      <x:c r="B5" s="83" t="str">
        <x:v>10d RF return (bps)</x:v>
      </x:c>
      <x:c r="C5" s="83" t="str">
        <x:v>Split vs median</x:v>
      </x:c>
      <x:c r="D5" s="83" t="str">
        <x:v>Down sample</x:v>
      </x:c>
      <x:c r="E5" s="83" t="str">
        <x:v>Up sample</x:v>
      </x:c>
      <x:c r="F5" s="83" t="str">
        <x:v>Comment</x:v>
      </x:c>
      <x:c r="G5" s="81"/>
      <x:c r="H5" s="81"/>
      <x:c r="I5" s="81"/>
      <x:c r="J5" s="81"/>
    </x:row>
    <x:row r="6" ht="15" hidden="0" customHeight="1">
      <x:c r="A6" s="81" t="n">
        <x:v>1</x:v>
      </x:c>
      <x:c r="B6" s="107" t="n">
        <x:v>-8.5</x:v>
      </x:c>
      <x:c r="C6" s="81" t="str">
        <x:f>IF(B6&lt;=Shock_Calibration!$B$3,"Down","Up")</x:f>
        <x:v>Down</x:v>
      </x:c>
      <x:c r="D6" s="81" t="n">
        <x:f>IF(B6&lt;=Shock_Calibration!$B$3,B6,"")</x:f>
        <x:v>-8.5</x:v>
      </x:c>
      <x:c r="E6" s="81" t="str">
        <x:f>IF(B6&gt;Shock_Calibration!$B$3,B6,"")</x:f>
      </x:c>
      <x:c r="F6" s="81" t="str">
        <x:v>Example stress observation</x:v>
      </x:c>
      <x:c r="G6" s="81"/>
      <x:c r="H6" s="81"/>
      <x:c r="I6" s="81"/>
      <x:c r="J6" s="81"/>
    </x:row>
    <x:row r="7" ht="15" hidden="0" customHeight="1">
      <x:c r="A7" s="81" t="n">
        <x:v>2</x:v>
      </x:c>
      <x:c r="B7" s="107" t="n">
        <x:v>-6.2</x:v>
      </x:c>
      <x:c r="C7" s="81" t="str">
        <x:f>IF(B7&lt;=Shock_Calibration!$B$3,"Down","Up")</x:f>
        <x:v>Down</x:v>
      </x:c>
      <x:c r="D7" s="81" t="n">
        <x:f>IF(B7&lt;=Shock_Calibration!$B$3,B7,"")</x:f>
        <x:v>-6.2</x:v>
      </x:c>
      <x:c r="E7" s="81" t="str">
        <x:f>IF(B7&gt;Shock_Calibration!$B$3,B7,"")</x:f>
      </x:c>
      <x:c r="F7" s="81" t="str">
        <x:v>Example stress observation</x:v>
      </x:c>
      <x:c r="G7" s="81"/>
      <x:c r="H7" s="81"/>
      <x:c r="I7" s="81"/>
      <x:c r="J7" s="81"/>
    </x:row>
    <x:row r="8" ht="15" hidden="0" customHeight="1">
      <x:c r="A8" s="81" t="n">
        <x:v>3</x:v>
      </x:c>
      <x:c r="B8" s="107" t="n">
        <x:v>-5.8</x:v>
      </x:c>
      <x:c r="C8" s="81" t="str">
        <x:f>IF(B8&lt;=Shock_Calibration!$B$3,"Down","Up")</x:f>
        <x:v>Down</x:v>
      </x:c>
      <x:c r="D8" s="81" t="n">
        <x:f>IF(B8&lt;=Shock_Calibration!$B$3,B8,"")</x:f>
        <x:v>-5.8</x:v>
      </x:c>
      <x:c r="E8" s="81" t="str">
        <x:f>IF(B8&gt;Shock_Calibration!$B$3,B8,"")</x:f>
      </x:c>
      <x:c r="F8" s="81" t="str">
        <x:v>Example stress observation</x:v>
      </x:c>
      <x:c r="G8" s="81"/>
      <x:c r="H8" s="81"/>
      <x:c r="I8" s="81"/>
      <x:c r="J8" s="81"/>
    </x:row>
    <x:row r="9" ht="15" hidden="0" customHeight="1">
      <x:c r="A9" s="81" t="n">
        <x:v>4</x:v>
      </x:c>
      <x:c r="B9" s="107" t="n">
        <x:v>-4.9</x:v>
      </x:c>
      <x:c r="C9" s="81" t="str">
        <x:f>IF(B9&lt;=Shock_Calibration!$B$3,"Down","Up")</x:f>
        <x:v>Down</x:v>
      </x:c>
      <x:c r="D9" s="81" t="n">
        <x:f>IF(B9&lt;=Shock_Calibration!$B$3,B9,"")</x:f>
        <x:v>-4.9</x:v>
      </x:c>
      <x:c r="E9" s="81" t="str">
        <x:f>IF(B9&gt;Shock_Calibration!$B$3,B9,"")</x:f>
      </x:c>
      <x:c r="F9" s="81" t="str">
        <x:v>Example stress observation</x:v>
      </x:c>
      <x:c r="G9" s="81"/>
      <x:c r="H9" s="81"/>
      <x:c r="I9" s="81"/>
      <x:c r="J9" s="81"/>
    </x:row>
    <x:row r="10" ht="15" hidden="0" customHeight="1">
      <x:c r="A10" s="81" t="n">
        <x:v>5</x:v>
      </x:c>
      <x:c r="B10" s="107" t="n">
        <x:v>-4.5</x:v>
      </x:c>
      <x:c r="C10" s="81" t="str">
        <x:f>IF(B10&lt;=Shock_Calibration!$B$3,"Down","Up")</x:f>
        <x:v>Down</x:v>
      </x:c>
      <x:c r="D10" s="81" t="n">
        <x:f>IF(B10&lt;=Shock_Calibration!$B$3,B10,"")</x:f>
        <x:v>-4.5</x:v>
      </x:c>
      <x:c r="E10" s="81" t="str">
        <x:f>IF(B10&gt;Shock_Calibration!$B$3,B10,"")</x:f>
      </x:c>
      <x:c r="F10" s="81" t="str">
        <x:v>Example stress observation</x:v>
      </x:c>
      <x:c r="G10" s="81"/>
      <x:c r="H10" s="81"/>
      <x:c r="I10" s="81"/>
      <x:c r="J10" s="81"/>
    </x:row>
    <x:row r="11" ht="15" hidden="0" customHeight="1">
      <x:c r="A11" s="81" t="n">
        <x:v>6</x:v>
      </x:c>
      <x:c r="B11" s="107" t="n">
        <x:v>-3.7</x:v>
      </x:c>
      <x:c r="C11" s="81" t="str">
        <x:f>IF(B11&lt;=Shock_Calibration!$B$3,"Down","Up")</x:f>
        <x:v>Down</x:v>
      </x:c>
      <x:c r="D11" s="81" t="n">
        <x:f>IF(B11&lt;=Shock_Calibration!$B$3,B11,"")</x:f>
        <x:v>-3.7</x:v>
      </x:c>
      <x:c r="E11" s="81" t="str">
        <x:f>IF(B11&gt;Shock_Calibration!$B$3,B11,"")</x:f>
      </x:c>
      <x:c r="F11" s="81" t="str">
        <x:v>Example stress observation</x:v>
      </x:c>
      <x:c r="G11" s="81"/>
      <x:c r="H11" s="81"/>
      <x:c r="I11" s="81"/>
      <x:c r="J11" s="81"/>
    </x:row>
    <x:row r="12" ht="15" hidden="0" customHeight="1">
      <x:c r="A12" s="81" t="n">
        <x:v>7</x:v>
      </x:c>
      <x:c r="B12" s="107" t="n">
        <x:v>-2.9</x:v>
      </x:c>
      <x:c r="C12" s="81" t="str">
        <x:f>IF(B12&lt;=Shock_Calibration!$B$3,"Down","Up")</x:f>
        <x:v>Down</x:v>
      </x:c>
      <x:c r="D12" s="81" t="n">
        <x:f>IF(B12&lt;=Shock_Calibration!$B$3,B12,"")</x:f>
        <x:v>-2.9</x:v>
      </x:c>
      <x:c r="E12" s="81" t="str">
        <x:f>IF(B12&gt;Shock_Calibration!$B$3,B12,"")</x:f>
      </x:c>
      <x:c r="F12" s="81" t="str">
        <x:v>Example stress observation</x:v>
      </x:c>
      <x:c r="G12" s="81"/>
      <x:c r="H12" s="81"/>
      <x:c r="I12" s="81"/>
      <x:c r="J12" s="81"/>
    </x:row>
    <x:row r="13" ht="15" hidden="0" customHeight="1">
      <x:c r="A13" s="81" t="n">
        <x:v>8</x:v>
      </x:c>
      <x:c r="B13" s="107" t="n">
        <x:v>-2.2</x:v>
      </x:c>
      <x:c r="C13" s="81" t="str">
        <x:f>IF(B13&lt;=Shock_Calibration!$B$3,"Down","Up")</x:f>
        <x:v>Down</x:v>
      </x:c>
      <x:c r="D13" s="81" t="n">
        <x:f>IF(B13&lt;=Shock_Calibration!$B$3,B13,"")</x:f>
        <x:v>-2.2</x:v>
      </x:c>
      <x:c r="E13" s="81" t="str">
        <x:f>IF(B13&gt;Shock_Calibration!$B$3,B13,"")</x:f>
      </x:c>
      <x:c r="F13" s="81" t="str">
        <x:v>Example stress observation</x:v>
      </x:c>
      <x:c r="G13" s="81"/>
      <x:c r="H13" s="81"/>
      <x:c r="I13" s="81"/>
      <x:c r="J13" s="81"/>
    </x:row>
    <x:row r="14" ht="15" hidden="0" customHeight="1">
      <x:c r="A14" s="81" t="n">
        <x:v>9</x:v>
      </x:c>
      <x:c r="B14" s="107" t="n">
        <x:v>-1.5</x:v>
      </x:c>
      <x:c r="C14" s="81" t="str">
        <x:f>IF(B14&lt;=Shock_Calibration!$B$3,"Down","Up")</x:f>
        <x:v>Down</x:v>
      </x:c>
      <x:c r="D14" s="81" t="n">
        <x:f>IF(B14&lt;=Shock_Calibration!$B$3,B14,"")</x:f>
        <x:v>-1.5</x:v>
      </x:c>
      <x:c r="E14" s="81" t="str">
        <x:f>IF(B14&gt;Shock_Calibration!$B$3,B14,"")</x:f>
      </x:c>
      <x:c r="F14" s="81" t="str">
        <x:v>Example stress observation</x:v>
      </x:c>
      <x:c r="G14" s="81"/>
      <x:c r="H14" s="81"/>
      <x:c r="I14" s="81"/>
      <x:c r="J14" s="81"/>
    </x:row>
    <x:row r="15" ht="15" hidden="0" customHeight="1">
      <x:c r="A15" s="81" t="n">
        <x:v>10</x:v>
      </x:c>
      <x:c r="B15" s="107" t="n">
        <x:v>-0.8</x:v>
      </x:c>
      <x:c r="C15" s="81" t="str">
        <x:f>IF(B15&lt;=Shock_Calibration!$B$3,"Down","Up")</x:f>
        <x:v>Down</x:v>
      </x:c>
      <x:c r="D15" s="81" t="n">
        <x:f>IF(B15&lt;=Shock_Calibration!$B$3,B15,"")</x:f>
        <x:v>-0.8</x:v>
      </x:c>
      <x:c r="E15" s="81" t="str">
        <x:f>IF(B15&gt;Shock_Calibration!$B$3,B15,"")</x:f>
      </x:c>
      <x:c r="F15" s="81" t="str">
        <x:v>Example stress observation</x:v>
      </x:c>
      <x:c r="G15" s="81"/>
      <x:c r="H15" s="81"/>
      <x:c r="I15" s="81"/>
      <x:c r="J15" s="81"/>
    </x:row>
    <x:row r="16" ht="15" hidden="0" customHeight="1">
      <x:c r="A16" s="81" t="n">
        <x:v>11</x:v>
      </x:c>
      <x:c r="B16" s="107" t="n">
        <x:v>0.4</x:v>
      </x:c>
      <x:c r="C16" s="81" t="str">
        <x:f>IF(B16&lt;=Shock_Calibration!$B$3,"Down","Up")</x:f>
        <x:v>Down</x:v>
      </x:c>
      <x:c r="D16" s="81" t="n">
        <x:f>IF(B16&lt;=Shock_Calibration!$B$3,B16,"")</x:f>
        <x:v>0.4</x:v>
      </x:c>
      <x:c r="E16" s="81" t="str">
        <x:f>IF(B16&gt;Shock_Calibration!$B$3,B16,"")</x:f>
      </x:c>
      <x:c r="F16" s="81" t="str">
        <x:v>Example stress observation</x:v>
      </x:c>
      <x:c r="G16" s="81"/>
      <x:c r="H16" s="81"/>
      <x:c r="I16" s="81"/>
      <x:c r="J16" s="81"/>
    </x:row>
    <x:row r="17" ht="15" hidden="0" customHeight="1">
      <x:c r="A17" s="81" t="n">
        <x:v>12</x:v>
      </x:c>
      <x:c r="B17" s="107" t="n">
        <x:v>1.1</x:v>
      </x:c>
      <x:c r="C17" s="81" t="str">
        <x:f>IF(B17&lt;=Shock_Calibration!$B$3,"Down","Up")</x:f>
        <x:v>Down</x:v>
      </x:c>
      <x:c r="D17" s="81" t="n">
        <x:f>IF(B17&lt;=Shock_Calibration!$B$3,B17,"")</x:f>
        <x:v>1.1</x:v>
      </x:c>
      <x:c r="E17" s="81" t="str">
        <x:f>IF(B17&gt;Shock_Calibration!$B$3,B17,"")</x:f>
      </x:c>
      <x:c r="F17" s="81" t="str">
        <x:v>Example stress observation</x:v>
      </x:c>
      <x:c r="G17" s="81"/>
      <x:c r="H17" s="81"/>
      <x:c r="I17" s="81"/>
      <x:c r="J17" s="81"/>
    </x:row>
    <x:row r="18" ht="15" hidden="0" customHeight="1">
      <x:c r="A18" s="81" t="n">
        <x:v>13</x:v>
      </x:c>
      <x:c r="B18" s="107" t="n">
        <x:v>1.8</x:v>
      </x:c>
      <x:c r="C18" s="81" t="str">
        <x:f>IF(B18&lt;=Shock_Calibration!$B$3,"Down","Up")</x:f>
        <x:v>Down</x:v>
      </x:c>
      <x:c r="D18" s="81" t="n">
        <x:f>IF(B18&lt;=Shock_Calibration!$B$3,B18,"")</x:f>
        <x:v>1.8</x:v>
      </x:c>
      <x:c r="E18" s="81" t="str">
        <x:f>IF(B18&gt;Shock_Calibration!$B$3,B18,"")</x:f>
      </x:c>
      <x:c r="F18" s="81" t="str">
        <x:v>Example stress observation</x:v>
      </x:c>
      <x:c r="G18" s="81"/>
      <x:c r="H18" s="81"/>
      <x:c r="I18" s="81"/>
      <x:c r="J18" s="81"/>
    </x:row>
    <x:row r="19" ht="15" hidden="0" customHeight="1">
      <x:c r="A19" s="81" t="n">
        <x:v>14</x:v>
      </x:c>
      <x:c r="B19" s="107" t="n">
        <x:v>2.5</x:v>
      </x:c>
      <x:c r="C19" s="81" t="str">
        <x:f>IF(B19&lt;=Shock_Calibration!$B$3,"Down","Up")</x:f>
        <x:v>Down</x:v>
      </x:c>
      <x:c r="D19" s="81" t="n">
        <x:f>IF(B19&lt;=Shock_Calibration!$B$3,B19,"")</x:f>
        <x:v>2.5</x:v>
      </x:c>
      <x:c r="E19" s="81" t="str">
        <x:f>IF(B19&gt;Shock_Calibration!$B$3,B19,"")</x:f>
      </x:c>
      <x:c r="F19" s="81" t="str">
        <x:v>Example stress observation</x:v>
      </x:c>
      <x:c r="G19" s="81"/>
      <x:c r="H19" s="81"/>
      <x:c r="I19" s="81"/>
      <x:c r="J19" s="81"/>
    </x:row>
    <x:row r="20" ht="15" hidden="0" customHeight="1">
      <x:c r="A20" s="81" t="n">
        <x:v>15</x:v>
      </x:c>
      <x:c r="B20" s="107" t="n">
        <x:v>3.4</x:v>
      </x:c>
      <x:c r="C20" s="81" t="str">
        <x:f>IF(B20&lt;=Shock_Calibration!$B$3,"Down","Up")</x:f>
        <x:v>Down</x:v>
      </x:c>
      <x:c r="D20" s="81" t="n">
        <x:f>IF(B20&lt;=Shock_Calibration!$B$3,B20,"")</x:f>
        <x:v>3.4</x:v>
      </x:c>
      <x:c r="E20" s="81" t="str">
        <x:f>IF(B20&gt;Shock_Calibration!$B$3,B20,"")</x:f>
      </x:c>
      <x:c r="F20" s="81" t="str">
        <x:v>Example stress observation</x:v>
      </x:c>
      <x:c r="G20" s="81"/>
      <x:c r="H20" s="81"/>
      <x:c r="I20" s="81"/>
      <x:c r="J20" s="81"/>
    </x:row>
    <x:row r="21" ht="15" hidden="0" customHeight="1">
      <x:c r="A21" s="81" t="n">
        <x:v>16</x:v>
      </x:c>
      <x:c r="B21" s="107" t="n">
        <x:v>4.2</x:v>
      </x:c>
      <x:c r="C21" s="81" t="str">
        <x:f>IF(B21&lt;=Shock_Calibration!$B$3,"Down","Up")</x:f>
        <x:v>Down</x:v>
      </x:c>
      <x:c r="D21" s="81" t="n">
        <x:f>IF(B21&lt;=Shock_Calibration!$B$3,B21,"")</x:f>
        <x:v>4.2</x:v>
      </x:c>
      <x:c r="E21" s="81" t="str">
        <x:f>IF(B21&gt;Shock_Calibration!$B$3,B21,"")</x:f>
      </x:c>
      <x:c r="F21" s="81" t="str">
        <x:v>Example stress observation</x:v>
      </x:c>
      <x:c r="G21" s="81"/>
      <x:c r="H21" s="81"/>
      <x:c r="I21" s="81"/>
      <x:c r="J21" s="81"/>
    </x:row>
    <x:row r="22" ht="15" hidden="0" customHeight="1">
      <x:c r="A22" s="81" t="n">
        <x:v>17</x:v>
      </x:c>
      <x:c r="B22" s="107" t="n">
        <x:v>5.5</x:v>
      </x:c>
      <x:c r="C22" s="81" t="str">
        <x:f>IF(B22&lt;=Shock_Calibration!$B$3,"Down","Up")</x:f>
        <x:v>Down</x:v>
      </x:c>
      <x:c r="D22" s="81" t="n">
        <x:f>IF(B22&lt;=Shock_Calibration!$B$3,B22,"")</x:f>
        <x:v>5.5</x:v>
      </x:c>
      <x:c r="E22" s="81" t="str">
        <x:f>IF(B22&gt;Shock_Calibration!$B$3,B22,"")</x:f>
      </x:c>
      <x:c r="F22" s="81" t="str">
        <x:v>Example stress observation</x:v>
      </x:c>
      <x:c r="G22" s="81"/>
      <x:c r="H22" s="81"/>
      <x:c r="I22" s="81"/>
      <x:c r="J22" s="81"/>
    </x:row>
    <x:row r="23" ht="15" hidden="0" customHeight="1">
      <x:c r="A23" s="81" t="n">
        <x:v>18</x:v>
      </x:c>
      <x:c r="B23" s="107" t="n">
        <x:v>6.8</x:v>
      </x:c>
      <x:c r="C23" s="81" t="str">
        <x:f>IF(B23&lt;=Shock_Calibration!$B$3,"Down","Up")</x:f>
        <x:v>Down</x:v>
      </x:c>
      <x:c r="D23" s="81" t="n">
        <x:f>IF(B23&lt;=Shock_Calibration!$B$3,B23,"")</x:f>
        <x:v>6.8</x:v>
      </x:c>
      <x:c r="E23" s="81" t="str">
        <x:f>IF(B23&gt;Shock_Calibration!$B$3,B23,"")</x:f>
      </x:c>
      <x:c r="F23" s="81" t="str">
        <x:v>Example stress observation</x:v>
      </x:c>
      <x:c r="G23" s="81"/>
      <x:c r="H23" s="81"/>
      <x:c r="I23" s="81"/>
      <x:c r="J23" s="81"/>
    </x:row>
    <x:row r="24" ht="15" hidden="0" customHeight="1">
      <x:c r="A24" s="81" t="n">
        <x:v>19</x:v>
      </x:c>
      <x:c r="B24" s="107" t="n">
        <x:v>8.7</x:v>
      </x:c>
      <x:c r="C24" s="81" t="str">
        <x:f>IF(B24&lt;=Shock_Calibration!$B$3,"Down","Up")</x:f>
        <x:v>Down</x:v>
      </x:c>
      <x:c r="D24" s="81" t="n">
        <x:f>IF(B24&lt;=Shock_Calibration!$B$3,B24,"")</x:f>
        <x:v>8.7</x:v>
      </x:c>
      <x:c r="E24" s="81" t="str">
        <x:f>IF(B24&gt;Shock_Calibration!$B$3,B24,"")</x:f>
      </x:c>
      <x:c r="F24" s="81" t="str">
        <x:v>Example stress observation</x:v>
      </x:c>
      <x:c r="G24" s="81"/>
      <x:c r="H24" s="81"/>
      <x:c r="I24" s="81"/>
      <x:c r="J24" s="81"/>
    </x:row>
    <x:row r="25" ht="15" hidden="0" customHeight="1">
      <x:c r="A25" s="81" t="n">
        <x:v>20</x:v>
      </x:c>
      <x:c r="B25" s="107" t="n">
        <x:v>11.5</x:v>
      </x:c>
      <x:c r="C25" s="81" t="str">
        <x:f>IF(B25&lt;=Shock_Calibration!$B$3,"Down","Up")</x:f>
        <x:v>Down</x:v>
      </x:c>
      <x:c r="D25" s="81" t="n">
        <x:f>IF(B25&lt;=Shock_Calibration!$B$3,B25,"")</x:f>
        <x:v>11.5</x:v>
      </x:c>
      <x:c r="E25" s="81" t="str">
        <x:f>IF(B25&gt;Shock_Calibration!$B$3,B25,"")</x:f>
      </x:c>
      <x:c r="F25" s="81" t="str">
        <x:v>Example stress observation</x:v>
      </x:c>
      <x:c r="G25" s="81"/>
      <x:c r="H25" s="81"/>
      <x:c r="I25" s="81"/>
      <x:c r="J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</x:row>
  </x:sheetData>
  <x:mergeCells>
    <x:mergeCell ref="A1:F1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55" hidden="0" customWidth="1"/>
  </x:cols>
  <x:sheetData>
    <x:row r="1" ht="28" hidden="0" customHeight="1">
      <x:c r="A1" s="80" t="str">
        <x:v>Shock_Calibration - Asymmetrical Sigma Method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83" t="str">
        <x:v>Metric</x:v>
      </x:c>
      <x:c r="B3" s="83" t="str">
        <x:v>Formula / Value</x:v>
      </x:c>
      <x:c r="C3" s="83" t="str">
        <x:v>Unit</x:v>
      </x:c>
      <x:c r="D3" s="83" t="str">
        <x:v>Explanation</x:v>
      </x:c>
      <x:c r="E3" s="81"/>
      <x:c r="F3" s="81"/>
      <x:c r="G3" s="81"/>
      <x:c r="H3" s="81"/>
      <x:c r="I3" s="81"/>
      <x:c r="J3" s="81"/>
    </x:row>
    <x:row r="4" ht="15" hidden="0" customHeight="1">
      <x:c r="A4" s="81" t="str">
        <x:v>N returns</x:v>
      </x:c>
      <x:c r="B4" s="110" t="n">
        <x:f>COUNT(RF_Returns!$B$6:$B$25)</x:f>
        <x:v>20</x:v>
      </x:c>
      <x:c r="C4" s="81" t="str">
        <x:v>count</x:v>
      </x:c>
      <x:c r="D4" s="81" t="str">
        <x:v>Number of 10-day stressed returns</x:v>
      </x:c>
      <x:c r="E4" s="81"/>
      <x:c r="F4" s="81"/>
      <x:c r="G4" s="81"/>
      <x:c r="H4" s="81"/>
      <x:c r="I4" s="81"/>
      <x:c r="J4" s="81"/>
    </x:row>
    <x:row r="5" ht="15" hidden="0" customHeight="1">
      <x:c r="A5" s="81" t="str">
        <x:v>Median</x:v>
      </x:c>
      <x:c r="B5" s="111" t="n">
        <x:f>MEDIAN(RF_Returns!$B$6:$B$25)</x:f>
        <x:v>-0.2</x:v>
      </x:c>
      <x:c r="C5" s="81" t="str">
        <x:v>bps</x:v>
      </x:c>
      <x:c r="D5" s="81" t="str">
        <x:v>Split point for down/up halves</x:v>
      </x:c>
      <x:c r="E5" s="81"/>
      <x:c r="F5" s="81"/>
      <x:c r="G5" s="81"/>
      <x:c r="H5" s="81"/>
      <x:c r="I5" s="81"/>
      <x:c r="J5" s="81"/>
    </x:row>
    <x:row r="6" ht="15" hidden="0" customHeight="1">
      <x:c r="A6" s="81" t="str">
        <x:v>Method</x:v>
      </x:c>
      <x:c r="B6" s="111" t="str">
        <x:f>IF(B4&gt;=200,"Historical",IF(B4&gt;=12,"Asigma","Fallback"))</x:f>
        <x:v>Asigma</x:v>
      </x:c>
      <x:c r="C6" s="81" t="str"/>
      <x:c r="D6" s="81" t="str">
        <x:v>N&gt;=200 Historical; 12&lt;=N&lt;200 Asigma; N&lt;12 Fallback</x:v>
      </x:c>
      <x:c r="E6" s="81"/>
      <x:c r="F6" s="81"/>
      <x:c r="G6" s="81"/>
      <x:c r="H6" s="81"/>
      <x:c r="I6" s="81"/>
      <x:c r="J6" s="81"/>
    </x:row>
    <x:row r="7" ht="15" hidden="0" customHeight="1">
      <x:c r="A7" s="81" t="str">
        <x:v>N_down</x:v>
      </x:c>
      <x:c r="B7" s="111" t="n">
        <x:f>COUNTIF(RF_Returns!$B$6:$B$25,"&lt;="&amp;B5)</x:f>
        <x:v>10</x:v>
      </x:c>
      <x:c r="C7" s="81" t="str">
        <x:v>count</x:v>
      </x:c>
      <x:c r="D7" s="81" t="str">
        <x:v>Returns &lt;= median</x:v>
      </x:c>
      <x:c r="E7" s="81"/>
      <x:c r="F7" s="81"/>
      <x:c r="G7" s="81"/>
      <x:c r="H7" s="81"/>
      <x:c r="I7" s="81"/>
      <x:c r="J7" s="81"/>
    </x:row>
    <x:row r="8" ht="15" hidden="0" customHeight="1">
      <x:c r="A8" s="81" t="str">
        <x:v>Mean_down</x:v>
      </x:c>
      <x:c r="B8" s="111" t="n">
        <x:f>AVERAGEIF(RF_Returns!$B$6:$B$25,"&lt;="&amp;B5,RF_Returns!$B$6:$B$25)</x:f>
        <x:v>-4.1</x:v>
      </x:c>
      <x:c r="C8" s="81" t="str">
        <x:v>bps</x:v>
      </x:c>
      <x:c r="D8" s="81" t="str">
        <x:v>Average of down half</x:v>
      </x:c>
      <x:c r="E8" s="81"/>
      <x:c r="F8" s="81"/>
      <x:c r="G8" s="81"/>
      <x:c r="H8" s="81"/>
      <x:c r="I8" s="81"/>
      <x:c r="J8" s="81"/>
    </x:row>
    <x:row r="9" ht="15" hidden="0" customHeight="1">
      <x:c r="A9" s="81" t="str">
        <x:v>Std_down</x:v>
      </x:c>
      <x:c r="B9" s="111" t="n">
        <x:f>SQRT(SUMPRODUCT((RF_Returns!$B$6:$B$25&lt;=B5)*(RF_Returns!$B$6:$B$25-B8)^2)/(B7-1.5))</x:f>
        <x:v>2.4331050121192876</x:v>
      </x:c>
      <x:c r="C9" s="81" t="str">
        <x:v>bps</x:v>
      </x:c>
      <x:c r="D9" s="81" t="str">
        <x:v>sqrt(sum((x-mean)^2)/(N_down-1.5))</x:v>
      </x:c>
      <x:c r="E9" s="81"/>
      <x:c r="F9" s="81"/>
      <x:c r="G9" s="81"/>
      <x:c r="H9" s="81"/>
      <x:c r="I9" s="81"/>
      <x:c r="J9" s="81"/>
    </x:row>
    <x:row r="10" ht="15" hidden="0" customHeight="1">
      <x:c r="A10" s="81" t="str">
        <x:v>AS_down</x:v>
      </x:c>
      <x:c r="B10" s="111" t="n">
        <x:f> -B8 + Inputs!$B$10*B9</x:f>
        <x:v>11.399315036357862</x:v>
      </x:c>
      <x:c r="C10" s="81" t="str">
        <x:v>bps</x:v>
      </x:c>
      <x:c r="D10" s="81" t="str">
        <x:v>-Mean_down + 3*Std_down</x:v>
      </x:c>
      <x:c r="E10" s="81"/>
      <x:c r="F10" s="81"/>
      <x:c r="G10" s="81"/>
      <x:c r="H10" s="81"/>
      <x:c r="I10" s="81"/>
      <x:c r="J10" s="81"/>
    </x:row>
    <x:row r="11" ht="15" hidden="0" customHeight="1">
      <x:c r="A11" s="81" t="str">
        <x:v>UCF_down</x:v>
      </x:c>
      <x:c r="B11" s="111" t="n">
        <x:f> Inputs!$B$12 + Inputs!$B$13/SQRT(B7-1.5)</x:f>
        <x:v>1.2929971702850176</x:v>
      </x:c>
      <x:c r="C11" s="81" t="str"/>
      <x:c r="D11" s="81" t="str">
        <x:v>0.95 + 1/sqrt(N_down-1.5)</x:v>
      </x:c>
      <x:c r="E11" s="81"/>
      <x:c r="F11" s="81"/>
      <x:c r="G11" s="81"/>
      <x:c r="H11" s="81"/>
      <x:c r="I11" s="81"/>
      <x:c r="J11" s="81"/>
    </x:row>
    <x:row r="12" ht="15" hidden="0" customHeight="1">
      <x:c r="A12" s="81" t="str">
        <x:v>CS_down</x:v>
      </x:c>
      <x:c r="B12" s="112" t="n">
        <x:f> B10*B11</x:f>
        <x:v>14.739282085198168</x:v>
      </x:c>
      <x:c r="C12" s="81" t="str">
        <x:v>bps</x:v>
      </x:c>
      <x:c r="D12" s="81" t="str">
        <x:v>AS_down * UCF_down</x:v>
      </x:c>
      <x:c r="E12" s="81"/>
      <x:c r="F12" s="81"/>
      <x:c r="G12" s="81"/>
      <x:c r="H12" s="81"/>
      <x:c r="I12" s="81"/>
      <x:c r="J12" s="81"/>
    </x:row>
    <x:row r="13" ht="15" hidden="0" customHeight="1">
      <x:c r="A13" s="81" t="str"/>
      <x:c r="B13" s="111" t="str"/>
      <x:c r="C13" s="81" t="str"/>
      <x:c r="D13" s="81" t="str"/>
      <x:c r="E13" s="81"/>
      <x:c r="F13" s="81"/>
      <x:c r="G13" s="81"/>
      <x:c r="H13" s="81"/>
      <x:c r="I13" s="81"/>
      <x:c r="J13" s="81"/>
    </x:row>
    <x:row r="14" ht="15" hidden="0" customHeight="1">
      <x:c r="A14" s="81" t="str">
        <x:v>N_up</x:v>
      </x:c>
      <x:c r="B14" s="111" t="n">
        <x:f>COUNTIF(RF_Returns!$B$6:$B$25,"&gt;"&amp;B5)</x:f>
        <x:v>10</x:v>
      </x:c>
      <x:c r="C14" s="81" t="str">
        <x:v>count</x:v>
      </x:c>
      <x:c r="D14" s="81" t="str">
        <x:v>Returns &gt; median</x:v>
      </x:c>
      <x:c r="E14" s="81"/>
      <x:c r="F14" s="81"/>
      <x:c r="G14" s="81"/>
      <x:c r="H14" s="81"/>
      <x:c r="I14" s="81"/>
      <x:c r="J14" s="81"/>
    </x:row>
    <x:row r="15" ht="15" hidden="0" customHeight="1">
      <x:c r="A15" s="81" t="str">
        <x:v>Mean_up</x:v>
      </x:c>
      <x:c r="B15" s="111" t="n">
        <x:f>AVERAGEIF(RF_Returns!$B$6:$B$25,"&gt;"&amp;B5,RF_Returns!$B$6:$B$25)</x:f>
        <x:v>4.59</x:v>
      </x:c>
      <x:c r="C15" s="81" t="str">
        <x:v>bps</x:v>
      </x:c>
      <x:c r="D15" s="81" t="str">
        <x:v>Average of up half</x:v>
      </x:c>
      <x:c r="E15" s="81"/>
      <x:c r="F15" s="81"/>
      <x:c r="G15" s="81"/>
      <x:c r="H15" s="81"/>
      <x:c r="I15" s="81"/>
      <x:c r="J15" s="81"/>
    </x:row>
    <x:row r="16" ht="15" hidden="0" customHeight="1">
      <x:c r="A16" s="81" t="str">
        <x:v>Std_up</x:v>
      </x:c>
      <x:c r="B16" s="111" t="n">
        <x:f>SQRT(SUMPRODUCT((RF_Returns!$B$6:$B$25&gt;B5)*(RF_Returns!$B$6:$B$25-B15)^2)/(B14-1.5))</x:f>
        <x:v>3.6591384392568505</x:v>
      </x:c>
      <x:c r="C16" s="81" t="str">
        <x:v>bps</x:v>
      </x:c>
      <x:c r="D16" s="81" t="str">
        <x:v>sqrt(sum((x-mean)^2)/(N_up-1.5))</x:v>
      </x:c>
      <x:c r="E16" s="81"/>
      <x:c r="F16" s="81"/>
      <x:c r="G16" s="81"/>
      <x:c r="H16" s="81"/>
      <x:c r="I16" s="81"/>
      <x:c r="J16" s="81"/>
    </x:row>
    <x:row r="17" ht="15" hidden="0" customHeight="1">
      <x:c r="A17" s="81" t="str">
        <x:v>AS_up</x:v>
      </x:c>
      <x:c r="B17" s="111" t="n">
        <x:f> B15 + Inputs!$B$10*B16</x:f>
        <x:v>15.567415317770552</x:v>
      </x:c>
      <x:c r="C17" s="81" t="str">
        <x:v>bps</x:v>
      </x:c>
      <x:c r="D17" s="81" t="str">
        <x:v>Mean_up + 3*Std_up</x:v>
      </x:c>
      <x:c r="E17" s="81"/>
      <x:c r="F17" s="81"/>
      <x:c r="G17" s="81"/>
      <x:c r="H17" s="81"/>
      <x:c r="I17" s="81"/>
      <x:c r="J17" s="81"/>
    </x:row>
    <x:row r="18" ht="15" hidden="0" customHeight="1">
      <x:c r="A18" s="81" t="str">
        <x:v>UCF_up</x:v>
      </x:c>
      <x:c r="B18" s="111" t="n">
        <x:f> Inputs!$B$12 + Inputs!$B$13/SQRT(B14-1.5)</x:f>
        <x:v>1.2929971702850176</x:v>
      </x:c>
      <x:c r="C18" s="81" t="str"/>
      <x:c r="D18" s="81" t="str">
        <x:v>0.95 + 1/sqrt(N_up-1.5)</x:v>
      </x:c>
      <x:c r="E18" s="81"/>
      <x:c r="F18" s="81"/>
      <x:c r="G18" s="81"/>
      <x:c r="H18" s="81"/>
      <x:c r="I18" s="81"/>
      <x:c r="J18" s="81"/>
    </x:row>
    <x:row r="19" ht="15" hidden="0" customHeight="1">
      <x:c r="A19" s="81" t="str">
        <x:v>CS_up</x:v>
      </x:c>
      <x:c r="B19" s="112" t="n">
        <x:f> B17*B18</x:f>
        <x:v>20.128623954528962</x:v>
      </x:c>
      <x:c r="C19" s="81" t="str">
        <x:v>bps</x:v>
      </x:c>
      <x:c r="D19" s="81" t="str">
        <x:v>AS_up * UCF_up</x:v>
      </x:c>
      <x:c r="E19" s="81"/>
      <x:c r="F19" s="81"/>
      <x:c r="G19" s="81"/>
      <x:c r="H19" s="81"/>
      <x:c r="I19" s="81"/>
      <x:c r="J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32" hidden="0" customWidth="1"/>
  </x:cols>
  <x:sheetData>
    <x:row r="1" ht="28" hidden="0" customHeight="1">
      <x:c r="A1" s="80" t="str">
        <x:v>Loss_Profile - Revalue the Portfolio on the SES Shock Grid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106" t="str">
        <x:v>Loss convention: Loss = Base NPV - Stressed NPV. Positive value means capital-relevant loss; negative value means gain. The stressed NPV is approximated with a simple delta/gamma loss function for illustration.</x:v>
      </x:c>
      <x:c r="B3" s="81"/>
      <x:c r="C3" s="81"/>
      <x:c r="D3" s="81"/>
      <x:c r="E3" s="81"/>
      <x:c r="F3" s="81"/>
      <x:c r="G3" s="81"/>
      <x:c r="H3" s="81"/>
      <x:c r="I3" s="81"/>
      <x:c r="J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</x:row>
    <x:row r="5" ht="15" hidden="0" customHeight="1">
      <x:c r="A5" s="83" t="str">
        <x:v>Scenario</x:v>
      </x:c>
      <x:c r="B5" s="83" t="str">
        <x:v>Shock x (bps)</x:v>
      </x:c>
      <x:c r="C5" s="83" t="str">
        <x:v>RF value after shock</x:v>
      </x:c>
      <x:c r="D5" s="83" t="str">
        <x:v>Base NPV</x:v>
      </x:c>
      <x:c r="E5" s="83" t="str">
        <x:v>Loss model</x:v>
      </x:c>
      <x:c r="F5" s="83" t="str">
        <x:v>Stressed NPV</x:v>
      </x:c>
      <x:c r="G5" s="83" t="str">
        <x:v>Loss</x:v>
      </x:c>
      <x:c r="H5" s="83" t="str">
        <x:v>Used for FSD?</x:v>
      </x:c>
      <x:c r="I5" s="83" t="str">
        <x:v>Notes</x:v>
      </x:c>
      <x:c r="J5" s="81"/>
    </x:row>
    <x:row r="6" ht="15" hidden="0" customHeight="1">
      <x:c r="A6" s="81" t="str">
        <x:v>Down boundary</x:v>
      </x:c>
      <x:c r="B6" s="116" t="n">
        <x:f>-Shock_Calibration!$B$12</x:f>
        <x:v>-14.739282085198168</x:v>
      </x:c>
      <x:c r="C6" s="116" t="n">
        <x:f>25+B6</x:f>
        <x:v>10.260717914801832</x:v>
      </x:c>
      <x:c r="D6" s="117" t="n">
        <x:f>Inputs!$B$14</x:f>
        <x:v>100000000</x:v>
      </x:c>
      <x:c r="E6" s="117" t="n">
        <x:f>Inputs!$B$15*B6+Inputs!$B$16*B6^2</x:f>
        <x:v>-779576.5018092971</x:v>
      </x:c>
      <x:c r="F6" s="117" t="n">
        <x:f>D6-E6</x:f>
        <x:v>100779576.5018093</x:v>
      </x:c>
      <x:c r="G6" s="118" t="n">
        <x:f>D6-F6</x:f>
        <x:v>-779576.501809299</x:v>
      </x:c>
      <x:c r="H6" s="81" t="str">
        <x:f>IF(G6=MAX($G$6:$G$9),"FSD","")</x:f>
      </x:c>
      <x:c r="I6" s="81" t="str">
        <x:v>-CS_down</x:v>
      </x:c>
      <x:c r="J6" s="81"/>
    </x:row>
    <x:row r="7" ht="15" hidden="0" customHeight="1">
      <x:c r="A7" s="81" t="str">
        <x:v>Down inner</x:v>
      </x:c>
      <x:c r="B7" s="116" t="n">
        <x:f>-0.8*Shock_Calibration!$B$12</x:f>
        <x:v>-11.791425668158535</x:v>
      </x:c>
      <x:c r="C7" s="116" t="n">
        <x:f>25+B7</x:f>
        <x:v>13.208574331841465</x:v>
      </x:c>
      <x:c r="D7" s="117" t="n">
        <x:f>Inputs!$B$14</x:f>
        <x:v>100000000</x:v>
      </x:c>
      <x:c r="E7" s="117" t="n">
        <x:f>Inputs!$B$15*B7+Inputs!$B$16*B7^2</x:f>
        <x:v>-675800.3461803282</x:v>
      </x:c>
      <x:c r="F7" s="117" t="n">
        <x:f>D7-E7</x:f>
        <x:v>100675800.34618033</x:v>
      </x:c>
      <x:c r="G7" s="118" t="n">
        <x:f>D7-F7</x:f>
        <x:v>-675800.3461803347</x:v>
      </x:c>
      <x:c r="H7" s="81" t="str">
        <x:f>IF(G7=MAX($G$6:$G$9),"FSD","")</x:f>
      </x:c>
      <x:c r="I7" s="81" t="str">
        <x:v>-0.8 x CS_down</x:v>
      </x:c>
      <x:c r="J7" s="81"/>
    </x:row>
    <x:row r="8" ht="15" hidden="0" customHeight="1">
      <x:c r="A8" s="81" t="str">
        <x:v>Up inner</x:v>
      </x:c>
      <x:c r="B8" s="116" t="n">
        <x:f>0.8*Shock_Calibration!$B$19</x:f>
        <x:v>16.10289916362317</x:v>
      </x:c>
      <x:c r="C8" s="116" t="n">
        <x:f>25+B8</x:f>
        <x:v>41.10289916362317</x:v>
      </x:c>
      <x:c r="D8" s="117" t="n">
        <x:f>Inputs!$B$14</x:f>
        <x:v>100000000</x:v>
      </x:c>
      <x:c r="E8" s="117" t="n">
        <x:f>Inputs!$B$15*B8+Inputs!$B$16*B8^2</x:f>
        <x:v>1596672.4794824615</x:v>
      </x:c>
      <x:c r="F8" s="117" t="n">
        <x:f>D8-E8</x:f>
        <x:v>98403327.52051754</x:v>
      </x:c>
      <x:c r="G8" s="118" t="n">
        <x:f>D8-F8</x:f>
        <x:v>1596672.479482457</x:v>
      </x:c>
      <x:c r="H8" s="81" t="str">
        <x:f>IF(G8=MAX($G$6:$G$9),"FSD","")</x:f>
      </x:c>
      <x:c r="I8" s="81" t="str">
        <x:v>+0.8 x CS_up</x:v>
      </x:c>
      <x:c r="J8" s="81"/>
    </x:row>
    <x:row r="9" ht="15" hidden="0" customHeight="1">
      <x:c r="A9" s="81" t="str">
        <x:v>Up boundary</x:v>
      </x:c>
      <x:c r="B9" s="116" t="n">
        <x:f>Shock_Calibration!$B$19</x:f>
        <x:v>20.128623954528962</x:v>
      </x:c>
      <x:c r="C9" s="116" t="n">
        <x:f>25+B9</x:f>
        <x:v>45.12862395452896</x:v>
      </x:c>
      <x:c r="D9" s="117" t="n">
        <x:f>Inputs!$B$14</x:f>
        <x:v>100000000</x:v>
      </x:c>
      <x:c r="E9" s="117" t="n">
        <x:f>Inputs!$B$15*B9+Inputs!$B$16*B9^2</x:f>
        <x:v>2117389.050043928</x:v>
      </x:c>
      <x:c r="F9" s="117" t="n">
        <x:f>D9-E9</x:f>
        <x:v>97882610.94995607</x:v>
      </x:c>
      <x:c r="G9" s="118" t="n">
        <x:f>D9-F9</x:f>
        <x:v>2117389.0500439256</x:v>
      </x:c>
      <x:c r="H9" s="81" t="str">
        <x:f>IF(G9=MAX($G$6:$G$9),"FSD","")</x:f>
        <x:v>FSD</x:v>
      </x:c>
      <x:c r="I9" s="81" t="str">
        <x:v>+CS_up</x:v>
      </x:c>
      <x:c r="J9" s="81"/>
    </x:row>
    <x:row r="10" ht="15" hidden="0" customHeight="1">
      <x:c r="A10" s="81" t="str">
        <x:v>1.2 x FSD</x:v>
      </x:c>
      <x:c r="B10" s="116" t="n">
        <x:f>1.2*SES_Output!$B$5</x:f>
        <x:v>24.154348745434753</x:v>
      </x:c>
      <x:c r="C10" s="116" t="n">
        <x:f>25+B10</x:f>
        <x:v>49.15434874543475</x:v>
      </x:c>
      <x:c r="D10" s="117" t="n">
        <x:f>Inputs!$B$14</x:f>
        <x:v>100000000</x:v>
      </x:c>
      <x:c r="E10" s="117" t="n">
        <x:f>Inputs!$B$15*B10+Inputs!$B$16*B10^2</x:f>
        <x:v>2686725.0008817343</x:v>
      </x:c>
      <x:c r="F10" s="117" t="n">
        <x:f>D10-E10</x:f>
        <x:v>97313274.99911827</x:v>
      </x:c>
      <x:c r="G10" s="118" t="n">
        <x:f>D10-F10</x:f>
        <x:v>2686725.0008817315</x:v>
      </x:c>
      <x:c r="H10" s="81" t="str">
        <x:v>K only</x:v>
      </x:c>
      <x:c r="I10" s="81" t="str">
        <x:v>Extra point for non-linearity K</x:v>
      </x:c>
      <x:c r="J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</x:row>
  </x:sheetData>
  <x:mergeCells>
    <x:mergeCell ref="A1:I1"/>
    <x:mergeCell ref="A3:I3"/>
  </x:mergeCells>
  <x:pageMargins left="0.7" right="0.7" top="0.75" bottom="0.75" header="0.3" footer="0.3"/>
  <x:drawing xmlns:r="http://schemas.openxmlformats.org/officeDocument/2006/relationships" r:id="R3c9336cdf65042eb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58" hidden="0" customWidth="1"/>
  </x:cols>
  <x:sheetData>
    <x:row r="1" ht="28" hidden="0" customHeight="1">
      <x:c r="A1" s="80" t="str">
        <x:v>SES_Output - Final Single NMRF Capital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83" t="str">
        <x:v>Metric</x:v>
      </x:c>
      <x:c r="B3" s="83" t="str">
        <x:v>Value</x:v>
      </x:c>
      <x:c r="C3" s="83" t="str">
        <x:v>Unit</x:v>
      </x:c>
      <x:c r="D3" s="83" t="str">
        <x:v>Explanation</x:v>
      </x:c>
      <x:c r="E3" s="81"/>
      <x:c r="F3" s="81"/>
      <x:c r="G3" s="81"/>
      <x:c r="H3" s="81"/>
      <x:c r="I3" s="81"/>
      <x:c r="J3" s="81"/>
    </x:row>
    <x:row r="4" ht="15" hidden="0" customHeight="1">
      <x:c r="A4" s="81" t="str">
        <x:v>Selected FSD scenario</x:v>
      </x:c>
      <x:c r="B4" s="110" t="str">
        <x:f>INDEX(Loss_Profile!$A$6:$A$9,MATCH(MAX(Loss_Profile!$G$6:$G$9),Loss_Profile!$G$6:$G$9,0))</x:f>
        <x:v>Up boundary</x:v>
      </x:c>
      <x:c r="C4" s="81" t="str"/>
      <x:c r="D4" s="81" t="str">
        <x:v>Scenario among the first four grid points with highest loss</x:v>
      </x:c>
      <x:c r="E4" s="81"/>
      <x:c r="F4" s="81"/>
      <x:c r="G4" s="81"/>
      <x:c r="H4" s="81"/>
      <x:c r="I4" s="81"/>
      <x:c r="J4" s="81"/>
    </x:row>
    <x:row r="5" ht="15" hidden="0" customHeight="1">
      <x:c r="A5" s="81" t="str">
        <x:v>FSD shock</x:v>
      </x:c>
      <x:c r="B5" s="111" t="n">
        <x:f>INDEX(Loss_Profile!$B$6:$B$9,MATCH(MAX(Loss_Profile!$G$6:$G$9),Loss_Profile!$G$6:$G$9,0))</x:f>
        <x:v>20.128623954528962</x:v>
      </x:c>
      <x:c r="C5" s="81" t="str">
        <x:v>bps</x:v>
      </x:c>
      <x:c r="D5" s="81" t="str">
        <x:v>Extreme scenario future shock</x:v>
      </x:c>
      <x:c r="E5" s="81"/>
      <x:c r="F5" s="81"/>
      <x:c r="G5" s="81"/>
      <x:c r="H5" s="81"/>
      <x:c r="I5" s="81"/>
      <x:c r="J5" s="81"/>
    </x:row>
    <x:row r="6" ht="15" hidden="0" customHeight="1">
      <x:c r="A6" s="81" t="str">
        <x:v>FSD loss l(FSD)</x:v>
      </x:c>
      <x:c r="B6" s="118" t="n">
        <x:f>MAX(Loss_Profile!$G$6:$G$9)</x:f>
        <x:v>2117389.0500439256</x:v>
      </x:c>
      <x:c r="C6" s="81" t="str">
        <x:v>USD</x:v>
      </x:c>
      <x:c r="D6" s="81" t="str">
        <x:v>Maximum loss from the four grid points</x:v>
      </x:c>
      <x:c r="E6" s="81"/>
      <x:c r="F6" s="81"/>
      <x:c r="G6" s="81"/>
      <x:c r="H6" s="81"/>
      <x:c r="I6" s="81"/>
      <x:c r="J6" s="81"/>
    </x:row>
    <x:row r="7" ht="15" hidden="0" customHeight="1">
      <x:c r="A7" s="81" t="str">
        <x:v>FSD location</x:v>
      </x:c>
      <x:c r="B7" s="118" t="str">
        <x:f>IF(OR(B4="Down boundary",B4="Up boundary"),"Boundary","Inner")</x:f>
        <x:v>Boundary</x:v>
      </x:c>
      <x:c r="C7" s="81" t="str"/>
      <x:c r="D7" s="81" t="str">
        <x:v>Boundary if shock is +/- CS; inner if shock is +/- 0.8 CS</x:v>
      </x:c>
      <x:c r="E7" s="81"/>
      <x:c r="F7" s="81"/>
      <x:c r="G7" s="81"/>
      <x:c r="H7" s="81"/>
      <x:c r="I7" s="81"/>
      <x:c r="J7" s="81"/>
    </x:row>
    <x:row r="8" ht="15" hidden="0" customHeight="1">
      <x:c r="A8" s="81" t="str">
        <x:v>l(0.8 x FSD)</x:v>
      </x:c>
      <x:c r="B8" s="118" t="n">
        <x:f>IF(B7="Boundary",IF(B5&gt;0,Loss_Profile!$G$8,Loss_Profile!$G$7),B6)</x:f>
        <x:v>1596672.479482457</x:v>
      </x:c>
      <x:c r="C8" s="81" t="str">
        <x:v>USD</x:v>
      </x:c>
      <x:c r="D8" s="81" t="str">
        <x:v>Already evaluated in the four-point grid</x:v>
      </x:c>
      <x:c r="E8" s="81"/>
      <x:c r="F8" s="81"/>
      <x:c r="G8" s="81"/>
      <x:c r="H8" s="81"/>
      <x:c r="I8" s="81"/>
      <x:c r="J8" s="81"/>
    </x:row>
    <x:row r="9" ht="15" hidden="0" customHeight="1">
      <x:c r="A9" s="81" t="str">
        <x:v>l(1.2 x FSD)</x:v>
      </x:c>
      <x:c r="B9" s="118" t="n">
        <x:f>Loss_Profile!$G$10</x:f>
        <x:v>2686725.0008817315</x:v>
      </x:c>
      <x:c r="C9" s="81" t="str">
        <x:v>USD</x:v>
      </x:c>
      <x:c r="D9" s="81" t="str">
        <x:v>One extra revaluation for K when FSD is boundary</x:v>
      </x:c>
      <x:c r="E9" s="81"/>
      <x:c r="F9" s="81"/>
      <x:c r="G9" s="81"/>
      <x:c r="H9" s="81"/>
      <x:c r="I9" s="81"/>
      <x:c r="J9" s="81"/>
    </x:row>
    <x:row r="10" ht="15" hidden="0" customHeight="1">
      <x:c r="A10" s="81" t="str">
        <x:v>Phi</x:v>
      </x:c>
      <x:c r="B10" s="110" t="n">
        <x:f>Inputs!$B$11</x:f>
        <x:v>1.04</x:v>
      </x:c>
      <x:c r="C10" s="81" t="str"/>
      <x:c r="D10" s="81" t="str">
        <x:v>1.04 for asigma method</x:v>
      </x:c>
      <x:c r="E10" s="81"/>
      <x:c r="F10" s="81"/>
      <x:c r="G10" s="81"/>
      <x:c r="H10" s="81"/>
      <x:c r="I10" s="81"/>
      <x:c r="J10" s="81"/>
    </x:row>
    <x:row r="11" ht="15" hidden="0" customHeight="1">
      <x:c r="A11" s="81" t="str">
        <x:v>K_tilde</x:v>
      </x:c>
      <x:c r="B11" s="111" t="n">
        <x:f>IF(B7="Boundary",1+25/2*((B8-2*B6+B9)/B6)*(B10-1),1)</x:f>
        <x:v>1.0114809747115978</x:v>
      </x:c>
      <x:c r="C11" s="81" t="str"/>
      <x:c r="D11" s="81" t="str">
        <x:v>Raw non-linearity coefficient</x:v>
      </x:c>
      <x:c r="E11" s="81"/>
      <x:c r="F11" s="81"/>
      <x:c r="G11" s="81"/>
      <x:c r="H11" s="81"/>
      <x:c r="I11" s="81"/>
      <x:c r="J11" s="81"/>
    </x:row>
    <x:row r="12" ht="15" hidden="0" customHeight="1">
      <x:c r="A12" s="81" t="str">
        <x:v>K applied</x:v>
      </x:c>
      <x:c r="B12" s="111" t="n">
        <x:f>IF(B7="Boundary",MAX(0.9,MIN(B11,5)),1)</x:f>
        <x:v>1.0114809747115978</x:v>
      </x:c>
      <x:c r="C12" s="81" t="str"/>
      <x:c r="D12" s="81" t="str">
        <x:v>Floored at 0.9 and capped at 5</x:v>
      </x:c>
      <x:c r="E12" s="81"/>
      <x:c r="F12" s="81"/>
      <x:c r="G12" s="81"/>
      <x:c r="H12" s="81"/>
      <x:c r="I12" s="81"/>
      <x:c r="J12" s="81"/>
    </x:row>
    <x:row r="13" ht="15" hidden="0" customHeight="1">
      <x:c r="A13" s="81" t="str">
        <x:v>SS10d</x:v>
      </x:c>
      <x:c r="B13" s="118" t="n">
        <x:f>IF(B6&lt;=0,0,IF(B7="Boundary",B12*B6,B6))</x:f>
        <x:v>2141698.7401820943</x:v>
      </x:c>
      <x:c r="C13" s="81" t="str">
        <x:v>USD</x:v>
      </x:c>
      <x:c r="D13" s="81" t="str">
        <x:v>10-day stress scenario risk measure</x:v>
      </x:c>
      <x:c r="E13" s="81"/>
      <x:c r="F13" s="81"/>
      <x:c r="G13" s="81"/>
      <x:c r="H13" s="81"/>
      <x:c r="I13" s="81"/>
      <x:c r="J13" s="81"/>
    </x:row>
    <x:row r="14" ht="15" hidden="0" customHeight="1">
      <x:c r="A14" s="81" t="str">
        <x:v>LH floored</x:v>
      </x:c>
      <x:c r="B14" s="111" t="n">
        <x:f>MAX(Inputs!$B$8,20)</x:f>
        <x:v>40</x:v>
      </x:c>
      <x:c r="C14" s="81" t="str">
        <x:v>days</x:v>
      </x:c>
      <x:c r="D14" s="81" t="str">
        <x:v>max(LH,20)</x:v>
      </x:c>
      <x:c r="E14" s="81"/>
      <x:c r="F14" s="81"/>
      <x:c r="G14" s="81"/>
      <x:c r="H14" s="81"/>
      <x:c r="I14" s="81"/>
      <x:c r="J14" s="81"/>
    </x:row>
    <x:row r="15" ht="15" hidden="0" customHeight="1">
      <x:c r="A15" s="81" t="str">
        <x:v>LH scaling</x:v>
      </x:c>
      <x:c r="B15" s="111" t="n">
        <x:f>SQRT(B14/10)</x:f>
        <x:v>2</x:v>
      </x:c>
      <x:c r="C15" s="81" t="str"/>
      <x:c r="D15" s="81" t="str">
        <x:v>sqrt(LH_floored/10)</x:v>
      </x:c>
      <x:c r="E15" s="81"/>
      <x:c r="F15" s="81"/>
      <x:c r="G15" s="81"/>
      <x:c r="H15" s="81"/>
      <x:c r="I15" s="81"/>
      <x:c r="J15" s="81"/>
    </x:row>
    <x:row r="16" ht="15" hidden="0" customHeight="1">
      <x:c r="A16" s="81" t="str">
        <x:v>Final SS / single-NMRF SES</x:v>
      </x:c>
      <x:c r="B16" s="122" t="n">
        <x:f>B13*B15</x:f>
        <x:v>4283397.480364189</x:v>
      </x:c>
      <x:c r="C16" s="81" t="str">
        <x:v>USD</x:v>
      </x:c>
      <x:c r="D16" s="81" t="str">
        <x:v>Single NMRF contribution</x:v>
      </x:c>
      <x:c r="E16" s="81"/>
      <x:c r="F16" s="81"/>
      <x:c r="G16" s="81"/>
      <x:c r="H16" s="81"/>
      <x:c r="I16" s="81"/>
      <x:c r="J16" s="81"/>
    </x:row>
    <x:row r="17" ht="15" hidden="0" customHeight="1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45" hidden="0" customWidth="1"/>
    <x:col min="4" max="4" width="45" hidden="0" customWidth="1"/>
  </x:cols>
  <x:sheetData>
    <x:row r="1" ht="28" hidden="0" customHeight="1">
      <x:c r="A1" s="80" t="str">
        <x:v>Sources and Notes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</x:row>
    <x:row r="3" ht="15" hidden="0" customHeight="1">
      <x:c r="A3" s="83" t="str">
        <x:v>Source</x:v>
      </x:c>
      <x:c r="B3" s="83" t="str">
        <x:v>URL / File</x:v>
      </x:c>
      <x:c r="C3" s="83" t="str">
        <x:v>Used for</x:v>
      </x:c>
      <x:c r="D3" s="83" t="str">
        <x:v>Notes</x:v>
      </x:c>
      <x:c r="E3" s="81"/>
      <x:c r="F3" s="81"/>
      <x:c r="G3" s="81"/>
      <x:c r="H3" s="81"/>
      <x:c r="I3" s="81"/>
      <x:c r="J3" s="81"/>
    </x:row>
    <x:row r="4" ht="15" hidden="0" customHeight="1">
      <x:c r="A4" s="81" t="str">
        <x:v>Uploaded PDF</x:v>
      </x:c>
      <x:c r="B4" s="81" t="str">
        <x:v>A universal stress scenario approach to capitalise NMRF.pdf</x:v>
      </x:c>
      <x:c r="C4" s="81" t="str">
        <x:v>SES / SSRM methodology, asigma method, UCF, non-linearity correction, LH scaling, aggregation</x:v>
      </x:c>
      <x:c r="D4" s="81" t="str">
        <x:v>User-provided file in this chat</x:v>
      </x:c>
      <x:c r="E4" s="81"/>
      <x:c r="F4" s="81"/>
      <x:c r="G4" s="81"/>
      <x:c r="H4" s="81"/>
      <x:c r="I4" s="81"/>
      <x:c r="J4" s="81"/>
    </x:row>
    <x:row r="5" ht="15" hidden="0" customHeight="1">
      <x:c r="A5" s="81" t="str">
        <x:v>EBA Staff Papers page</x:v>
      </x:c>
      <x:c r="B5" s="81" t="str">
        <x:v>https://www.eba.europa.eu/legacy/about-us/staff-papers</x:v>
      </x:c>
      <x:c r="C5" s="81" t="str">
        <x:v>Official source listing EBA staff papers</x:v>
      </x:c>
      <x:c r="D5" s="81" t="str">
        <x:v>Search result identifies the paper under EBA Staff Paper Series</x:v>
      </x:c>
      <x:c r="E5" s="81"/>
      <x:c r="F5" s="81"/>
      <x:c r="G5" s="81"/>
      <x:c r="H5" s="81"/>
      <x:c r="I5" s="81"/>
      <x:c r="J5" s="81"/>
    </x:row>
    <x:row r="6" ht="15" hidden="0" customHeight="1">
      <x:c r="A6" s="81" t="str">
        <x:v>EBA RTS page</x:v>
      </x:c>
      <x:c r="B6" s="81" t="str">
        <x:v>https://www.eba.europa.eu/activities/single-rulebook/regulatory-activities/market-counterparty-and-cva-risk/regulatory-technical-standards-capitalisation-non-modellable-risk-factors-under-frtb</x:v>
      </x:c>
      <x:c r="C6" s="81" t="str">
        <x:v>Regulatory context on NMRF stress scenario risk measure</x:v>
      </x:c>
      <x:c r="D6" s="81" t="str">
        <x:v>Official EBA RTS activity page</x:v>
      </x:c>
      <x:c r="E6" s="81"/>
      <x:c r="F6" s="81"/>
      <x:c r="G6" s="81"/>
      <x:c r="H6" s="81"/>
      <x:c r="I6" s="81"/>
      <x:c r="J6" s="81"/>
    </x:row>
    <x:row r="7" ht="15" hidden="0" customHeight="1">
      <x:c r="A7" s="81" t="str">
        <x:v>Important caveat</x:v>
      </x:c>
      <x:c r="B7" s="81" t="str"/>
      <x:c r="C7" s="81" t="str">
        <x:v>Illustrative example only</x:v>
      </x:c>
      <x:c r="D7" s="81" t="str">
        <x:v>Do not use the numbers as production calibration; replace with bank RF data and validated pricing/revaluation outputs.</x:v>
      </x:c>
      <x:c r="E7" s="81"/>
      <x:c r="F7" s="81"/>
      <x:c r="G7" s="81"/>
      <x:c r="H7" s="81"/>
      <x:c r="I7" s="81"/>
      <x:c r="J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</x:row>
  </x:sheetData>
  <x:mergeCells>
    <x:mergeCell ref="A1:E1"/>
  </x:mergeCells>
  <x:pageMargins left="0.7" right="0.7" top="0.75" bottom="0.75" header="0.3" footer="0.3"/>
</x:worksheet>
</file>