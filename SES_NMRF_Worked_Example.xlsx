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_README" sheetId="1" state="visible" r:id="rId3"/>
    <sheet name="01_Inputs" sheetId="2" state="visible" r:id="rId4"/>
    <sheet name="02_Pairing" sheetId="3" state="visible" r:id="rId5"/>
    <sheet name="03_Returns" sheetId="4" state="visible" r:id="rId6"/>
    <sheet name="04_Shocks" sheetId="5" state="visible" r:id="rId7"/>
    <sheet name="05_LossProfile" sheetId="6" state="visible" r:id="rId8"/>
    <sheet name="06_SS_LH" sheetId="7" state="visible" r:id="rId9"/>
    <sheet name="07_Aggregation" sheetId="8" state="visible" r:id="rId10"/>
    <sheet name="08_DirectCheck" sheetId="9" state="visible" r:id="rId11"/>
    <sheet name="09_Sensitivity"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<sst xmlns="http://schemas.openxmlformats.org/spreadsheetml/2006/main" count="379" uniqueCount="340">
  <si>
    <t xml:space="preserve">SES / Stress Scenario Risk Measure — Worked Example for a Single NMRF</t>
  </si>
  <si>
    <t xml:space="preserve">EBA universal stress scenario methodology (EBA Staff Paper 14, July 2021; Comm. Del. Reg. (EU) 2024/397). Illustrative data only.</t>
  </si>
  <si>
    <t xml:space="preserve">PURPOSE</t>
  </si>
  <si>
    <t xml:space="preserve">End-to-end calculation of the stress scenario risk measure (SES) for one non-modellable risk factor,</t>
  </si>
  <si>
    <t xml:space="preserve">using the asigma branch of the methodology (12 &lt;= N &lt; 200 returns in the stress period).</t>
  </si>
  <si>
    <t xml:space="preserve">Every number is a live formula. Change any blue input on 01_Inputs and the whole workbook recalculates.</t>
  </si>
  <si>
    <t xml:space="preserve">WORKED EXAMPLE</t>
  </si>
  <si>
    <t xml:space="preserve">NMRF:        EUR 5Y x 10Y ATM swaption normal volatility (bp) - illustrative SABR-calibrated surface point</t>
  </si>
  <si>
    <t xml:space="preserve">Return type: logarithmic</t>
  </si>
  <si>
    <t xml:space="preserve">Data:        41 observations in the 256-business-day stress period (sparse) -&gt; N = 40 returns -&gt; asigma branch</t>
  </si>
  <si>
    <t xml:space="preserve">Portfolio:   net short vega with positive convexity of loss vs. vol (worst loss at the upward boundary)</t>
  </si>
  <si>
    <t xml:space="preserve">SHEET MAP</t>
  </si>
  <si>
    <t xml:space="preserve">01_Inputs</t>
  </si>
  <si>
    <t xml:space="preserve">All methodology constants, the pricer parameterisation, and the raw NMRF observation series</t>
  </si>
  <si>
    <t xml:space="preserve">02_Pairing</t>
  </si>
  <si>
    <t xml:space="preserve">Step 1a - nearest-to-10-business-day date pairing (argmin grid)</t>
  </si>
  <si>
    <t xml:space="preserve">03_Returns</t>
  </si>
  <si>
    <t xml:space="preserve">Step 1b - raw returns and square-root-of-time rescaling to a 10-business-day horizon</t>
  </si>
  <si>
    <t xml:space="preserve">04_Shocks</t>
  </si>
  <si>
    <t xml:space="preserve">Steps 2-3 - asigma calibrated shocks CS_down / CS_up and the uncertainty compensation factor</t>
  </si>
  <si>
    <t xml:space="preserve">05_LossProfile</t>
  </si>
  <si>
    <t xml:space="preserve">Step 4 - four-point loss grid and selection of the extreme scenario of future shock FS</t>
  </si>
  <si>
    <t xml:space="preserve">06_SS_LH</t>
  </si>
  <si>
    <t xml:space="preserve">Steps 5-6 - non-linearity correction K, SS(10d), and liquidity-horizon rescaling</t>
  </si>
  <si>
    <t xml:space="preserve">07_Aggregation</t>
  </si>
  <si>
    <t xml:space="preserve">Step 7 - MAR 33.17 aggregation of SS across NMRFs into the total SES charge</t>
  </si>
  <si>
    <t xml:space="preserve">08_DirectCheck</t>
  </si>
  <si>
    <t xml:space="preserve">Control - direct-method benchmark (ES of losses) and reconciliation of the gap</t>
  </si>
  <si>
    <t xml:space="preserve">09_Sensitivity</t>
  </si>
  <si>
    <t xml:space="preserve">Capital consequence - SES against number of returns N (the "less data, more capital" lever)</t>
  </si>
  <si>
    <t xml:space="preserve">COLOUR LEGEND</t>
  </si>
  <si>
    <t xml:space="preserve">BLUE</t>
  </si>
  <si>
    <t xml:space="preserve">Hardcoded input or methodology constant - edit these</t>
  </si>
  <si>
    <t xml:space="preserve">BLACK</t>
  </si>
  <si>
    <t xml:space="preserve">Formula calculated on the same sheet</t>
  </si>
  <si>
    <t xml:space="preserve">GREEN</t>
  </si>
  <si>
    <t xml:space="preserve">Formula referencing another sheet</t>
  </si>
  <si>
    <t xml:space="preserve">YELLOW FILL</t>
  </si>
  <si>
    <t xml:space="preserve">Key result</t>
  </si>
  <si>
    <t xml:space="preserve">STATUS</t>
  </si>
  <si>
    <t xml:space="preserve">This is the EU calibration. Under BCBS MAR 33.16 and the US NPR the only binding constraint is that SES be</t>
  </si>
  <si>
    <t xml:space="preserve">at least as prudent as a 97.5% expected shortfall over a period of stress. Constants below are therefore a</t>
  </si>
  <si>
    <t xml:space="preserve">defensible reference calibration, not a binding specification - each is justified on 01_Inputs.</t>
  </si>
  <si>
    <t xml:space="preserve">01 — Inputs, constants and source data</t>
  </si>
  <si>
    <t xml:space="preserve">Blue cells are inputs. Every constant carries its justification.</t>
  </si>
  <si>
    <t xml:space="preserve">A. METHODOLOGY CONSTANTS</t>
  </si>
  <si>
    <t xml:space="preserve">Parameter</t>
  </si>
  <si>
    <t xml:space="preserve">Cell ref</t>
  </si>
  <si>
    <t xml:space="preserve">Value</t>
  </si>
  <si>
    <t xml:space="preserve">Units</t>
  </si>
  <si>
    <t xml:space="preserve">Basis / justification</t>
  </si>
  <si>
    <t xml:space="preserve">alpha (tail probability)</t>
  </si>
  <si>
    <t xml:space="preserve">C6</t>
  </si>
  <si>
    <t xml:space="preserve">prob</t>
  </si>
  <si>
    <t xml:space="preserve">MAR 33.16 - SES at least as prudent as 97.5% ES.</t>
  </si>
  <si>
    <t xml:space="preserve">N_hist (historical-method threshold)</t>
  </si>
  <si>
    <t xml:space="preserve">C7</t>
  </si>
  <si>
    <t xml:space="preserve">returns</t>
  </si>
  <si>
    <t xml:space="preserve">Gives &gt;=5 observations in the 2.5% tail; 255 bd less ~55 illiquid holiday-period days.</t>
  </si>
  <si>
    <t xml:space="preserve">N_asigma (asigma-method threshold)</t>
  </si>
  <si>
    <t xml:space="preserve">C8</t>
  </si>
  <si>
    <t xml:space="preserve">Below 12, each half-sample has &lt;6 points and mean/stdev cease to be estimable.</t>
  </si>
  <si>
    <t xml:space="preserve">C_ES_asigma (sigma multiplier)</t>
  </si>
  <si>
    <t xml:space="preserve">C9</t>
  </si>
  <si>
    <t xml:space="preserve">x sigma</t>
  </si>
  <si>
    <t xml:space="preserve">C_ES ~ 3 across the SGT family fitted to ~50,000 real risk factors (EBA 2020a/b). Conservative for near-normal.</t>
  </si>
  <si>
    <t xml:space="preserve">phi_asigma (tail-shape parameter)</t>
  </si>
  <si>
    <t xml:space="preserve">C10</t>
  </si>
  <si>
    <t xml:space="preserve">ratio</t>
  </si>
  <si>
    <t xml:space="preserve">Typical moderately heavy-tailed value; makes (phi-1)/h^2 = 1 at h = 0.2.</t>
  </si>
  <si>
    <t xml:space="preserve">C_UC_A (UCF intercept)</t>
  </si>
  <si>
    <t xml:space="preserve">C11</t>
  </si>
  <si>
    <t xml:space="preserve">-</t>
  </si>
  <si>
    <t xml:space="preserve">Set so UCF(255) ~ 1.01, i.e. ~1 for a full year of daily data with a small NMRF observability add-on.</t>
  </si>
  <si>
    <t xml:space="preserve">C_UC_B (UCF numerator)</t>
  </si>
  <si>
    <t xml:space="preserve">C12</t>
  </si>
  <si>
    <t xml:space="preserve">Single prefactor for both methods (simplification); slightly light for the historical method.</t>
  </si>
  <si>
    <t xml:space="preserve">UCF exponent offset</t>
  </si>
  <si>
    <t xml:space="preserve">C13</t>
  </si>
  <si>
    <t xml:space="preserve">N_eff - 3/2, aligned to the approximately unbiased stdev estimator used in the asigma formula.</t>
  </si>
  <si>
    <t xml:space="preserve">Inner grid factor</t>
  </si>
  <si>
    <t xml:space="preserve">C14</t>
  </si>
  <si>
    <t xml:space="preserve">x CS</t>
  </si>
  <si>
    <t xml:space="preserve">VaR(97.5%) ~ 0.8 x ES(97.5%) empirically across the SGT family.</t>
  </si>
  <si>
    <t xml:space="preserve">Outer step factor (for Gamma)</t>
  </si>
  <si>
    <t xml:space="preserve">C15</t>
  </si>
  <si>
    <t xml:space="preserve">x FS</t>
  </si>
  <si>
    <t xml:space="preserve">Central finite difference with h = 0.2 x FS, matching the inner grid factor.</t>
  </si>
  <si>
    <t xml:space="preserve">K_min (non-linearity floor)</t>
  </si>
  <si>
    <t xml:space="preserve">C16</t>
  </si>
  <si>
    <t xml:space="preserve">Best achievable benefit under a loss profile that rises linearly then flattens; prevents concave fits implying gains.</t>
  </si>
  <si>
    <t xml:space="preserve">K_max (non-linearity cap)</t>
  </si>
  <si>
    <t xml:space="preserve">C17</t>
  </si>
  <si>
    <t xml:space="preserve">Numerical guard against implausible second-derivative estimates.</t>
  </si>
  <si>
    <t xml:space="preserve">rho (cross-factor correlation)</t>
  </si>
  <si>
    <t xml:space="preserve">C18</t>
  </si>
  <si>
    <t xml:space="preserve">MAR 33.17 aggregation formula.</t>
  </si>
  <si>
    <t xml:space="preserve">LH floor</t>
  </si>
  <si>
    <t xml:space="preserve">C19</t>
  </si>
  <si>
    <t xml:space="preserve">bus. days</t>
  </si>
  <si>
    <t xml:space="preserve">MAR 33.16(1) - NMRF liquidity horizon floored at 20 business days.</t>
  </si>
  <si>
    <t xml:space="preserve">Base horizon</t>
  </si>
  <si>
    <t xml:space="preserve">C20</t>
  </si>
  <si>
    <t xml:space="preserve">Methodology calibrates SS on 10 bd, then rescales by sqrt(LH/10).</t>
  </si>
  <si>
    <t xml:space="preserve">Stress period length</t>
  </si>
  <si>
    <t xml:space="preserve">C21</t>
  </si>
  <si>
    <t xml:space="preserve">TARGET2 upper bound on operating days per year.</t>
  </si>
  <si>
    <t xml:space="preserve">Extension period</t>
  </si>
  <si>
    <t xml:space="preserve">C22</t>
  </si>
  <si>
    <t xml:space="preserve">Appended after the stress period so the final observation is not over-used as an end date.</t>
  </si>
  <si>
    <t xml:space="preserve">Tie-break epsilon</t>
  </si>
  <si>
    <t xml:space="preserve">C23</t>
  </si>
  <si>
    <t xml:space="preserve">Footnote 3: where two candidates tie (e.g. 6 bd and 30 bd), the longer horizon is selected.</t>
  </si>
  <si>
    <t xml:space="preserve">B. RISK FACTOR AND PORTFOLIO</t>
  </si>
  <si>
    <t xml:space="preserve">Note</t>
  </si>
  <si>
    <t xml:space="preserve">NMRF identifier</t>
  </si>
  <si>
    <t xml:space="preserve">C27</t>
  </si>
  <si>
    <t xml:space="preserve">EUR 5Yx10Y ATM swaption normal vol</t>
  </si>
  <si>
    <t xml:space="preserve">text</t>
  </si>
  <si>
    <t xml:space="preserve">Single point on a SABR-calibrated vol surface; illustrative.</t>
  </si>
  <si>
    <t xml:space="preserve">Return convention</t>
  </si>
  <si>
    <t xml:space="preserve">C28</t>
  </si>
  <si>
    <t xml:space="preserve">logarithmic</t>
  </si>
  <si>
    <t xml:space="preserve">Shock applied as r* x EXP(x).</t>
  </si>
  <si>
    <t xml:space="preserve">r* — current RF value at reference date</t>
  </si>
  <si>
    <t xml:space="preserve">C29</t>
  </si>
  <si>
    <t xml:space="preserve">bp vol</t>
  </si>
  <si>
    <t xml:space="preserve">Reference-date level.</t>
  </si>
  <si>
    <t xml:space="preserve">Liquidity horizon LH</t>
  </si>
  <si>
    <t xml:space="preserve">C30</t>
  </si>
  <si>
    <t xml:space="preserve">MAR 33.12 mapping; floored at 20.</t>
  </si>
  <si>
    <t xml:space="preserve">V1 — first-order loss sensitivity</t>
  </si>
  <si>
    <t xml:space="preserve">C31</t>
  </si>
  <si>
    <t xml:space="preserve">$ per bp</t>
  </si>
  <si>
    <t xml:space="preserve">Net short vega. Positive =&gt; losses on vol up.</t>
  </si>
  <si>
    <t xml:space="preserve">V2 — second-order loss sensitivity</t>
  </si>
  <si>
    <t xml:space="preserve">C32</t>
  </si>
  <si>
    <t xml:space="preserve">$ per bp^2</t>
  </si>
  <si>
    <t xml:space="preserve">Positive =&gt; convex loss profile (volga).</t>
  </si>
  <si>
    <t xml:space="preserve">V3 — third-order loss sensitivity</t>
  </si>
  <si>
    <t xml:space="preserve">C33</t>
  </si>
  <si>
    <t xml:space="preserve">$ per bp^3</t>
  </si>
  <si>
    <t xml:space="preserve">Small cubic term so the profile is not an exact parabola.</t>
  </si>
  <si>
    <t xml:space="preserve">Loss function used in this workbook (stands in for a full portfolio revaluation):</t>
  </si>
  <si>
    <t xml:space="preserve">l(x) = V1*d + 0.5*V2*d^2 + (1/6)*V3*d^3   where d = r*·EXP(x) − r*      [loss positive = loss]</t>
  </si>
  <si>
    <t xml:space="preserve">In production each l(x) is one revaluation of the SSRM portfolio under a shock to this NMRF only.</t>
  </si>
  <si>
    <t xml:space="preserve">C. NMRF OBSERVATION SERIES  (blue = raw market data)</t>
  </si>
  <si>
    <t xml:space="preserve">Obs #</t>
  </si>
  <si>
    <t xml:space="preserve">Business-day index</t>
  </si>
  <si>
    <t xml:space="preserve">RF value (bp vol)</t>
  </si>
  <si>
    <t xml:space="preserve">In stress period?</t>
  </si>
  <si>
    <t xml:space="preserve">Business-day index 1 = first business day of the 12-month stress period.</t>
  </si>
  <si>
    <t xml:space="preserve">Indices &gt; C21 fall in the 20-bd extension and may be used only as END dates.</t>
  </si>
  <si>
    <t xml:space="preserve">41 observations in the stress period =&gt; N = 40 rescaled nearest-to-10-day returns.</t>
  </si>
  <si>
    <t xml:space="preserve">02 — Step 1a: nearest-to-10-business-day date pairing</t>
  </si>
  <si>
    <t xml:space="preserve">For each start observation t, choose the later observation t' minimising |10/(D_t' − D_t) − 1|, with ties broken toward the LONGER horizon.</t>
  </si>
  <si>
    <t xml:space="preserve">Start obs t</t>
  </si>
  <si>
    <t xml:space="preserve">D_t</t>
  </si>
  <si>
    <t xml:space="preserve">Min criterion</t>
  </si>
  <si>
    <t xml:space="preserve">Matched obs t_nn</t>
  </si>
  <si>
    <t xml:space="preserve">D_t_nn</t>
  </si>
  <si>
    <t xml:space="preserve">Delta (bd)</t>
  </si>
  <si>
    <t xml:space="preserve">Average nearest-to-10d period (bd):</t>
  </si>
  <si>
    <t xml:space="preserve">Note: with sparse data the average return period exceeds 10 bd; this is expected and is why the square-root-of-time rescaling in step 1b is required.</t>
  </si>
  <si>
    <t xml:space="preserve">03 — Step 1b: rescaled nearest-to-10-business-day returns</t>
  </si>
  <si>
    <t xml:space="preserve">X_t = SQRT(10 / Delta_t) x ln( r(D_t_nn) / r(D_t) )    — Eq. 4.b</t>
  </si>
  <si>
    <t xml:space="preserve">t</t>
  </si>
  <si>
    <t xml:space="preserve">r(D_t)</t>
  </si>
  <si>
    <t xml:space="preserve">r(D_t_nn)</t>
  </si>
  <si>
    <t xml:space="preserve">Raw log return</t>
  </si>
  <si>
    <t xml:space="preserve">X_t (rescaled 10bd)</t>
  </si>
  <si>
    <t xml:space="preserve">N (returns):</t>
  </si>
  <si>
    <t xml:space="preserve">Branch:</t>
  </si>
  <si>
    <t xml:space="preserve">Sample stdev:</t>
  </si>
  <si>
    <t xml:space="preserve">Max / Min X_t:</t>
  </si>
  <si>
    <t xml:space="preserve">04 — Steps 2 &amp; 3: asigma calibrated shocks and uncertainty compensation</t>
  </si>
  <si>
    <t xml:space="preserve">Split the sample at its median; on each half estimate a mean and a standard deviation; shock = ∓mu + C_ES x sigma. Then apply UCF.</t>
  </si>
  <si>
    <t xml:space="preserve">A. MEDIAN SPLIT</t>
  </si>
  <si>
    <t xml:space="preserve">Quantity</t>
  </si>
  <si>
    <t xml:space="preserve">Symbol</t>
  </si>
  <si>
    <t xml:space="preserve">Down half (X &lt;= med)</t>
  </si>
  <si>
    <t xml:space="preserve">Up half (X &gt; med)</t>
  </si>
  <si>
    <t xml:space="preserve">Formula reference</t>
  </si>
  <si>
    <t xml:space="preserve">Median of X</t>
  </si>
  <si>
    <t xml:space="preserve">med</t>
  </si>
  <si>
    <t xml:space="preserve">med(X^j)</t>
  </si>
  <si>
    <t xml:space="preserve">Count</t>
  </si>
  <si>
    <t xml:space="preserve">N_down / N_up</t>
  </si>
  <si>
    <t xml:space="preserve">cardinality of each half</t>
  </si>
  <si>
    <t xml:space="preserve">Mean</t>
  </si>
  <si>
    <t xml:space="preserve">mu_hat</t>
  </si>
  <si>
    <t xml:space="preserve">sample mean of the half</t>
  </si>
  <si>
    <t xml:space="preserve">Sum of squared deviations</t>
  </si>
  <si>
    <t xml:space="preserve">SSD</t>
  </si>
  <si>
    <t xml:space="preserve">SUM (X_i − mu_hat)^2 over the half</t>
  </si>
  <si>
    <t xml:space="preserve">Standard deviation</t>
  </si>
  <si>
    <t xml:space="preserve">sigma_hat</t>
  </si>
  <si>
    <t xml:space="preserve">SQRT( SSD / (N_half − 3/2) ) — approx. unbiased, Eqs. 11–12</t>
  </si>
  <si>
    <t xml:space="preserve">B. ASIGMA ESTIMATORS AND UNCERTAINTY COMPENSATION</t>
  </si>
  <si>
    <t xml:space="preserve">Downward</t>
  </si>
  <si>
    <t xml:space="preserve">Upward</t>
  </si>
  <si>
    <t xml:space="preserve">Asigma ES estimate</t>
  </si>
  <si>
    <t xml:space="preserve">AS_hat</t>
  </si>
  <si>
    <t xml:space="preserve">AS_down = −mu_down + C_ES·sigma_down ; AS_up = +mu_up + C_ES·sigma_up</t>
  </si>
  <si>
    <t xml:space="preserve">Effective sample size</t>
  </si>
  <si>
    <t xml:space="preserve">N_eff</t>
  </si>
  <si>
    <t xml:space="preserve">N_eff = N_half under the asigma method; N_eff = N under the historical method</t>
  </si>
  <si>
    <t xml:space="preserve">Uncertainty compensation factor</t>
  </si>
  <si>
    <t xml:space="preserve">UCF</t>
  </si>
  <si>
    <t xml:space="preserve">UCF = 0.95 + 1/SQRT(N_eff − 1.5) — Eq. 44. Less data =&gt; more capital (goal G7).</t>
  </si>
  <si>
    <t xml:space="preserve">CALIBRATED SHOCK</t>
  </si>
  <si>
    <t xml:space="preserve">CS</t>
  </si>
  <si>
    <t xml:space="preserve">CS_down and CS_up, both reported as POSITIVE magnitudes</t>
  </si>
  <si>
    <t xml:space="preserve">Shock range spanned:</t>
  </si>
  <si>
    <t xml:space="preserve">Ratio CS_up / max observed X_t:</t>
  </si>
  <si>
    <t xml:space="preserve">The asigma shock deliberately extrapolates beyond the observed sample: with 40 returns the empirical 97.5% tail contains a single point and cannot be estimated directly. This is the intended behaviour, not an error.</t>
  </si>
  <si>
    <t xml:space="preserve">05 — Step 4: four-point loss grid and the extreme scenario of future shock</t>
  </si>
  <si>
    <t xml:space="preserve">Theta = { −CS_down, −0.8·CS_down, +0.8·CS_up, +CS_up }. FS is the member of Theta producing the largest loss.</t>
  </si>
  <si>
    <t xml:space="preserve">Grid point</t>
  </si>
  <si>
    <t xml:space="preserve">Type</t>
  </si>
  <si>
    <t xml:space="preserve">Shock x</t>
  </si>
  <si>
    <t xml:space="preserve">Shocked RF r*·EXP(x)</t>
  </si>
  <si>
    <t xml:space="preserve">d = shocked − r*</t>
  </si>
  <si>
    <t xml:space="preserve">Loss l(x)</t>
  </si>
  <si>
    <t xml:space="preserve">Is worst?</t>
  </si>
  <si>
    <t xml:space="preserve">−CS_down</t>
  </si>
  <si>
    <t xml:space="preserve">Boundary</t>
  </si>
  <si>
    <t xml:space="preserve">−0.8 x CS_down</t>
  </si>
  <si>
    <t xml:space="preserve">Inner</t>
  </si>
  <si>
    <t xml:space="preserve">+0.8 x CS_up</t>
  </si>
  <si>
    <t xml:space="preserve">+CS_up</t>
  </si>
  <si>
    <t xml:space="preserve">SELECTION OF FS</t>
  </si>
  <si>
    <t xml:space="preserve">Largest loss in Theta</t>
  </si>
  <si>
    <t xml:space="preserve">FS — extreme scenario of future shock</t>
  </si>
  <si>
    <t xml:space="preserve">FS grid type</t>
  </si>
  <si>
    <t xml:space="preserve">Loss at FS — l(FS)</t>
  </si>
  <si>
    <t xml:space="preserve">Non-linearity correction applies?</t>
  </si>
  <si>
    <t xml:space="preserve">All four points a gain? (SS10d floored at zero)</t>
  </si>
  <si>
    <t xml:space="preserve">Interpretation: this portfolio is net short vega with a convex loss profile, so the worst loss sits at the upward boundary — the common case the methodology is built for. Had an INNER point won, K would be skipped and the result would carry acknowledged approximation risk in both directions.</t>
  </si>
  <si>
    <t xml:space="preserve">06 — Steps 5 &amp; 6: non-linearity correction, SS(10d) and liquidity-horizon rescaling</t>
  </si>
  <si>
    <t xml:space="preserve">K_tilde = 1 + 12.5 · [ l(0.8·FS) − 2·l(FS) + l(1.2·FS) ] / l(FS) · (phi − 1) ; K = clamp(K_tilde, K_min, K_max)</t>
  </si>
  <si>
    <t xml:space="preserve">A. THE THREE LOSS EVALUATIONS FOR THE SECOND DIFFERENCE</t>
  </si>
  <si>
    <t xml:space="preserve">Point</t>
  </si>
  <si>
    <t xml:space="preserve">Multiple of FS</t>
  </si>
  <si>
    <t xml:space="preserve">Shocked RF</t>
  </si>
  <si>
    <t xml:space="preserve">d</t>
  </si>
  <si>
    <t xml:space="preserve">Inner (already evaluated in step 4)</t>
  </si>
  <si>
    <t xml:space="preserve">At FS</t>
  </si>
  <si>
    <t xml:space="preserve">Outer (the ONE extra revaluation)</t>
  </si>
  <si>
    <t xml:space="preserve">B. NON-LINEARITY CORRECTION</t>
  </si>
  <si>
    <t xml:space="preserve">Second difference: l(0.8FS) − 2·l(FS) + l(1.2FS)</t>
  </si>
  <si>
    <t xml:space="preserve">phi (tail-shape parameter)</t>
  </si>
  <si>
    <t xml:space="preserve">Flat 1.04 under the asigma branch; estimated from the tail when N &gt;= 200.</t>
  </si>
  <si>
    <t xml:space="preserve">Prefactor 12.5 x (phi − 1)</t>
  </si>
  <si>
    <t xml:space="preserve">Collapses to 0.5 at phi = 1.04, since (phi−1)/h^2 = 1 at h = 0.2.</t>
  </si>
  <si>
    <t xml:space="preserve">K_tilde (uncapped)</t>
  </si>
  <si>
    <t xml:space="preserve">Eq. 24</t>
  </si>
  <si>
    <t xml:space="preserve">K (capped and floored)</t>
  </si>
  <si>
    <t xml:space="preserve">Eq. 26</t>
  </si>
  <si>
    <t xml:space="preserve">Floor or cap binding?</t>
  </si>
  <si>
    <t xml:space="preserve">C. STRESS SCENARIO RISK MEASURE</t>
  </si>
  <si>
    <t xml:space="preserve">l(FS) — loss at the extreme scenario of future shock</t>
  </si>
  <si>
    <t xml:space="preserve">SS(10d) = K x l(FS)</t>
  </si>
  <si>
    <t xml:space="preserve">Eq. 27 at a boundary point; Eq. 28 at an inner point.</t>
  </si>
  <si>
    <t xml:space="preserve">MAR 33.12 mapping</t>
  </si>
  <si>
    <t xml:space="preserve">Floored LH = MAX(LH, 20)</t>
  </si>
  <si>
    <t xml:space="preserve">MAR 33.16(1)</t>
  </si>
  <si>
    <t xml:space="preserve">Rescaling factor SQRT(LH_floored / 10)</t>
  </si>
  <si>
    <t xml:space="preserve">Square-root-of-time, Eq. 58</t>
  </si>
  <si>
    <t xml:space="preserve">SS — stress scenario risk measure for this NMRF</t>
  </si>
  <si>
    <t xml:space="preserve">Feeds the MAR 33.17 aggregation on sheet 07</t>
  </si>
  <si>
    <t xml:space="preserve">Revaluation count for this NMRF: 5 (four grid points + one at 1.2·FS) versus ~250 under the direct method — a ~50x reduction, which is the entire point of the methodology.</t>
  </si>
  <si>
    <t xml:space="preserve">07 — Step 7: aggregation of SS across NMRFs into the total SES charge (MAR 33.17)</t>
  </si>
  <si>
    <t xml:space="preserve">SES = SQRT(SUM CSR-idio SS^2) + SQRT(SUM EQ-idio SS^2) + SQRT( (rho·SUM other SS)^2 + (1−rho^2)·SUM other SS^2 )</t>
  </si>
  <si>
    <t xml:space="preserve">#</t>
  </si>
  <si>
    <t xml:space="preserve">NMRF</t>
  </si>
  <si>
    <t xml:space="preserve">Bucket / class</t>
  </si>
  <si>
    <t xml:space="preserve">Aggregation set</t>
  </si>
  <si>
    <t xml:space="preserve">LH (bd)</t>
  </si>
  <si>
    <t xml:space="preserve">SS ($)</t>
  </si>
  <si>
    <t xml:space="preserve">Source</t>
  </si>
  <si>
    <t xml:space="preserve">IR Vol</t>
  </si>
  <si>
    <t xml:space="preserve">Other</t>
  </si>
  <si>
    <t xml:space="preserve">This workbook (sheet 06)</t>
  </si>
  <si>
    <t xml:space="preserve">USD 30Y sovereign–OIS basis</t>
  </si>
  <si>
    <t xml:space="preserve">CSR non-sec (systematic)</t>
  </si>
  <si>
    <t xml:space="preserve">Illustrative</t>
  </si>
  <si>
    <t xml:space="preserve">EURUSD 3M x-ccy basis, 12Y point</t>
  </si>
  <si>
    <t xml:space="preserve">GIRR / x-ccy basis</t>
  </si>
  <si>
    <t xml:space="preserve">Issuer XYZ 5Y CDS idiosyncratic spread</t>
  </si>
  <si>
    <t xml:space="preserve">CSR idiosyncratic</t>
  </si>
  <si>
    <t xml:space="preserve">CSR idio</t>
  </si>
  <si>
    <t xml:space="preserve">Issuer ABC 5Y CDS idiosyncratic spread</t>
  </si>
  <si>
    <t xml:space="preserve">Single-name equity idio vol, name P</t>
  </si>
  <si>
    <t xml:space="preserve">Equity idiosyncratic</t>
  </si>
  <si>
    <t xml:space="preserve">EQ idio</t>
  </si>
  <si>
    <t xml:space="preserve">AGGREGATION</t>
  </si>
  <si>
    <t xml:space="preserve">SUM of SS^2 — CSR idiosyncratic</t>
  </si>
  <si>
    <t xml:space="preserve">SUM of SS^2 — Equity idiosyncratic</t>
  </si>
  <si>
    <t xml:space="preserve">SUM of SS — other risk factors</t>
  </si>
  <si>
    <t xml:space="preserve">SUM of SS^2 — other risk factors</t>
  </si>
  <si>
    <t xml:space="preserve">Term 1 — SQRT(CSR idio)</t>
  </si>
  <si>
    <t xml:space="preserve">Term 2 — SQRT(EQ idio)</t>
  </si>
  <si>
    <t xml:space="preserve">Term 3 — other, rho = 0.6</t>
  </si>
  <si>
    <t xml:space="preserve">TOTAL SES</t>
  </si>
  <si>
    <t xml:space="preserve">Memo: naive undiversified sum of all SS</t>
  </si>
  <si>
    <t xml:space="preserve">Memo: diversification benefit</t>
  </si>
  <si>
    <t xml:space="preserve">Note: idiosyncratic credit and idiosyncratic equity SS aggregate with zero correlation to everything else and must be separately evidenced as such. Every other NMRF sits in the rho = 0.6 term. There is no cascading bucket structure here — each NMRF is capitalised individually and then aggregated once.</t>
  </si>
  <si>
    <t xml:space="preserve">08 — Control: direct-method benchmark and reconciliation</t>
  </si>
  <si>
    <t xml:space="preserve">The direct method revalues the portfolio under every observed return and takes the 97.5% ES of those losses. Permitted only where N &gt;= 200 (Reg. 2024/397); shown here purely as a diagnostic.</t>
  </si>
  <si>
    <t xml:space="preserve">Loss under each observed return</t>
  </si>
  <si>
    <t xml:space="preserve">Rank k</t>
  </si>
  <si>
    <t xml:space="preserve">k-th largest loss</t>
  </si>
  <si>
    <t xml:space="preserve">Weight w_k</t>
  </si>
  <si>
    <t xml:space="preserve">Weighted</t>
  </si>
  <si>
    <t xml:space="preserve">X_t</t>
  </si>
  <si>
    <t xml:space="preserve">Loss l(X_t)</t>
  </si>
  <si>
    <t xml:space="preserve">N</t>
  </si>
  <si>
    <t xml:space="preserve">alpha x N</t>
  </si>
  <si>
    <t xml:space="preserve">floor(alpha x N)</t>
  </si>
  <si>
    <t xml:space="preserve">Direct-method ES(2.5%) of losses</t>
  </si>
  <si>
    <t xml:space="preserve">UCF(N) for the historical method</t>
  </si>
  <si>
    <t xml:space="preserve">Direct-method 10d SS = ES x UCF</t>
  </si>
  <si>
    <t xml:space="preserve">Methodology 10d SS (sheet 06)</t>
  </si>
  <si>
    <t xml:space="preserve">Ratio methodology / direct</t>
  </si>
  <si>
    <t xml:space="preserve">Reading the gap. With N = 40 the 2.5% tail contains a single observation, so the "direct" ES here is essentially the single worst simulated loss.</t>
  </si>
  <si>
    <t xml:space="preserve">It is not a credible ES estimate — which is exactly why Reg. 2024/397 bars the direct method below N = 200 and why the asigma branch exists.</t>
  </si>
  <si>
    <t xml:space="preserve">The asigma shock extrapolates past the observed maximum (see the ratio on sheet 04) and the UCF then adds a further ~18% at N_eff = 20.</t>
  </si>
  <si>
    <t xml:space="preserve">The resulting multiple is the intended conservatism of goal G7, not a modelling error. Expect this ratio to fall toward ~1.0x as N approaches 255.</t>
  </si>
  <si>
    <t xml:space="preserve">Governance point: reproduce this comparison for any NMRF where you DO have &gt;= 200 returns. Agreement there is the strongest single piece of evidence that the implementation is correct.</t>
  </si>
  <si>
    <t xml:space="preserve">09 — Capital consequence: SES against data availability</t>
  </si>
  <si>
    <t xml:space="preserve">Holding the asigma estimate AS_up fixed, vary the effective sample size. This isolates the UCF — the "less data, more capital" lever — and its pass-through to capital.</t>
  </si>
  <si>
    <t xml:space="preserve">N (returns in stress period)</t>
  </si>
  <si>
    <t xml:space="preserve">N_eff = N/2</t>
  </si>
  <si>
    <t xml:space="preserve">CS_up</t>
  </si>
  <si>
    <t xml:space="preserve">l(FS)</t>
  </si>
  <si>
    <t xml:space="preserve">SS at LH</t>
  </si>
  <si>
    <t xml:space="preserve">Index vs N = 255</t>
  </si>
  <si>
    <t xml:space="preserve">Simplification: K is held at the level computed on sheet 06. In a live run K is recomputed at each shock level, so the true curve is slightly steeper still where the loss profile is convex.</t>
  </si>
  <si>
    <t xml:space="preserve">Read-across: moving an NMRF from 12 returns to a full year of daily data cuts its UCF from ~1.42 to ~1.01 — a ~30% capital reduction on that factor before any change in the underlying risk. That is the business case for fixing observation capture, and it is why the IR Vol historical rebuild is a capital question, not just a documentation one.</t>
  </si>
</sst>
</file>

<file path=xl/styles.xml><?xml version="1.0" encoding="utf-8"?>
<styleSheet xmlns="http://schemas.openxmlformats.org/spreadsheetml/2006/main">
  <numFmts count="13">
    <numFmt numFmtId="164" formatCode="General"/>
    <numFmt numFmtId="165" formatCode="0.#####"/>
    <numFmt numFmtId="166" formatCode="#,##0.00"/>
    <numFmt numFmtId="167" formatCode="0.000"/>
    <numFmt numFmtId="168" formatCode="General"/>
    <numFmt numFmtId="169" formatCode="0.00000"/>
    <numFmt numFmtId="170" formatCode="0.00"/>
    <numFmt numFmtId="171" formatCode="0.0000"/>
    <numFmt numFmtId="172" formatCode="0.00\x"/>
    <numFmt numFmtId="173" formatCode="\$#,##0;&quot;($&quot;#,##0\);\-"/>
    <numFmt numFmtId="174" formatCode="0.0"/>
    <numFmt numFmtId="175" formatCode="0"/>
    <numFmt numFmtId="176" formatCode="0.0%"/>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sz val="10"/>
      <name val="Arial"/>
      <family val="0"/>
      <charset val="1"/>
    </font>
    <font>
      <b val="true"/>
      <sz val="10"/>
      <name val="Arial"/>
      <family val="0"/>
      <charset val="1"/>
    </font>
    <font>
      <b val="true"/>
      <sz val="10"/>
      <color rgb="FF1F3864"/>
      <name val="Arial"/>
      <family val="0"/>
      <charset val="1"/>
    </font>
    <font>
      <b val="true"/>
      <sz val="11"/>
      <color rgb="FFFFFFFF"/>
      <name val="Arial"/>
      <family val="0"/>
      <charset val="1"/>
    </font>
    <font>
      <b val="true"/>
      <sz val="9"/>
      <color rgb="FFFFFFFF"/>
      <name val="Arial"/>
      <family val="0"/>
      <charset val="1"/>
    </font>
    <font>
      <sz val="10"/>
      <color rgb="FF0000FF"/>
      <name val="Arial"/>
      <family val="0"/>
      <charset val="1"/>
    </font>
    <font>
      <sz val="10"/>
      <color rgb="FF008000"/>
      <name val="Arial"/>
      <family val="0"/>
      <charset val="1"/>
    </font>
  </fonts>
  <fills count="4">
    <fill>
      <patternFill patternType="none"/>
    </fill>
    <fill>
      <patternFill patternType="gray125"/>
    </fill>
    <fill>
      <patternFill patternType="solid">
        <fgColor rgb="FF44546A"/>
        <bgColor rgb="FF595959"/>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6" fontId="11"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8" fontId="12" fillId="0" borderId="0" xfId="0" applyFont="true" applyBorder="false" applyAlignment="true" applyProtection="false">
      <alignment horizontal="center"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68"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9" fontId="12"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9" fontId="0" fillId="3" borderId="1" xfId="0" applyFont="false" applyBorder="tru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73" fontId="6" fillId="0"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7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75" fontId="6" fillId="0" borderId="1" xfId="0" applyFont="true" applyBorder="true" applyAlignment="false" applyProtection="false">
      <alignment horizontal="general" vertical="bottom" textRotation="0" wrapText="false" indent="0" shrinkToFit="false"/>
      <protection locked="true" hidden="false"/>
    </xf>
    <xf numFmtId="173" fontId="6" fillId="3" borderId="1" xfId="0" applyFont="true" applyBorder="true" applyAlignment="false" applyProtection="false">
      <alignment horizontal="general" vertical="bottom" textRotation="0" wrapText="false" indent="0" shrinkToFit="false"/>
      <protection locked="true" hidden="false"/>
    </xf>
    <xf numFmtId="173" fontId="12" fillId="0" borderId="1" xfId="0" applyFont="true" applyBorder="true" applyAlignment="false" applyProtection="false">
      <alignment horizontal="general" vertical="bottom" textRotation="0" wrapText="false" indent="0" shrinkToFit="false"/>
      <protection locked="true" hidden="false"/>
    </xf>
    <xf numFmtId="173" fontId="11" fillId="0" borderId="1" xfId="0" applyFont="true" applyBorder="true" applyAlignment="false" applyProtection="false">
      <alignment horizontal="general" vertical="bottom" textRotation="0" wrapText="false" indent="0" shrinkToFit="false"/>
      <protection locked="true" hidden="false"/>
    </xf>
    <xf numFmtId="176" fontId="6" fillId="0" borderId="1"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75" fontId="6" fillId="2" borderId="1" xfId="0" applyFont="true" applyBorder="true" applyAlignment="false" applyProtection="false">
      <alignment horizontal="general" vertical="bottom" textRotation="0" wrapText="false" indent="0" shrinkToFit="false"/>
      <protection locked="true" hidden="false"/>
    </xf>
    <xf numFmtId="170" fontId="6" fillId="0" borderId="1" xfId="0" applyFont="true" applyBorder="true" applyAlignment="false" applyProtection="false">
      <alignment horizontal="general" vertical="bottom" textRotation="0" wrapText="false" indent="0" shrinkToFit="false"/>
      <protection locked="true" hidden="false"/>
    </xf>
    <xf numFmtId="172" fontId="6"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8"/>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c r="B4" s="3"/>
    </row>
    <row r="5" customFormat="false" ht="15" hidden="false" customHeight="false" outlineLevel="0" collapsed="false">
      <c r="A5" s="4" t="s">
        <v>2</v>
      </c>
      <c r="B5" s="3"/>
    </row>
    <row r="6" customFormat="false" ht="15" hidden="false" customHeight="false" outlineLevel="0" collapsed="false">
      <c r="A6" s="3"/>
      <c r="B6" s="3" t="s">
        <v>3</v>
      </c>
    </row>
    <row r="7" customFormat="false" ht="15" hidden="false" customHeight="false" outlineLevel="0" collapsed="false">
      <c r="A7" s="3"/>
      <c r="B7" s="3" t="s">
        <v>4</v>
      </c>
    </row>
    <row r="8" customFormat="false" ht="15" hidden="false" customHeight="false" outlineLevel="0" collapsed="false">
      <c r="A8" s="3"/>
      <c r="B8" s="3" t="s">
        <v>5</v>
      </c>
    </row>
    <row r="9" customFormat="false" ht="15" hidden="false" customHeight="false" outlineLevel="0" collapsed="false">
      <c r="A9" s="3"/>
      <c r="B9" s="3"/>
    </row>
    <row r="10" customFormat="false" ht="15" hidden="false" customHeight="false" outlineLevel="0" collapsed="false">
      <c r="A10" s="4" t="s">
        <v>6</v>
      </c>
      <c r="B10" s="3"/>
    </row>
    <row r="11" customFormat="false" ht="15" hidden="false" customHeight="false" outlineLevel="0" collapsed="false">
      <c r="A11" s="3"/>
      <c r="B11" s="3" t="s">
        <v>7</v>
      </c>
    </row>
    <row r="12" customFormat="false" ht="15" hidden="false" customHeight="false" outlineLevel="0" collapsed="false">
      <c r="A12" s="3"/>
      <c r="B12" s="3" t="s">
        <v>8</v>
      </c>
    </row>
    <row r="13" customFormat="false" ht="15" hidden="false" customHeight="false" outlineLevel="0" collapsed="false">
      <c r="A13" s="3"/>
      <c r="B13" s="3" t="s">
        <v>9</v>
      </c>
    </row>
    <row r="14" customFormat="false" ht="15" hidden="false" customHeight="false" outlineLevel="0" collapsed="false">
      <c r="A14" s="3"/>
      <c r="B14" s="3" t="s">
        <v>10</v>
      </c>
    </row>
    <row r="15" customFormat="false" ht="15" hidden="false" customHeight="false" outlineLevel="0" collapsed="false">
      <c r="A15" s="3"/>
      <c r="B15" s="3"/>
    </row>
    <row r="16" customFormat="false" ht="15" hidden="false" customHeight="false" outlineLevel="0" collapsed="false">
      <c r="A16" s="4" t="s">
        <v>11</v>
      </c>
      <c r="B16" s="3"/>
    </row>
    <row r="17" customFormat="false" ht="15" hidden="false" customHeight="false" outlineLevel="0" collapsed="false">
      <c r="A17" s="5" t="s">
        <v>12</v>
      </c>
      <c r="B17" s="3" t="s">
        <v>13</v>
      </c>
    </row>
    <row r="18" customFormat="false" ht="15" hidden="false" customHeight="false" outlineLevel="0" collapsed="false">
      <c r="A18" s="5" t="s">
        <v>14</v>
      </c>
      <c r="B18" s="3" t="s">
        <v>15</v>
      </c>
    </row>
    <row r="19" customFormat="false" ht="15" hidden="false" customHeight="false" outlineLevel="0" collapsed="false">
      <c r="A19" s="5" t="s">
        <v>16</v>
      </c>
      <c r="B19" s="3" t="s">
        <v>17</v>
      </c>
    </row>
    <row r="20" customFormat="false" ht="15" hidden="false" customHeight="false" outlineLevel="0" collapsed="false">
      <c r="A20" s="5" t="s">
        <v>18</v>
      </c>
      <c r="B20" s="3" t="s">
        <v>19</v>
      </c>
    </row>
    <row r="21" customFormat="false" ht="15" hidden="false" customHeight="false" outlineLevel="0" collapsed="false">
      <c r="A21" s="5" t="s">
        <v>20</v>
      </c>
      <c r="B21" s="3" t="s">
        <v>21</v>
      </c>
    </row>
    <row r="22" customFormat="false" ht="15" hidden="false" customHeight="false" outlineLevel="0" collapsed="false">
      <c r="A22" s="4" t="s">
        <v>22</v>
      </c>
      <c r="B22" s="3" t="s">
        <v>23</v>
      </c>
    </row>
    <row r="23" customFormat="false" ht="15" hidden="false" customHeight="false" outlineLevel="0" collapsed="false">
      <c r="A23" s="5" t="s">
        <v>24</v>
      </c>
      <c r="B23" s="3" t="s">
        <v>25</v>
      </c>
    </row>
    <row r="24" customFormat="false" ht="15" hidden="false" customHeight="false" outlineLevel="0" collapsed="false">
      <c r="A24" s="5" t="s">
        <v>26</v>
      </c>
      <c r="B24" s="3" t="s">
        <v>27</v>
      </c>
    </row>
    <row r="25" customFormat="false" ht="15" hidden="false" customHeight="false" outlineLevel="0" collapsed="false">
      <c r="A25" s="5" t="s">
        <v>28</v>
      </c>
      <c r="B25" s="3" t="s">
        <v>29</v>
      </c>
    </row>
    <row r="26" customFormat="false" ht="15" hidden="false" customHeight="false" outlineLevel="0" collapsed="false">
      <c r="A26" s="3"/>
      <c r="B26" s="3"/>
    </row>
    <row r="27" customFormat="false" ht="15" hidden="false" customHeight="false" outlineLevel="0" collapsed="false">
      <c r="A27" s="4" t="s">
        <v>30</v>
      </c>
      <c r="B27" s="3"/>
    </row>
    <row r="28" customFormat="false" ht="15" hidden="false" customHeight="false" outlineLevel="0" collapsed="false">
      <c r="A28" s="4" t="s">
        <v>31</v>
      </c>
      <c r="B28" s="3" t="s">
        <v>32</v>
      </c>
    </row>
    <row r="29" customFormat="false" ht="15" hidden="false" customHeight="false" outlineLevel="0" collapsed="false">
      <c r="A29" s="4" t="s">
        <v>33</v>
      </c>
      <c r="B29" s="3" t="s">
        <v>34</v>
      </c>
    </row>
    <row r="30" customFormat="false" ht="15" hidden="false" customHeight="false" outlineLevel="0" collapsed="false">
      <c r="A30" s="4" t="s">
        <v>35</v>
      </c>
      <c r="B30" s="3" t="s">
        <v>36</v>
      </c>
    </row>
    <row r="31" customFormat="false" ht="15" hidden="false" customHeight="false" outlineLevel="0" collapsed="false">
      <c r="A31" s="4" t="s">
        <v>37</v>
      </c>
      <c r="B31" s="3" t="s">
        <v>38</v>
      </c>
    </row>
    <row r="32" customFormat="false" ht="15" hidden="false" customHeight="false" outlineLevel="0" collapsed="false">
      <c r="A32" s="3"/>
      <c r="B32" s="3"/>
    </row>
    <row r="33" customFormat="false" ht="15" hidden="false" customHeight="false" outlineLevel="0" collapsed="false">
      <c r="A33" s="4" t="s">
        <v>39</v>
      </c>
      <c r="B33" s="3"/>
    </row>
    <row r="34" customFormat="false" ht="15" hidden="false" customHeight="false" outlineLevel="0" collapsed="false">
      <c r="A34" s="3"/>
      <c r="B34" s="3" t="s">
        <v>40</v>
      </c>
    </row>
    <row r="35" customFormat="false" ht="15" hidden="false" customHeight="false" outlineLevel="0" collapsed="false">
      <c r="A35" s="3"/>
      <c r="B35" s="3" t="s">
        <v>41</v>
      </c>
    </row>
    <row r="36" customFormat="false" ht="15" hidden="false" customHeight="false" outlineLevel="0" collapsed="false">
      <c r="A36" s="3"/>
      <c r="B36" s="3" t="s">
        <v>42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3" min="3" style="0" width="20"/>
    <col collapsed="false" customWidth="true" hidden="false" outlineLevel="0" max="4" min="4" style="0" width="16"/>
    <col collapsed="false" customWidth="true" hidden="false" outlineLevel="0" max="5" min="5" style="0" width="110"/>
  </cols>
  <sheetData>
    <row r="1" customFormat="false" ht="17.35" hidden="false" customHeight="false" outlineLevel="0" collapsed="false">
      <c r="A1" s="1" t="s">
        <v>43</v>
      </c>
    </row>
    <row r="2" customFormat="false" ht="15" hidden="false" customHeight="false" outlineLevel="0" collapsed="false">
      <c r="A2" s="2" t="s">
        <v>44</v>
      </c>
    </row>
    <row r="4" customFormat="false" ht="15" hidden="false" customHeight="false" outlineLevel="0" collapsed="false">
      <c r="A4" s="6" t="s">
        <v>45</v>
      </c>
      <c r="B4" s="7"/>
      <c r="C4" s="7"/>
      <c r="D4" s="7"/>
      <c r="E4" s="7"/>
    </row>
    <row r="5" customFormat="false" ht="15" hidden="false" customHeight="false" outlineLevel="0" collapsed="false">
      <c r="A5" s="8" t="s">
        <v>46</v>
      </c>
      <c r="B5" s="8" t="s">
        <v>47</v>
      </c>
      <c r="C5" s="8" t="s">
        <v>48</v>
      </c>
      <c r="D5" s="8" t="s">
        <v>49</v>
      </c>
      <c r="E5" s="8" t="s">
        <v>50</v>
      </c>
    </row>
    <row r="6" customFormat="false" ht="15" hidden="false" customHeight="false" outlineLevel="0" collapsed="false">
      <c r="A6" s="9" t="s">
        <v>51</v>
      </c>
      <c r="B6" s="10" t="s">
        <v>52</v>
      </c>
      <c r="C6" s="11" t="n">
        <v>0.025</v>
      </c>
      <c r="D6" s="9" t="s">
        <v>53</v>
      </c>
      <c r="E6" s="10" t="s">
        <v>54</v>
      </c>
    </row>
    <row r="7" customFormat="false" ht="15" hidden="false" customHeight="false" outlineLevel="0" collapsed="false">
      <c r="A7" s="9" t="s">
        <v>55</v>
      </c>
      <c r="B7" s="10" t="s">
        <v>56</v>
      </c>
      <c r="C7" s="11" t="n">
        <v>200</v>
      </c>
      <c r="D7" s="9" t="s">
        <v>57</v>
      </c>
      <c r="E7" s="10" t="s">
        <v>58</v>
      </c>
    </row>
    <row r="8" customFormat="false" ht="15" hidden="false" customHeight="false" outlineLevel="0" collapsed="false">
      <c r="A8" s="9" t="s">
        <v>59</v>
      </c>
      <c r="B8" s="10" t="s">
        <v>60</v>
      </c>
      <c r="C8" s="11" t="n">
        <v>12</v>
      </c>
      <c r="D8" s="9" t="s">
        <v>57</v>
      </c>
      <c r="E8" s="10" t="s">
        <v>61</v>
      </c>
    </row>
    <row r="9" customFormat="false" ht="15" hidden="false" customHeight="false" outlineLevel="0" collapsed="false">
      <c r="A9" s="9" t="s">
        <v>62</v>
      </c>
      <c r="B9" s="10" t="s">
        <v>63</v>
      </c>
      <c r="C9" s="11" t="n">
        <v>3</v>
      </c>
      <c r="D9" s="9" t="s">
        <v>64</v>
      </c>
      <c r="E9" s="10" t="s">
        <v>65</v>
      </c>
    </row>
    <row r="10" customFormat="false" ht="15" hidden="false" customHeight="false" outlineLevel="0" collapsed="false">
      <c r="A10" s="9" t="s">
        <v>66</v>
      </c>
      <c r="B10" s="10" t="s">
        <v>67</v>
      </c>
      <c r="C10" s="11" t="n">
        <v>1.04</v>
      </c>
      <c r="D10" s="9" t="s">
        <v>68</v>
      </c>
      <c r="E10" s="10" t="s">
        <v>69</v>
      </c>
    </row>
    <row r="11" customFormat="false" ht="15" hidden="false" customHeight="false" outlineLevel="0" collapsed="false">
      <c r="A11" s="9" t="s">
        <v>70</v>
      </c>
      <c r="B11" s="10" t="s">
        <v>71</v>
      </c>
      <c r="C11" s="11" t="n">
        <v>0.95</v>
      </c>
      <c r="D11" s="9" t="s">
        <v>72</v>
      </c>
      <c r="E11" s="10" t="s">
        <v>73</v>
      </c>
    </row>
    <row r="12" customFormat="false" ht="15" hidden="false" customHeight="false" outlineLevel="0" collapsed="false">
      <c r="A12" s="9" t="s">
        <v>74</v>
      </c>
      <c r="B12" s="10" t="s">
        <v>75</v>
      </c>
      <c r="C12" s="11" t="n">
        <v>1</v>
      </c>
      <c r="D12" s="9" t="s">
        <v>72</v>
      </c>
      <c r="E12" s="10" t="s">
        <v>76</v>
      </c>
    </row>
    <row r="13" customFormat="false" ht="15" hidden="false" customHeight="false" outlineLevel="0" collapsed="false">
      <c r="A13" s="9" t="s">
        <v>77</v>
      </c>
      <c r="B13" s="10" t="s">
        <v>78</v>
      </c>
      <c r="C13" s="11" t="n">
        <v>1.5</v>
      </c>
      <c r="D13" s="9" t="s">
        <v>57</v>
      </c>
      <c r="E13" s="10" t="s">
        <v>79</v>
      </c>
    </row>
    <row r="14" customFormat="false" ht="15" hidden="false" customHeight="false" outlineLevel="0" collapsed="false">
      <c r="A14" s="9" t="s">
        <v>80</v>
      </c>
      <c r="B14" s="10" t="s">
        <v>81</v>
      </c>
      <c r="C14" s="11" t="n">
        <v>0.8</v>
      </c>
      <c r="D14" s="9" t="s">
        <v>82</v>
      </c>
      <c r="E14" s="10" t="s">
        <v>83</v>
      </c>
    </row>
    <row r="15" customFormat="false" ht="15" hidden="false" customHeight="false" outlineLevel="0" collapsed="false">
      <c r="A15" s="9" t="s">
        <v>84</v>
      </c>
      <c r="B15" s="10" t="s">
        <v>85</v>
      </c>
      <c r="C15" s="11" t="n">
        <v>1.2</v>
      </c>
      <c r="D15" s="9" t="s">
        <v>86</v>
      </c>
      <c r="E15" s="10" t="s">
        <v>87</v>
      </c>
    </row>
    <row r="16" customFormat="false" ht="15" hidden="false" customHeight="false" outlineLevel="0" collapsed="false">
      <c r="A16" s="9" t="s">
        <v>88</v>
      </c>
      <c r="B16" s="10" t="s">
        <v>89</v>
      </c>
      <c r="C16" s="11" t="n">
        <v>0.9</v>
      </c>
      <c r="D16" s="9" t="s">
        <v>72</v>
      </c>
      <c r="E16" s="10" t="s">
        <v>90</v>
      </c>
    </row>
    <row r="17" customFormat="false" ht="15" hidden="false" customHeight="false" outlineLevel="0" collapsed="false">
      <c r="A17" s="9" t="s">
        <v>91</v>
      </c>
      <c r="B17" s="10" t="s">
        <v>92</v>
      </c>
      <c r="C17" s="11" t="n">
        <v>5</v>
      </c>
      <c r="D17" s="9" t="s">
        <v>72</v>
      </c>
      <c r="E17" s="10" t="s">
        <v>93</v>
      </c>
    </row>
    <row r="18" customFormat="false" ht="15" hidden="false" customHeight="false" outlineLevel="0" collapsed="false">
      <c r="A18" s="9" t="s">
        <v>94</v>
      </c>
      <c r="B18" s="10" t="s">
        <v>95</v>
      </c>
      <c r="C18" s="11" t="n">
        <v>0.6</v>
      </c>
      <c r="D18" s="9" t="s">
        <v>72</v>
      </c>
      <c r="E18" s="10" t="s">
        <v>96</v>
      </c>
    </row>
    <row r="19" customFormat="false" ht="15" hidden="false" customHeight="false" outlineLevel="0" collapsed="false">
      <c r="A19" s="9" t="s">
        <v>97</v>
      </c>
      <c r="B19" s="10" t="s">
        <v>98</v>
      </c>
      <c r="C19" s="11" t="n">
        <v>20</v>
      </c>
      <c r="D19" s="9" t="s">
        <v>99</v>
      </c>
      <c r="E19" s="10" t="s">
        <v>100</v>
      </c>
    </row>
    <row r="20" customFormat="false" ht="15" hidden="false" customHeight="false" outlineLevel="0" collapsed="false">
      <c r="A20" s="9" t="s">
        <v>101</v>
      </c>
      <c r="B20" s="10" t="s">
        <v>102</v>
      </c>
      <c r="C20" s="11" t="n">
        <v>10</v>
      </c>
      <c r="D20" s="9" t="s">
        <v>99</v>
      </c>
      <c r="E20" s="10" t="s">
        <v>103</v>
      </c>
    </row>
    <row r="21" customFormat="false" ht="15" hidden="false" customHeight="false" outlineLevel="0" collapsed="false">
      <c r="A21" s="9" t="s">
        <v>104</v>
      </c>
      <c r="B21" s="10" t="s">
        <v>105</v>
      </c>
      <c r="C21" s="11" t="n">
        <v>256</v>
      </c>
      <c r="D21" s="9" t="s">
        <v>99</v>
      </c>
      <c r="E21" s="10" t="s">
        <v>106</v>
      </c>
    </row>
    <row r="22" customFormat="false" ht="15" hidden="false" customHeight="false" outlineLevel="0" collapsed="false">
      <c r="A22" s="9" t="s">
        <v>107</v>
      </c>
      <c r="B22" s="10" t="s">
        <v>108</v>
      </c>
      <c r="C22" s="11" t="n">
        <v>20</v>
      </c>
      <c r="D22" s="9" t="s">
        <v>99</v>
      </c>
      <c r="E22" s="10" t="s">
        <v>109</v>
      </c>
    </row>
    <row r="23" customFormat="false" ht="15" hidden="false" customHeight="false" outlineLevel="0" collapsed="false">
      <c r="A23" s="9" t="s">
        <v>110</v>
      </c>
      <c r="B23" s="10" t="s">
        <v>111</v>
      </c>
      <c r="C23" s="11" t="n">
        <v>1E-009</v>
      </c>
      <c r="D23" s="9" t="s">
        <v>72</v>
      </c>
      <c r="E23" s="10" t="s">
        <v>112</v>
      </c>
    </row>
    <row r="25" customFormat="false" ht="15" hidden="false" customHeight="false" outlineLevel="0" collapsed="false">
      <c r="A25" s="6" t="s">
        <v>113</v>
      </c>
      <c r="B25" s="7"/>
      <c r="C25" s="7"/>
      <c r="D25" s="7"/>
      <c r="E25" s="7"/>
    </row>
    <row r="26" customFormat="false" ht="15" hidden="false" customHeight="false" outlineLevel="0" collapsed="false">
      <c r="A26" s="8" t="s">
        <v>46</v>
      </c>
      <c r="B26" s="8" t="s">
        <v>47</v>
      </c>
      <c r="C26" s="8" t="s">
        <v>48</v>
      </c>
      <c r="D26" s="8" t="s">
        <v>49</v>
      </c>
      <c r="E26" s="8" t="s">
        <v>114</v>
      </c>
    </row>
    <row r="27" customFormat="false" ht="15" hidden="false" customHeight="false" outlineLevel="0" collapsed="false">
      <c r="A27" s="9" t="s">
        <v>115</v>
      </c>
      <c r="B27" s="10" t="s">
        <v>116</v>
      </c>
      <c r="C27" s="12" t="s">
        <v>117</v>
      </c>
      <c r="D27" s="9" t="s">
        <v>118</v>
      </c>
      <c r="E27" s="10" t="s">
        <v>119</v>
      </c>
    </row>
    <row r="28" customFormat="false" ht="15" hidden="false" customHeight="false" outlineLevel="0" collapsed="false">
      <c r="A28" s="9" t="s">
        <v>120</v>
      </c>
      <c r="B28" s="10" t="s">
        <v>121</v>
      </c>
      <c r="C28" s="12" t="s">
        <v>122</v>
      </c>
      <c r="D28" s="9" t="s">
        <v>118</v>
      </c>
      <c r="E28" s="10" t="s">
        <v>123</v>
      </c>
    </row>
    <row r="29" customFormat="false" ht="15" hidden="false" customHeight="false" outlineLevel="0" collapsed="false">
      <c r="A29" s="9" t="s">
        <v>124</v>
      </c>
      <c r="B29" s="10" t="s">
        <v>125</v>
      </c>
      <c r="C29" s="13" t="n">
        <v>62</v>
      </c>
      <c r="D29" s="9" t="s">
        <v>126</v>
      </c>
      <c r="E29" s="10" t="s">
        <v>127</v>
      </c>
    </row>
    <row r="30" customFormat="false" ht="15" hidden="false" customHeight="false" outlineLevel="0" collapsed="false">
      <c r="A30" s="9" t="s">
        <v>128</v>
      </c>
      <c r="B30" s="10" t="s">
        <v>129</v>
      </c>
      <c r="C30" s="13" t="n">
        <v>60</v>
      </c>
      <c r="D30" s="9" t="s">
        <v>99</v>
      </c>
      <c r="E30" s="10" t="s">
        <v>130</v>
      </c>
    </row>
    <row r="31" customFormat="false" ht="15" hidden="false" customHeight="false" outlineLevel="0" collapsed="false">
      <c r="A31" s="9" t="s">
        <v>131</v>
      </c>
      <c r="B31" s="10" t="s">
        <v>132</v>
      </c>
      <c r="C31" s="13" t="n">
        <v>180000</v>
      </c>
      <c r="D31" s="9" t="s">
        <v>133</v>
      </c>
      <c r="E31" s="10" t="s">
        <v>134</v>
      </c>
    </row>
    <row r="32" customFormat="false" ht="15" hidden="false" customHeight="false" outlineLevel="0" collapsed="false">
      <c r="A32" s="9" t="s">
        <v>135</v>
      </c>
      <c r="B32" s="10" t="s">
        <v>136</v>
      </c>
      <c r="C32" s="13" t="n">
        <v>4500</v>
      </c>
      <c r="D32" s="9" t="s">
        <v>137</v>
      </c>
      <c r="E32" s="10" t="s">
        <v>138</v>
      </c>
    </row>
    <row r="33" customFormat="false" ht="15" hidden="false" customHeight="false" outlineLevel="0" collapsed="false">
      <c r="A33" s="9" t="s">
        <v>139</v>
      </c>
      <c r="B33" s="10" t="s">
        <v>140</v>
      </c>
      <c r="C33" s="13" t="n">
        <v>60</v>
      </c>
      <c r="D33" s="9" t="s">
        <v>141</v>
      </c>
      <c r="E33" s="10" t="s">
        <v>142</v>
      </c>
    </row>
    <row r="35" customFormat="false" ht="15" hidden="false" customHeight="false" outlineLevel="0" collapsed="false">
      <c r="A35" s="4" t="s">
        <v>143</v>
      </c>
    </row>
    <row r="36" customFormat="false" ht="15" hidden="false" customHeight="false" outlineLevel="0" collapsed="false">
      <c r="A36" s="2" t="s">
        <v>144</v>
      </c>
    </row>
    <row r="37" customFormat="false" ht="15" hidden="false" customHeight="false" outlineLevel="0" collapsed="false">
      <c r="A37" s="2" t="s">
        <v>145</v>
      </c>
    </row>
    <row r="39" customFormat="false" ht="15" hidden="false" customHeight="false" outlineLevel="0" collapsed="false">
      <c r="A39" s="6" t="s">
        <v>146</v>
      </c>
      <c r="B39" s="7"/>
      <c r="C39" s="7"/>
      <c r="D39" s="7"/>
      <c r="E39" s="7"/>
    </row>
    <row r="40" customFormat="false" ht="22.35" hidden="false" customHeight="false" outlineLevel="0" collapsed="false">
      <c r="A40" s="8" t="s">
        <v>147</v>
      </c>
      <c r="B40" s="8" t="s">
        <v>148</v>
      </c>
      <c r="C40" s="8" t="s">
        <v>149</v>
      </c>
      <c r="D40" s="8" t="s">
        <v>150</v>
      </c>
      <c r="E40" s="8" t="s">
        <v>114</v>
      </c>
    </row>
    <row r="41" customFormat="false" ht="15" hidden="false" customHeight="false" outlineLevel="0" collapsed="false">
      <c r="A41" s="9" t="n">
        <v>1</v>
      </c>
      <c r="B41" s="12" t="n">
        <v>8</v>
      </c>
      <c r="C41" s="14" t="n">
        <v>57.554</v>
      </c>
      <c r="D41" s="9" t="str">
        <f aca="false">IF(B41&lt;=$C$21,"Yes","Extension")</f>
        <v>Yes</v>
      </c>
      <c r="E41" s="2" t="s">
        <v>151</v>
      </c>
    </row>
    <row r="42" customFormat="false" ht="15" hidden="false" customHeight="false" outlineLevel="0" collapsed="false">
      <c r="A42" s="9" t="n">
        <v>2</v>
      </c>
      <c r="B42" s="12" t="n">
        <v>9</v>
      </c>
      <c r="C42" s="14" t="n">
        <v>59.754</v>
      </c>
      <c r="D42" s="9" t="str">
        <f aca="false">IF(B42&lt;=$C$21,"Yes","Extension")</f>
        <v>Yes</v>
      </c>
      <c r="E42" s="2" t="s">
        <v>152</v>
      </c>
    </row>
    <row r="43" customFormat="false" ht="15" hidden="false" customHeight="false" outlineLevel="0" collapsed="false">
      <c r="A43" s="9" t="n">
        <v>3</v>
      </c>
      <c r="B43" s="12" t="n">
        <v>12</v>
      </c>
      <c r="C43" s="14" t="n">
        <v>59.294</v>
      </c>
      <c r="D43" s="9" t="str">
        <f aca="false">IF(B43&lt;=$C$21,"Yes","Extension")</f>
        <v>Yes</v>
      </c>
      <c r="E43" s="2" t="s">
        <v>153</v>
      </c>
    </row>
    <row r="44" customFormat="false" ht="15" hidden="false" customHeight="false" outlineLevel="0" collapsed="false">
      <c r="A44" s="9" t="n">
        <v>4</v>
      </c>
      <c r="B44" s="12" t="n">
        <v>18</v>
      </c>
      <c r="C44" s="14" t="n">
        <v>51.294</v>
      </c>
      <c r="D44" s="9" t="str">
        <f aca="false">IF(B44&lt;=$C$21,"Yes","Extension")</f>
        <v>Yes</v>
      </c>
    </row>
    <row r="45" customFormat="false" ht="15" hidden="false" customHeight="false" outlineLevel="0" collapsed="false">
      <c r="A45" s="9" t="n">
        <v>5</v>
      </c>
      <c r="B45" s="12" t="n">
        <v>22</v>
      </c>
      <c r="C45" s="14" t="n">
        <v>56.002</v>
      </c>
      <c r="D45" s="9" t="str">
        <f aca="false">IF(B45&lt;=$C$21,"Yes","Extension")</f>
        <v>Yes</v>
      </c>
    </row>
    <row r="46" customFormat="false" ht="15" hidden="false" customHeight="false" outlineLevel="0" collapsed="false">
      <c r="A46" s="9" t="n">
        <v>6</v>
      </c>
      <c r="B46" s="12" t="n">
        <v>25</v>
      </c>
      <c r="C46" s="14" t="n">
        <v>57.663</v>
      </c>
      <c r="D46" s="9" t="str">
        <f aca="false">IF(B46&lt;=$C$21,"Yes","Extension")</f>
        <v>Yes</v>
      </c>
    </row>
    <row r="47" customFormat="false" ht="15" hidden="false" customHeight="false" outlineLevel="0" collapsed="false">
      <c r="A47" s="9" t="n">
        <v>7</v>
      </c>
      <c r="B47" s="12" t="n">
        <v>29</v>
      </c>
      <c r="C47" s="14" t="n">
        <v>61.805</v>
      </c>
      <c r="D47" s="9" t="str">
        <f aca="false">IF(B47&lt;=$C$21,"Yes","Extension")</f>
        <v>Yes</v>
      </c>
    </row>
    <row r="48" customFormat="false" ht="15" hidden="false" customHeight="false" outlineLevel="0" collapsed="false">
      <c r="A48" s="9" t="n">
        <v>8</v>
      </c>
      <c r="B48" s="12" t="n">
        <v>30</v>
      </c>
      <c r="C48" s="14" t="n">
        <v>64.488</v>
      </c>
      <c r="D48" s="9" t="str">
        <f aca="false">IF(B48&lt;=$C$21,"Yes","Extension")</f>
        <v>Yes</v>
      </c>
    </row>
    <row r="49" customFormat="false" ht="15" hidden="false" customHeight="false" outlineLevel="0" collapsed="false">
      <c r="A49" s="9" t="n">
        <v>9</v>
      </c>
      <c r="B49" s="12" t="n">
        <v>48</v>
      </c>
      <c r="C49" s="14" t="n">
        <v>63.328</v>
      </c>
      <c r="D49" s="9" t="str">
        <f aca="false">IF(B49&lt;=$C$21,"Yes","Extension")</f>
        <v>Yes</v>
      </c>
    </row>
    <row r="50" customFormat="false" ht="15" hidden="false" customHeight="false" outlineLevel="0" collapsed="false">
      <c r="A50" s="9" t="n">
        <v>10</v>
      </c>
      <c r="B50" s="12" t="n">
        <v>49</v>
      </c>
      <c r="C50" s="14" t="n">
        <v>60.403</v>
      </c>
      <c r="D50" s="9" t="str">
        <f aca="false">IF(B50&lt;=$C$21,"Yes","Extension")</f>
        <v>Yes</v>
      </c>
    </row>
    <row r="51" customFormat="false" ht="15" hidden="false" customHeight="false" outlineLevel="0" collapsed="false">
      <c r="A51" s="9" t="n">
        <v>11</v>
      </c>
      <c r="B51" s="12" t="n">
        <v>51</v>
      </c>
      <c r="C51" s="14" t="n">
        <v>58.519</v>
      </c>
      <c r="D51" s="9" t="str">
        <f aca="false">IF(B51&lt;=$C$21,"Yes","Extension")</f>
        <v>Yes</v>
      </c>
    </row>
    <row r="52" customFormat="false" ht="15" hidden="false" customHeight="false" outlineLevel="0" collapsed="false">
      <c r="A52" s="9" t="n">
        <v>12</v>
      </c>
      <c r="B52" s="12" t="n">
        <v>57</v>
      </c>
      <c r="C52" s="14" t="n">
        <v>67.35</v>
      </c>
      <c r="D52" s="9" t="str">
        <f aca="false">IF(B52&lt;=$C$21,"Yes","Extension")</f>
        <v>Yes</v>
      </c>
    </row>
    <row r="53" customFormat="false" ht="15" hidden="false" customHeight="false" outlineLevel="0" collapsed="false">
      <c r="A53" s="9" t="n">
        <v>13</v>
      </c>
      <c r="B53" s="12" t="n">
        <v>59</v>
      </c>
      <c r="C53" s="14" t="n">
        <v>64.785</v>
      </c>
      <c r="D53" s="9" t="str">
        <f aca="false">IF(B53&lt;=$C$21,"Yes","Extension")</f>
        <v>Yes</v>
      </c>
    </row>
    <row r="54" customFormat="false" ht="15" hidden="false" customHeight="false" outlineLevel="0" collapsed="false">
      <c r="A54" s="9" t="n">
        <v>14</v>
      </c>
      <c r="B54" s="12" t="n">
        <v>62</v>
      </c>
      <c r="C54" s="14" t="n">
        <v>61.735</v>
      </c>
      <c r="D54" s="9" t="str">
        <f aca="false">IF(B54&lt;=$C$21,"Yes","Extension")</f>
        <v>Yes</v>
      </c>
    </row>
    <row r="55" customFormat="false" ht="15" hidden="false" customHeight="false" outlineLevel="0" collapsed="false">
      <c r="A55" s="9" t="n">
        <v>15</v>
      </c>
      <c r="B55" s="12" t="n">
        <v>68</v>
      </c>
      <c r="C55" s="14" t="n">
        <v>63.221</v>
      </c>
      <c r="D55" s="9" t="str">
        <f aca="false">IF(B55&lt;=$C$21,"Yes","Extension")</f>
        <v>Yes</v>
      </c>
    </row>
    <row r="56" customFormat="false" ht="15" hidden="false" customHeight="false" outlineLevel="0" collapsed="false">
      <c r="A56" s="9" t="n">
        <v>16</v>
      </c>
      <c r="B56" s="12" t="n">
        <v>70</v>
      </c>
      <c r="C56" s="14" t="n">
        <v>62.666</v>
      </c>
      <c r="D56" s="9" t="str">
        <f aca="false">IF(B56&lt;=$C$21,"Yes","Extension")</f>
        <v>Yes</v>
      </c>
    </row>
    <row r="57" customFormat="false" ht="15" hidden="false" customHeight="false" outlineLevel="0" collapsed="false">
      <c r="A57" s="9" t="n">
        <v>17</v>
      </c>
      <c r="B57" s="12" t="n">
        <v>87</v>
      </c>
      <c r="C57" s="14" t="n">
        <v>65.508</v>
      </c>
      <c r="D57" s="9" t="str">
        <f aca="false">IF(B57&lt;=$C$21,"Yes","Extension")</f>
        <v>Yes</v>
      </c>
    </row>
    <row r="58" customFormat="false" ht="15" hidden="false" customHeight="false" outlineLevel="0" collapsed="false">
      <c r="A58" s="9" t="n">
        <v>18</v>
      </c>
      <c r="B58" s="12" t="n">
        <v>88</v>
      </c>
      <c r="C58" s="14" t="n">
        <v>63.363</v>
      </c>
      <c r="D58" s="9" t="str">
        <f aca="false">IF(B58&lt;=$C$21,"Yes","Extension")</f>
        <v>Yes</v>
      </c>
    </row>
    <row r="59" customFormat="false" ht="15" hidden="false" customHeight="false" outlineLevel="0" collapsed="false">
      <c r="A59" s="9" t="n">
        <v>19</v>
      </c>
      <c r="B59" s="12" t="n">
        <v>98</v>
      </c>
      <c r="C59" s="14" t="n">
        <v>69.084</v>
      </c>
      <c r="D59" s="9" t="str">
        <f aca="false">IF(B59&lt;=$C$21,"Yes","Extension")</f>
        <v>Yes</v>
      </c>
    </row>
    <row r="60" customFormat="false" ht="15" hidden="false" customHeight="false" outlineLevel="0" collapsed="false">
      <c r="A60" s="9" t="n">
        <v>20</v>
      </c>
      <c r="B60" s="12" t="n">
        <v>110</v>
      </c>
      <c r="C60" s="14" t="n">
        <v>65.549</v>
      </c>
      <c r="D60" s="9" t="str">
        <f aca="false">IF(B60&lt;=$C$21,"Yes","Extension")</f>
        <v>Yes</v>
      </c>
    </row>
    <row r="61" customFormat="false" ht="15" hidden="false" customHeight="false" outlineLevel="0" collapsed="false">
      <c r="A61" s="9" t="n">
        <v>21</v>
      </c>
      <c r="B61" s="12" t="n">
        <v>119</v>
      </c>
      <c r="C61" s="14" t="n">
        <v>64.888</v>
      </c>
      <c r="D61" s="9" t="str">
        <f aca="false">IF(B61&lt;=$C$21,"Yes","Extension")</f>
        <v>Yes</v>
      </c>
    </row>
    <row r="62" customFormat="false" ht="15" hidden="false" customHeight="false" outlineLevel="0" collapsed="false">
      <c r="A62" s="9" t="n">
        <v>22</v>
      </c>
      <c r="B62" s="12" t="n">
        <v>121</v>
      </c>
      <c r="C62" s="14" t="n">
        <v>66.745</v>
      </c>
      <c r="D62" s="9" t="str">
        <f aca="false">IF(B62&lt;=$C$21,"Yes","Extension")</f>
        <v>Yes</v>
      </c>
    </row>
    <row r="63" customFormat="false" ht="15" hidden="false" customHeight="false" outlineLevel="0" collapsed="false">
      <c r="A63" s="9" t="n">
        <v>23</v>
      </c>
      <c r="B63" s="12" t="n">
        <v>122</v>
      </c>
      <c r="C63" s="14" t="n">
        <v>66.696</v>
      </c>
      <c r="D63" s="9" t="str">
        <f aca="false">IF(B63&lt;=$C$21,"Yes","Extension")</f>
        <v>Yes</v>
      </c>
    </row>
    <row r="64" customFormat="false" ht="15" hidden="false" customHeight="false" outlineLevel="0" collapsed="false">
      <c r="A64" s="9" t="n">
        <v>24</v>
      </c>
      <c r="B64" s="12" t="n">
        <v>133</v>
      </c>
      <c r="C64" s="14" t="n">
        <v>64.429</v>
      </c>
      <c r="D64" s="9" t="str">
        <f aca="false">IF(B64&lt;=$C$21,"Yes","Extension")</f>
        <v>Yes</v>
      </c>
    </row>
    <row r="65" customFormat="false" ht="15" hidden="false" customHeight="false" outlineLevel="0" collapsed="false">
      <c r="A65" s="9" t="n">
        <v>25</v>
      </c>
      <c r="B65" s="12" t="n">
        <v>139</v>
      </c>
      <c r="C65" s="14" t="n">
        <v>69.865</v>
      </c>
      <c r="D65" s="9" t="str">
        <f aca="false">IF(B65&lt;=$C$21,"Yes","Extension")</f>
        <v>Yes</v>
      </c>
    </row>
    <row r="66" customFormat="false" ht="15" hidden="false" customHeight="false" outlineLevel="0" collapsed="false">
      <c r="A66" s="9" t="n">
        <v>26</v>
      </c>
      <c r="B66" s="12" t="n">
        <v>163</v>
      </c>
      <c r="C66" s="14" t="n">
        <v>51.646</v>
      </c>
      <c r="D66" s="9" t="str">
        <f aca="false">IF(B66&lt;=$C$21,"Yes","Extension")</f>
        <v>Yes</v>
      </c>
    </row>
    <row r="67" customFormat="false" ht="15" hidden="false" customHeight="false" outlineLevel="0" collapsed="false">
      <c r="A67" s="9" t="n">
        <v>27</v>
      </c>
      <c r="B67" s="12" t="n">
        <v>165</v>
      </c>
      <c r="C67" s="14" t="n">
        <v>53.722</v>
      </c>
      <c r="D67" s="9" t="str">
        <f aca="false">IF(B67&lt;=$C$21,"Yes","Extension")</f>
        <v>Yes</v>
      </c>
    </row>
    <row r="68" customFormat="false" ht="15" hidden="false" customHeight="false" outlineLevel="0" collapsed="false">
      <c r="A68" s="9" t="n">
        <v>28</v>
      </c>
      <c r="B68" s="12" t="n">
        <v>179</v>
      </c>
      <c r="C68" s="14" t="n">
        <v>65.289</v>
      </c>
      <c r="D68" s="9" t="str">
        <f aca="false">IF(B68&lt;=$C$21,"Yes","Extension")</f>
        <v>Yes</v>
      </c>
    </row>
    <row r="69" customFormat="false" ht="15" hidden="false" customHeight="false" outlineLevel="0" collapsed="false">
      <c r="A69" s="9" t="n">
        <v>29</v>
      </c>
      <c r="B69" s="12" t="n">
        <v>196</v>
      </c>
      <c r="C69" s="14" t="n">
        <v>64.924</v>
      </c>
      <c r="D69" s="9" t="str">
        <f aca="false">IF(B69&lt;=$C$21,"Yes","Extension")</f>
        <v>Yes</v>
      </c>
    </row>
    <row r="70" customFormat="false" ht="15" hidden="false" customHeight="false" outlineLevel="0" collapsed="false">
      <c r="A70" s="9" t="n">
        <v>30</v>
      </c>
      <c r="B70" s="12" t="n">
        <v>206</v>
      </c>
      <c r="C70" s="14" t="n">
        <v>78.815</v>
      </c>
      <c r="D70" s="9" t="str">
        <f aca="false">IF(B70&lt;=$C$21,"Yes","Extension")</f>
        <v>Yes</v>
      </c>
    </row>
    <row r="71" customFormat="false" ht="15" hidden="false" customHeight="false" outlineLevel="0" collapsed="false">
      <c r="A71" s="9" t="n">
        <v>31</v>
      </c>
      <c r="B71" s="12" t="n">
        <v>219</v>
      </c>
      <c r="C71" s="14" t="n">
        <v>65.124</v>
      </c>
      <c r="D71" s="9" t="str">
        <f aca="false">IF(B71&lt;=$C$21,"Yes","Extension")</f>
        <v>Yes</v>
      </c>
    </row>
    <row r="72" customFormat="false" ht="15" hidden="false" customHeight="false" outlineLevel="0" collapsed="false">
      <c r="A72" s="9" t="n">
        <v>32</v>
      </c>
      <c r="B72" s="12" t="n">
        <v>220</v>
      </c>
      <c r="C72" s="14" t="n">
        <v>64.543</v>
      </c>
      <c r="D72" s="9" t="str">
        <f aca="false">IF(B72&lt;=$C$21,"Yes","Extension")</f>
        <v>Yes</v>
      </c>
    </row>
    <row r="73" customFormat="false" ht="15" hidden="false" customHeight="false" outlineLevel="0" collapsed="false">
      <c r="A73" s="9" t="n">
        <v>33</v>
      </c>
      <c r="B73" s="12" t="n">
        <v>221</v>
      </c>
      <c r="C73" s="14" t="n">
        <v>60.959</v>
      </c>
      <c r="D73" s="9" t="str">
        <f aca="false">IF(B73&lt;=$C$21,"Yes","Extension")</f>
        <v>Yes</v>
      </c>
    </row>
    <row r="74" customFormat="false" ht="15" hidden="false" customHeight="false" outlineLevel="0" collapsed="false">
      <c r="A74" s="9" t="n">
        <v>34</v>
      </c>
      <c r="B74" s="12" t="n">
        <v>228</v>
      </c>
      <c r="C74" s="14" t="n">
        <v>57.458</v>
      </c>
      <c r="D74" s="9" t="str">
        <f aca="false">IF(B74&lt;=$C$21,"Yes","Extension")</f>
        <v>Yes</v>
      </c>
    </row>
    <row r="75" customFormat="false" ht="15" hidden="false" customHeight="false" outlineLevel="0" collapsed="false">
      <c r="A75" s="9" t="n">
        <v>35</v>
      </c>
      <c r="B75" s="12" t="n">
        <v>229</v>
      </c>
      <c r="C75" s="14" t="n">
        <v>58.019</v>
      </c>
      <c r="D75" s="9" t="str">
        <f aca="false">IF(B75&lt;=$C$21,"Yes","Extension")</f>
        <v>Yes</v>
      </c>
    </row>
    <row r="76" customFormat="false" ht="15" hidden="false" customHeight="false" outlineLevel="0" collapsed="false">
      <c r="A76" s="9" t="n">
        <v>36</v>
      </c>
      <c r="B76" s="12" t="n">
        <v>232</v>
      </c>
      <c r="C76" s="14" t="n">
        <v>55.956</v>
      </c>
      <c r="D76" s="9" t="str">
        <f aca="false">IF(B76&lt;=$C$21,"Yes","Extension")</f>
        <v>Yes</v>
      </c>
    </row>
    <row r="77" customFormat="false" ht="15" hidden="false" customHeight="false" outlineLevel="0" collapsed="false">
      <c r="A77" s="9" t="n">
        <v>37</v>
      </c>
      <c r="B77" s="12" t="n">
        <v>236</v>
      </c>
      <c r="C77" s="14" t="n">
        <v>56.377</v>
      </c>
      <c r="D77" s="9" t="str">
        <f aca="false">IF(B77&lt;=$C$21,"Yes","Extension")</f>
        <v>Yes</v>
      </c>
    </row>
    <row r="78" customFormat="false" ht="15" hidden="false" customHeight="false" outlineLevel="0" collapsed="false">
      <c r="A78" s="9" t="n">
        <v>38</v>
      </c>
      <c r="B78" s="12" t="n">
        <v>242</v>
      </c>
      <c r="C78" s="14" t="n">
        <v>57.223</v>
      </c>
      <c r="D78" s="9" t="str">
        <f aca="false">IF(B78&lt;=$C$21,"Yes","Extension")</f>
        <v>Yes</v>
      </c>
    </row>
    <row r="79" customFormat="false" ht="15" hidden="false" customHeight="false" outlineLevel="0" collapsed="false">
      <c r="A79" s="9" t="n">
        <v>39</v>
      </c>
      <c r="B79" s="12" t="n">
        <v>244</v>
      </c>
      <c r="C79" s="14" t="n">
        <v>57.23</v>
      </c>
      <c r="D79" s="9" t="str">
        <f aca="false">IF(B79&lt;=$C$21,"Yes","Extension")</f>
        <v>Yes</v>
      </c>
    </row>
    <row r="80" customFormat="false" ht="15" hidden="false" customHeight="false" outlineLevel="0" collapsed="false">
      <c r="A80" s="9" t="n">
        <v>40</v>
      </c>
      <c r="B80" s="12" t="n">
        <v>250</v>
      </c>
      <c r="C80" s="14" t="n">
        <v>61.061</v>
      </c>
      <c r="D80" s="9" t="str">
        <f aca="false">IF(B80&lt;=$C$21,"Yes","Extension")</f>
        <v>Yes</v>
      </c>
    </row>
    <row r="81" customFormat="false" ht="15" hidden="false" customHeight="false" outlineLevel="0" collapsed="false">
      <c r="A81" s="9" t="n">
        <v>41</v>
      </c>
      <c r="B81" s="12" t="n">
        <v>254</v>
      </c>
      <c r="C81" s="14" t="n">
        <v>60.872</v>
      </c>
      <c r="D81" s="9" t="str">
        <f aca="false">IF(B81&lt;=$C$21,"Yes","Extension")</f>
        <v>Yes</v>
      </c>
    </row>
    <row r="82" customFormat="false" ht="15" hidden="false" customHeight="false" outlineLevel="0" collapsed="false">
      <c r="A82" s="9" t="n">
        <v>42</v>
      </c>
      <c r="B82" s="12" t="n">
        <v>259</v>
      </c>
      <c r="C82" s="14" t="n">
        <v>56.642</v>
      </c>
      <c r="D82" s="9" t="str">
        <f aca="false">IF(B82&lt;=$C$21,"Yes","Extension")</f>
        <v>Extension</v>
      </c>
    </row>
    <row r="83" customFormat="false" ht="15" hidden="false" customHeight="false" outlineLevel="0" collapsed="false">
      <c r="A83" s="9" t="n">
        <v>43</v>
      </c>
      <c r="B83" s="12" t="n">
        <v>270</v>
      </c>
      <c r="C83" s="14" t="n">
        <v>49.447</v>
      </c>
      <c r="D83" s="9" t="str">
        <f aca="false">IF(B83&lt;=$C$21,"Yes","Extension")</f>
        <v>Extension</v>
      </c>
    </row>
    <row r="84" customFormat="false" ht="15" hidden="false" customHeight="false" outlineLevel="0" collapsed="false">
      <c r="A84" s="9" t="n">
        <v>44</v>
      </c>
      <c r="B84" s="12" t="n">
        <v>276</v>
      </c>
      <c r="C84" s="14" t="n">
        <v>58.083</v>
      </c>
      <c r="D84" s="9" t="str">
        <f aca="false">IF(B84&lt;=$C$21,"Yes","Extension")</f>
        <v>Extension</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14"/>
    <col collapsed="false" customWidth="true" hidden="false" outlineLevel="0" max="4" min="4" style="0" width="16"/>
    <col collapsed="false" customWidth="true" hidden="false" outlineLevel="0" max="5" min="5" style="0" width="10"/>
    <col collapsed="false" customWidth="true" hidden="false" outlineLevel="0" max="6" min="6" style="0" width="11"/>
  </cols>
  <sheetData>
    <row r="1" customFormat="false" ht="17.35" hidden="false" customHeight="false" outlineLevel="0" collapsed="false">
      <c r="A1" s="1" t="s">
        <v>154</v>
      </c>
    </row>
    <row r="2" customFormat="false" ht="15" hidden="false" customHeight="false" outlineLevel="0" collapsed="false">
      <c r="A2" s="2" t="s">
        <v>155</v>
      </c>
    </row>
    <row r="4" customFormat="false" ht="15" hidden="false" customHeight="false" outlineLevel="0" collapsed="false">
      <c r="I4" s="15" t="n">
        <v>1</v>
      </c>
      <c r="J4" s="15" t="n">
        <v>2</v>
      </c>
      <c r="K4" s="15" t="n">
        <v>3</v>
      </c>
      <c r="L4" s="15" t="n">
        <v>4</v>
      </c>
      <c r="M4" s="15" t="n">
        <v>5</v>
      </c>
      <c r="N4" s="15" t="n">
        <v>6</v>
      </c>
      <c r="O4" s="15" t="n">
        <v>7</v>
      </c>
      <c r="P4" s="15" t="n">
        <v>8</v>
      </c>
      <c r="Q4" s="15" t="n">
        <v>9</v>
      </c>
      <c r="R4" s="15" t="n">
        <v>10</v>
      </c>
      <c r="S4" s="15" t="n">
        <v>11</v>
      </c>
      <c r="T4" s="15" t="n">
        <v>12</v>
      </c>
      <c r="U4" s="15" t="n">
        <v>13</v>
      </c>
      <c r="V4" s="15" t="n">
        <v>14</v>
      </c>
      <c r="W4" s="15" t="n">
        <v>15</v>
      </c>
      <c r="X4" s="15" t="n">
        <v>16</v>
      </c>
      <c r="Y4" s="15" t="n">
        <v>17</v>
      </c>
      <c r="Z4" s="15" t="n">
        <v>18</v>
      </c>
      <c r="AA4" s="15" t="n">
        <v>19</v>
      </c>
      <c r="AB4" s="15" t="n">
        <v>20</v>
      </c>
      <c r="AC4" s="15" t="n">
        <v>21</v>
      </c>
      <c r="AD4" s="15" t="n">
        <v>22</v>
      </c>
      <c r="AE4" s="15" t="n">
        <v>23</v>
      </c>
      <c r="AF4" s="15" t="n">
        <v>24</v>
      </c>
      <c r="AG4" s="15" t="n">
        <v>25</v>
      </c>
      <c r="AH4" s="15" t="n">
        <v>26</v>
      </c>
      <c r="AI4" s="15" t="n">
        <v>27</v>
      </c>
      <c r="AJ4" s="15" t="n">
        <v>28</v>
      </c>
      <c r="AK4" s="15" t="n">
        <v>29</v>
      </c>
      <c r="AL4" s="15" t="n">
        <v>30</v>
      </c>
      <c r="AM4" s="15" t="n">
        <v>31</v>
      </c>
      <c r="AN4" s="15" t="n">
        <v>32</v>
      </c>
      <c r="AO4" s="15" t="n">
        <v>33</v>
      </c>
      <c r="AP4" s="15" t="n">
        <v>34</v>
      </c>
      <c r="AQ4" s="15" t="n">
        <v>35</v>
      </c>
      <c r="AR4" s="15" t="n">
        <v>36</v>
      </c>
      <c r="AS4" s="15" t="n">
        <v>37</v>
      </c>
      <c r="AT4" s="15" t="n">
        <v>38</v>
      </c>
      <c r="AU4" s="15" t="n">
        <v>39</v>
      </c>
      <c r="AV4" s="15" t="n">
        <v>40</v>
      </c>
      <c r="AW4" s="15" t="n">
        <v>41</v>
      </c>
      <c r="AX4" s="15" t="n">
        <v>42</v>
      </c>
      <c r="AY4" s="15" t="n">
        <v>43</v>
      </c>
      <c r="AZ4" s="15" t="n">
        <v>44</v>
      </c>
    </row>
    <row r="5" customFormat="false" ht="15" hidden="false" customHeight="false" outlineLevel="0" collapsed="false">
      <c r="A5" s="8" t="s">
        <v>156</v>
      </c>
      <c r="B5" s="8" t="s">
        <v>157</v>
      </c>
      <c r="C5" s="8" t="s">
        <v>158</v>
      </c>
      <c r="D5" s="8" t="s">
        <v>159</v>
      </c>
      <c r="E5" s="8" t="s">
        <v>160</v>
      </c>
      <c r="F5" s="8" t="s">
        <v>161</v>
      </c>
      <c r="I5" s="16" t="n">
        <f aca="false">01_Inputs!$B$41</f>
        <v>8</v>
      </c>
      <c r="J5" s="16" t="n">
        <f aca="false">01_Inputs!$B$42</f>
        <v>9</v>
      </c>
      <c r="K5" s="16" t="n">
        <f aca="false">01_Inputs!$B$43</f>
        <v>12</v>
      </c>
      <c r="L5" s="16" t="n">
        <f aca="false">01_Inputs!$B$44</f>
        <v>18</v>
      </c>
      <c r="M5" s="16" t="n">
        <f aca="false">01_Inputs!$B$45</f>
        <v>22</v>
      </c>
      <c r="N5" s="16" t="n">
        <f aca="false">01_Inputs!$B$46</f>
        <v>25</v>
      </c>
      <c r="O5" s="16" t="n">
        <f aca="false">01_Inputs!$B$47</f>
        <v>29</v>
      </c>
      <c r="P5" s="16" t="n">
        <f aca="false">01_Inputs!$B$48</f>
        <v>30</v>
      </c>
      <c r="Q5" s="16" t="n">
        <f aca="false">01_Inputs!$B$49</f>
        <v>48</v>
      </c>
      <c r="R5" s="16" t="n">
        <f aca="false">01_Inputs!$B$50</f>
        <v>49</v>
      </c>
      <c r="S5" s="16" t="n">
        <f aca="false">01_Inputs!$B$51</f>
        <v>51</v>
      </c>
      <c r="T5" s="16" t="n">
        <f aca="false">01_Inputs!$B$52</f>
        <v>57</v>
      </c>
      <c r="U5" s="16" t="n">
        <f aca="false">01_Inputs!$B$53</f>
        <v>59</v>
      </c>
      <c r="V5" s="16" t="n">
        <f aca="false">01_Inputs!$B$54</f>
        <v>62</v>
      </c>
      <c r="W5" s="16" t="n">
        <f aca="false">01_Inputs!$B$55</f>
        <v>68</v>
      </c>
      <c r="X5" s="16" t="n">
        <f aca="false">01_Inputs!$B$56</f>
        <v>70</v>
      </c>
      <c r="Y5" s="16" t="n">
        <f aca="false">01_Inputs!$B$57</f>
        <v>87</v>
      </c>
      <c r="Z5" s="16" t="n">
        <f aca="false">01_Inputs!$B$58</f>
        <v>88</v>
      </c>
      <c r="AA5" s="16" t="n">
        <f aca="false">01_Inputs!$B$59</f>
        <v>98</v>
      </c>
      <c r="AB5" s="16" t="n">
        <f aca="false">01_Inputs!$B$60</f>
        <v>110</v>
      </c>
      <c r="AC5" s="16" t="n">
        <f aca="false">01_Inputs!$B$61</f>
        <v>119</v>
      </c>
      <c r="AD5" s="16" t="n">
        <f aca="false">01_Inputs!$B$62</f>
        <v>121</v>
      </c>
      <c r="AE5" s="16" t="n">
        <f aca="false">01_Inputs!$B$63</f>
        <v>122</v>
      </c>
      <c r="AF5" s="16" t="n">
        <f aca="false">01_Inputs!$B$64</f>
        <v>133</v>
      </c>
      <c r="AG5" s="16" t="n">
        <f aca="false">01_Inputs!$B$65</f>
        <v>139</v>
      </c>
      <c r="AH5" s="16" t="n">
        <f aca="false">01_Inputs!$B$66</f>
        <v>163</v>
      </c>
      <c r="AI5" s="16" t="n">
        <f aca="false">01_Inputs!$B$67</f>
        <v>165</v>
      </c>
      <c r="AJ5" s="16" t="n">
        <f aca="false">01_Inputs!$B$68</f>
        <v>179</v>
      </c>
      <c r="AK5" s="16" t="n">
        <f aca="false">01_Inputs!$B$69</f>
        <v>196</v>
      </c>
      <c r="AL5" s="16" t="n">
        <f aca="false">01_Inputs!$B$70</f>
        <v>206</v>
      </c>
      <c r="AM5" s="16" t="n">
        <f aca="false">01_Inputs!$B$71</f>
        <v>219</v>
      </c>
      <c r="AN5" s="16" t="n">
        <f aca="false">01_Inputs!$B$72</f>
        <v>220</v>
      </c>
      <c r="AO5" s="16" t="n">
        <f aca="false">01_Inputs!$B$73</f>
        <v>221</v>
      </c>
      <c r="AP5" s="16" t="n">
        <f aca="false">01_Inputs!$B$74</f>
        <v>228</v>
      </c>
      <c r="AQ5" s="16" t="n">
        <f aca="false">01_Inputs!$B$75</f>
        <v>229</v>
      </c>
      <c r="AR5" s="16" t="n">
        <f aca="false">01_Inputs!$B$76</f>
        <v>232</v>
      </c>
      <c r="AS5" s="16" t="n">
        <f aca="false">01_Inputs!$B$77</f>
        <v>236</v>
      </c>
      <c r="AT5" s="16" t="n">
        <f aca="false">01_Inputs!$B$78</f>
        <v>242</v>
      </c>
      <c r="AU5" s="16" t="n">
        <f aca="false">01_Inputs!$B$79</f>
        <v>244</v>
      </c>
      <c r="AV5" s="16" t="n">
        <f aca="false">01_Inputs!$B$80</f>
        <v>250</v>
      </c>
      <c r="AW5" s="16" t="n">
        <f aca="false">01_Inputs!$B$81</f>
        <v>254</v>
      </c>
      <c r="AX5" s="16" t="n">
        <f aca="false">01_Inputs!$B$82</f>
        <v>259</v>
      </c>
      <c r="AY5" s="16" t="n">
        <f aca="false">01_Inputs!$B$83</f>
        <v>270</v>
      </c>
      <c r="AZ5" s="16" t="n">
        <f aca="false">01_Inputs!$B$84</f>
        <v>276</v>
      </c>
    </row>
    <row r="6" customFormat="false" ht="15" hidden="false" customHeight="false" outlineLevel="0" collapsed="false">
      <c r="A6" s="9" t="n">
        <v>1</v>
      </c>
      <c r="B6" s="9" t="n">
        <f aca="false">01_Inputs!$B$41</f>
        <v>8</v>
      </c>
      <c r="C6" s="17" t="n">
        <f aca="false">MIN(I6:AZ6)</f>
        <v>-1E-008</v>
      </c>
      <c r="D6" s="9" t="n">
        <f aca="false">MATCH($C6,I6:AZ6,0)</f>
        <v>4</v>
      </c>
      <c r="E6" s="9" t="n">
        <f aca="false">INDEX(I$5:AZ$5,1,$D6)</f>
        <v>18</v>
      </c>
      <c r="F6" s="9" t="n">
        <f aca="false">$E6-$B6</f>
        <v>10</v>
      </c>
      <c r="I6" s="3" t="str">
        <f aca="false">IF(I$5&gt;$B6,ABS(10/(I$5-$B6)-1)-(I$5-$B6)*01_Inputs!$C$23,"")</f>
        <v/>
      </c>
      <c r="J6" s="3" t="n">
        <f aca="false">IF(J$5&gt;$B6,ABS(10/(J$5-$B6)-1)-(J$5-$B6)*01_Inputs!$C$23,"")</f>
        <v>8.999999999</v>
      </c>
      <c r="K6" s="3" t="n">
        <f aca="false">IF(K$5&gt;$B6,ABS(10/(K$5-$B6)-1)-(K$5-$B6)*01_Inputs!$C$23,"")</f>
        <v>1.499999996</v>
      </c>
      <c r="L6" s="3" t="n">
        <f aca="false">IF(L$5&gt;$B6,ABS(10/(L$5-$B6)-1)-(L$5-$B6)*01_Inputs!$C$23,"")</f>
        <v>-1E-008</v>
      </c>
      <c r="M6" s="3" t="n">
        <f aca="false">IF(M$5&gt;$B6,ABS(10/(M$5-$B6)-1)-(M$5-$B6)*01_Inputs!$C$23,"")</f>
        <v>0.285714271714286</v>
      </c>
      <c r="N6" s="3" t="n">
        <f aca="false">IF(N$5&gt;$B6,ABS(10/(N$5-$B6)-1)-(N$5-$B6)*01_Inputs!$C$23,"")</f>
        <v>0.411764688882353</v>
      </c>
      <c r="O6" s="3" t="n">
        <f aca="false">IF(O$5&gt;$B6,ABS(10/(O$5-$B6)-1)-(O$5-$B6)*01_Inputs!$C$23,"")</f>
        <v>0.523809502809524</v>
      </c>
      <c r="P6" s="3" t="n">
        <f aca="false">IF(P$5&gt;$B6,ABS(10/(P$5-$B6)-1)-(P$5-$B6)*01_Inputs!$C$23,"")</f>
        <v>0.545454523454545</v>
      </c>
      <c r="Q6" s="3" t="n">
        <f aca="false">IF(Q$5&gt;$B6,ABS(10/(Q$5-$B6)-1)-(Q$5-$B6)*01_Inputs!$C$23,"")</f>
        <v>0.74999996</v>
      </c>
      <c r="R6" s="3" t="n">
        <f aca="false">IF(R$5&gt;$B6,ABS(10/(R$5-$B6)-1)-(R$5-$B6)*01_Inputs!$C$23,"")</f>
        <v>0.75609751997561</v>
      </c>
      <c r="S6" s="3" t="n">
        <f aca="false">IF(S$5&gt;$B6,ABS(10/(S$5-$B6)-1)-(S$5-$B6)*01_Inputs!$C$23,"")</f>
        <v>0.767441817465116</v>
      </c>
      <c r="T6" s="3" t="n">
        <f aca="false">IF(T$5&gt;$B6,ABS(10/(T$5-$B6)-1)-(T$5-$B6)*01_Inputs!$C$23,"")</f>
        <v>0.795918318346939</v>
      </c>
      <c r="U6" s="3" t="n">
        <f aca="false">IF(U$5&gt;$B6,ABS(10/(U$5-$B6)-1)-(U$5-$B6)*01_Inputs!$C$23,"")</f>
        <v>0.803921517627451</v>
      </c>
      <c r="V6" s="3" t="n">
        <f aca="false">IF(V$5&gt;$B6,ABS(10/(V$5-$B6)-1)-(V$5-$B6)*01_Inputs!$C$23,"")</f>
        <v>0.814814760814815</v>
      </c>
      <c r="W6" s="3" t="n">
        <f aca="false">IF(W$5&gt;$B6,ABS(10/(W$5-$B6)-1)-(W$5-$B6)*01_Inputs!$C$23,"")</f>
        <v>0.833333273333333</v>
      </c>
      <c r="X6" s="3" t="n">
        <f aca="false">IF(X$5&gt;$B6,ABS(10/(X$5-$B6)-1)-(X$5-$B6)*01_Inputs!$C$23,"")</f>
        <v>0.838709615419355</v>
      </c>
      <c r="Y6" s="3" t="n">
        <f aca="false">IF(Y$5&gt;$B6,ABS(10/(Y$5-$B6)-1)-(Y$5-$B6)*01_Inputs!$C$23,"")</f>
        <v>0.873417642518987</v>
      </c>
      <c r="Z6" s="3" t="n">
        <f aca="false">IF(Z$5&gt;$B6,ABS(10/(Z$5-$B6)-1)-(Z$5-$B6)*01_Inputs!$C$23,"")</f>
        <v>0.87499992</v>
      </c>
      <c r="AA6" s="3" t="n">
        <f aca="false">IF(AA$5&gt;$B6,ABS(10/(AA$5-$B6)-1)-(AA$5-$B6)*01_Inputs!$C$23,"")</f>
        <v>0.888888798888889</v>
      </c>
      <c r="AB6" s="3" t="n">
        <f aca="false">IF(AB$5&gt;$B6,ABS(10/(AB$5-$B6)-1)-(AB$5-$B6)*01_Inputs!$C$23,"")</f>
        <v>0.901960682313726</v>
      </c>
      <c r="AC6" s="3" t="n">
        <f aca="false">IF(AC$5&gt;$B6,ABS(10/(AC$5-$B6)-1)-(AC$5-$B6)*01_Inputs!$C$23,"")</f>
        <v>0.90990979890991</v>
      </c>
      <c r="AD6" s="3" t="n">
        <f aca="false">IF(AD$5&gt;$B6,ABS(10/(AD$5-$B6)-1)-(AD$5-$B6)*01_Inputs!$C$23,"")</f>
        <v>0.911504311778761</v>
      </c>
      <c r="AE6" s="3" t="n">
        <f aca="false">IF(AE$5&gt;$B6,ABS(10/(AE$5-$B6)-1)-(AE$5-$B6)*01_Inputs!$C$23,"")</f>
        <v>0.912280587754386</v>
      </c>
      <c r="AF6" s="3" t="n">
        <f aca="false">IF(AF$5&gt;$B6,ABS(10/(AF$5-$B6)-1)-(AF$5-$B6)*01_Inputs!$C$23,"")</f>
        <v>0.919999875</v>
      </c>
      <c r="AG6" s="3" t="n">
        <f aca="false">IF(AG$5&gt;$B6,ABS(10/(AG$5-$B6)-1)-(AG$5-$B6)*01_Inputs!$C$23,"")</f>
        <v>0.923663991137405</v>
      </c>
      <c r="AH6" s="3" t="n">
        <f aca="false">IF(AH$5&gt;$B6,ABS(10/(AH$5-$B6)-1)-(AH$5-$B6)*01_Inputs!$C$23,"")</f>
        <v>0.935483715967742</v>
      </c>
      <c r="AI6" s="3" t="n">
        <f aca="false">IF(AI$5&gt;$B6,ABS(10/(AI$5-$B6)-1)-(AI$5-$B6)*01_Inputs!$C$23,"")</f>
        <v>0.936305575484076</v>
      </c>
      <c r="AJ6" s="3" t="n">
        <f aca="false">IF(AJ$5&gt;$B6,ABS(10/(AJ$5-$B6)-1)-(AJ$5-$B6)*01_Inputs!$C$23,"")</f>
        <v>0.941520296836257</v>
      </c>
      <c r="AK6" s="3" t="n">
        <f aca="false">IF(AK$5&gt;$B6,ABS(10/(AK$5-$B6)-1)-(AK$5-$B6)*01_Inputs!$C$23,"")</f>
        <v>0.946808322638298</v>
      </c>
      <c r="AL6" s="3" t="n">
        <f aca="false">IF(AL$5&gt;$B6,ABS(10/(AL$5-$B6)-1)-(AL$5-$B6)*01_Inputs!$C$23,"")</f>
        <v>0.94949475149495</v>
      </c>
      <c r="AM6" s="3" t="n">
        <f aca="false">IF(AM$5&gt;$B6,ABS(10/(AM$5-$B6)-1)-(AM$5-$B6)*01_Inputs!$C$23,"")</f>
        <v>0.95260642407109</v>
      </c>
      <c r="AN6" s="3" t="n">
        <f aca="false">IF(AN$5&gt;$B6,ABS(10/(AN$5-$B6)-1)-(AN$5-$B6)*01_Inputs!$C$23,"")</f>
        <v>0.952829976679245</v>
      </c>
      <c r="AO6" s="3" t="n">
        <f aca="false">IF(AO$5&gt;$B6,ABS(10/(AO$5-$B6)-1)-(AO$5-$B6)*01_Inputs!$C$23,"")</f>
        <v>0.953051430192488</v>
      </c>
      <c r="AP6" s="3" t="n">
        <f aca="false">IF(AP$5&gt;$B6,ABS(10/(AP$5-$B6)-1)-(AP$5-$B6)*01_Inputs!$C$23,"")</f>
        <v>0.954545234545455</v>
      </c>
      <c r="AQ6" s="3" t="n">
        <f aca="false">IF(AQ$5&gt;$B6,ABS(10/(AQ$5-$B6)-1)-(AQ$5-$B6)*01_Inputs!$C$23,"")</f>
        <v>0.95475091022172</v>
      </c>
      <c r="AR6" s="3" t="n">
        <f aca="false">IF(AR$5&gt;$B6,ABS(10/(AR$5-$B6)-1)-(AR$5-$B6)*01_Inputs!$C$23,"")</f>
        <v>0.955356918857143</v>
      </c>
      <c r="AS6" s="3" t="n">
        <f aca="false">IF(AS$5&gt;$B6,ABS(10/(AS$5-$B6)-1)-(AS$5-$B6)*01_Inputs!$C$23,"")</f>
        <v>0.956140122877193</v>
      </c>
      <c r="AT6" s="3" t="n">
        <f aca="false">IF(AT$5&gt;$B6,ABS(10/(AT$5-$B6)-1)-(AT$5-$B6)*01_Inputs!$C$23,"")</f>
        <v>0.957264723264957</v>
      </c>
      <c r="AU6" s="3" t="n">
        <f aca="false">IF(AU$5&gt;$B6,ABS(10/(AU$5-$B6)-1)-(AU$5-$B6)*01_Inputs!$C$23,"")</f>
        <v>0.957626882644068</v>
      </c>
      <c r="AV6" s="3" t="n">
        <f aca="false">IF(AV$5&gt;$B6,ABS(10/(AV$5-$B6)-1)-(AV$5-$B6)*01_Inputs!$C$23,"")</f>
        <v>0.958677443950413</v>
      </c>
      <c r="AW6" s="3" t="n">
        <f aca="false">IF(AW$5&gt;$B6,ABS(10/(AW$5-$B6)-1)-(AW$5-$B6)*01_Inputs!$C$23,"")</f>
        <v>0.959349347495935</v>
      </c>
      <c r="AX6" s="3" t="n">
        <f aca="false">IF(AX$5&gt;$B6,ABS(10/(AX$5-$B6)-1)-(AX$5-$B6)*01_Inputs!$C$23,"")</f>
        <v>0.960159111549801</v>
      </c>
      <c r="AY6" s="3" t="n">
        <f aca="false">IF(AY$5&gt;$B6,ABS(10/(AY$5-$B6)-1)-(AY$5-$B6)*01_Inputs!$C$23,"")</f>
        <v>0.961831799068702</v>
      </c>
      <c r="AZ6" s="3" t="n">
        <f aca="false">IF(AZ$5&gt;$B6,ABS(10/(AZ$5-$B6)-1)-(AZ$5-$B6)*01_Inputs!$C$23,"")</f>
        <v>0.962686299164179</v>
      </c>
    </row>
    <row r="7" customFormat="false" ht="15" hidden="false" customHeight="false" outlineLevel="0" collapsed="false">
      <c r="A7" s="9" t="n">
        <v>2</v>
      </c>
      <c r="B7" s="9" t="n">
        <f aca="false">01_Inputs!$B$42</f>
        <v>9</v>
      </c>
      <c r="C7" s="17" t="n">
        <f aca="false">MIN(I7:AZ7)</f>
        <v>0.111111102111111</v>
      </c>
      <c r="D7" s="9" t="n">
        <f aca="false">MATCH($C7,I7:AZ7,0)</f>
        <v>4</v>
      </c>
      <c r="E7" s="9" t="n">
        <f aca="false">INDEX(I$5:AZ$5,1,$D7)</f>
        <v>18</v>
      </c>
      <c r="F7" s="9" t="n">
        <f aca="false">$E7-$B7</f>
        <v>9</v>
      </c>
      <c r="I7" s="3" t="str">
        <f aca="false">IF(I$5&gt;$B7,ABS(10/(I$5-$B7)-1)-(I$5-$B7)*01_Inputs!$C$23,"")</f>
        <v/>
      </c>
      <c r="J7" s="3" t="str">
        <f aca="false">IF(J$5&gt;$B7,ABS(10/(J$5-$B7)-1)-(J$5-$B7)*01_Inputs!$C$23,"")</f>
        <v/>
      </c>
      <c r="K7" s="3" t="n">
        <f aca="false">IF(K$5&gt;$B7,ABS(10/(K$5-$B7)-1)-(K$5-$B7)*01_Inputs!$C$23,"")</f>
        <v>2.33333333033333</v>
      </c>
      <c r="L7" s="3" t="n">
        <f aca="false">IF(L$5&gt;$B7,ABS(10/(L$5-$B7)-1)-(L$5-$B7)*01_Inputs!$C$23,"")</f>
        <v>0.111111102111111</v>
      </c>
      <c r="M7" s="3" t="n">
        <f aca="false">IF(M$5&gt;$B7,ABS(10/(M$5-$B7)-1)-(M$5-$B7)*01_Inputs!$C$23,"")</f>
        <v>0.230769217769231</v>
      </c>
      <c r="N7" s="3" t="n">
        <f aca="false">IF(N$5&gt;$B7,ABS(10/(N$5-$B7)-1)-(N$5-$B7)*01_Inputs!$C$23,"")</f>
        <v>0.374999984</v>
      </c>
      <c r="O7" s="3" t="n">
        <f aca="false">IF(O$5&gt;$B7,ABS(10/(O$5-$B7)-1)-(O$5-$B7)*01_Inputs!$C$23,"")</f>
        <v>0.49999998</v>
      </c>
      <c r="P7" s="3" t="n">
        <f aca="false">IF(P$5&gt;$B7,ABS(10/(P$5-$B7)-1)-(P$5-$B7)*01_Inputs!$C$23,"")</f>
        <v>0.523809502809524</v>
      </c>
      <c r="Q7" s="3" t="n">
        <f aca="false">IF(Q$5&gt;$B7,ABS(10/(Q$5-$B7)-1)-(Q$5-$B7)*01_Inputs!$C$23,"")</f>
        <v>0.743589704589744</v>
      </c>
      <c r="R7" s="3" t="n">
        <f aca="false">IF(R$5&gt;$B7,ABS(10/(R$5-$B7)-1)-(R$5-$B7)*01_Inputs!$C$23,"")</f>
        <v>0.74999996</v>
      </c>
      <c r="S7" s="3" t="n">
        <f aca="false">IF(S$5&gt;$B7,ABS(10/(S$5-$B7)-1)-(S$5-$B7)*01_Inputs!$C$23,"")</f>
        <v>0.761904719904762</v>
      </c>
      <c r="T7" s="3" t="n">
        <f aca="false">IF(T$5&gt;$B7,ABS(10/(T$5-$B7)-1)-(T$5-$B7)*01_Inputs!$C$23,"")</f>
        <v>0.791666618666667</v>
      </c>
      <c r="U7" s="3" t="n">
        <f aca="false">IF(U$5&gt;$B7,ABS(10/(U$5-$B7)-1)-(U$5-$B7)*01_Inputs!$C$23,"")</f>
        <v>0.79999995</v>
      </c>
      <c r="V7" s="3" t="n">
        <f aca="false">IF(V$5&gt;$B7,ABS(10/(V$5-$B7)-1)-(V$5-$B7)*01_Inputs!$C$23,"")</f>
        <v>0.811320701716981</v>
      </c>
      <c r="W7" s="3" t="n">
        <f aca="false">IF(W$5&gt;$B7,ABS(10/(W$5-$B7)-1)-(W$5-$B7)*01_Inputs!$C$23,"")</f>
        <v>0.830508415576271</v>
      </c>
      <c r="X7" s="3" t="n">
        <f aca="false">IF(X$5&gt;$B7,ABS(10/(X$5-$B7)-1)-(X$5-$B7)*01_Inputs!$C$23,"")</f>
        <v>0.836065512770492</v>
      </c>
      <c r="Y7" s="3" t="n">
        <f aca="false">IF(Y$5&gt;$B7,ABS(10/(Y$5-$B7)-1)-(Y$5-$B7)*01_Inputs!$C$23,"")</f>
        <v>0.871794793794872</v>
      </c>
      <c r="Z7" s="3" t="n">
        <f aca="false">IF(Z$5&gt;$B7,ABS(10/(Z$5-$B7)-1)-(Z$5-$B7)*01_Inputs!$C$23,"")</f>
        <v>0.873417642518987</v>
      </c>
      <c r="AA7" s="3" t="n">
        <f aca="false">IF(AA$5&gt;$B7,ABS(10/(AA$5-$B7)-1)-(AA$5-$B7)*01_Inputs!$C$23,"")</f>
        <v>0.887640360438202</v>
      </c>
      <c r="AB7" s="3" t="n">
        <f aca="false">IF(AB$5&gt;$B7,ABS(10/(AB$5-$B7)-1)-(AB$5-$B7)*01_Inputs!$C$23,"")</f>
        <v>0.900989998009901</v>
      </c>
      <c r="AC7" s="3" t="n">
        <f aca="false">IF(AC$5&gt;$B7,ABS(10/(AC$5-$B7)-1)-(AC$5-$B7)*01_Inputs!$C$23,"")</f>
        <v>0.909090799090909</v>
      </c>
      <c r="AD7" s="3" t="n">
        <f aca="false">IF(AD$5&gt;$B7,ABS(10/(AD$5-$B7)-1)-(AD$5-$B7)*01_Inputs!$C$23,"")</f>
        <v>0.910714173714286</v>
      </c>
      <c r="AE7" s="3" t="n">
        <f aca="false">IF(AE$5&gt;$B7,ABS(10/(AE$5-$B7)-1)-(AE$5-$B7)*01_Inputs!$C$23,"")</f>
        <v>0.911504311778761</v>
      </c>
      <c r="AF7" s="3" t="n">
        <f aca="false">IF(AF$5&gt;$B7,ABS(10/(AF$5-$B7)-1)-(AF$5-$B7)*01_Inputs!$C$23,"")</f>
        <v>0.919354714709677</v>
      </c>
      <c r="AG7" s="3" t="n">
        <f aca="false">IF(AG$5&gt;$B7,ABS(10/(AG$5-$B7)-1)-(AG$5-$B7)*01_Inputs!$C$23,"")</f>
        <v>0.923076793076923</v>
      </c>
      <c r="AH7" s="3" t="n">
        <f aca="false">IF(AH$5&gt;$B7,ABS(10/(AH$5-$B7)-1)-(AH$5-$B7)*01_Inputs!$C$23,"")</f>
        <v>0.935064781064935</v>
      </c>
      <c r="AI7" s="3" t="n">
        <f aca="false">IF(AI$5&gt;$B7,ABS(10/(AI$5-$B7)-1)-(AI$5-$B7)*01_Inputs!$C$23,"")</f>
        <v>0.935897279897436</v>
      </c>
      <c r="AJ7" s="3" t="n">
        <f aca="false">IF(AJ$5&gt;$B7,ABS(10/(AJ$5-$B7)-1)-(AJ$5-$B7)*01_Inputs!$C$23,"")</f>
        <v>0.941176300588235</v>
      </c>
      <c r="AK7" s="3" t="n">
        <f aca="false">IF(AK$5&gt;$B7,ABS(10/(AK$5-$B7)-1)-(AK$5-$B7)*01_Inputs!$C$23,"")</f>
        <v>0.946523877171123</v>
      </c>
      <c r="AL7" s="3" t="n">
        <f aca="false">IF(AL$5&gt;$B7,ABS(10/(AL$5-$B7)-1)-(AL$5-$B7)*01_Inputs!$C$23,"")</f>
        <v>0.949238381680203</v>
      </c>
      <c r="AM7" s="3" t="n">
        <f aca="false">IF(AM$5&gt;$B7,ABS(10/(AM$5-$B7)-1)-(AM$5-$B7)*01_Inputs!$C$23,"")</f>
        <v>0.952380742380952</v>
      </c>
      <c r="AN7" s="3" t="n">
        <f aca="false">IF(AN$5&gt;$B7,ABS(10/(AN$5-$B7)-1)-(AN$5-$B7)*01_Inputs!$C$23,"")</f>
        <v>0.95260642407109</v>
      </c>
      <c r="AO7" s="3" t="n">
        <f aca="false">IF(AO$5&gt;$B7,ABS(10/(AO$5-$B7)-1)-(AO$5-$B7)*01_Inputs!$C$23,"")</f>
        <v>0.952829976679245</v>
      </c>
      <c r="AP7" s="3" t="n">
        <f aca="false">IF(AP$5&gt;$B7,ABS(10/(AP$5-$B7)-1)-(AP$5-$B7)*01_Inputs!$C$23,"")</f>
        <v>0.954337680543379</v>
      </c>
      <c r="AQ7" s="3" t="n">
        <f aca="false">IF(AQ$5&gt;$B7,ABS(10/(AQ$5-$B7)-1)-(AQ$5-$B7)*01_Inputs!$C$23,"")</f>
        <v>0.954545234545455</v>
      </c>
      <c r="AR7" s="3" t="n">
        <f aca="false">IF(AR$5&gt;$B7,ABS(10/(AR$5-$B7)-1)-(AR$5-$B7)*01_Inputs!$C$23,"")</f>
        <v>0.955156727672646</v>
      </c>
      <c r="AS7" s="3" t="n">
        <f aca="false">IF(AS$5&gt;$B7,ABS(10/(AS$5-$B7)-1)-(AS$5-$B7)*01_Inputs!$C$23,"")</f>
        <v>0.955946909563877</v>
      </c>
      <c r="AT7" s="3" t="n">
        <f aca="false">IF(AT$5&gt;$B7,ABS(10/(AT$5-$B7)-1)-(AT$5-$B7)*01_Inputs!$C$23,"")</f>
        <v>0.957081312064378</v>
      </c>
      <c r="AU7" s="3" t="n">
        <f aca="false">IF(AU$5&gt;$B7,ABS(10/(AU$5-$B7)-1)-(AU$5-$B7)*01_Inputs!$C$23,"")</f>
        <v>0.957446573510638</v>
      </c>
      <c r="AV7" s="3" t="n">
        <f aca="false">IF(AV$5&gt;$B7,ABS(10/(AV$5-$B7)-1)-(AV$5-$B7)*01_Inputs!$C$23,"")</f>
        <v>0.95850598306639</v>
      </c>
      <c r="AW7" s="3" t="n">
        <f aca="false">IF(AW$5&gt;$B7,ABS(10/(AW$5-$B7)-1)-(AW$5-$B7)*01_Inputs!$C$23,"")</f>
        <v>0.959183428469388</v>
      </c>
      <c r="AX7" s="3" t="n">
        <f aca="false">IF(AX$5&gt;$B7,ABS(10/(AX$5-$B7)-1)-(AX$5-$B7)*01_Inputs!$C$23,"")</f>
        <v>0.95999975</v>
      </c>
      <c r="AY7" s="3" t="n">
        <f aca="false">IF(AY$5&gt;$B7,ABS(10/(AY$5-$B7)-1)-(AY$5-$B7)*01_Inputs!$C$23,"")</f>
        <v>0.961685562754789</v>
      </c>
      <c r="AZ7" s="3" t="n">
        <f aca="false">IF(AZ$5&gt;$B7,ABS(10/(AZ$5-$B7)-1)-(AZ$5-$B7)*01_Inputs!$C$23,"")</f>
        <v>0.962546549479401</v>
      </c>
    </row>
    <row r="8" customFormat="false" ht="15" hidden="false" customHeight="false" outlineLevel="0" collapsed="false">
      <c r="A8" s="9" t="n">
        <v>3</v>
      </c>
      <c r="B8" s="9" t="n">
        <f aca="false">01_Inputs!$B$43</f>
        <v>12</v>
      </c>
      <c r="C8" s="17" t="n">
        <f aca="false">MIN(I8:AZ8)</f>
        <v>-1E-008</v>
      </c>
      <c r="D8" s="9" t="n">
        <f aca="false">MATCH($C8,I8:AZ8,0)</f>
        <v>5</v>
      </c>
      <c r="E8" s="9" t="n">
        <f aca="false">INDEX(I$5:AZ$5,1,$D8)</f>
        <v>22</v>
      </c>
      <c r="F8" s="9" t="n">
        <f aca="false">$E8-$B8</f>
        <v>10</v>
      </c>
      <c r="I8" s="3" t="str">
        <f aca="false">IF(I$5&gt;$B8,ABS(10/(I$5-$B8)-1)-(I$5-$B8)*01_Inputs!$C$23,"")</f>
        <v/>
      </c>
      <c r="J8" s="3" t="str">
        <f aca="false">IF(J$5&gt;$B8,ABS(10/(J$5-$B8)-1)-(J$5-$B8)*01_Inputs!$C$23,"")</f>
        <v/>
      </c>
      <c r="K8" s="3" t="str">
        <f aca="false">IF(K$5&gt;$B8,ABS(10/(K$5-$B8)-1)-(K$5-$B8)*01_Inputs!$C$23,"")</f>
        <v/>
      </c>
      <c r="L8" s="3" t="n">
        <f aca="false">IF(L$5&gt;$B8,ABS(10/(L$5-$B8)-1)-(L$5-$B8)*01_Inputs!$C$23,"")</f>
        <v>0.666666660666667</v>
      </c>
      <c r="M8" s="3" t="n">
        <f aca="false">IF(M$5&gt;$B8,ABS(10/(M$5-$B8)-1)-(M$5-$B8)*01_Inputs!$C$23,"")</f>
        <v>-1E-008</v>
      </c>
      <c r="N8" s="3" t="n">
        <f aca="false">IF(N$5&gt;$B8,ABS(10/(N$5-$B8)-1)-(N$5-$B8)*01_Inputs!$C$23,"")</f>
        <v>0.230769217769231</v>
      </c>
      <c r="O8" s="3" t="n">
        <f aca="false">IF(O$5&gt;$B8,ABS(10/(O$5-$B8)-1)-(O$5-$B8)*01_Inputs!$C$23,"")</f>
        <v>0.411764688882353</v>
      </c>
      <c r="P8" s="3" t="n">
        <f aca="false">IF(P$5&gt;$B8,ABS(10/(P$5-$B8)-1)-(P$5-$B8)*01_Inputs!$C$23,"")</f>
        <v>0.444444426444444</v>
      </c>
      <c r="Q8" s="3" t="n">
        <f aca="false">IF(Q$5&gt;$B8,ABS(10/(Q$5-$B8)-1)-(Q$5-$B8)*01_Inputs!$C$23,"")</f>
        <v>0.722222186222222</v>
      </c>
      <c r="R8" s="3" t="n">
        <f aca="false">IF(R$5&gt;$B8,ABS(10/(R$5-$B8)-1)-(R$5-$B8)*01_Inputs!$C$23,"")</f>
        <v>0.72972969272973</v>
      </c>
      <c r="S8" s="3" t="n">
        <f aca="false">IF(S$5&gt;$B8,ABS(10/(S$5-$B8)-1)-(S$5-$B8)*01_Inputs!$C$23,"")</f>
        <v>0.743589704589744</v>
      </c>
      <c r="T8" s="3" t="n">
        <f aca="false">IF(T$5&gt;$B8,ABS(10/(T$5-$B8)-1)-(T$5-$B8)*01_Inputs!$C$23,"")</f>
        <v>0.777777732777778</v>
      </c>
      <c r="U8" s="3" t="n">
        <f aca="false">IF(U$5&gt;$B8,ABS(10/(U$5-$B8)-1)-(U$5-$B8)*01_Inputs!$C$23,"")</f>
        <v>0.787233995553192</v>
      </c>
      <c r="V8" s="3" t="n">
        <f aca="false">IF(V$5&gt;$B8,ABS(10/(V$5-$B8)-1)-(V$5-$B8)*01_Inputs!$C$23,"")</f>
        <v>0.79999995</v>
      </c>
      <c r="W8" s="3" t="n">
        <f aca="false">IF(W$5&gt;$B8,ABS(10/(W$5-$B8)-1)-(W$5-$B8)*01_Inputs!$C$23,"")</f>
        <v>0.821428515428571</v>
      </c>
      <c r="X8" s="3" t="n">
        <f aca="false">IF(X$5&gt;$B8,ABS(10/(X$5-$B8)-1)-(X$5-$B8)*01_Inputs!$C$23,"")</f>
        <v>0.827586148896552</v>
      </c>
      <c r="Y8" s="3" t="n">
        <f aca="false">IF(Y$5&gt;$B8,ABS(10/(Y$5-$B8)-1)-(Y$5-$B8)*01_Inputs!$C$23,"")</f>
        <v>0.866666591666667</v>
      </c>
      <c r="Z8" s="3" t="n">
        <f aca="false">IF(Z$5&gt;$B8,ABS(10/(Z$5-$B8)-1)-(Z$5-$B8)*01_Inputs!$C$23,"")</f>
        <v>0.868420976631579</v>
      </c>
      <c r="AA8" s="3" t="n">
        <f aca="false">IF(AA$5&gt;$B8,ABS(10/(AA$5-$B8)-1)-(AA$5-$B8)*01_Inputs!$C$23,"")</f>
        <v>0.883720844232558</v>
      </c>
      <c r="AB8" s="3" t="n">
        <f aca="false">IF(AB$5&gt;$B8,ABS(10/(AB$5-$B8)-1)-(AB$5-$B8)*01_Inputs!$C$23,"")</f>
        <v>0.897959085673469</v>
      </c>
      <c r="AC8" s="3" t="n">
        <f aca="false">IF(AC$5&gt;$B8,ABS(10/(AC$5-$B8)-1)-(AC$5-$B8)*01_Inputs!$C$23,"")</f>
        <v>0.906541949074766</v>
      </c>
      <c r="AD8" s="3" t="n">
        <f aca="false">IF(AD$5&gt;$B8,ABS(10/(AD$5-$B8)-1)-(AD$5-$B8)*01_Inputs!$C$23,"")</f>
        <v>0.908256771733945</v>
      </c>
      <c r="AE8" s="3" t="n">
        <f aca="false">IF(AE$5&gt;$B8,ABS(10/(AE$5-$B8)-1)-(AE$5-$B8)*01_Inputs!$C$23,"")</f>
        <v>0.909090799090909</v>
      </c>
      <c r="AF8" s="3" t="n">
        <f aca="false">IF(AF$5&gt;$B8,ABS(10/(AF$5-$B8)-1)-(AF$5-$B8)*01_Inputs!$C$23,"")</f>
        <v>0.917355250900827</v>
      </c>
      <c r="AG8" s="3" t="n">
        <f aca="false">IF(AG$5&gt;$B8,ABS(10/(AG$5-$B8)-1)-(AG$5-$B8)*01_Inputs!$C$23,"")</f>
        <v>0.921259715519685</v>
      </c>
      <c r="AH8" s="3" t="n">
        <f aca="false">IF(AH$5&gt;$B8,ABS(10/(AH$5-$B8)-1)-(AH$5-$B8)*01_Inputs!$C$23,"")</f>
        <v>0.933774683437086</v>
      </c>
      <c r="AI8" s="3" t="n">
        <f aca="false">IF(AI$5&gt;$B8,ABS(10/(AI$5-$B8)-1)-(AI$5-$B8)*01_Inputs!$C$23,"")</f>
        <v>0.934640369875817</v>
      </c>
      <c r="AJ8" s="3" t="n">
        <f aca="false">IF(AJ$5&gt;$B8,ABS(10/(AJ$5-$B8)-1)-(AJ$5-$B8)*01_Inputs!$C$23,"")</f>
        <v>0.940119593479042</v>
      </c>
      <c r="AK8" s="3" t="n">
        <f aca="false">IF(AK$5&gt;$B8,ABS(10/(AK$5-$B8)-1)-(AK$5-$B8)*01_Inputs!$C$23,"")</f>
        <v>0.945651989913043</v>
      </c>
      <c r="AL8" s="3" t="n">
        <f aca="false">IF(AL$5&gt;$B8,ABS(10/(AL$5-$B8)-1)-(AL$5-$B8)*01_Inputs!$C$23,"")</f>
        <v>0.948453414247423</v>
      </c>
      <c r="AM8" s="3" t="n">
        <f aca="false">IF(AM$5&gt;$B8,ABS(10/(AM$5-$B8)-1)-(AM$5-$B8)*01_Inputs!$C$23,"")</f>
        <v>0.951690614256039</v>
      </c>
      <c r="AN8" s="3" t="n">
        <f aca="false">IF(AN$5&gt;$B8,ABS(10/(AN$5-$B8)-1)-(AN$5-$B8)*01_Inputs!$C$23,"")</f>
        <v>0.951922868923077</v>
      </c>
      <c r="AO8" s="3" t="n">
        <f aca="false">IF(AO$5&gt;$B8,ABS(10/(AO$5-$B8)-1)-(AO$5-$B8)*01_Inputs!$C$23,"")</f>
        <v>0.952152901047847</v>
      </c>
      <c r="AP8" s="3" t="n">
        <f aca="false">IF(AP$5&gt;$B8,ABS(10/(AP$5-$B8)-1)-(AP$5-$B8)*01_Inputs!$C$23,"")</f>
        <v>0.953703487703704</v>
      </c>
      <c r="AQ8" s="3" t="n">
        <f aca="false">IF(AQ$5&gt;$B8,ABS(10/(AQ$5-$B8)-1)-(AQ$5-$B8)*01_Inputs!$C$23,"")</f>
        <v>0.953916833691244</v>
      </c>
      <c r="AR8" s="3" t="n">
        <f aca="false">IF(AR$5&gt;$B8,ABS(10/(AR$5-$B8)-1)-(AR$5-$B8)*01_Inputs!$C$23,"")</f>
        <v>0.954545234545455</v>
      </c>
      <c r="AS8" s="3" t="n">
        <f aca="false">IF(AS$5&gt;$B8,ABS(10/(AS$5-$B8)-1)-(AS$5-$B8)*01_Inputs!$C$23,"")</f>
        <v>0.955356918857143</v>
      </c>
      <c r="AT8" s="3" t="n">
        <f aca="false">IF(AT$5&gt;$B8,ABS(10/(AT$5-$B8)-1)-(AT$5-$B8)*01_Inputs!$C$23,"")</f>
        <v>0.956521509130435</v>
      </c>
      <c r="AU8" s="3" t="n">
        <f aca="false">IF(AU$5&gt;$B8,ABS(10/(AU$5-$B8)-1)-(AU$5-$B8)*01_Inputs!$C$23,"")</f>
        <v>0.956896319724138</v>
      </c>
      <c r="AV8" s="3" t="n">
        <f aca="false">IF(AV$5&gt;$B8,ABS(10/(AV$5-$B8)-1)-(AV$5-$B8)*01_Inputs!$C$23,"")</f>
        <v>0.957982955277311</v>
      </c>
      <c r="AW8" s="3" t="n">
        <f aca="false">IF(AW$5&gt;$B8,ABS(10/(AW$5-$B8)-1)-(AW$5-$B8)*01_Inputs!$C$23,"")</f>
        <v>0.958677443950413</v>
      </c>
      <c r="AX8" s="3" t="n">
        <f aca="false">IF(AX$5&gt;$B8,ABS(10/(AX$5-$B8)-1)-(AX$5-$B8)*01_Inputs!$C$23,"")</f>
        <v>0.959513923040486</v>
      </c>
      <c r="AY8" s="3" t="n">
        <f aca="false">IF(AY$5&gt;$B8,ABS(10/(AY$5-$B8)-1)-(AY$5-$B8)*01_Inputs!$C$23,"")</f>
        <v>0.961240052077519</v>
      </c>
      <c r="AZ8" s="3" t="n">
        <f aca="false">IF(AZ$5&gt;$B8,ABS(10/(AZ$5-$B8)-1)-(AZ$5-$B8)*01_Inputs!$C$23,"")</f>
        <v>0.962120948121212</v>
      </c>
    </row>
    <row r="9" customFormat="false" ht="15" hidden="false" customHeight="false" outlineLevel="0" collapsed="false">
      <c r="A9" s="9" t="n">
        <v>4</v>
      </c>
      <c r="B9" s="9" t="n">
        <f aca="false">01_Inputs!$B$44</f>
        <v>18</v>
      </c>
      <c r="C9" s="17" t="n">
        <f aca="false">MIN(I9:AZ9)</f>
        <v>0.090909079909091</v>
      </c>
      <c r="D9" s="9" t="n">
        <f aca="false">MATCH($C9,I9:AZ9,0)</f>
        <v>7</v>
      </c>
      <c r="E9" s="9" t="n">
        <f aca="false">INDEX(I$5:AZ$5,1,$D9)</f>
        <v>29</v>
      </c>
      <c r="F9" s="9" t="n">
        <f aca="false">$E9-$B9</f>
        <v>11</v>
      </c>
      <c r="I9" s="3" t="str">
        <f aca="false">IF(I$5&gt;$B9,ABS(10/(I$5-$B9)-1)-(I$5-$B9)*01_Inputs!$C$23,"")</f>
        <v/>
      </c>
      <c r="J9" s="3" t="str">
        <f aca="false">IF(J$5&gt;$B9,ABS(10/(J$5-$B9)-1)-(J$5-$B9)*01_Inputs!$C$23,"")</f>
        <v/>
      </c>
      <c r="K9" s="3" t="str">
        <f aca="false">IF(K$5&gt;$B9,ABS(10/(K$5-$B9)-1)-(K$5-$B9)*01_Inputs!$C$23,"")</f>
        <v/>
      </c>
      <c r="L9" s="3" t="str">
        <f aca="false">IF(L$5&gt;$B9,ABS(10/(L$5-$B9)-1)-(L$5-$B9)*01_Inputs!$C$23,"")</f>
        <v/>
      </c>
      <c r="M9" s="3" t="n">
        <f aca="false">IF(M$5&gt;$B9,ABS(10/(M$5-$B9)-1)-(M$5-$B9)*01_Inputs!$C$23,"")</f>
        <v>1.499999996</v>
      </c>
      <c r="N9" s="3" t="n">
        <f aca="false">IF(N$5&gt;$B9,ABS(10/(N$5-$B9)-1)-(N$5-$B9)*01_Inputs!$C$23,"")</f>
        <v>0.428571421571429</v>
      </c>
      <c r="O9" s="3" t="n">
        <f aca="false">IF(O$5&gt;$B9,ABS(10/(O$5-$B9)-1)-(O$5-$B9)*01_Inputs!$C$23,"")</f>
        <v>0.090909079909091</v>
      </c>
      <c r="P9" s="3" t="n">
        <f aca="false">IF(P$5&gt;$B9,ABS(10/(P$5-$B9)-1)-(P$5-$B9)*01_Inputs!$C$23,"")</f>
        <v>0.166666654666667</v>
      </c>
      <c r="Q9" s="3" t="n">
        <f aca="false">IF(Q$5&gt;$B9,ABS(10/(Q$5-$B9)-1)-(Q$5-$B9)*01_Inputs!$C$23,"")</f>
        <v>0.666666636666667</v>
      </c>
      <c r="R9" s="3" t="n">
        <f aca="false">IF(R$5&gt;$B9,ABS(10/(R$5-$B9)-1)-(R$5-$B9)*01_Inputs!$C$23,"")</f>
        <v>0.67741932383871</v>
      </c>
      <c r="S9" s="3" t="n">
        <f aca="false">IF(S$5&gt;$B9,ABS(10/(S$5-$B9)-1)-(S$5-$B9)*01_Inputs!$C$23,"")</f>
        <v>0.696969663969697</v>
      </c>
      <c r="T9" s="3" t="n">
        <f aca="false">IF(T$5&gt;$B9,ABS(10/(T$5-$B9)-1)-(T$5-$B9)*01_Inputs!$C$23,"")</f>
        <v>0.743589704589744</v>
      </c>
      <c r="U9" s="3" t="n">
        <f aca="false">IF(U$5&gt;$B9,ABS(10/(U$5-$B9)-1)-(U$5-$B9)*01_Inputs!$C$23,"")</f>
        <v>0.75609751997561</v>
      </c>
      <c r="V9" s="3" t="n">
        <f aca="false">IF(V$5&gt;$B9,ABS(10/(V$5-$B9)-1)-(V$5-$B9)*01_Inputs!$C$23,"")</f>
        <v>0.772727228727273</v>
      </c>
      <c r="W9" s="3" t="n">
        <f aca="false">IF(W$5&gt;$B9,ABS(10/(W$5-$B9)-1)-(W$5-$B9)*01_Inputs!$C$23,"")</f>
        <v>0.79999995</v>
      </c>
      <c r="X9" s="3" t="n">
        <f aca="false">IF(X$5&gt;$B9,ABS(10/(X$5-$B9)-1)-(X$5-$B9)*01_Inputs!$C$23,"")</f>
        <v>0.807692255692308</v>
      </c>
      <c r="Y9" s="3" t="n">
        <f aca="false">IF(Y$5&gt;$B9,ABS(10/(Y$5-$B9)-1)-(Y$5-$B9)*01_Inputs!$C$23,"")</f>
        <v>0.855072394768116</v>
      </c>
      <c r="Z9" s="3" t="n">
        <f aca="false">IF(Z$5&gt;$B9,ABS(10/(Z$5-$B9)-1)-(Z$5-$B9)*01_Inputs!$C$23,"")</f>
        <v>0.857142787142857</v>
      </c>
      <c r="AA9" s="3" t="n">
        <f aca="false">IF(AA$5&gt;$B9,ABS(10/(AA$5-$B9)-1)-(AA$5-$B9)*01_Inputs!$C$23,"")</f>
        <v>0.87499992</v>
      </c>
      <c r="AB9" s="3" t="n">
        <f aca="false">IF(AB$5&gt;$B9,ABS(10/(AB$5-$B9)-1)-(AB$5-$B9)*01_Inputs!$C$23,"")</f>
        <v>0.891304255826087</v>
      </c>
      <c r="AC9" s="3" t="n">
        <f aca="false">IF(AC$5&gt;$B9,ABS(10/(AC$5-$B9)-1)-(AC$5-$B9)*01_Inputs!$C$23,"")</f>
        <v>0.900989998009901</v>
      </c>
      <c r="AD9" s="3" t="n">
        <f aca="false">IF(AD$5&gt;$B9,ABS(10/(AD$5-$B9)-1)-(AD$5-$B9)*01_Inputs!$C$23,"")</f>
        <v>0.902912518359223</v>
      </c>
      <c r="AE9" s="3" t="n">
        <f aca="false">IF(AE$5&gt;$B9,ABS(10/(AE$5-$B9)-1)-(AE$5-$B9)*01_Inputs!$C$23,"")</f>
        <v>0.903846049846154</v>
      </c>
      <c r="AF9" s="3" t="n">
        <f aca="false">IF(AF$5&gt;$B9,ABS(10/(AF$5-$B9)-1)-(AF$5-$B9)*01_Inputs!$C$23,"")</f>
        <v>0.91304336326087</v>
      </c>
      <c r="AG9" s="3" t="n">
        <f aca="false">IF(AG$5&gt;$B9,ABS(10/(AG$5-$B9)-1)-(AG$5-$B9)*01_Inputs!$C$23,"")</f>
        <v>0.917355250900827</v>
      </c>
      <c r="AH9" s="3" t="n">
        <f aca="false">IF(AH$5&gt;$B9,ABS(10/(AH$5-$B9)-1)-(AH$5-$B9)*01_Inputs!$C$23,"")</f>
        <v>0.931034337758621</v>
      </c>
      <c r="AI9" s="3" t="n">
        <f aca="false">IF(AI$5&gt;$B9,ABS(10/(AI$5-$B9)-1)-(AI$5-$B9)*01_Inputs!$C$23,"")</f>
        <v>0.931972642115646</v>
      </c>
      <c r="AJ9" s="3" t="n">
        <f aca="false">IF(AJ$5&gt;$B9,ABS(10/(AJ$5-$B9)-1)-(AJ$5-$B9)*01_Inputs!$C$23,"")</f>
        <v>0.937888037757764</v>
      </c>
      <c r="AK9" s="3" t="n">
        <f aca="false">IF(AK$5&gt;$B9,ABS(10/(AK$5-$B9)-1)-(AK$5-$B9)*01_Inputs!$C$23,"")</f>
        <v>0.943820046719101</v>
      </c>
      <c r="AL9" s="3" t="n">
        <f aca="false">IF(AL$5&gt;$B9,ABS(10/(AL$5-$B9)-1)-(AL$5-$B9)*01_Inputs!$C$23,"")</f>
        <v>0.946808322638298</v>
      </c>
      <c r="AM9" s="3" t="n">
        <f aca="false">IF(AM$5&gt;$B9,ABS(10/(AM$5-$B9)-1)-(AM$5-$B9)*01_Inputs!$C$23,"")</f>
        <v>0.950248555218906</v>
      </c>
      <c r="AN9" s="3" t="n">
        <f aca="false">IF(AN$5&gt;$B9,ABS(10/(AN$5-$B9)-1)-(AN$5-$B9)*01_Inputs!$C$23,"")</f>
        <v>0.950494847504951</v>
      </c>
      <c r="AO9" s="3" t="n">
        <f aca="false">IF(AO$5&gt;$B9,ABS(10/(AO$5-$B9)-1)-(AO$5-$B9)*01_Inputs!$C$23,"")</f>
        <v>0.950738713256158</v>
      </c>
      <c r="AP9" s="3" t="n">
        <f aca="false">IF(AP$5&gt;$B9,ABS(10/(AP$5-$B9)-1)-(AP$5-$B9)*01_Inputs!$C$23,"")</f>
        <v>0.952380742380952</v>
      </c>
      <c r="AQ9" s="3" t="n">
        <f aca="false">IF(AQ$5&gt;$B9,ABS(10/(AQ$5-$B9)-1)-(AQ$5-$B9)*01_Inputs!$C$23,"")</f>
        <v>0.95260642407109</v>
      </c>
      <c r="AR9" s="3" t="n">
        <f aca="false">IF(AR$5&gt;$B9,ABS(10/(AR$5-$B9)-1)-(AR$5-$B9)*01_Inputs!$C$23,"")</f>
        <v>0.953270814037383</v>
      </c>
      <c r="AS9" s="3" t="n">
        <f aca="false">IF(AS$5&gt;$B9,ABS(10/(AS$5-$B9)-1)-(AS$5-$B9)*01_Inputs!$C$23,"")</f>
        <v>0.954128222366973</v>
      </c>
      <c r="AT9" s="3" t="n">
        <f aca="false">IF(AT$5&gt;$B9,ABS(10/(AT$5-$B9)-1)-(AT$5-$B9)*01_Inputs!$C$23,"")</f>
        <v>0.955356918857143</v>
      </c>
      <c r="AU9" s="3" t="n">
        <f aca="false">IF(AU$5&gt;$B9,ABS(10/(AU$5-$B9)-1)-(AU$5-$B9)*01_Inputs!$C$23,"")</f>
        <v>0.955751986389381</v>
      </c>
      <c r="AV9" s="3" t="n">
        <f aca="false">IF(AV$5&gt;$B9,ABS(10/(AV$5-$B9)-1)-(AV$5-$B9)*01_Inputs!$C$23,"")</f>
        <v>0.956896319724138</v>
      </c>
      <c r="AW9" s="3" t="n">
        <f aca="false">IF(AW$5&gt;$B9,ABS(10/(AW$5-$B9)-1)-(AW$5-$B9)*01_Inputs!$C$23,"")</f>
        <v>0.957626882644068</v>
      </c>
      <c r="AX9" s="3" t="n">
        <f aca="false">IF(AX$5&gt;$B9,ABS(10/(AX$5-$B9)-1)-(AX$5-$B9)*01_Inputs!$C$23,"")</f>
        <v>0.95850598306639</v>
      </c>
      <c r="AY9" s="3" t="n">
        <f aca="false">IF(AY$5&gt;$B9,ABS(10/(AY$5-$B9)-1)-(AY$5-$B9)*01_Inputs!$C$23,"")</f>
        <v>0.96031720831746</v>
      </c>
      <c r="AZ9" s="3" t="n">
        <f aca="false">IF(AZ$5&gt;$B9,ABS(10/(AZ$5-$B9)-1)-(AZ$5-$B9)*01_Inputs!$C$23,"")</f>
        <v>0.961240052077519</v>
      </c>
    </row>
    <row r="10" customFormat="false" ht="15" hidden="false" customHeight="false" outlineLevel="0" collapsed="false">
      <c r="A10" s="9" t="n">
        <v>5</v>
      </c>
      <c r="B10" s="9" t="n">
        <f aca="false">01_Inputs!$B$45</f>
        <v>22</v>
      </c>
      <c r="C10" s="17" t="n">
        <f aca="false">MIN(I10:AZ10)</f>
        <v>0.249999992</v>
      </c>
      <c r="D10" s="9" t="n">
        <f aca="false">MATCH($C10,I10:AZ10,0)</f>
        <v>8</v>
      </c>
      <c r="E10" s="9" t="n">
        <f aca="false">INDEX(I$5:AZ$5,1,$D10)</f>
        <v>30</v>
      </c>
      <c r="F10" s="9" t="n">
        <f aca="false">$E10-$B10</f>
        <v>8</v>
      </c>
      <c r="I10" s="3" t="str">
        <f aca="false">IF(I$5&gt;$B10,ABS(10/(I$5-$B10)-1)-(I$5-$B10)*01_Inputs!$C$23,"")</f>
        <v/>
      </c>
      <c r="J10" s="3" t="str">
        <f aca="false">IF(J$5&gt;$B10,ABS(10/(J$5-$B10)-1)-(J$5-$B10)*01_Inputs!$C$23,"")</f>
        <v/>
      </c>
      <c r="K10" s="3" t="str">
        <f aca="false">IF(K$5&gt;$B10,ABS(10/(K$5-$B10)-1)-(K$5-$B10)*01_Inputs!$C$23,"")</f>
        <v/>
      </c>
      <c r="L10" s="3" t="str">
        <f aca="false">IF(L$5&gt;$B10,ABS(10/(L$5-$B10)-1)-(L$5-$B10)*01_Inputs!$C$23,"")</f>
        <v/>
      </c>
      <c r="M10" s="3" t="str">
        <f aca="false">IF(M$5&gt;$B10,ABS(10/(M$5-$B10)-1)-(M$5-$B10)*01_Inputs!$C$23,"")</f>
        <v/>
      </c>
      <c r="N10" s="3" t="n">
        <f aca="false">IF(N$5&gt;$B10,ABS(10/(N$5-$B10)-1)-(N$5-$B10)*01_Inputs!$C$23,"")</f>
        <v>2.33333333033333</v>
      </c>
      <c r="O10" s="3" t="n">
        <f aca="false">IF(O$5&gt;$B10,ABS(10/(O$5-$B10)-1)-(O$5-$B10)*01_Inputs!$C$23,"")</f>
        <v>0.428571421571429</v>
      </c>
      <c r="P10" s="3" t="n">
        <f aca="false">IF(P$5&gt;$B10,ABS(10/(P$5-$B10)-1)-(P$5-$B10)*01_Inputs!$C$23,"")</f>
        <v>0.249999992</v>
      </c>
      <c r="Q10" s="3" t="n">
        <f aca="false">IF(Q$5&gt;$B10,ABS(10/(Q$5-$B10)-1)-(Q$5-$B10)*01_Inputs!$C$23,"")</f>
        <v>0.615384589384615</v>
      </c>
      <c r="R10" s="3" t="n">
        <f aca="false">IF(R$5&gt;$B10,ABS(10/(R$5-$B10)-1)-(R$5-$B10)*01_Inputs!$C$23,"")</f>
        <v>0.62962960262963</v>
      </c>
      <c r="S10" s="3" t="n">
        <f aca="false">IF(S$5&gt;$B10,ABS(10/(S$5-$B10)-1)-(S$5-$B10)*01_Inputs!$C$23,"")</f>
        <v>0.655172384793104</v>
      </c>
      <c r="T10" s="3" t="n">
        <f aca="false">IF(T$5&gt;$B10,ABS(10/(T$5-$B10)-1)-(T$5-$B10)*01_Inputs!$C$23,"")</f>
        <v>0.714285679285714</v>
      </c>
      <c r="U10" s="3" t="n">
        <f aca="false">IF(U$5&gt;$B10,ABS(10/(U$5-$B10)-1)-(U$5-$B10)*01_Inputs!$C$23,"")</f>
        <v>0.72972969272973</v>
      </c>
      <c r="V10" s="3" t="n">
        <f aca="false">IF(V$5&gt;$B10,ABS(10/(V$5-$B10)-1)-(V$5-$B10)*01_Inputs!$C$23,"")</f>
        <v>0.74999996</v>
      </c>
      <c r="W10" s="3" t="n">
        <f aca="false">IF(W$5&gt;$B10,ABS(10/(W$5-$B10)-1)-(W$5-$B10)*01_Inputs!$C$23,"")</f>
        <v>0.782608649652174</v>
      </c>
      <c r="X10" s="3" t="n">
        <f aca="false">IF(X$5&gt;$B10,ABS(10/(X$5-$B10)-1)-(X$5-$B10)*01_Inputs!$C$23,"")</f>
        <v>0.791666618666667</v>
      </c>
      <c r="Y10" s="3" t="n">
        <f aca="false">IF(Y$5&gt;$B10,ABS(10/(Y$5-$B10)-1)-(Y$5-$B10)*01_Inputs!$C$23,"")</f>
        <v>0.846153781153846</v>
      </c>
      <c r="Z10" s="3" t="n">
        <f aca="false">IF(Z$5&gt;$B10,ABS(10/(Z$5-$B10)-1)-(Z$5-$B10)*01_Inputs!$C$23,"")</f>
        <v>0.848484782484849</v>
      </c>
      <c r="AA10" s="3" t="n">
        <f aca="false">IF(AA$5&gt;$B10,ABS(10/(AA$5-$B10)-1)-(AA$5-$B10)*01_Inputs!$C$23,"")</f>
        <v>0.868420976631579</v>
      </c>
      <c r="AB10" s="3" t="n">
        <f aca="false">IF(AB$5&gt;$B10,ABS(10/(AB$5-$B10)-1)-(AB$5-$B10)*01_Inputs!$C$23,"")</f>
        <v>0.886363548363636</v>
      </c>
      <c r="AC10" s="3" t="n">
        <f aca="false">IF(AC$5&gt;$B10,ABS(10/(AC$5-$B10)-1)-(AC$5-$B10)*01_Inputs!$C$23,"")</f>
        <v>0.896907119494845</v>
      </c>
      <c r="AD10" s="3" t="n">
        <f aca="false">IF(AD$5&gt;$B10,ABS(10/(AD$5-$B10)-1)-(AD$5-$B10)*01_Inputs!$C$23,"")</f>
        <v>0.898989799989899</v>
      </c>
      <c r="AE10" s="3" t="n">
        <f aca="false">IF(AE$5&gt;$B10,ABS(10/(AE$5-$B10)-1)-(AE$5-$B10)*01_Inputs!$C$23,"")</f>
        <v>0.8999999</v>
      </c>
      <c r="AF10" s="3" t="n">
        <f aca="false">IF(AF$5&gt;$B10,ABS(10/(AF$5-$B10)-1)-(AF$5-$B10)*01_Inputs!$C$23,"")</f>
        <v>0.90990979890991</v>
      </c>
      <c r="AG10" s="3" t="n">
        <f aca="false">IF(AG$5&gt;$B10,ABS(10/(AG$5-$B10)-1)-(AG$5-$B10)*01_Inputs!$C$23,"")</f>
        <v>0.914529797529915</v>
      </c>
      <c r="AH10" s="3" t="n">
        <f aca="false">IF(AH$5&gt;$B10,ABS(10/(AH$5-$B10)-1)-(AH$5-$B10)*01_Inputs!$C$23,"")</f>
        <v>0.929077873184397</v>
      </c>
      <c r="AI10" s="3" t="n">
        <f aca="false">IF(AI$5&gt;$B10,ABS(10/(AI$5-$B10)-1)-(AI$5-$B10)*01_Inputs!$C$23,"")</f>
        <v>0.93006978706993</v>
      </c>
      <c r="AJ10" s="3" t="n">
        <f aca="false">IF(AJ$5&gt;$B10,ABS(10/(AJ$5-$B10)-1)-(AJ$5-$B10)*01_Inputs!$C$23,"")</f>
        <v>0.936305575484076</v>
      </c>
      <c r="AK10" s="3" t="n">
        <f aca="false">IF(AK$5&gt;$B10,ABS(10/(AK$5-$B10)-1)-(AK$5-$B10)*01_Inputs!$C$23,"")</f>
        <v>0.942528561632184</v>
      </c>
      <c r="AL10" s="3" t="n">
        <f aca="false">IF(AL$5&gt;$B10,ABS(10/(AL$5-$B10)-1)-(AL$5-$B10)*01_Inputs!$C$23,"")</f>
        <v>0.945651989913043</v>
      </c>
      <c r="AM10" s="3" t="n">
        <f aca="false">IF(AM$5&gt;$B10,ABS(10/(AM$5-$B10)-1)-(AM$5-$B10)*01_Inputs!$C$23,"")</f>
        <v>0.949238381680203</v>
      </c>
      <c r="AN10" s="3" t="n">
        <f aca="false">IF(AN$5&gt;$B10,ABS(10/(AN$5-$B10)-1)-(AN$5-$B10)*01_Inputs!$C$23,"")</f>
        <v>0.94949475149495</v>
      </c>
      <c r="AO10" s="3" t="n">
        <f aca="false">IF(AO$5&gt;$B10,ABS(10/(AO$5-$B10)-1)-(AO$5-$B10)*01_Inputs!$C$23,"")</f>
        <v>0.949748544718593</v>
      </c>
      <c r="AP10" s="3" t="n">
        <f aca="false">IF(AP$5&gt;$B10,ABS(10/(AP$5-$B10)-1)-(AP$5-$B10)*01_Inputs!$C$23,"")</f>
        <v>0.951456104679612</v>
      </c>
      <c r="AQ10" s="3" t="n">
        <f aca="false">IF(AQ$5&gt;$B10,ABS(10/(AQ$5-$B10)-1)-(AQ$5-$B10)*01_Inputs!$C$23,"")</f>
        <v>0.951690614256039</v>
      </c>
      <c r="AR10" s="3" t="n">
        <f aca="false">IF(AR$5&gt;$B10,ABS(10/(AR$5-$B10)-1)-(AR$5-$B10)*01_Inputs!$C$23,"")</f>
        <v>0.952380742380952</v>
      </c>
      <c r="AS10" s="3" t="n">
        <f aca="false">IF(AS$5&gt;$B10,ABS(10/(AS$5-$B10)-1)-(AS$5-$B10)*01_Inputs!$C$23,"")</f>
        <v>0.953270814037383</v>
      </c>
      <c r="AT10" s="3" t="n">
        <f aca="false">IF(AT$5&gt;$B10,ABS(10/(AT$5-$B10)-1)-(AT$5-$B10)*01_Inputs!$C$23,"")</f>
        <v>0.954545234545455</v>
      </c>
      <c r="AU10" s="3" t="n">
        <f aca="false">IF(AU$5&gt;$B10,ABS(10/(AU$5-$B10)-1)-(AU$5-$B10)*01_Inputs!$C$23,"")</f>
        <v>0.954954732954955</v>
      </c>
      <c r="AV10" s="3" t="n">
        <f aca="false">IF(AV$5&gt;$B10,ABS(10/(AV$5-$B10)-1)-(AV$5-$B10)*01_Inputs!$C$23,"")</f>
        <v>0.956140122877193</v>
      </c>
      <c r="AW10" s="3" t="n">
        <f aca="false">IF(AW$5&gt;$B10,ABS(10/(AW$5-$B10)-1)-(AW$5-$B10)*01_Inputs!$C$23,"")</f>
        <v>0.956896319724138</v>
      </c>
      <c r="AX10" s="3" t="n">
        <f aca="false">IF(AX$5&gt;$B10,ABS(10/(AX$5-$B10)-1)-(AX$5-$B10)*01_Inputs!$C$23,"")</f>
        <v>0.957805670172996</v>
      </c>
      <c r="AY10" s="3" t="n">
        <f aca="false">IF(AY$5&gt;$B10,ABS(10/(AY$5-$B10)-1)-(AY$5-$B10)*01_Inputs!$C$23,"")</f>
        <v>0.959677171354839</v>
      </c>
      <c r="AZ10" s="3" t="n">
        <f aca="false">IF(AZ$5&gt;$B10,ABS(10/(AZ$5-$B10)-1)-(AZ$5-$B10)*01_Inputs!$C$23,"")</f>
        <v>0.960629667259842</v>
      </c>
    </row>
    <row r="11" customFormat="false" ht="15" hidden="false" customHeight="false" outlineLevel="0" collapsed="false">
      <c r="A11" s="9" t="n">
        <v>6</v>
      </c>
      <c r="B11" s="9" t="n">
        <f aca="false">01_Inputs!$B$46</f>
        <v>25</v>
      </c>
      <c r="C11" s="17" t="n">
        <f aca="false">MIN(I11:AZ11)</f>
        <v>0.565217368304348</v>
      </c>
      <c r="D11" s="9" t="n">
        <f aca="false">MATCH($C11,I11:AZ11,0)</f>
        <v>9</v>
      </c>
      <c r="E11" s="9" t="n">
        <f aca="false">INDEX(I$5:AZ$5,1,$D11)</f>
        <v>48</v>
      </c>
      <c r="F11" s="9" t="n">
        <f aca="false">$E11-$B11</f>
        <v>23</v>
      </c>
      <c r="I11" s="3" t="str">
        <f aca="false">IF(I$5&gt;$B11,ABS(10/(I$5-$B11)-1)-(I$5-$B11)*01_Inputs!$C$23,"")</f>
        <v/>
      </c>
      <c r="J11" s="3" t="str">
        <f aca="false">IF(J$5&gt;$B11,ABS(10/(J$5-$B11)-1)-(J$5-$B11)*01_Inputs!$C$23,"")</f>
        <v/>
      </c>
      <c r="K11" s="3" t="str">
        <f aca="false">IF(K$5&gt;$B11,ABS(10/(K$5-$B11)-1)-(K$5-$B11)*01_Inputs!$C$23,"")</f>
        <v/>
      </c>
      <c r="L11" s="3" t="str">
        <f aca="false">IF(L$5&gt;$B11,ABS(10/(L$5-$B11)-1)-(L$5-$B11)*01_Inputs!$C$23,"")</f>
        <v/>
      </c>
      <c r="M11" s="3" t="str">
        <f aca="false">IF(M$5&gt;$B11,ABS(10/(M$5-$B11)-1)-(M$5-$B11)*01_Inputs!$C$23,"")</f>
        <v/>
      </c>
      <c r="N11" s="3" t="str">
        <f aca="false">IF(N$5&gt;$B11,ABS(10/(N$5-$B11)-1)-(N$5-$B11)*01_Inputs!$C$23,"")</f>
        <v/>
      </c>
      <c r="O11" s="3" t="n">
        <f aca="false">IF(O$5&gt;$B11,ABS(10/(O$5-$B11)-1)-(O$5-$B11)*01_Inputs!$C$23,"")</f>
        <v>1.499999996</v>
      </c>
      <c r="P11" s="3" t="n">
        <f aca="false">IF(P$5&gt;$B11,ABS(10/(P$5-$B11)-1)-(P$5-$B11)*01_Inputs!$C$23,"")</f>
        <v>0.999999995</v>
      </c>
      <c r="Q11" s="3" t="n">
        <f aca="false">IF(Q$5&gt;$B11,ABS(10/(Q$5-$B11)-1)-(Q$5-$B11)*01_Inputs!$C$23,"")</f>
        <v>0.565217368304348</v>
      </c>
      <c r="R11" s="3" t="n">
        <f aca="false">IF(R$5&gt;$B11,ABS(10/(R$5-$B11)-1)-(R$5-$B11)*01_Inputs!$C$23,"")</f>
        <v>0.583333309333333</v>
      </c>
      <c r="S11" s="3" t="n">
        <f aca="false">IF(S$5&gt;$B11,ABS(10/(S$5-$B11)-1)-(S$5-$B11)*01_Inputs!$C$23,"")</f>
        <v>0.615384589384615</v>
      </c>
      <c r="T11" s="3" t="n">
        <f aca="false">IF(T$5&gt;$B11,ABS(10/(T$5-$B11)-1)-(T$5-$B11)*01_Inputs!$C$23,"")</f>
        <v>0.687499968</v>
      </c>
      <c r="U11" s="3" t="n">
        <f aca="false">IF(U$5&gt;$B11,ABS(10/(U$5-$B11)-1)-(U$5-$B11)*01_Inputs!$C$23,"")</f>
        <v>0.705882318941176</v>
      </c>
      <c r="V11" s="3" t="n">
        <f aca="false">IF(V$5&gt;$B11,ABS(10/(V$5-$B11)-1)-(V$5-$B11)*01_Inputs!$C$23,"")</f>
        <v>0.72972969272973</v>
      </c>
      <c r="W11" s="3" t="n">
        <f aca="false">IF(W$5&gt;$B11,ABS(10/(W$5-$B11)-1)-(W$5-$B11)*01_Inputs!$C$23,"")</f>
        <v>0.767441817465116</v>
      </c>
      <c r="X11" s="3" t="n">
        <f aca="false">IF(X$5&gt;$B11,ABS(10/(X$5-$B11)-1)-(X$5-$B11)*01_Inputs!$C$23,"")</f>
        <v>0.777777732777778</v>
      </c>
      <c r="Y11" s="3" t="n">
        <f aca="false">IF(Y$5&gt;$B11,ABS(10/(Y$5-$B11)-1)-(Y$5-$B11)*01_Inputs!$C$23,"")</f>
        <v>0.838709615419355</v>
      </c>
      <c r="Z11" s="3" t="n">
        <f aca="false">IF(Z$5&gt;$B11,ABS(10/(Z$5-$B11)-1)-(Z$5-$B11)*01_Inputs!$C$23,"")</f>
        <v>0.841269778269841</v>
      </c>
      <c r="AA11" s="3" t="n">
        <f aca="false">IF(AA$5&gt;$B11,ABS(10/(AA$5-$B11)-1)-(AA$5-$B11)*01_Inputs!$C$23,"")</f>
        <v>0.863013625630137</v>
      </c>
      <c r="AB11" s="3" t="n">
        <f aca="false">IF(AB$5&gt;$B11,ABS(10/(AB$5-$B11)-1)-(AB$5-$B11)*01_Inputs!$C$23,"")</f>
        <v>0.882352856176471</v>
      </c>
      <c r="AC11" s="3" t="n">
        <f aca="false">IF(AC$5&gt;$B11,ABS(10/(AC$5-$B11)-1)-(AC$5-$B11)*01_Inputs!$C$23,"")</f>
        <v>0.893616927276596</v>
      </c>
      <c r="AD11" s="3" t="n">
        <f aca="false">IF(AD$5&gt;$B11,ABS(10/(AD$5-$B11)-1)-(AD$5-$B11)*01_Inputs!$C$23,"")</f>
        <v>0.895833237333333</v>
      </c>
      <c r="AE11" s="3" t="n">
        <f aca="false">IF(AE$5&gt;$B11,ABS(10/(AE$5-$B11)-1)-(AE$5-$B11)*01_Inputs!$C$23,"")</f>
        <v>0.896907119494845</v>
      </c>
      <c r="AF11" s="3" t="n">
        <f aca="false">IF(AF$5&gt;$B11,ABS(10/(AF$5-$B11)-1)-(AF$5-$B11)*01_Inputs!$C$23,"")</f>
        <v>0.907407299407407</v>
      </c>
      <c r="AG11" s="3" t="n">
        <f aca="false">IF(AG$5&gt;$B11,ABS(10/(AG$5-$B11)-1)-(AG$5-$B11)*01_Inputs!$C$23,"")</f>
        <v>0.912280587754386</v>
      </c>
      <c r="AH11" s="3" t="n">
        <f aca="false">IF(AH$5&gt;$B11,ABS(10/(AH$5-$B11)-1)-(AH$5-$B11)*01_Inputs!$C$23,"")</f>
        <v>0.927536093884058</v>
      </c>
      <c r="AI11" s="3" t="n">
        <f aca="false">IF(AI$5&gt;$B11,ABS(10/(AI$5-$B11)-1)-(AI$5-$B11)*01_Inputs!$C$23,"")</f>
        <v>0.928571288571429</v>
      </c>
      <c r="AJ11" s="3" t="n">
        <f aca="false">IF(AJ$5&gt;$B11,ABS(10/(AJ$5-$B11)-1)-(AJ$5-$B11)*01_Inputs!$C$23,"")</f>
        <v>0.935064781064935</v>
      </c>
      <c r="AK11" s="3" t="n">
        <f aca="false">IF(AK$5&gt;$B11,ABS(10/(AK$5-$B11)-1)-(AK$5-$B11)*01_Inputs!$C$23,"")</f>
        <v>0.941520296836257</v>
      </c>
      <c r="AL11" s="3" t="n">
        <f aca="false">IF(AL$5&gt;$B11,ABS(10/(AL$5-$B11)-1)-(AL$5-$B11)*01_Inputs!$C$23,"")</f>
        <v>0.94475120021547</v>
      </c>
      <c r="AM11" s="3" t="n">
        <f aca="false">IF(AM$5&gt;$B11,ABS(10/(AM$5-$B11)-1)-(AM$5-$B11)*01_Inputs!$C$23,"")</f>
        <v>0.948453414247423</v>
      </c>
      <c r="AN11" s="3" t="n">
        <f aca="false">IF(AN$5&gt;$B11,ABS(10/(AN$5-$B11)-1)-(AN$5-$B11)*01_Inputs!$C$23,"")</f>
        <v>0.948717753717949</v>
      </c>
      <c r="AO11" s="3" t="n">
        <f aca="false">IF(AO$5&gt;$B11,ABS(10/(AO$5-$B11)-1)-(AO$5-$B11)*01_Inputs!$C$23,"")</f>
        <v>0.948979395836735</v>
      </c>
      <c r="AP11" s="3" t="n">
        <f aca="false">IF(AP$5&gt;$B11,ABS(10/(AP$5-$B11)-1)-(AP$5-$B11)*01_Inputs!$C$23,"")</f>
        <v>0.950738713256158</v>
      </c>
      <c r="AQ11" s="3" t="n">
        <f aca="false">IF(AQ$5&gt;$B11,ABS(10/(AQ$5-$B11)-1)-(AQ$5-$B11)*01_Inputs!$C$23,"")</f>
        <v>0.950980188156863</v>
      </c>
      <c r="AR11" s="3" t="n">
        <f aca="false">IF(AR$5&gt;$B11,ABS(10/(AR$5-$B11)-1)-(AR$5-$B11)*01_Inputs!$C$23,"")</f>
        <v>0.951690614256039</v>
      </c>
      <c r="AS11" s="3" t="n">
        <f aca="false">IF(AS$5&gt;$B11,ABS(10/(AS$5-$B11)-1)-(AS$5-$B11)*01_Inputs!$C$23,"")</f>
        <v>0.95260642407109</v>
      </c>
      <c r="AT11" s="3" t="n">
        <f aca="false">IF(AT$5&gt;$B11,ABS(10/(AT$5-$B11)-1)-(AT$5-$B11)*01_Inputs!$C$23,"")</f>
        <v>0.953916833691244</v>
      </c>
      <c r="AU11" s="3" t="n">
        <f aca="false">IF(AU$5&gt;$B11,ABS(10/(AU$5-$B11)-1)-(AU$5-$B11)*01_Inputs!$C$23,"")</f>
        <v>0.954337680543379</v>
      </c>
      <c r="AV11" s="3" t="n">
        <f aca="false">IF(AV$5&gt;$B11,ABS(10/(AV$5-$B11)-1)-(AV$5-$B11)*01_Inputs!$C$23,"")</f>
        <v>0.955555330555556</v>
      </c>
      <c r="AW11" s="3" t="n">
        <f aca="false">IF(AW$5&gt;$B11,ABS(10/(AW$5-$B11)-1)-(AW$5-$B11)*01_Inputs!$C$23,"")</f>
        <v>0.956331648729258</v>
      </c>
      <c r="AX11" s="3" t="n">
        <f aca="false">IF(AX$5&gt;$B11,ABS(10/(AX$5-$B11)-1)-(AX$5-$B11)*01_Inputs!$C$23,"")</f>
        <v>0.957264723264957</v>
      </c>
      <c r="AY11" s="3" t="n">
        <f aca="false">IF(AY$5&gt;$B11,ABS(10/(AY$5-$B11)-1)-(AY$5-$B11)*01_Inputs!$C$23,"")</f>
        <v>0.959183428469388</v>
      </c>
      <c r="AZ11" s="3" t="n">
        <f aca="false">IF(AZ$5&gt;$B11,ABS(10/(AZ$5-$B11)-1)-(AZ$5-$B11)*01_Inputs!$C$23,"")</f>
        <v>0.960159111549801</v>
      </c>
    </row>
    <row r="12" customFormat="false" ht="15" hidden="false" customHeight="false" outlineLevel="0" collapsed="false">
      <c r="A12" s="9" t="n">
        <v>7</v>
      </c>
      <c r="B12" s="9" t="n">
        <f aca="false">01_Inputs!$B$47</f>
        <v>29</v>
      </c>
      <c r="C12" s="17" t="n">
        <f aca="false">MIN(I12:AZ12)</f>
        <v>0.473684191526316</v>
      </c>
      <c r="D12" s="9" t="n">
        <f aca="false">MATCH($C12,I12:AZ12,0)</f>
        <v>9</v>
      </c>
      <c r="E12" s="9" t="n">
        <f aca="false">INDEX(I$5:AZ$5,1,$D12)</f>
        <v>48</v>
      </c>
      <c r="F12" s="9" t="n">
        <f aca="false">$E12-$B12</f>
        <v>19</v>
      </c>
      <c r="I12" s="3" t="str">
        <f aca="false">IF(I$5&gt;$B12,ABS(10/(I$5-$B12)-1)-(I$5-$B12)*01_Inputs!$C$23,"")</f>
        <v/>
      </c>
      <c r="J12" s="3" t="str">
        <f aca="false">IF(J$5&gt;$B12,ABS(10/(J$5-$B12)-1)-(J$5-$B12)*01_Inputs!$C$23,"")</f>
        <v/>
      </c>
      <c r="K12" s="3" t="str">
        <f aca="false">IF(K$5&gt;$B12,ABS(10/(K$5-$B12)-1)-(K$5-$B12)*01_Inputs!$C$23,"")</f>
        <v/>
      </c>
      <c r="L12" s="3" t="str">
        <f aca="false">IF(L$5&gt;$B12,ABS(10/(L$5-$B12)-1)-(L$5-$B12)*01_Inputs!$C$23,"")</f>
        <v/>
      </c>
      <c r="M12" s="3" t="str">
        <f aca="false">IF(M$5&gt;$B12,ABS(10/(M$5-$B12)-1)-(M$5-$B12)*01_Inputs!$C$23,"")</f>
        <v/>
      </c>
      <c r="N12" s="3" t="str">
        <f aca="false">IF(N$5&gt;$B12,ABS(10/(N$5-$B12)-1)-(N$5-$B12)*01_Inputs!$C$23,"")</f>
        <v/>
      </c>
      <c r="O12" s="3" t="str">
        <f aca="false">IF(O$5&gt;$B12,ABS(10/(O$5-$B12)-1)-(O$5-$B12)*01_Inputs!$C$23,"")</f>
        <v/>
      </c>
      <c r="P12" s="3" t="n">
        <f aca="false">IF(P$5&gt;$B12,ABS(10/(P$5-$B12)-1)-(P$5-$B12)*01_Inputs!$C$23,"")</f>
        <v>8.999999999</v>
      </c>
      <c r="Q12" s="3" t="n">
        <f aca="false">IF(Q$5&gt;$B12,ABS(10/(Q$5-$B12)-1)-(Q$5-$B12)*01_Inputs!$C$23,"")</f>
        <v>0.473684191526316</v>
      </c>
      <c r="R12" s="3" t="n">
        <f aca="false">IF(R$5&gt;$B12,ABS(10/(R$5-$B12)-1)-(R$5-$B12)*01_Inputs!$C$23,"")</f>
        <v>0.49999998</v>
      </c>
      <c r="S12" s="3" t="n">
        <f aca="false">IF(S$5&gt;$B12,ABS(10/(S$5-$B12)-1)-(S$5-$B12)*01_Inputs!$C$23,"")</f>
        <v>0.545454523454545</v>
      </c>
      <c r="T12" s="3" t="n">
        <f aca="false">IF(T$5&gt;$B12,ABS(10/(T$5-$B12)-1)-(T$5-$B12)*01_Inputs!$C$23,"")</f>
        <v>0.642857114857143</v>
      </c>
      <c r="U12" s="3" t="n">
        <f aca="false">IF(U$5&gt;$B12,ABS(10/(U$5-$B12)-1)-(U$5-$B12)*01_Inputs!$C$23,"")</f>
        <v>0.666666636666667</v>
      </c>
      <c r="V12" s="3" t="n">
        <f aca="false">IF(V$5&gt;$B12,ABS(10/(V$5-$B12)-1)-(V$5-$B12)*01_Inputs!$C$23,"")</f>
        <v>0.696969663969697</v>
      </c>
      <c r="W12" s="3" t="n">
        <f aca="false">IF(W$5&gt;$B12,ABS(10/(W$5-$B12)-1)-(W$5-$B12)*01_Inputs!$C$23,"")</f>
        <v>0.743589704589744</v>
      </c>
      <c r="X12" s="3" t="n">
        <f aca="false">IF(X$5&gt;$B12,ABS(10/(X$5-$B12)-1)-(X$5-$B12)*01_Inputs!$C$23,"")</f>
        <v>0.75609751997561</v>
      </c>
      <c r="Y12" s="3" t="n">
        <f aca="false">IF(Y$5&gt;$B12,ABS(10/(Y$5-$B12)-1)-(Y$5-$B12)*01_Inputs!$C$23,"")</f>
        <v>0.827586148896552</v>
      </c>
      <c r="Z12" s="3" t="n">
        <f aca="false">IF(Z$5&gt;$B12,ABS(10/(Z$5-$B12)-1)-(Z$5-$B12)*01_Inputs!$C$23,"")</f>
        <v>0.830508415576271</v>
      </c>
      <c r="AA12" s="3" t="n">
        <f aca="false">IF(AA$5&gt;$B12,ABS(10/(AA$5-$B12)-1)-(AA$5-$B12)*01_Inputs!$C$23,"")</f>
        <v>0.855072394768116</v>
      </c>
      <c r="AB12" s="3" t="n">
        <f aca="false">IF(AB$5&gt;$B12,ABS(10/(AB$5-$B12)-1)-(AB$5-$B12)*01_Inputs!$C$23,"")</f>
        <v>0.876543128876543</v>
      </c>
      <c r="AC12" s="3" t="n">
        <f aca="false">IF(AC$5&gt;$B12,ABS(10/(AC$5-$B12)-1)-(AC$5-$B12)*01_Inputs!$C$23,"")</f>
        <v>0.888888798888889</v>
      </c>
      <c r="AD12" s="3" t="n">
        <f aca="false">IF(AD$5&gt;$B12,ABS(10/(AD$5-$B12)-1)-(AD$5-$B12)*01_Inputs!$C$23,"")</f>
        <v>0.891304255826087</v>
      </c>
      <c r="AE12" s="3" t="n">
        <f aca="false">IF(AE$5&gt;$B12,ABS(10/(AE$5-$B12)-1)-(AE$5-$B12)*01_Inputs!$C$23,"")</f>
        <v>0.89247302527957</v>
      </c>
      <c r="AF12" s="3" t="n">
        <f aca="false">IF(AF$5&gt;$B12,ABS(10/(AF$5-$B12)-1)-(AF$5-$B12)*01_Inputs!$C$23,"")</f>
        <v>0.903846049846154</v>
      </c>
      <c r="AG12" s="3" t="n">
        <f aca="false">IF(AG$5&gt;$B12,ABS(10/(AG$5-$B12)-1)-(AG$5-$B12)*01_Inputs!$C$23,"")</f>
        <v>0.909090799090909</v>
      </c>
      <c r="AH12" s="3" t="n">
        <f aca="false">IF(AH$5&gt;$B12,ABS(10/(AH$5-$B12)-1)-(AH$5-$B12)*01_Inputs!$C$23,"")</f>
        <v>0.925373000328358</v>
      </c>
      <c r="AI12" s="3" t="n">
        <f aca="false">IF(AI$5&gt;$B12,ABS(10/(AI$5-$B12)-1)-(AI$5-$B12)*01_Inputs!$C$23,"")</f>
        <v>0.926470452235294</v>
      </c>
      <c r="AJ12" s="3" t="n">
        <f aca="false">IF(AJ$5&gt;$B12,ABS(10/(AJ$5-$B12)-1)-(AJ$5-$B12)*01_Inputs!$C$23,"")</f>
        <v>0.933333183333333</v>
      </c>
      <c r="AK12" s="3" t="n">
        <f aca="false">IF(AK$5&gt;$B12,ABS(10/(AK$5-$B12)-1)-(AK$5-$B12)*01_Inputs!$C$23,"")</f>
        <v>0.940119593479042</v>
      </c>
      <c r="AL12" s="3" t="n">
        <f aca="false">IF(AL$5&gt;$B12,ABS(10/(AL$5-$B12)-1)-(AL$5-$B12)*01_Inputs!$C$23,"")</f>
        <v>0.943502647858757</v>
      </c>
      <c r="AM12" s="3" t="n">
        <f aca="false">IF(AM$5&gt;$B12,ABS(10/(AM$5-$B12)-1)-(AM$5-$B12)*01_Inputs!$C$23,"")</f>
        <v>0.947368231052632</v>
      </c>
      <c r="AN12" s="3" t="n">
        <f aca="false">IF(AN$5&gt;$B12,ABS(10/(AN$5-$B12)-1)-(AN$5-$B12)*01_Inputs!$C$23,"")</f>
        <v>0.947643788057592</v>
      </c>
      <c r="AO12" s="3" t="n">
        <f aca="false">IF(AO$5&gt;$B12,ABS(10/(AO$5-$B12)-1)-(AO$5-$B12)*01_Inputs!$C$23,"")</f>
        <v>0.947916474666667</v>
      </c>
      <c r="AP12" s="3" t="n">
        <f aca="false">IF(AP$5&gt;$B12,ABS(10/(AP$5-$B12)-1)-(AP$5-$B12)*01_Inputs!$C$23,"")</f>
        <v>0.949748544718593</v>
      </c>
      <c r="AQ12" s="3" t="n">
        <f aca="false">IF(AQ$5&gt;$B12,ABS(10/(AQ$5-$B12)-1)-(AQ$5-$B12)*01_Inputs!$C$23,"")</f>
        <v>0.9499998</v>
      </c>
      <c r="AR12" s="3" t="n">
        <f aca="false">IF(AR$5&gt;$B12,ABS(10/(AR$5-$B12)-1)-(AR$5-$B12)*01_Inputs!$C$23,"")</f>
        <v>0.950738713256158</v>
      </c>
      <c r="AS12" s="3" t="n">
        <f aca="false">IF(AS$5&gt;$B12,ABS(10/(AS$5-$B12)-1)-(AS$5-$B12)*01_Inputs!$C$23,"")</f>
        <v>0.951690614256039</v>
      </c>
      <c r="AT12" s="3" t="n">
        <f aca="false">IF(AT$5&gt;$B12,ABS(10/(AT$5-$B12)-1)-(AT$5-$B12)*01_Inputs!$C$23,"")</f>
        <v>0.953051430192488</v>
      </c>
      <c r="AU12" s="3" t="n">
        <f aca="false">IF(AU$5&gt;$B12,ABS(10/(AU$5-$B12)-1)-(AU$5-$B12)*01_Inputs!$C$23,"")</f>
        <v>0.953488157093023</v>
      </c>
      <c r="AV12" s="3" t="n">
        <f aca="false">IF(AV$5&gt;$B12,ABS(10/(AV$5-$B12)-1)-(AV$5-$B12)*01_Inputs!$C$23,"")</f>
        <v>0.95475091022172</v>
      </c>
      <c r="AW12" s="3" t="n">
        <f aca="false">IF(AW$5&gt;$B12,ABS(10/(AW$5-$B12)-1)-(AW$5-$B12)*01_Inputs!$C$23,"")</f>
        <v>0.955555330555556</v>
      </c>
      <c r="AX12" s="3" t="n">
        <f aca="false">IF(AX$5&gt;$B12,ABS(10/(AX$5-$B12)-1)-(AX$5-$B12)*01_Inputs!$C$23,"")</f>
        <v>0.956521509130435</v>
      </c>
      <c r="AY12" s="3" t="n">
        <f aca="false">IF(AY$5&gt;$B12,ABS(10/(AY$5-$B12)-1)-(AY$5-$B12)*01_Inputs!$C$23,"")</f>
        <v>0.95850598306639</v>
      </c>
      <c r="AZ12" s="3" t="n">
        <f aca="false">IF(AZ$5&gt;$B12,ABS(10/(AZ$5-$B12)-1)-(AZ$5-$B12)*01_Inputs!$C$23,"")</f>
        <v>0.959513923040486</v>
      </c>
    </row>
    <row r="13" customFormat="false" ht="15" hidden="false" customHeight="false" outlineLevel="0" collapsed="false">
      <c r="A13" s="9" t="n">
        <v>8</v>
      </c>
      <c r="B13" s="9" t="n">
        <f aca="false">01_Inputs!$B$48</f>
        <v>30</v>
      </c>
      <c r="C13" s="17" t="n">
        <f aca="false">MIN(I13:AZ13)</f>
        <v>0.444444426444444</v>
      </c>
      <c r="D13" s="9" t="n">
        <f aca="false">MATCH($C13,I13:AZ13,0)</f>
        <v>9</v>
      </c>
      <c r="E13" s="9" t="n">
        <f aca="false">INDEX(I$5:AZ$5,1,$D13)</f>
        <v>48</v>
      </c>
      <c r="F13" s="9" t="n">
        <f aca="false">$E13-$B13</f>
        <v>18</v>
      </c>
      <c r="I13" s="3" t="str">
        <f aca="false">IF(I$5&gt;$B13,ABS(10/(I$5-$B13)-1)-(I$5-$B13)*01_Inputs!$C$23,"")</f>
        <v/>
      </c>
      <c r="J13" s="3" t="str">
        <f aca="false">IF(J$5&gt;$B13,ABS(10/(J$5-$B13)-1)-(J$5-$B13)*01_Inputs!$C$23,"")</f>
        <v/>
      </c>
      <c r="K13" s="3" t="str">
        <f aca="false">IF(K$5&gt;$B13,ABS(10/(K$5-$B13)-1)-(K$5-$B13)*01_Inputs!$C$23,"")</f>
        <v/>
      </c>
      <c r="L13" s="3" t="str">
        <f aca="false">IF(L$5&gt;$B13,ABS(10/(L$5-$B13)-1)-(L$5-$B13)*01_Inputs!$C$23,"")</f>
        <v/>
      </c>
      <c r="M13" s="3" t="str">
        <f aca="false">IF(M$5&gt;$B13,ABS(10/(M$5-$B13)-1)-(M$5-$B13)*01_Inputs!$C$23,"")</f>
        <v/>
      </c>
      <c r="N13" s="3" t="str">
        <f aca="false">IF(N$5&gt;$B13,ABS(10/(N$5-$B13)-1)-(N$5-$B13)*01_Inputs!$C$23,"")</f>
        <v/>
      </c>
      <c r="O13" s="3" t="str">
        <f aca="false">IF(O$5&gt;$B13,ABS(10/(O$5-$B13)-1)-(O$5-$B13)*01_Inputs!$C$23,"")</f>
        <v/>
      </c>
      <c r="P13" s="3" t="str">
        <f aca="false">IF(P$5&gt;$B13,ABS(10/(P$5-$B13)-1)-(P$5-$B13)*01_Inputs!$C$23,"")</f>
        <v/>
      </c>
      <c r="Q13" s="3" t="n">
        <f aca="false">IF(Q$5&gt;$B13,ABS(10/(Q$5-$B13)-1)-(Q$5-$B13)*01_Inputs!$C$23,"")</f>
        <v>0.444444426444444</v>
      </c>
      <c r="R13" s="3" t="n">
        <f aca="false">IF(R$5&gt;$B13,ABS(10/(R$5-$B13)-1)-(R$5-$B13)*01_Inputs!$C$23,"")</f>
        <v>0.473684191526316</v>
      </c>
      <c r="S13" s="3" t="n">
        <f aca="false">IF(S$5&gt;$B13,ABS(10/(S$5-$B13)-1)-(S$5-$B13)*01_Inputs!$C$23,"")</f>
        <v>0.523809502809524</v>
      </c>
      <c r="T13" s="3" t="n">
        <f aca="false">IF(T$5&gt;$B13,ABS(10/(T$5-$B13)-1)-(T$5-$B13)*01_Inputs!$C$23,"")</f>
        <v>0.62962960262963</v>
      </c>
      <c r="U13" s="3" t="n">
        <f aca="false">IF(U$5&gt;$B13,ABS(10/(U$5-$B13)-1)-(U$5-$B13)*01_Inputs!$C$23,"")</f>
        <v>0.655172384793104</v>
      </c>
      <c r="V13" s="3" t="n">
        <f aca="false">IF(V$5&gt;$B13,ABS(10/(V$5-$B13)-1)-(V$5-$B13)*01_Inputs!$C$23,"")</f>
        <v>0.687499968</v>
      </c>
      <c r="W13" s="3" t="n">
        <f aca="false">IF(W$5&gt;$B13,ABS(10/(W$5-$B13)-1)-(W$5-$B13)*01_Inputs!$C$23,"")</f>
        <v>0.736842067263158</v>
      </c>
      <c r="X13" s="3" t="n">
        <f aca="false">IF(X$5&gt;$B13,ABS(10/(X$5-$B13)-1)-(X$5-$B13)*01_Inputs!$C$23,"")</f>
        <v>0.74999996</v>
      </c>
      <c r="Y13" s="3" t="n">
        <f aca="false">IF(Y$5&gt;$B13,ABS(10/(Y$5-$B13)-1)-(Y$5-$B13)*01_Inputs!$C$23,"")</f>
        <v>0.824561346508772</v>
      </c>
      <c r="Z13" s="3" t="n">
        <f aca="false">IF(Z$5&gt;$B13,ABS(10/(Z$5-$B13)-1)-(Z$5-$B13)*01_Inputs!$C$23,"")</f>
        <v>0.827586148896552</v>
      </c>
      <c r="AA13" s="3" t="n">
        <f aca="false">IF(AA$5&gt;$B13,ABS(10/(AA$5-$B13)-1)-(AA$5-$B13)*01_Inputs!$C$23,"")</f>
        <v>0.852941108470588</v>
      </c>
      <c r="AB13" s="3" t="n">
        <f aca="false">IF(AB$5&gt;$B13,ABS(10/(AB$5-$B13)-1)-(AB$5-$B13)*01_Inputs!$C$23,"")</f>
        <v>0.87499992</v>
      </c>
      <c r="AC13" s="3" t="n">
        <f aca="false">IF(AC$5&gt;$B13,ABS(10/(AC$5-$B13)-1)-(AC$5-$B13)*01_Inputs!$C$23,"")</f>
        <v>0.887640360438202</v>
      </c>
      <c r="AD13" s="3" t="n">
        <f aca="false">IF(AD$5&gt;$B13,ABS(10/(AD$5-$B13)-1)-(AD$5-$B13)*01_Inputs!$C$23,"")</f>
        <v>0.89010979910989</v>
      </c>
      <c r="AE13" s="3" t="n">
        <f aca="false">IF(AE$5&gt;$B13,ABS(10/(AE$5-$B13)-1)-(AE$5-$B13)*01_Inputs!$C$23,"")</f>
        <v>0.891304255826087</v>
      </c>
      <c r="AF13" s="3" t="n">
        <f aca="false">IF(AF$5&gt;$B13,ABS(10/(AF$5-$B13)-1)-(AF$5-$B13)*01_Inputs!$C$23,"")</f>
        <v>0.902912518359223</v>
      </c>
      <c r="AG13" s="3" t="n">
        <f aca="false">IF(AG$5&gt;$B13,ABS(10/(AG$5-$B13)-1)-(AG$5-$B13)*01_Inputs!$C$23,"")</f>
        <v>0.908256771733945</v>
      </c>
      <c r="AH13" s="3" t="n">
        <f aca="false">IF(AH$5&gt;$B13,ABS(10/(AH$5-$B13)-1)-(AH$5-$B13)*01_Inputs!$C$23,"")</f>
        <v>0.924811897075188</v>
      </c>
      <c r="AI13" s="3" t="n">
        <f aca="false">IF(AI$5&gt;$B13,ABS(10/(AI$5-$B13)-1)-(AI$5-$B13)*01_Inputs!$C$23,"")</f>
        <v>0.925925790925926</v>
      </c>
      <c r="AJ13" s="3" t="n">
        <f aca="false">IF(AJ$5&gt;$B13,ABS(10/(AJ$5-$B13)-1)-(AJ$5-$B13)*01_Inputs!$C$23,"")</f>
        <v>0.932885757040268</v>
      </c>
      <c r="AK13" s="3" t="n">
        <f aca="false">IF(AK$5&gt;$B13,ABS(10/(AK$5-$B13)-1)-(AK$5-$B13)*01_Inputs!$C$23,"")</f>
        <v>0.939758870144578</v>
      </c>
      <c r="AL13" s="3" t="n">
        <f aca="false">IF(AL$5&gt;$B13,ABS(10/(AL$5-$B13)-1)-(AL$5-$B13)*01_Inputs!$C$23,"")</f>
        <v>0.943181642181818</v>
      </c>
      <c r="AM13" s="3" t="n">
        <f aca="false">IF(AM$5&gt;$B13,ABS(10/(AM$5-$B13)-1)-(AM$5-$B13)*01_Inputs!$C$23,"")</f>
        <v>0.947089758089947</v>
      </c>
      <c r="AN13" s="3" t="n">
        <f aca="false">IF(AN$5&gt;$B13,ABS(10/(AN$5-$B13)-1)-(AN$5-$B13)*01_Inputs!$C$23,"")</f>
        <v>0.947368231052632</v>
      </c>
      <c r="AO13" s="3" t="n">
        <f aca="false">IF(AO$5&gt;$B13,ABS(10/(AO$5-$B13)-1)-(AO$5-$B13)*01_Inputs!$C$23,"")</f>
        <v>0.947643788057592</v>
      </c>
      <c r="AP13" s="3" t="n">
        <f aca="false">IF(AP$5&gt;$B13,ABS(10/(AP$5-$B13)-1)-(AP$5-$B13)*01_Inputs!$C$23,"")</f>
        <v>0.94949475149495</v>
      </c>
      <c r="AQ13" s="3" t="n">
        <f aca="false">IF(AQ$5&gt;$B13,ABS(10/(AQ$5-$B13)-1)-(AQ$5-$B13)*01_Inputs!$C$23,"")</f>
        <v>0.949748544718593</v>
      </c>
      <c r="AR13" s="3" t="n">
        <f aca="false">IF(AR$5&gt;$B13,ABS(10/(AR$5-$B13)-1)-(AR$5-$B13)*01_Inputs!$C$23,"")</f>
        <v>0.950494847504951</v>
      </c>
      <c r="AS13" s="3" t="n">
        <f aca="false">IF(AS$5&gt;$B13,ABS(10/(AS$5-$B13)-1)-(AS$5-$B13)*01_Inputs!$C$23,"")</f>
        <v>0.951456104679612</v>
      </c>
      <c r="AT13" s="3" t="n">
        <f aca="false">IF(AT$5&gt;$B13,ABS(10/(AT$5-$B13)-1)-(AT$5-$B13)*01_Inputs!$C$23,"")</f>
        <v>0.952829976679245</v>
      </c>
      <c r="AU13" s="3" t="n">
        <f aca="false">IF(AU$5&gt;$B13,ABS(10/(AU$5-$B13)-1)-(AU$5-$B13)*01_Inputs!$C$23,"")</f>
        <v>0.953270814037383</v>
      </c>
      <c r="AV13" s="3" t="n">
        <f aca="false">IF(AV$5&gt;$B13,ABS(10/(AV$5-$B13)-1)-(AV$5-$B13)*01_Inputs!$C$23,"")</f>
        <v>0.954545234545455</v>
      </c>
      <c r="AW13" s="3" t="n">
        <f aca="false">IF(AW$5&gt;$B13,ABS(10/(AW$5-$B13)-1)-(AW$5-$B13)*01_Inputs!$C$23,"")</f>
        <v>0.955356918857143</v>
      </c>
      <c r="AX13" s="3" t="n">
        <f aca="false">IF(AX$5&gt;$B13,ABS(10/(AX$5-$B13)-1)-(AX$5-$B13)*01_Inputs!$C$23,"")</f>
        <v>0.956331648729258</v>
      </c>
      <c r="AY13" s="3" t="n">
        <f aca="false">IF(AY$5&gt;$B13,ABS(10/(AY$5-$B13)-1)-(AY$5-$B13)*01_Inputs!$C$23,"")</f>
        <v>0.958333093333333</v>
      </c>
      <c r="AZ13" s="3" t="n">
        <f aca="false">IF(AZ$5&gt;$B13,ABS(10/(AZ$5-$B13)-1)-(AZ$5-$B13)*01_Inputs!$C$23,"")</f>
        <v>0.959349347495935</v>
      </c>
    </row>
    <row r="14" customFormat="false" ht="15" hidden="false" customHeight="false" outlineLevel="0" collapsed="false">
      <c r="A14" s="9" t="n">
        <v>9</v>
      </c>
      <c r="B14" s="9" t="n">
        <f aca="false">01_Inputs!$B$49</f>
        <v>48</v>
      </c>
      <c r="C14" s="17" t="n">
        <f aca="false">MIN(I14:AZ14)</f>
        <v>0.090909079909091</v>
      </c>
      <c r="D14" s="9" t="n">
        <f aca="false">MATCH($C14,I14:AZ14,0)</f>
        <v>13</v>
      </c>
      <c r="E14" s="9" t="n">
        <f aca="false">INDEX(I$5:AZ$5,1,$D14)</f>
        <v>59</v>
      </c>
      <c r="F14" s="9" t="n">
        <f aca="false">$E14-$B14</f>
        <v>11</v>
      </c>
      <c r="I14" s="3" t="str">
        <f aca="false">IF(I$5&gt;$B14,ABS(10/(I$5-$B14)-1)-(I$5-$B14)*01_Inputs!$C$23,"")</f>
        <v/>
      </c>
      <c r="J14" s="3" t="str">
        <f aca="false">IF(J$5&gt;$B14,ABS(10/(J$5-$B14)-1)-(J$5-$B14)*01_Inputs!$C$23,"")</f>
        <v/>
      </c>
      <c r="K14" s="3" t="str">
        <f aca="false">IF(K$5&gt;$B14,ABS(10/(K$5-$B14)-1)-(K$5-$B14)*01_Inputs!$C$23,"")</f>
        <v/>
      </c>
      <c r="L14" s="3" t="str">
        <f aca="false">IF(L$5&gt;$B14,ABS(10/(L$5-$B14)-1)-(L$5-$B14)*01_Inputs!$C$23,"")</f>
        <v/>
      </c>
      <c r="M14" s="3" t="str">
        <f aca="false">IF(M$5&gt;$B14,ABS(10/(M$5-$B14)-1)-(M$5-$B14)*01_Inputs!$C$23,"")</f>
        <v/>
      </c>
      <c r="N14" s="3" t="str">
        <f aca="false">IF(N$5&gt;$B14,ABS(10/(N$5-$B14)-1)-(N$5-$B14)*01_Inputs!$C$23,"")</f>
        <v/>
      </c>
      <c r="O14" s="3" t="str">
        <f aca="false">IF(O$5&gt;$B14,ABS(10/(O$5-$B14)-1)-(O$5-$B14)*01_Inputs!$C$23,"")</f>
        <v/>
      </c>
      <c r="P14" s="3" t="str">
        <f aca="false">IF(P$5&gt;$B14,ABS(10/(P$5-$B14)-1)-(P$5-$B14)*01_Inputs!$C$23,"")</f>
        <v/>
      </c>
      <c r="Q14" s="3" t="str">
        <f aca="false">IF(Q$5&gt;$B14,ABS(10/(Q$5-$B14)-1)-(Q$5-$B14)*01_Inputs!$C$23,"")</f>
        <v/>
      </c>
      <c r="R14" s="3" t="n">
        <f aca="false">IF(R$5&gt;$B14,ABS(10/(R$5-$B14)-1)-(R$5-$B14)*01_Inputs!$C$23,"")</f>
        <v>8.999999999</v>
      </c>
      <c r="S14" s="3" t="n">
        <f aca="false">IF(S$5&gt;$B14,ABS(10/(S$5-$B14)-1)-(S$5-$B14)*01_Inputs!$C$23,"")</f>
        <v>2.33333333033333</v>
      </c>
      <c r="T14" s="3" t="n">
        <f aca="false">IF(T$5&gt;$B14,ABS(10/(T$5-$B14)-1)-(T$5-$B14)*01_Inputs!$C$23,"")</f>
        <v>0.111111102111111</v>
      </c>
      <c r="U14" s="3" t="n">
        <f aca="false">IF(U$5&gt;$B14,ABS(10/(U$5-$B14)-1)-(U$5-$B14)*01_Inputs!$C$23,"")</f>
        <v>0.090909079909091</v>
      </c>
      <c r="V14" s="3" t="n">
        <f aca="false">IF(V$5&gt;$B14,ABS(10/(V$5-$B14)-1)-(V$5-$B14)*01_Inputs!$C$23,"")</f>
        <v>0.285714271714286</v>
      </c>
      <c r="W14" s="3" t="n">
        <f aca="false">IF(W$5&gt;$B14,ABS(10/(W$5-$B14)-1)-(W$5-$B14)*01_Inputs!$C$23,"")</f>
        <v>0.49999998</v>
      </c>
      <c r="X14" s="3" t="n">
        <f aca="false">IF(X$5&gt;$B14,ABS(10/(X$5-$B14)-1)-(X$5-$B14)*01_Inputs!$C$23,"")</f>
        <v>0.545454523454545</v>
      </c>
      <c r="Y14" s="3" t="n">
        <f aca="false">IF(Y$5&gt;$B14,ABS(10/(Y$5-$B14)-1)-(Y$5-$B14)*01_Inputs!$C$23,"")</f>
        <v>0.743589704589744</v>
      </c>
      <c r="Z14" s="3" t="n">
        <f aca="false">IF(Z$5&gt;$B14,ABS(10/(Z$5-$B14)-1)-(Z$5-$B14)*01_Inputs!$C$23,"")</f>
        <v>0.74999996</v>
      </c>
      <c r="AA14" s="3" t="n">
        <f aca="false">IF(AA$5&gt;$B14,ABS(10/(AA$5-$B14)-1)-(AA$5-$B14)*01_Inputs!$C$23,"")</f>
        <v>0.79999995</v>
      </c>
      <c r="AB14" s="3" t="n">
        <f aca="false">IF(AB$5&gt;$B14,ABS(10/(AB$5-$B14)-1)-(AB$5-$B14)*01_Inputs!$C$23,"")</f>
        <v>0.838709615419355</v>
      </c>
      <c r="AC14" s="3" t="n">
        <f aca="false">IF(AC$5&gt;$B14,ABS(10/(AC$5-$B14)-1)-(AC$5-$B14)*01_Inputs!$C$23,"")</f>
        <v>0.859154858577465</v>
      </c>
      <c r="AD14" s="3" t="n">
        <f aca="false">IF(AD$5&gt;$B14,ABS(10/(AD$5-$B14)-1)-(AD$5-$B14)*01_Inputs!$C$23,"")</f>
        <v>0.863013625630137</v>
      </c>
      <c r="AE14" s="3" t="n">
        <f aca="false">IF(AE$5&gt;$B14,ABS(10/(AE$5-$B14)-1)-(AE$5-$B14)*01_Inputs!$C$23,"")</f>
        <v>0.864864790864865</v>
      </c>
      <c r="AF14" s="3" t="n">
        <f aca="false">IF(AF$5&gt;$B14,ABS(10/(AF$5-$B14)-1)-(AF$5-$B14)*01_Inputs!$C$23,"")</f>
        <v>0.882352856176471</v>
      </c>
      <c r="AG14" s="3" t="n">
        <f aca="false">IF(AG$5&gt;$B14,ABS(10/(AG$5-$B14)-1)-(AG$5-$B14)*01_Inputs!$C$23,"")</f>
        <v>0.89010979910989</v>
      </c>
      <c r="AH14" s="3" t="n">
        <f aca="false">IF(AH$5&gt;$B14,ABS(10/(AH$5-$B14)-1)-(AH$5-$B14)*01_Inputs!$C$23,"")</f>
        <v>0.91304336326087</v>
      </c>
      <c r="AI14" s="3" t="n">
        <f aca="false">IF(AI$5&gt;$B14,ABS(10/(AI$5-$B14)-1)-(AI$5-$B14)*01_Inputs!$C$23,"")</f>
        <v>0.914529797529915</v>
      </c>
      <c r="AJ14" s="3" t="n">
        <f aca="false">IF(AJ$5&gt;$B14,ABS(10/(AJ$5-$B14)-1)-(AJ$5-$B14)*01_Inputs!$C$23,"")</f>
        <v>0.923663991137405</v>
      </c>
      <c r="AK14" s="3" t="n">
        <f aca="false">IF(AK$5&gt;$B14,ABS(10/(AK$5-$B14)-1)-(AK$5-$B14)*01_Inputs!$C$23,"")</f>
        <v>0.932432284432432</v>
      </c>
      <c r="AL14" s="3" t="n">
        <f aca="false">IF(AL$5&gt;$B14,ABS(10/(AL$5-$B14)-1)-(AL$5-$B14)*01_Inputs!$C$23,"")</f>
        <v>0.936708702759494</v>
      </c>
      <c r="AM14" s="3" t="n">
        <f aca="false">IF(AM$5&gt;$B14,ABS(10/(AM$5-$B14)-1)-(AM$5-$B14)*01_Inputs!$C$23,"")</f>
        <v>0.941520296836257</v>
      </c>
      <c r="AN14" s="3" t="n">
        <f aca="false">IF(AN$5&gt;$B14,ABS(10/(AN$5-$B14)-1)-(AN$5-$B14)*01_Inputs!$C$23,"")</f>
        <v>0.941860293116279</v>
      </c>
      <c r="AO14" s="3" t="n">
        <f aca="false">IF(AO$5&gt;$B14,ABS(10/(AO$5-$B14)-1)-(AO$5-$B14)*01_Inputs!$C$23,"")</f>
        <v>0.942196358791908</v>
      </c>
      <c r="AP14" s="3" t="n">
        <f aca="false">IF(AP$5&gt;$B14,ABS(10/(AP$5-$B14)-1)-(AP$5-$B14)*01_Inputs!$C$23,"")</f>
        <v>0.944444264444444</v>
      </c>
      <c r="AQ14" s="3" t="n">
        <f aca="false">IF(AQ$5&gt;$B14,ABS(10/(AQ$5-$B14)-1)-(AQ$5-$B14)*01_Inputs!$C$23,"")</f>
        <v>0.94475120021547</v>
      </c>
      <c r="AR14" s="3" t="n">
        <f aca="false">IF(AR$5&gt;$B14,ABS(10/(AR$5-$B14)-1)-(AR$5-$B14)*01_Inputs!$C$23,"")</f>
        <v>0.945651989913043</v>
      </c>
      <c r="AS14" s="3" t="n">
        <f aca="false">IF(AS$5&gt;$B14,ABS(10/(AS$5-$B14)-1)-(AS$5-$B14)*01_Inputs!$C$23,"")</f>
        <v>0.946808322638298</v>
      </c>
      <c r="AT14" s="3" t="n">
        <f aca="false">IF(AT$5&gt;$B14,ABS(10/(AT$5-$B14)-1)-(AT$5-$B14)*01_Inputs!$C$23,"")</f>
        <v>0.948453414247423</v>
      </c>
      <c r="AU14" s="3" t="n">
        <f aca="false">IF(AU$5&gt;$B14,ABS(10/(AU$5-$B14)-1)-(AU$5-$B14)*01_Inputs!$C$23,"")</f>
        <v>0.948979395836735</v>
      </c>
      <c r="AV14" s="3" t="n">
        <f aca="false">IF(AV$5&gt;$B14,ABS(10/(AV$5-$B14)-1)-(AV$5-$B14)*01_Inputs!$C$23,"")</f>
        <v>0.950494847504951</v>
      </c>
      <c r="AW14" s="3" t="n">
        <f aca="false">IF(AW$5&gt;$B14,ABS(10/(AW$5-$B14)-1)-(AW$5-$B14)*01_Inputs!$C$23,"")</f>
        <v>0.951456104679612</v>
      </c>
      <c r="AX14" s="3" t="n">
        <f aca="false">IF(AX$5&gt;$B14,ABS(10/(AX$5-$B14)-1)-(AX$5-$B14)*01_Inputs!$C$23,"")</f>
        <v>0.95260642407109</v>
      </c>
      <c r="AY14" s="3" t="n">
        <f aca="false">IF(AY$5&gt;$B14,ABS(10/(AY$5-$B14)-1)-(AY$5-$B14)*01_Inputs!$C$23,"")</f>
        <v>0.954954732954955</v>
      </c>
      <c r="AZ14" s="3" t="n">
        <f aca="false">IF(AZ$5&gt;$B14,ABS(10/(AZ$5-$B14)-1)-(AZ$5-$B14)*01_Inputs!$C$23,"")</f>
        <v>0.956140122877193</v>
      </c>
    </row>
    <row r="15" customFormat="false" ht="15" hidden="false" customHeight="false" outlineLevel="0" collapsed="false">
      <c r="A15" s="9" t="n">
        <v>10</v>
      </c>
      <c r="B15" s="9" t="n">
        <f aca="false">01_Inputs!$B$50</f>
        <v>49</v>
      </c>
      <c r="C15" s="17" t="n">
        <f aca="false">MIN(I15:AZ15)</f>
        <v>-1E-008</v>
      </c>
      <c r="D15" s="9" t="n">
        <f aca="false">MATCH($C15,I15:AZ15,0)</f>
        <v>13</v>
      </c>
      <c r="E15" s="9" t="n">
        <f aca="false">INDEX(I$5:AZ$5,1,$D15)</f>
        <v>59</v>
      </c>
      <c r="F15" s="9" t="n">
        <f aca="false">$E15-$B15</f>
        <v>10</v>
      </c>
      <c r="I15" s="3" t="str">
        <f aca="false">IF(I$5&gt;$B15,ABS(10/(I$5-$B15)-1)-(I$5-$B15)*01_Inputs!$C$23,"")</f>
        <v/>
      </c>
      <c r="J15" s="3" t="str">
        <f aca="false">IF(J$5&gt;$B15,ABS(10/(J$5-$B15)-1)-(J$5-$B15)*01_Inputs!$C$23,"")</f>
        <v/>
      </c>
      <c r="K15" s="3" t="str">
        <f aca="false">IF(K$5&gt;$B15,ABS(10/(K$5-$B15)-1)-(K$5-$B15)*01_Inputs!$C$23,"")</f>
        <v/>
      </c>
      <c r="L15" s="3" t="str">
        <f aca="false">IF(L$5&gt;$B15,ABS(10/(L$5-$B15)-1)-(L$5-$B15)*01_Inputs!$C$23,"")</f>
        <v/>
      </c>
      <c r="M15" s="3" t="str">
        <f aca="false">IF(M$5&gt;$B15,ABS(10/(M$5-$B15)-1)-(M$5-$B15)*01_Inputs!$C$23,"")</f>
        <v/>
      </c>
      <c r="N15" s="3" t="str">
        <f aca="false">IF(N$5&gt;$B15,ABS(10/(N$5-$B15)-1)-(N$5-$B15)*01_Inputs!$C$23,"")</f>
        <v/>
      </c>
      <c r="O15" s="3" t="str">
        <f aca="false">IF(O$5&gt;$B15,ABS(10/(O$5-$B15)-1)-(O$5-$B15)*01_Inputs!$C$23,"")</f>
        <v/>
      </c>
      <c r="P15" s="3" t="str">
        <f aca="false">IF(P$5&gt;$B15,ABS(10/(P$5-$B15)-1)-(P$5-$B15)*01_Inputs!$C$23,"")</f>
        <v/>
      </c>
      <c r="Q15" s="3" t="str">
        <f aca="false">IF(Q$5&gt;$B15,ABS(10/(Q$5-$B15)-1)-(Q$5-$B15)*01_Inputs!$C$23,"")</f>
        <v/>
      </c>
      <c r="R15" s="3" t="str">
        <f aca="false">IF(R$5&gt;$B15,ABS(10/(R$5-$B15)-1)-(R$5-$B15)*01_Inputs!$C$23,"")</f>
        <v/>
      </c>
      <c r="S15" s="3" t="n">
        <f aca="false">IF(S$5&gt;$B15,ABS(10/(S$5-$B15)-1)-(S$5-$B15)*01_Inputs!$C$23,"")</f>
        <v>3.999999998</v>
      </c>
      <c r="T15" s="3" t="n">
        <f aca="false">IF(T$5&gt;$B15,ABS(10/(T$5-$B15)-1)-(T$5-$B15)*01_Inputs!$C$23,"")</f>
        <v>0.249999992</v>
      </c>
      <c r="U15" s="3" t="n">
        <f aca="false">IF(U$5&gt;$B15,ABS(10/(U$5-$B15)-1)-(U$5-$B15)*01_Inputs!$C$23,"")</f>
        <v>-1E-008</v>
      </c>
      <c r="V15" s="3" t="n">
        <f aca="false">IF(V$5&gt;$B15,ABS(10/(V$5-$B15)-1)-(V$5-$B15)*01_Inputs!$C$23,"")</f>
        <v>0.230769217769231</v>
      </c>
      <c r="W15" s="3" t="n">
        <f aca="false">IF(W$5&gt;$B15,ABS(10/(W$5-$B15)-1)-(W$5-$B15)*01_Inputs!$C$23,"")</f>
        <v>0.473684191526316</v>
      </c>
      <c r="X15" s="3" t="n">
        <f aca="false">IF(X$5&gt;$B15,ABS(10/(X$5-$B15)-1)-(X$5-$B15)*01_Inputs!$C$23,"")</f>
        <v>0.523809502809524</v>
      </c>
      <c r="Y15" s="3" t="n">
        <f aca="false">IF(Y$5&gt;$B15,ABS(10/(Y$5-$B15)-1)-(Y$5-$B15)*01_Inputs!$C$23,"")</f>
        <v>0.736842067263158</v>
      </c>
      <c r="Z15" s="3" t="n">
        <f aca="false">IF(Z$5&gt;$B15,ABS(10/(Z$5-$B15)-1)-(Z$5-$B15)*01_Inputs!$C$23,"")</f>
        <v>0.743589704589744</v>
      </c>
      <c r="AA15" s="3" t="n">
        <f aca="false">IF(AA$5&gt;$B15,ABS(10/(AA$5-$B15)-1)-(AA$5-$B15)*01_Inputs!$C$23,"")</f>
        <v>0.795918318346939</v>
      </c>
      <c r="AB15" s="3" t="n">
        <f aca="false">IF(AB$5&gt;$B15,ABS(10/(AB$5-$B15)-1)-(AB$5-$B15)*01_Inputs!$C$23,"")</f>
        <v>0.836065512770492</v>
      </c>
      <c r="AC15" s="3" t="n">
        <f aca="false">IF(AC$5&gt;$B15,ABS(10/(AC$5-$B15)-1)-(AC$5-$B15)*01_Inputs!$C$23,"")</f>
        <v>0.857142787142857</v>
      </c>
      <c r="AD15" s="3" t="n">
        <f aca="false">IF(AD$5&gt;$B15,ABS(10/(AD$5-$B15)-1)-(AD$5-$B15)*01_Inputs!$C$23,"")</f>
        <v>0.861111039111111</v>
      </c>
      <c r="AE15" s="3" t="n">
        <f aca="false">IF(AE$5&gt;$B15,ABS(10/(AE$5-$B15)-1)-(AE$5-$B15)*01_Inputs!$C$23,"")</f>
        <v>0.863013625630137</v>
      </c>
      <c r="AF15" s="3" t="n">
        <f aca="false">IF(AF$5&gt;$B15,ABS(10/(AF$5-$B15)-1)-(AF$5-$B15)*01_Inputs!$C$23,"")</f>
        <v>0.880952296952381</v>
      </c>
      <c r="AG15" s="3" t="n">
        <f aca="false">IF(AG$5&gt;$B15,ABS(10/(AG$5-$B15)-1)-(AG$5-$B15)*01_Inputs!$C$23,"")</f>
        <v>0.888888798888889</v>
      </c>
      <c r="AH15" s="3" t="n">
        <f aca="false">IF(AH$5&gt;$B15,ABS(10/(AH$5-$B15)-1)-(AH$5-$B15)*01_Inputs!$C$23,"")</f>
        <v>0.912280587754386</v>
      </c>
      <c r="AI15" s="3" t="n">
        <f aca="false">IF(AI$5&gt;$B15,ABS(10/(AI$5-$B15)-1)-(AI$5-$B15)*01_Inputs!$C$23,"")</f>
        <v>0.913792987448276</v>
      </c>
      <c r="AJ15" s="3" t="n">
        <f aca="false">IF(AJ$5&gt;$B15,ABS(10/(AJ$5-$B15)-1)-(AJ$5-$B15)*01_Inputs!$C$23,"")</f>
        <v>0.923076793076923</v>
      </c>
      <c r="AK15" s="3" t="n">
        <f aca="false">IF(AK$5&gt;$B15,ABS(10/(AK$5-$B15)-1)-(AK$5-$B15)*01_Inputs!$C$23,"")</f>
        <v>0.931972642115646</v>
      </c>
      <c r="AL15" s="3" t="n">
        <f aca="false">IF(AL$5&gt;$B15,ABS(10/(AL$5-$B15)-1)-(AL$5-$B15)*01_Inputs!$C$23,"")</f>
        <v>0.936305575484076</v>
      </c>
      <c r="AM15" s="3" t="n">
        <f aca="false">IF(AM$5&gt;$B15,ABS(10/(AM$5-$B15)-1)-(AM$5-$B15)*01_Inputs!$C$23,"")</f>
        <v>0.941176300588235</v>
      </c>
      <c r="AN15" s="3" t="n">
        <f aca="false">IF(AN$5&gt;$B15,ABS(10/(AN$5-$B15)-1)-(AN$5-$B15)*01_Inputs!$C$23,"")</f>
        <v>0.941520296836257</v>
      </c>
      <c r="AO15" s="3" t="n">
        <f aca="false">IF(AO$5&gt;$B15,ABS(10/(AO$5-$B15)-1)-(AO$5-$B15)*01_Inputs!$C$23,"")</f>
        <v>0.941860293116279</v>
      </c>
      <c r="AP15" s="3" t="n">
        <f aca="false">IF(AP$5&gt;$B15,ABS(10/(AP$5-$B15)-1)-(AP$5-$B15)*01_Inputs!$C$23,"")</f>
        <v>0.94413389921229</v>
      </c>
      <c r="AQ15" s="3" t="n">
        <f aca="false">IF(AQ$5&gt;$B15,ABS(10/(AQ$5-$B15)-1)-(AQ$5-$B15)*01_Inputs!$C$23,"")</f>
        <v>0.944444264444444</v>
      </c>
      <c r="AR15" s="3" t="n">
        <f aca="false">IF(AR$5&gt;$B15,ABS(10/(AR$5-$B15)-1)-(AR$5-$B15)*01_Inputs!$C$23,"")</f>
        <v>0.945355008256831</v>
      </c>
      <c r="AS15" s="3" t="n">
        <f aca="false">IF(AS$5&gt;$B15,ABS(10/(AS$5-$B15)-1)-(AS$5-$B15)*01_Inputs!$C$23,"")</f>
        <v>0.946523877171123</v>
      </c>
      <c r="AT15" s="3" t="n">
        <f aca="false">IF(AT$5&gt;$B15,ABS(10/(AT$5-$B15)-1)-(AT$5-$B15)*01_Inputs!$C$23,"")</f>
        <v>0.948186335497409</v>
      </c>
      <c r="AU15" s="3" t="n">
        <f aca="false">IF(AU$5&gt;$B15,ABS(10/(AU$5-$B15)-1)-(AU$5-$B15)*01_Inputs!$C$23,"")</f>
        <v>0.948717753717949</v>
      </c>
      <c r="AV15" s="3" t="n">
        <f aca="false">IF(AV$5&gt;$B15,ABS(10/(AV$5-$B15)-1)-(AV$5-$B15)*01_Inputs!$C$23,"")</f>
        <v>0.950248555218906</v>
      </c>
      <c r="AW15" s="3" t="n">
        <f aca="false">IF(AW$5&gt;$B15,ABS(10/(AW$5-$B15)-1)-(AW$5-$B15)*01_Inputs!$C$23,"")</f>
        <v>0.951219307195122</v>
      </c>
      <c r="AX15" s="3" t="n">
        <f aca="false">IF(AX$5&gt;$B15,ABS(10/(AX$5-$B15)-1)-(AX$5-$B15)*01_Inputs!$C$23,"")</f>
        <v>0.952380742380952</v>
      </c>
      <c r="AY15" s="3" t="n">
        <f aca="false">IF(AY$5&gt;$B15,ABS(10/(AY$5-$B15)-1)-(AY$5-$B15)*01_Inputs!$C$23,"")</f>
        <v>0.95475091022172</v>
      </c>
      <c r="AZ15" s="3" t="n">
        <f aca="false">IF(AZ$5&gt;$B15,ABS(10/(AZ$5-$B15)-1)-(AZ$5-$B15)*01_Inputs!$C$23,"")</f>
        <v>0.955946909563877</v>
      </c>
    </row>
    <row r="16" customFormat="false" ht="15" hidden="false" customHeight="false" outlineLevel="0" collapsed="false">
      <c r="A16" s="9" t="n">
        <v>11</v>
      </c>
      <c r="B16" s="9" t="n">
        <f aca="false">01_Inputs!$B$51</f>
        <v>51</v>
      </c>
      <c r="C16" s="17" t="n">
        <f aca="false">MIN(I16:AZ16)</f>
        <v>0.090909079909091</v>
      </c>
      <c r="D16" s="9" t="n">
        <f aca="false">MATCH($C16,I16:AZ16,0)</f>
        <v>14</v>
      </c>
      <c r="E16" s="9" t="n">
        <f aca="false">INDEX(I$5:AZ$5,1,$D16)</f>
        <v>62</v>
      </c>
      <c r="F16" s="9" t="n">
        <f aca="false">$E16-$B16</f>
        <v>11</v>
      </c>
      <c r="I16" s="3" t="str">
        <f aca="false">IF(I$5&gt;$B16,ABS(10/(I$5-$B16)-1)-(I$5-$B16)*01_Inputs!$C$23,"")</f>
        <v/>
      </c>
      <c r="J16" s="3" t="str">
        <f aca="false">IF(J$5&gt;$B16,ABS(10/(J$5-$B16)-1)-(J$5-$B16)*01_Inputs!$C$23,"")</f>
        <v/>
      </c>
      <c r="K16" s="3" t="str">
        <f aca="false">IF(K$5&gt;$B16,ABS(10/(K$5-$B16)-1)-(K$5-$B16)*01_Inputs!$C$23,"")</f>
        <v/>
      </c>
      <c r="L16" s="3" t="str">
        <f aca="false">IF(L$5&gt;$B16,ABS(10/(L$5-$B16)-1)-(L$5-$B16)*01_Inputs!$C$23,"")</f>
        <v/>
      </c>
      <c r="M16" s="3" t="str">
        <f aca="false">IF(M$5&gt;$B16,ABS(10/(M$5-$B16)-1)-(M$5-$B16)*01_Inputs!$C$23,"")</f>
        <v/>
      </c>
      <c r="N16" s="3" t="str">
        <f aca="false">IF(N$5&gt;$B16,ABS(10/(N$5-$B16)-1)-(N$5-$B16)*01_Inputs!$C$23,"")</f>
        <v/>
      </c>
      <c r="O16" s="3" t="str">
        <f aca="false">IF(O$5&gt;$B16,ABS(10/(O$5-$B16)-1)-(O$5-$B16)*01_Inputs!$C$23,"")</f>
        <v/>
      </c>
      <c r="P16" s="3" t="str">
        <f aca="false">IF(P$5&gt;$B16,ABS(10/(P$5-$B16)-1)-(P$5-$B16)*01_Inputs!$C$23,"")</f>
        <v/>
      </c>
      <c r="Q16" s="3" t="str">
        <f aca="false">IF(Q$5&gt;$B16,ABS(10/(Q$5-$B16)-1)-(Q$5-$B16)*01_Inputs!$C$23,"")</f>
        <v/>
      </c>
      <c r="R16" s="3" t="str">
        <f aca="false">IF(R$5&gt;$B16,ABS(10/(R$5-$B16)-1)-(R$5-$B16)*01_Inputs!$C$23,"")</f>
        <v/>
      </c>
      <c r="S16" s="3" t="str">
        <f aca="false">IF(S$5&gt;$B16,ABS(10/(S$5-$B16)-1)-(S$5-$B16)*01_Inputs!$C$23,"")</f>
        <v/>
      </c>
      <c r="T16" s="3" t="n">
        <f aca="false">IF(T$5&gt;$B16,ABS(10/(T$5-$B16)-1)-(T$5-$B16)*01_Inputs!$C$23,"")</f>
        <v>0.666666660666667</v>
      </c>
      <c r="U16" s="3" t="n">
        <f aca="false">IF(U$5&gt;$B16,ABS(10/(U$5-$B16)-1)-(U$5-$B16)*01_Inputs!$C$23,"")</f>
        <v>0.249999992</v>
      </c>
      <c r="V16" s="3" t="n">
        <f aca="false">IF(V$5&gt;$B16,ABS(10/(V$5-$B16)-1)-(V$5-$B16)*01_Inputs!$C$23,"")</f>
        <v>0.090909079909091</v>
      </c>
      <c r="W16" s="3" t="n">
        <f aca="false">IF(W$5&gt;$B16,ABS(10/(W$5-$B16)-1)-(W$5-$B16)*01_Inputs!$C$23,"")</f>
        <v>0.411764688882353</v>
      </c>
      <c r="X16" s="3" t="n">
        <f aca="false">IF(X$5&gt;$B16,ABS(10/(X$5-$B16)-1)-(X$5-$B16)*01_Inputs!$C$23,"")</f>
        <v>0.473684191526316</v>
      </c>
      <c r="Y16" s="3" t="n">
        <f aca="false">IF(Y$5&gt;$B16,ABS(10/(Y$5-$B16)-1)-(Y$5-$B16)*01_Inputs!$C$23,"")</f>
        <v>0.722222186222222</v>
      </c>
      <c r="Z16" s="3" t="n">
        <f aca="false">IF(Z$5&gt;$B16,ABS(10/(Z$5-$B16)-1)-(Z$5-$B16)*01_Inputs!$C$23,"")</f>
        <v>0.72972969272973</v>
      </c>
      <c r="AA16" s="3" t="n">
        <f aca="false">IF(AA$5&gt;$B16,ABS(10/(AA$5-$B16)-1)-(AA$5-$B16)*01_Inputs!$C$23,"")</f>
        <v>0.787233995553192</v>
      </c>
      <c r="AB16" s="3" t="n">
        <f aca="false">IF(AB$5&gt;$B16,ABS(10/(AB$5-$B16)-1)-(AB$5-$B16)*01_Inputs!$C$23,"")</f>
        <v>0.830508415576271</v>
      </c>
      <c r="AC16" s="3" t="n">
        <f aca="false">IF(AC$5&gt;$B16,ABS(10/(AC$5-$B16)-1)-(AC$5-$B16)*01_Inputs!$C$23,"")</f>
        <v>0.852941108470588</v>
      </c>
      <c r="AD16" s="3" t="n">
        <f aca="false">IF(AD$5&gt;$B16,ABS(10/(AD$5-$B16)-1)-(AD$5-$B16)*01_Inputs!$C$23,"")</f>
        <v>0.857142787142857</v>
      </c>
      <c r="AE16" s="3" t="n">
        <f aca="false">IF(AE$5&gt;$B16,ABS(10/(AE$5-$B16)-1)-(AE$5-$B16)*01_Inputs!$C$23,"")</f>
        <v>0.859154858577465</v>
      </c>
      <c r="AF16" s="3" t="n">
        <f aca="false">IF(AF$5&gt;$B16,ABS(10/(AF$5-$B16)-1)-(AF$5-$B16)*01_Inputs!$C$23,"")</f>
        <v>0.878048698487805</v>
      </c>
      <c r="AG16" s="3" t="n">
        <f aca="false">IF(AG$5&gt;$B16,ABS(10/(AG$5-$B16)-1)-(AG$5-$B16)*01_Inputs!$C$23,"")</f>
        <v>0.886363548363636</v>
      </c>
      <c r="AH16" s="3" t="n">
        <f aca="false">IF(AH$5&gt;$B16,ABS(10/(AH$5-$B16)-1)-(AH$5-$B16)*01_Inputs!$C$23,"")</f>
        <v>0.910714173714286</v>
      </c>
      <c r="AI16" s="3" t="n">
        <f aca="false">IF(AI$5&gt;$B16,ABS(10/(AI$5-$B16)-1)-(AI$5-$B16)*01_Inputs!$C$23,"")</f>
        <v>0.912280587754386</v>
      </c>
      <c r="AJ16" s="3" t="n">
        <f aca="false">IF(AJ$5&gt;$B16,ABS(10/(AJ$5-$B16)-1)-(AJ$5-$B16)*01_Inputs!$C$23,"")</f>
        <v>0.921874872</v>
      </c>
      <c r="AK16" s="3" t="n">
        <f aca="false">IF(AK$5&gt;$B16,ABS(10/(AK$5-$B16)-1)-(AK$5-$B16)*01_Inputs!$C$23,"")</f>
        <v>0.931034337758621</v>
      </c>
      <c r="AL16" s="3" t="n">
        <f aca="false">IF(AL$5&gt;$B16,ABS(10/(AL$5-$B16)-1)-(AL$5-$B16)*01_Inputs!$C$23,"")</f>
        <v>0.935483715967742</v>
      </c>
      <c r="AM16" s="3" t="n">
        <f aca="false">IF(AM$5&gt;$B16,ABS(10/(AM$5-$B16)-1)-(AM$5-$B16)*01_Inputs!$C$23,"")</f>
        <v>0.94047602247619</v>
      </c>
      <c r="AN16" s="3" t="n">
        <f aca="false">IF(AN$5&gt;$B16,ABS(10/(AN$5-$B16)-1)-(AN$5-$B16)*01_Inputs!$C$23,"")</f>
        <v>0.940828233366864</v>
      </c>
      <c r="AO16" s="3" t="n">
        <f aca="false">IF(AO$5&gt;$B16,ABS(10/(AO$5-$B16)-1)-(AO$5-$B16)*01_Inputs!$C$23,"")</f>
        <v>0.941176300588235</v>
      </c>
      <c r="AP16" s="3" t="n">
        <f aca="false">IF(AP$5&gt;$B16,ABS(10/(AP$5-$B16)-1)-(AP$5-$B16)*01_Inputs!$C$23,"")</f>
        <v>0.943502647858757</v>
      </c>
      <c r="AQ16" s="3" t="n">
        <f aca="false">IF(AQ$5&gt;$B16,ABS(10/(AQ$5-$B16)-1)-(AQ$5-$B16)*01_Inputs!$C$23,"")</f>
        <v>0.943820046719101</v>
      </c>
      <c r="AR16" s="3" t="n">
        <f aca="false">IF(AR$5&gt;$B16,ABS(10/(AR$5-$B16)-1)-(AR$5-$B16)*01_Inputs!$C$23,"")</f>
        <v>0.94475120021547</v>
      </c>
      <c r="AS16" s="3" t="n">
        <f aca="false">IF(AS$5&gt;$B16,ABS(10/(AS$5-$B16)-1)-(AS$5-$B16)*01_Inputs!$C$23,"")</f>
        <v>0.945945760945946</v>
      </c>
      <c r="AT16" s="3" t="n">
        <f aca="false">IF(AT$5&gt;$B16,ABS(10/(AT$5-$B16)-1)-(AT$5-$B16)*01_Inputs!$C$23,"")</f>
        <v>0.947643788057592</v>
      </c>
      <c r="AU16" s="3" t="n">
        <f aca="false">IF(AU$5&gt;$B16,ABS(10/(AU$5-$B16)-1)-(AU$5-$B16)*01_Inputs!$C$23,"")</f>
        <v>0.948186335497409</v>
      </c>
      <c r="AV16" s="3" t="n">
        <f aca="false">IF(AV$5&gt;$B16,ABS(10/(AV$5-$B16)-1)-(AV$5-$B16)*01_Inputs!$C$23,"")</f>
        <v>0.949748544718593</v>
      </c>
      <c r="AW16" s="3" t="n">
        <f aca="false">IF(AW$5&gt;$B16,ABS(10/(AW$5-$B16)-1)-(AW$5-$B16)*01_Inputs!$C$23,"")</f>
        <v>0.950738713256158</v>
      </c>
      <c r="AX16" s="3" t="n">
        <f aca="false">IF(AX$5&gt;$B16,ABS(10/(AX$5-$B16)-1)-(AX$5-$B16)*01_Inputs!$C$23,"")</f>
        <v>0.951922868923077</v>
      </c>
      <c r="AY16" s="3" t="n">
        <f aca="false">IF(AY$5&gt;$B16,ABS(10/(AY$5-$B16)-1)-(AY$5-$B16)*01_Inputs!$C$23,"")</f>
        <v>0.954337680543379</v>
      </c>
      <c r="AZ16" s="3" t="n">
        <f aca="false">IF(AZ$5&gt;$B16,ABS(10/(AZ$5-$B16)-1)-(AZ$5-$B16)*01_Inputs!$C$23,"")</f>
        <v>0.955555330555556</v>
      </c>
    </row>
    <row r="17" customFormat="false" ht="15" hidden="false" customHeight="false" outlineLevel="0" collapsed="false">
      <c r="A17" s="9" t="n">
        <v>12</v>
      </c>
      <c r="B17" s="9" t="n">
        <f aca="false">01_Inputs!$B$52</f>
        <v>57</v>
      </c>
      <c r="C17" s="17" t="n">
        <f aca="false">MIN(I17:AZ17)</f>
        <v>0.090909079909091</v>
      </c>
      <c r="D17" s="9" t="n">
        <f aca="false">MATCH($C17,I17:AZ17,0)</f>
        <v>15</v>
      </c>
      <c r="E17" s="9" t="n">
        <f aca="false">INDEX(I$5:AZ$5,1,$D17)</f>
        <v>68</v>
      </c>
      <c r="F17" s="9" t="n">
        <f aca="false">$E17-$B17</f>
        <v>11</v>
      </c>
      <c r="I17" s="3" t="str">
        <f aca="false">IF(I$5&gt;$B17,ABS(10/(I$5-$B17)-1)-(I$5-$B17)*01_Inputs!$C$23,"")</f>
        <v/>
      </c>
      <c r="J17" s="3" t="str">
        <f aca="false">IF(J$5&gt;$B17,ABS(10/(J$5-$B17)-1)-(J$5-$B17)*01_Inputs!$C$23,"")</f>
        <v/>
      </c>
      <c r="K17" s="3" t="str">
        <f aca="false">IF(K$5&gt;$B17,ABS(10/(K$5-$B17)-1)-(K$5-$B17)*01_Inputs!$C$23,"")</f>
        <v/>
      </c>
      <c r="L17" s="3" t="str">
        <f aca="false">IF(L$5&gt;$B17,ABS(10/(L$5-$B17)-1)-(L$5-$B17)*01_Inputs!$C$23,"")</f>
        <v/>
      </c>
      <c r="M17" s="3" t="str">
        <f aca="false">IF(M$5&gt;$B17,ABS(10/(M$5-$B17)-1)-(M$5-$B17)*01_Inputs!$C$23,"")</f>
        <v/>
      </c>
      <c r="N17" s="3" t="str">
        <f aca="false">IF(N$5&gt;$B17,ABS(10/(N$5-$B17)-1)-(N$5-$B17)*01_Inputs!$C$23,"")</f>
        <v/>
      </c>
      <c r="O17" s="3" t="str">
        <f aca="false">IF(O$5&gt;$B17,ABS(10/(O$5-$B17)-1)-(O$5-$B17)*01_Inputs!$C$23,"")</f>
        <v/>
      </c>
      <c r="P17" s="3" t="str">
        <f aca="false">IF(P$5&gt;$B17,ABS(10/(P$5-$B17)-1)-(P$5-$B17)*01_Inputs!$C$23,"")</f>
        <v/>
      </c>
      <c r="Q17" s="3" t="str">
        <f aca="false">IF(Q$5&gt;$B17,ABS(10/(Q$5-$B17)-1)-(Q$5-$B17)*01_Inputs!$C$23,"")</f>
        <v/>
      </c>
      <c r="R17" s="3" t="str">
        <f aca="false">IF(R$5&gt;$B17,ABS(10/(R$5-$B17)-1)-(R$5-$B17)*01_Inputs!$C$23,"")</f>
        <v/>
      </c>
      <c r="S17" s="3" t="str">
        <f aca="false">IF(S$5&gt;$B17,ABS(10/(S$5-$B17)-1)-(S$5-$B17)*01_Inputs!$C$23,"")</f>
        <v/>
      </c>
      <c r="T17" s="3" t="str">
        <f aca="false">IF(T$5&gt;$B17,ABS(10/(T$5-$B17)-1)-(T$5-$B17)*01_Inputs!$C$23,"")</f>
        <v/>
      </c>
      <c r="U17" s="3" t="n">
        <f aca="false">IF(U$5&gt;$B17,ABS(10/(U$5-$B17)-1)-(U$5-$B17)*01_Inputs!$C$23,"")</f>
        <v>3.999999998</v>
      </c>
      <c r="V17" s="3" t="n">
        <f aca="false">IF(V$5&gt;$B17,ABS(10/(V$5-$B17)-1)-(V$5-$B17)*01_Inputs!$C$23,"")</f>
        <v>0.999999995</v>
      </c>
      <c r="W17" s="3" t="n">
        <f aca="false">IF(W$5&gt;$B17,ABS(10/(W$5-$B17)-1)-(W$5-$B17)*01_Inputs!$C$23,"")</f>
        <v>0.090909079909091</v>
      </c>
      <c r="X17" s="3" t="n">
        <f aca="false">IF(X$5&gt;$B17,ABS(10/(X$5-$B17)-1)-(X$5-$B17)*01_Inputs!$C$23,"")</f>
        <v>0.230769217769231</v>
      </c>
      <c r="Y17" s="3" t="n">
        <f aca="false">IF(Y$5&gt;$B17,ABS(10/(Y$5-$B17)-1)-(Y$5-$B17)*01_Inputs!$C$23,"")</f>
        <v>0.666666636666667</v>
      </c>
      <c r="Z17" s="3" t="n">
        <f aca="false">IF(Z$5&gt;$B17,ABS(10/(Z$5-$B17)-1)-(Z$5-$B17)*01_Inputs!$C$23,"")</f>
        <v>0.67741932383871</v>
      </c>
      <c r="AA17" s="3" t="n">
        <f aca="false">IF(AA$5&gt;$B17,ABS(10/(AA$5-$B17)-1)-(AA$5-$B17)*01_Inputs!$C$23,"")</f>
        <v>0.75609751997561</v>
      </c>
      <c r="AB17" s="3" t="n">
        <f aca="false">IF(AB$5&gt;$B17,ABS(10/(AB$5-$B17)-1)-(AB$5-$B17)*01_Inputs!$C$23,"")</f>
        <v>0.811320701716981</v>
      </c>
      <c r="AC17" s="3" t="n">
        <f aca="false">IF(AC$5&gt;$B17,ABS(10/(AC$5-$B17)-1)-(AC$5-$B17)*01_Inputs!$C$23,"")</f>
        <v>0.838709615419355</v>
      </c>
      <c r="AD17" s="3" t="n">
        <f aca="false">IF(AD$5&gt;$B17,ABS(10/(AD$5-$B17)-1)-(AD$5-$B17)*01_Inputs!$C$23,"")</f>
        <v>0.843749936</v>
      </c>
      <c r="AE17" s="3" t="n">
        <f aca="false">IF(AE$5&gt;$B17,ABS(10/(AE$5-$B17)-1)-(AE$5-$B17)*01_Inputs!$C$23,"")</f>
        <v>0.846153781153846</v>
      </c>
      <c r="AF17" s="3" t="n">
        <f aca="false">IF(AF$5&gt;$B17,ABS(10/(AF$5-$B17)-1)-(AF$5-$B17)*01_Inputs!$C$23,"")</f>
        <v>0.868420976631579</v>
      </c>
      <c r="AG17" s="3" t="n">
        <f aca="false">IF(AG$5&gt;$B17,ABS(10/(AG$5-$B17)-1)-(AG$5-$B17)*01_Inputs!$C$23,"")</f>
        <v>0.878048698487805</v>
      </c>
      <c r="AH17" s="3" t="n">
        <f aca="false">IF(AH$5&gt;$B17,ABS(10/(AH$5-$B17)-1)-(AH$5-$B17)*01_Inputs!$C$23,"")</f>
        <v>0.905660271358491</v>
      </c>
      <c r="AI17" s="3" t="n">
        <f aca="false">IF(AI$5&gt;$B17,ABS(10/(AI$5-$B17)-1)-(AI$5-$B17)*01_Inputs!$C$23,"")</f>
        <v>0.907407299407407</v>
      </c>
      <c r="AJ17" s="3" t="n">
        <f aca="false">IF(AJ$5&gt;$B17,ABS(10/(AJ$5-$B17)-1)-(AJ$5-$B17)*01_Inputs!$C$23,"")</f>
        <v>0.918032664885246</v>
      </c>
      <c r="AK17" s="3" t="n">
        <f aca="false">IF(AK$5&gt;$B17,ABS(10/(AK$5-$B17)-1)-(AK$5-$B17)*01_Inputs!$C$23,"")</f>
        <v>0.928057414956835</v>
      </c>
      <c r="AL17" s="3" t="n">
        <f aca="false">IF(AL$5&gt;$B17,ABS(10/(AL$5-$B17)-1)-(AL$5-$B17)*01_Inputs!$C$23,"")</f>
        <v>0.932885757040268</v>
      </c>
      <c r="AM17" s="3" t="n">
        <f aca="false">IF(AM$5&gt;$B17,ABS(10/(AM$5-$B17)-1)-(AM$5-$B17)*01_Inputs!$C$23,"")</f>
        <v>0.938271442938272</v>
      </c>
      <c r="AN17" s="3" t="n">
        <f aca="false">IF(AN$5&gt;$B17,ABS(10/(AN$5-$B17)-1)-(AN$5-$B17)*01_Inputs!$C$23,"")</f>
        <v>0.938650143748466</v>
      </c>
      <c r="AO17" s="3" t="n">
        <f aca="false">IF(AO$5&gt;$B17,ABS(10/(AO$5-$B17)-1)-(AO$5-$B17)*01_Inputs!$C$23,"")</f>
        <v>0.939024226243902</v>
      </c>
      <c r="AP17" s="3" t="n">
        <f aca="false">IF(AP$5&gt;$B17,ABS(10/(AP$5-$B17)-1)-(AP$5-$B17)*01_Inputs!$C$23,"")</f>
        <v>0.941520296836257</v>
      </c>
      <c r="AQ17" s="3" t="n">
        <f aca="false">IF(AQ$5&gt;$B17,ABS(10/(AQ$5-$B17)-1)-(AQ$5-$B17)*01_Inputs!$C$23,"")</f>
        <v>0.941860293116279</v>
      </c>
      <c r="AR17" s="3" t="n">
        <f aca="false">IF(AR$5&gt;$B17,ABS(10/(AR$5-$B17)-1)-(AR$5-$B17)*01_Inputs!$C$23,"")</f>
        <v>0.942856967857143</v>
      </c>
      <c r="AS17" s="3" t="n">
        <f aca="false">IF(AS$5&gt;$B17,ABS(10/(AS$5-$B17)-1)-(AS$5-$B17)*01_Inputs!$C$23,"")</f>
        <v>0.94413389921229</v>
      </c>
      <c r="AT17" s="3" t="n">
        <f aca="false">IF(AT$5&gt;$B17,ABS(10/(AT$5-$B17)-1)-(AT$5-$B17)*01_Inputs!$C$23,"")</f>
        <v>0.945945760945946</v>
      </c>
      <c r="AU17" s="3" t="n">
        <f aca="false">IF(AU$5&gt;$B17,ABS(10/(AU$5-$B17)-1)-(AU$5-$B17)*01_Inputs!$C$23,"")</f>
        <v>0.946523877171123</v>
      </c>
      <c r="AV17" s="3" t="n">
        <f aca="false">IF(AV$5&gt;$B17,ABS(10/(AV$5-$B17)-1)-(AV$5-$B17)*01_Inputs!$C$23,"")</f>
        <v>0.948186335497409</v>
      </c>
      <c r="AW17" s="3" t="n">
        <f aca="false">IF(AW$5&gt;$B17,ABS(10/(AW$5-$B17)-1)-(AW$5-$B17)*01_Inputs!$C$23,"")</f>
        <v>0.949238381680203</v>
      </c>
      <c r="AX17" s="3" t="n">
        <f aca="false">IF(AX$5&gt;$B17,ABS(10/(AX$5-$B17)-1)-(AX$5-$B17)*01_Inputs!$C$23,"")</f>
        <v>0.950494847504951</v>
      </c>
      <c r="AY17" s="3" t="n">
        <f aca="false">IF(AY$5&gt;$B17,ABS(10/(AY$5-$B17)-1)-(AY$5-$B17)*01_Inputs!$C$23,"")</f>
        <v>0.953051430192488</v>
      </c>
      <c r="AZ17" s="3" t="n">
        <f aca="false">IF(AZ$5&gt;$B17,ABS(10/(AZ$5-$B17)-1)-(AZ$5-$B17)*01_Inputs!$C$23,"")</f>
        <v>0.954337680543379</v>
      </c>
    </row>
    <row r="18" customFormat="false" ht="15" hidden="false" customHeight="false" outlineLevel="0" collapsed="false">
      <c r="A18" s="9" t="n">
        <v>13</v>
      </c>
      <c r="B18" s="9" t="n">
        <f aca="false">01_Inputs!$B$53</f>
        <v>59</v>
      </c>
      <c r="C18" s="17" t="n">
        <f aca="false">MIN(I18:AZ18)</f>
        <v>0.090909079909091</v>
      </c>
      <c r="D18" s="9" t="n">
        <f aca="false">MATCH($C18,I18:AZ18,0)</f>
        <v>16</v>
      </c>
      <c r="E18" s="9" t="n">
        <f aca="false">INDEX(I$5:AZ$5,1,$D18)</f>
        <v>70</v>
      </c>
      <c r="F18" s="9" t="n">
        <f aca="false">$E18-$B18</f>
        <v>11</v>
      </c>
      <c r="I18" s="3" t="str">
        <f aca="false">IF(I$5&gt;$B18,ABS(10/(I$5-$B18)-1)-(I$5-$B18)*01_Inputs!$C$23,"")</f>
        <v/>
      </c>
      <c r="J18" s="3" t="str">
        <f aca="false">IF(J$5&gt;$B18,ABS(10/(J$5-$B18)-1)-(J$5-$B18)*01_Inputs!$C$23,"")</f>
        <v/>
      </c>
      <c r="K18" s="3" t="str">
        <f aca="false">IF(K$5&gt;$B18,ABS(10/(K$5-$B18)-1)-(K$5-$B18)*01_Inputs!$C$23,"")</f>
        <v/>
      </c>
      <c r="L18" s="3" t="str">
        <f aca="false">IF(L$5&gt;$B18,ABS(10/(L$5-$B18)-1)-(L$5-$B18)*01_Inputs!$C$23,"")</f>
        <v/>
      </c>
      <c r="M18" s="3" t="str">
        <f aca="false">IF(M$5&gt;$B18,ABS(10/(M$5-$B18)-1)-(M$5-$B18)*01_Inputs!$C$23,"")</f>
        <v/>
      </c>
      <c r="N18" s="3" t="str">
        <f aca="false">IF(N$5&gt;$B18,ABS(10/(N$5-$B18)-1)-(N$5-$B18)*01_Inputs!$C$23,"")</f>
        <v/>
      </c>
      <c r="O18" s="3" t="str">
        <f aca="false">IF(O$5&gt;$B18,ABS(10/(O$5-$B18)-1)-(O$5-$B18)*01_Inputs!$C$23,"")</f>
        <v/>
      </c>
      <c r="P18" s="3" t="str">
        <f aca="false">IF(P$5&gt;$B18,ABS(10/(P$5-$B18)-1)-(P$5-$B18)*01_Inputs!$C$23,"")</f>
        <v/>
      </c>
      <c r="Q18" s="3" t="str">
        <f aca="false">IF(Q$5&gt;$B18,ABS(10/(Q$5-$B18)-1)-(Q$5-$B18)*01_Inputs!$C$23,"")</f>
        <v/>
      </c>
      <c r="R18" s="3" t="str">
        <f aca="false">IF(R$5&gt;$B18,ABS(10/(R$5-$B18)-1)-(R$5-$B18)*01_Inputs!$C$23,"")</f>
        <v/>
      </c>
      <c r="S18" s="3" t="str">
        <f aca="false">IF(S$5&gt;$B18,ABS(10/(S$5-$B18)-1)-(S$5-$B18)*01_Inputs!$C$23,"")</f>
        <v/>
      </c>
      <c r="T18" s="3" t="str">
        <f aca="false">IF(T$5&gt;$B18,ABS(10/(T$5-$B18)-1)-(T$5-$B18)*01_Inputs!$C$23,"")</f>
        <v/>
      </c>
      <c r="U18" s="3" t="str">
        <f aca="false">IF(U$5&gt;$B18,ABS(10/(U$5-$B18)-1)-(U$5-$B18)*01_Inputs!$C$23,"")</f>
        <v/>
      </c>
      <c r="V18" s="3" t="n">
        <f aca="false">IF(V$5&gt;$B18,ABS(10/(V$5-$B18)-1)-(V$5-$B18)*01_Inputs!$C$23,"")</f>
        <v>2.33333333033333</v>
      </c>
      <c r="W18" s="3" t="n">
        <f aca="false">IF(W$5&gt;$B18,ABS(10/(W$5-$B18)-1)-(W$5-$B18)*01_Inputs!$C$23,"")</f>
        <v>0.111111102111111</v>
      </c>
      <c r="X18" s="3" t="n">
        <f aca="false">IF(X$5&gt;$B18,ABS(10/(X$5-$B18)-1)-(X$5-$B18)*01_Inputs!$C$23,"")</f>
        <v>0.090909079909091</v>
      </c>
      <c r="Y18" s="3" t="n">
        <f aca="false">IF(Y$5&gt;$B18,ABS(10/(Y$5-$B18)-1)-(Y$5-$B18)*01_Inputs!$C$23,"")</f>
        <v>0.642857114857143</v>
      </c>
      <c r="Z18" s="3" t="n">
        <f aca="false">IF(Z$5&gt;$B18,ABS(10/(Z$5-$B18)-1)-(Z$5-$B18)*01_Inputs!$C$23,"")</f>
        <v>0.655172384793104</v>
      </c>
      <c r="AA18" s="3" t="n">
        <f aca="false">IF(AA$5&gt;$B18,ABS(10/(AA$5-$B18)-1)-(AA$5-$B18)*01_Inputs!$C$23,"")</f>
        <v>0.743589704589744</v>
      </c>
      <c r="AB18" s="3" t="n">
        <f aca="false">IF(AB$5&gt;$B18,ABS(10/(AB$5-$B18)-1)-(AB$5-$B18)*01_Inputs!$C$23,"")</f>
        <v>0.803921517627451</v>
      </c>
      <c r="AC18" s="3" t="n">
        <f aca="false">IF(AC$5&gt;$B18,ABS(10/(AC$5-$B18)-1)-(AC$5-$B18)*01_Inputs!$C$23,"")</f>
        <v>0.833333273333333</v>
      </c>
      <c r="AD18" s="3" t="n">
        <f aca="false">IF(AD$5&gt;$B18,ABS(10/(AD$5-$B18)-1)-(AD$5-$B18)*01_Inputs!$C$23,"")</f>
        <v>0.838709615419355</v>
      </c>
      <c r="AE18" s="3" t="n">
        <f aca="false">IF(AE$5&gt;$B18,ABS(10/(AE$5-$B18)-1)-(AE$5-$B18)*01_Inputs!$C$23,"")</f>
        <v>0.841269778269841</v>
      </c>
      <c r="AF18" s="3" t="n">
        <f aca="false">IF(AF$5&gt;$B18,ABS(10/(AF$5-$B18)-1)-(AF$5-$B18)*01_Inputs!$C$23,"")</f>
        <v>0.864864790864865</v>
      </c>
      <c r="AG18" s="3" t="n">
        <f aca="false">IF(AG$5&gt;$B18,ABS(10/(AG$5-$B18)-1)-(AG$5-$B18)*01_Inputs!$C$23,"")</f>
        <v>0.87499992</v>
      </c>
      <c r="AH18" s="3" t="n">
        <f aca="false">IF(AH$5&gt;$B18,ABS(10/(AH$5-$B18)-1)-(AH$5-$B18)*01_Inputs!$C$23,"")</f>
        <v>0.903846049846154</v>
      </c>
      <c r="AI18" s="3" t="n">
        <f aca="false">IF(AI$5&gt;$B18,ABS(10/(AI$5-$B18)-1)-(AI$5-$B18)*01_Inputs!$C$23,"")</f>
        <v>0.905660271358491</v>
      </c>
      <c r="AJ18" s="3" t="n">
        <f aca="false">IF(AJ$5&gt;$B18,ABS(10/(AJ$5-$B18)-1)-(AJ$5-$B18)*01_Inputs!$C$23,"")</f>
        <v>0.916666546666667</v>
      </c>
      <c r="AK18" s="3" t="n">
        <f aca="false">IF(AK$5&gt;$B18,ABS(10/(AK$5-$B18)-1)-(AK$5-$B18)*01_Inputs!$C$23,"")</f>
        <v>0.927007162270073</v>
      </c>
      <c r="AL18" s="3" t="n">
        <f aca="false">IF(AL$5&gt;$B18,ABS(10/(AL$5-$B18)-1)-(AL$5-$B18)*01_Inputs!$C$23,"")</f>
        <v>0.931972642115646</v>
      </c>
      <c r="AM18" s="3" t="n">
        <f aca="false">IF(AM$5&gt;$B18,ABS(10/(AM$5-$B18)-1)-(AM$5-$B18)*01_Inputs!$C$23,"")</f>
        <v>0.93749984</v>
      </c>
      <c r="AN18" s="3" t="n">
        <f aca="false">IF(AN$5&gt;$B18,ABS(10/(AN$5-$B18)-1)-(AN$5-$B18)*01_Inputs!$C$23,"")</f>
        <v>0.937888037757764</v>
      </c>
      <c r="AO18" s="3" t="n">
        <f aca="false">IF(AO$5&gt;$B18,ABS(10/(AO$5-$B18)-1)-(AO$5-$B18)*01_Inputs!$C$23,"")</f>
        <v>0.938271442938272</v>
      </c>
      <c r="AP18" s="3" t="n">
        <f aca="false">IF(AP$5&gt;$B18,ABS(10/(AP$5-$B18)-1)-(AP$5-$B18)*01_Inputs!$C$23,"")</f>
        <v>0.940828233366864</v>
      </c>
      <c r="AQ18" s="3" t="n">
        <f aca="false">IF(AQ$5&gt;$B18,ABS(10/(AQ$5-$B18)-1)-(AQ$5-$B18)*01_Inputs!$C$23,"")</f>
        <v>0.941176300588235</v>
      </c>
      <c r="AR18" s="3" t="n">
        <f aca="false">IF(AR$5&gt;$B18,ABS(10/(AR$5-$B18)-1)-(AR$5-$B18)*01_Inputs!$C$23,"")</f>
        <v>0.942196358791908</v>
      </c>
      <c r="AS18" s="3" t="n">
        <f aca="false">IF(AS$5&gt;$B18,ABS(10/(AS$5-$B18)-1)-(AS$5-$B18)*01_Inputs!$C$23,"")</f>
        <v>0.943502647858757</v>
      </c>
      <c r="AT18" s="3" t="n">
        <f aca="false">IF(AT$5&gt;$B18,ABS(10/(AT$5-$B18)-1)-(AT$5-$B18)*01_Inputs!$C$23,"")</f>
        <v>0.945355008256831</v>
      </c>
      <c r="AU18" s="3" t="n">
        <f aca="false">IF(AU$5&gt;$B18,ABS(10/(AU$5-$B18)-1)-(AU$5-$B18)*01_Inputs!$C$23,"")</f>
        <v>0.945945760945946</v>
      </c>
      <c r="AV18" s="3" t="n">
        <f aca="false">IF(AV$5&gt;$B18,ABS(10/(AV$5-$B18)-1)-(AV$5-$B18)*01_Inputs!$C$23,"")</f>
        <v>0.947643788057592</v>
      </c>
      <c r="AW18" s="3" t="n">
        <f aca="false">IF(AW$5&gt;$B18,ABS(10/(AW$5-$B18)-1)-(AW$5-$B18)*01_Inputs!$C$23,"")</f>
        <v>0.948717753717949</v>
      </c>
      <c r="AX18" s="3" t="n">
        <f aca="false">IF(AX$5&gt;$B18,ABS(10/(AX$5-$B18)-1)-(AX$5-$B18)*01_Inputs!$C$23,"")</f>
        <v>0.9499998</v>
      </c>
      <c r="AY18" s="3" t="n">
        <f aca="false">IF(AY$5&gt;$B18,ABS(10/(AY$5-$B18)-1)-(AY$5-$B18)*01_Inputs!$C$23,"")</f>
        <v>0.95260642407109</v>
      </c>
      <c r="AZ18" s="3" t="n">
        <f aca="false">IF(AZ$5&gt;$B18,ABS(10/(AZ$5-$B18)-1)-(AZ$5-$B18)*01_Inputs!$C$23,"")</f>
        <v>0.953916833691244</v>
      </c>
    </row>
    <row r="19" customFormat="false" ht="15" hidden="false" customHeight="false" outlineLevel="0" collapsed="false">
      <c r="A19" s="9" t="n">
        <v>14</v>
      </c>
      <c r="B19" s="9" t="n">
        <f aca="false">01_Inputs!$B$54</f>
        <v>62</v>
      </c>
      <c r="C19" s="17" t="n">
        <f aca="false">MIN(I19:AZ19)</f>
        <v>0.249999992</v>
      </c>
      <c r="D19" s="9" t="n">
        <f aca="false">MATCH($C19,I19:AZ19,0)</f>
        <v>16</v>
      </c>
      <c r="E19" s="9" t="n">
        <f aca="false">INDEX(I$5:AZ$5,1,$D19)</f>
        <v>70</v>
      </c>
      <c r="F19" s="9" t="n">
        <f aca="false">$E19-$B19</f>
        <v>8</v>
      </c>
      <c r="I19" s="3" t="str">
        <f aca="false">IF(I$5&gt;$B19,ABS(10/(I$5-$B19)-1)-(I$5-$B19)*01_Inputs!$C$23,"")</f>
        <v/>
      </c>
      <c r="J19" s="3" t="str">
        <f aca="false">IF(J$5&gt;$B19,ABS(10/(J$5-$B19)-1)-(J$5-$B19)*01_Inputs!$C$23,"")</f>
        <v/>
      </c>
      <c r="K19" s="3" t="str">
        <f aca="false">IF(K$5&gt;$B19,ABS(10/(K$5-$B19)-1)-(K$5-$B19)*01_Inputs!$C$23,"")</f>
        <v/>
      </c>
      <c r="L19" s="3" t="str">
        <f aca="false">IF(L$5&gt;$B19,ABS(10/(L$5-$B19)-1)-(L$5-$B19)*01_Inputs!$C$23,"")</f>
        <v/>
      </c>
      <c r="M19" s="3" t="str">
        <f aca="false">IF(M$5&gt;$B19,ABS(10/(M$5-$B19)-1)-(M$5-$B19)*01_Inputs!$C$23,"")</f>
        <v/>
      </c>
      <c r="N19" s="3" t="str">
        <f aca="false">IF(N$5&gt;$B19,ABS(10/(N$5-$B19)-1)-(N$5-$B19)*01_Inputs!$C$23,"")</f>
        <v/>
      </c>
      <c r="O19" s="3" t="str">
        <f aca="false">IF(O$5&gt;$B19,ABS(10/(O$5-$B19)-1)-(O$5-$B19)*01_Inputs!$C$23,"")</f>
        <v/>
      </c>
      <c r="P19" s="3" t="str">
        <f aca="false">IF(P$5&gt;$B19,ABS(10/(P$5-$B19)-1)-(P$5-$B19)*01_Inputs!$C$23,"")</f>
        <v/>
      </c>
      <c r="Q19" s="3" t="str">
        <f aca="false">IF(Q$5&gt;$B19,ABS(10/(Q$5-$B19)-1)-(Q$5-$B19)*01_Inputs!$C$23,"")</f>
        <v/>
      </c>
      <c r="R19" s="3" t="str">
        <f aca="false">IF(R$5&gt;$B19,ABS(10/(R$5-$B19)-1)-(R$5-$B19)*01_Inputs!$C$23,"")</f>
        <v/>
      </c>
      <c r="S19" s="3" t="str">
        <f aca="false">IF(S$5&gt;$B19,ABS(10/(S$5-$B19)-1)-(S$5-$B19)*01_Inputs!$C$23,"")</f>
        <v/>
      </c>
      <c r="T19" s="3" t="str">
        <f aca="false">IF(T$5&gt;$B19,ABS(10/(T$5-$B19)-1)-(T$5-$B19)*01_Inputs!$C$23,"")</f>
        <v/>
      </c>
      <c r="U19" s="3" t="str">
        <f aca="false">IF(U$5&gt;$B19,ABS(10/(U$5-$B19)-1)-(U$5-$B19)*01_Inputs!$C$23,"")</f>
        <v/>
      </c>
      <c r="V19" s="3" t="str">
        <f aca="false">IF(V$5&gt;$B19,ABS(10/(V$5-$B19)-1)-(V$5-$B19)*01_Inputs!$C$23,"")</f>
        <v/>
      </c>
      <c r="W19" s="3" t="n">
        <f aca="false">IF(W$5&gt;$B19,ABS(10/(W$5-$B19)-1)-(W$5-$B19)*01_Inputs!$C$23,"")</f>
        <v>0.666666660666667</v>
      </c>
      <c r="X19" s="3" t="n">
        <f aca="false">IF(X$5&gt;$B19,ABS(10/(X$5-$B19)-1)-(X$5-$B19)*01_Inputs!$C$23,"")</f>
        <v>0.249999992</v>
      </c>
      <c r="Y19" s="3" t="n">
        <f aca="false">IF(Y$5&gt;$B19,ABS(10/(Y$5-$B19)-1)-(Y$5-$B19)*01_Inputs!$C$23,"")</f>
        <v>0.599999975</v>
      </c>
      <c r="Z19" s="3" t="n">
        <f aca="false">IF(Z$5&gt;$B19,ABS(10/(Z$5-$B19)-1)-(Z$5-$B19)*01_Inputs!$C$23,"")</f>
        <v>0.615384589384615</v>
      </c>
      <c r="AA19" s="3" t="n">
        <f aca="false">IF(AA$5&gt;$B19,ABS(10/(AA$5-$B19)-1)-(AA$5-$B19)*01_Inputs!$C$23,"")</f>
        <v>0.722222186222222</v>
      </c>
      <c r="AB19" s="3" t="n">
        <f aca="false">IF(AB$5&gt;$B19,ABS(10/(AB$5-$B19)-1)-(AB$5-$B19)*01_Inputs!$C$23,"")</f>
        <v>0.791666618666667</v>
      </c>
      <c r="AC19" s="3" t="n">
        <f aca="false">IF(AC$5&gt;$B19,ABS(10/(AC$5-$B19)-1)-(AC$5-$B19)*01_Inputs!$C$23,"")</f>
        <v>0.824561346508772</v>
      </c>
      <c r="AD19" s="3" t="n">
        <f aca="false">IF(AD$5&gt;$B19,ABS(10/(AD$5-$B19)-1)-(AD$5-$B19)*01_Inputs!$C$23,"")</f>
        <v>0.830508415576271</v>
      </c>
      <c r="AE19" s="3" t="n">
        <f aca="false">IF(AE$5&gt;$B19,ABS(10/(AE$5-$B19)-1)-(AE$5-$B19)*01_Inputs!$C$23,"")</f>
        <v>0.833333273333333</v>
      </c>
      <c r="AF19" s="3" t="n">
        <f aca="false">IF(AF$5&gt;$B19,ABS(10/(AF$5-$B19)-1)-(AF$5-$B19)*01_Inputs!$C$23,"")</f>
        <v>0.859154858577465</v>
      </c>
      <c r="AG19" s="3" t="n">
        <f aca="false">IF(AG$5&gt;$B19,ABS(10/(AG$5-$B19)-1)-(AG$5-$B19)*01_Inputs!$C$23,"")</f>
        <v>0.87012979312987</v>
      </c>
      <c r="AH19" s="3" t="n">
        <f aca="false">IF(AH$5&gt;$B19,ABS(10/(AH$5-$B19)-1)-(AH$5-$B19)*01_Inputs!$C$23,"")</f>
        <v>0.900989998009901</v>
      </c>
      <c r="AI19" s="3" t="n">
        <f aca="false">IF(AI$5&gt;$B19,ABS(10/(AI$5-$B19)-1)-(AI$5-$B19)*01_Inputs!$C$23,"")</f>
        <v>0.902912518359223</v>
      </c>
      <c r="AJ19" s="3" t="n">
        <f aca="false">IF(AJ$5&gt;$B19,ABS(10/(AJ$5-$B19)-1)-(AJ$5-$B19)*01_Inputs!$C$23,"")</f>
        <v>0.914529797529915</v>
      </c>
      <c r="AK19" s="3" t="n">
        <f aca="false">IF(AK$5&gt;$B19,ABS(10/(AK$5-$B19)-1)-(AK$5-$B19)*01_Inputs!$C$23,"")</f>
        <v>0.925373000328358</v>
      </c>
      <c r="AL19" s="3" t="n">
        <f aca="false">IF(AL$5&gt;$B19,ABS(10/(AL$5-$B19)-1)-(AL$5-$B19)*01_Inputs!$C$23,"")</f>
        <v>0.930555411555556</v>
      </c>
      <c r="AM19" s="3" t="n">
        <f aca="false">IF(AM$5&gt;$B19,ABS(10/(AM$5-$B19)-1)-(AM$5-$B19)*01_Inputs!$C$23,"")</f>
        <v>0.936305575484076</v>
      </c>
      <c r="AN19" s="3" t="n">
        <f aca="false">IF(AN$5&gt;$B19,ABS(10/(AN$5-$B19)-1)-(AN$5-$B19)*01_Inputs!$C$23,"")</f>
        <v>0.936708702759494</v>
      </c>
      <c r="AO19" s="3" t="n">
        <f aca="false">IF(AO$5&gt;$B19,ABS(10/(AO$5-$B19)-1)-(AO$5-$B19)*01_Inputs!$C$23,"")</f>
        <v>0.937106759238994</v>
      </c>
      <c r="AP19" s="3" t="n">
        <f aca="false">IF(AP$5&gt;$B19,ABS(10/(AP$5-$B19)-1)-(AP$5-$B19)*01_Inputs!$C$23,"")</f>
        <v>0.939758870144578</v>
      </c>
      <c r="AQ19" s="3" t="n">
        <f aca="false">IF(AQ$5&gt;$B19,ABS(10/(AQ$5-$B19)-1)-(AQ$5-$B19)*01_Inputs!$C$23,"")</f>
        <v>0.940119593479042</v>
      </c>
      <c r="AR19" s="3" t="n">
        <f aca="false">IF(AR$5&gt;$B19,ABS(10/(AR$5-$B19)-1)-(AR$5-$B19)*01_Inputs!$C$23,"")</f>
        <v>0.941176300588235</v>
      </c>
      <c r="AS19" s="3" t="n">
        <f aca="false">IF(AS$5&gt;$B19,ABS(10/(AS$5-$B19)-1)-(AS$5-$B19)*01_Inputs!$C$23,"")</f>
        <v>0.942528561632184</v>
      </c>
      <c r="AT19" s="3" t="n">
        <f aca="false">IF(AT$5&gt;$B19,ABS(10/(AT$5-$B19)-1)-(AT$5-$B19)*01_Inputs!$C$23,"")</f>
        <v>0.944444264444444</v>
      </c>
      <c r="AU19" s="3" t="n">
        <f aca="false">IF(AU$5&gt;$B19,ABS(10/(AU$5-$B19)-1)-(AU$5-$B19)*01_Inputs!$C$23,"")</f>
        <v>0.945054763054945</v>
      </c>
      <c r="AV19" s="3" t="n">
        <f aca="false">IF(AV$5&gt;$B19,ABS(10/(AV$5-$B19)-1)-(AV$5-$B19)*01_Inputs!$C$23,"")</f>
        <v>0.946808322638298</v>
      </c>
      <c r="AW19" s="3" t="n">
        <f aca="false">IF(AW$5&gt;$B19,ABS(10/(AW$5-$B19)-1)-(AW$5-$B19)*01_Inputs!$C$23,"")</f>
        <v>0.947916474666667</v>
      </c>
      <c r="AX19" s="3" t="n">
        <f aca="false">IF(AX$5&gt;$B19,ABS(10/(AX$5-$B19)-1)-(AX$5-$B19)*01_Inputs!$C$23,"")</f>
        <v>0.949238381680203</v>
      </c>
      <c r="AY19" s="3" t="n">
        <f aca="false">IF(AY$5&gt;$B19,ABS(10/(AY$5-$B19)-1)-(AY$5-$B19)*01_Inputs!$C$23,"")</f>
        <v>0.951922868923077</v>
      </c>
      <c r="AZ19" s="3" t="n">
        <f aca="false">IF(AZ$5&gt;$B19,ABS(10/(AZ$5-$B19)-1)-(AZ$5-$B19)*01_Inputs!$C$23,"")</f>
        <v>0.953270814037383</v>
      </c>
    </row>
    <row r="20" customFormat="false" ht="15" hidden="false" customHeight="false" outlineLevel="0" collapsed="false">
      <c r="A20" s="9" t="n">
        <v>15</v>
      </c>
      <c r="B20" s="9" t="n">
        <f aca="false">01_Inputs!$B$55</f>
        <v>68</v>
      </c>
      <c r="C20" s="17" t="n">
        <f aca="false">MIN(I20:AZ20)</f>
        <v>0.473684191526316</v>
      </c>
      <c r="D20" s="9" t="n">
        <f aca="false">MATCH($C20,I20:AZ20,0)</f>
        <v>17</v>
      </c>
      <c r="E20" s="9" t="n">
        <f aca="false">INDEX(I$5:AZ$5,1,$D20)</f>
        <v>87</v>
      </c>
      <c r="F20" s="9" t="n">
        <f aca="false">$E20-$B20</f>
        <v>19</v>
      </c>
      <c r="I20" s="3" t="str">
        <f aca="false">IF(I$5&gt;$B20,ABS(10/(I$5-$B20)-1)-(I$5-$B20)*01_Inputs!$C$23,"")</f>
        <v/>
      </c>
      <c r="J20" s="3" t="str">
        <f aca="false">IF(J$5&gt;$B20,ABS(10/(J$5-$B20)-1)-(J$5-$B20)*01_Inputs!$C$23,"")</f>
        <v/>
      </c>
      <c r="K20" s="3" t="str">
        <f aca="false">IF(K$5&gt;$B20,ABS(10/(K$5-$B20)-1)-(K$5-$B20)*01_Inputs!$C$23,"")</f>
        <v/>
      </c>
      <c r="L20" s="3" t="str">
        <f aca="false">IF(L$5&gt;$B20,ABS(10/(L$5-$B20)-1)-(L$5-$B20)*01_Inputs!$C$23,"")</f>
        <v/>
      </c>
      <c r="M20" s="3" t="str">
        <f aca="false">IF(M$5&gt;$B20,ABS(10/(M$5-$B20)-1)-(M$5-$B20)*01_Inputs!$C$23,"")</f>
        <v/>
      </c>
      <c r="N20" s="3" t="str">
        <f aca="false">IF(N$5&gt;$B20,ABS(10/(N$5-$B20)-1)-(N$5-$B20)*01_Inputs!$C$23,"")</f>
        <v/>
      </c>
      <c r="O20" s="3" t="str">
        <f aca="false">IF(O$5&gt;$B20,ABS(10/(O$5-$B20)-1)-(O$5-$B20)*01_Inputs!$C$23,"")</f>
        <v/>
      </c>
      <c r="P20" s="3" t="str">
        <f aca="false">IF(P$5&gt;$B20,ABS(10/(P$5-$B20)-1)-(P$5-$B20)*01_Inputs!$C$23,"")</f>
        <v/>
      </c>
      <c r="Q20" s="3" t="str">
        <f aca="false">IF(Q$5&gt;$B20,ABS(10/(Q$5-$B20)-1)-(Q$5-$B20)*01_Inputs!$C$23,"")</f>
        <v/>
      </c>
      <c r="R20" s="3" t="str">
        <f aca="false">IF(R$5&gt;$B20,ABS(10/(R$5-$B20)-1)-(R$5-$B20)*01_Inputs!$C$23,"")</f>
        <v/>
      </c>
      <c r="S20" s="3" t="str">
        <f aca="false">IF(S$5&gt;$B20,ABS(10/(S$5-$B20)-1)-(S$5-$B20)*01_Inputs!$C$23,"")</f>
        <v/>
      </c>
      <c r="T20" s="3" t="str">
        <f aca="false">IF(T$5&gt;$B20,ABS(10/(T$5-$B20)-1)-(T$5-$B20)*01_Inputs!$C$23,"")</f>
        <v/>
      </c>
      <c r="U20" s="3" t="str">
        <f aca="false">IF(U$5&gt;$B20,ABS(10/(U$5-$B20)-1)-(U$5-$B20)*01_Inputs!$C$23,"")</f>
        <v/>
      </c>
      <c r="V20" s="3" t="str">
        <f aca="false">IF(V$5&gt;$B20,ABS(10/(V$5-$B20)-1)-(V$5-$B20)*01_Inputs!$C$23,"")</f>
        <v/>
      </c>
      <c r="W20" s="3" t="str">
        <f aca="false">IF(W$5&gt;$B20,ABS(10/(W$5-$B20)-1)-(W$5-$B20)*01_Inputs!$C$23,"")</f>
        <v/>
      </c>
      <c r="X20" s="3" t="n">
        <f aca="false">IF(X$5&gt;$B20,ABS(10/(X$5-$B20)-1)-(X$5-$B20)*01_Inputs!$C$23,"")</f>
        <v>3.999999998</v>
      </c>
      <c r="Y20" s="3" t="n">
        <f aca="false">IF(Y$5&gt;$B20,ABS(10/(Y$5-$B20)-1)-(Y$5-$B20)*01_Inputs!$C$23,"")</f>
        <v>0.473684191526316</v>
      </c>
      <c r="Z20" s="3" t="n">
        <f aca="false">IF(Z$5&gt;$B20,ABS(10/(Z$5-$B20)-1)-(Z$5-$B20)*01_Inputs!$C$23,"")</f>
        <v>0.49999998</v>
      </c>
      <c r="AA20" s="3" t="n">
        <f aca="false">IF(AA$5&gt;$B20,ABS(10/(AA$5-$B20)-1)-(AA$5-$B20)*01_Inputs!$C$23,"")</f>
        <v>0.666666636666667</v>
      </c>
      <c r="AB20" s="3" t="n">
        <f aca="false">IF(AB$5&gt;$B20,ABS(10/(AB$5-$B20)-1)-(AB$5-$B20)*01_Inputs!$C$23,"")</f>
        <v>0.761904719904762</v>
      </c>
      <c r="AC20" s="3" t="n">
        <f aca="false">IF(AC$5&gt;$B20,ABS(10/(AC$5-$B20)-1)-(AC$5-$B20)*01_Inputs!$C$23,"")</f>
        <v>0.803921517627451</v>
      </c>
      <c r="AD20" s="3" t="n">
        <f aca="false">IF(AD$5&gt;$B20,ABS(10/(AD$5-$B20)-1)-(AD$5-$B20)*01_Inputs!$C$23,"")</f>
        <v>0.811320701716981</v>
      </c>
      <c r="AE20" s="3" t="n">
        <f aca="false">IF(AE$5&gt;$B20,ABS(10/(AE$5-$B20)-1)-(AE$5-$B20)*01_Inputs!$C$23,"")</f>
        <v>0.814814760814815</v>
      </c>
      <c r="AF20" s="3" t="n">
        <f aca="false">IF(AF$5&gt;$B20,ABS(10/(AF$5-$B20)-1)-(AF$5-$B20)*01_Inputs!$C$23,"")</f>
        <v>0.846153781153846</v>
      </c>
      <c r="AG20" s="3" t="n">
        <f aca="false">IF(AG$5&gt;$B20,ABS(10/(AG$5-$B20)-1)-(AG$5-$B20)*01_Inputs!$C$23,"")</f>
        <v>0.859154858577465</v>
      </c>
      <c r="AH20" s="3" t="n">
        <f aca="false">IF(AH$5&gt;$B20,ABS(10/(AH$5-$B20)-1)-(AH$5-$B20)*01_Inputs!$C$23,"")</f>
        <v>0.894736747105263</v>
      </c>
      <c r="AI20" s="3" t="n">
        <f aca="false">IF(AI$5&gt;$B20,ABS(10/(AI$5-$B20)-1)-(AI$5-$B20)*01_Inputs!$C$23,"")</f>
        <v>0.896907119494845</v>
      </c>
      <c r="AJ20" s="3" t="n">
        <f aca="false">IF(AJ$5&gt;$B20,ABS(10/(AJ$5-$B20)-1)-(AJ$5-$B20)*01_Inputs!$C$23,"")</f>
        <v>0.90990979890991</v>
      </c>
      <c r="AK20" s="3" t="n">
        <f aca="false">IF(AK$5&gt;$B20,ABS(10/(AK$5-$B20)-1)-(AK$5-$B20)*01_Inputs!$C$23,"")</f>
        <v>0.921874872</v>
      </c>
      <c r="AL20" s="3" t="n">
        <f aca="false">IF(AL$5&gt;$B20,ABS(10/(AL$5-$B20)-1)-(AL$5-$B20)*01_Inputs!$C$23,"")</f>
        <v>0.927536093884058</v>
      </c>
      <c r="AM20" s="3" t="n">
        <f aca="false">IF(AM$5&gt;$B20,ABS(10/(AM$5-$B20)-1)-(AM$5-$B20)*01_Inputs!$C$23,"")</f>
        <v>0.933774683437086</v>
      </c>
      <c r="AN20" s="3" t="n">
        <f aca="false">IF(AN$5&gt;$B20,ABS(10/(AN$5-$B20)-1)-(AN$5-$B20)*01_Inputs!$C$23,"")</f>
        <v>0.93421037431579</v>
      </c>
      <c r="AO20" s="3" t="n">
        <f aca="false">IF(AO$5&gt;$B20,ABS(10/(AO$5-$B20)-1)-(AO$5-$B20)*01_Inputs!$C$23,"")</f>
        <v>0.934640369875817</v>
      </c>
      <c r="AP20" s="3" t="n">
        <f aca="false">IF(AP$5&gt;$B20,ABS(10/(AP$5-$B20)-1)-(AP$5-$B20)*01_Inputs!$C$23,"")</f>
        <v>0.93749984</v>
      </c>
      <c r="AQ20" s="3" t="n">
        <f aca="false">IF(AQ$5&gt;$B20,ABS(10/(AQ$5-$B20)-1)-(AQ$5-$B20)*01_Inputs!$C$23,"")</f>
        <v>0.937888037757764</v>
      </c>
      <c r="AR20" s="3" t="n">
        <f aca="false">IF(AR$5&gt;$B20,ABS(10/(AR$5-$B20)-1)-(AR$5-$B20)*01_Inputs!$C$23,"")</f>
        <v>0.939024226243902</v>
      </c>
      <c r="AS20" s="3" t="n">
        <f aca="false">IF(AS$5&gt;$B20,ABS(10/(AS$5-$B20)-1)-(AS$5-$B20)*01_Inputs!$C$23,"")</f>
        <v>0.94047602247619</v>
      </c>
      <c r="AT20" s="3" t="n">
        <f aca="false">IF(AT$5&gt;$B20,ABS(10/(AT$5-$B20)-1)-(AT$5-$B20)*01_Inputs!$C$23,"")</f>
        <v>0.942528561632184</v>
      </c>
      <c r="AU20" s="3" t="n">
        <f aca="false">IF(AU$5&gt;$B20,ABS(10/(AU$5-$B20)-1)-(AU$5-$B20)*01_Inputs!$C$23,"")</f>
        <v>0.943181642181818</v>
      </c>
      <c r="AV20" s="3" t="n">
        <f aca="false">IF(AV$5&gt;$B20,ABS(10/(AV$5-$B20)-1)-(AV$5-$B20)*01_Inputs!$C$23,"")</f>
        <v>0.945054763054945</v>
      </c>
      <c r="AW20" s="3" t="n">
        <f aca="false">IF(AW$5&gt;$B20,ABS(10/(AW$5-$B20)-1)-(AW$5-$B20)*01_Inputs!$C$23,"")</f>
        <v>0.946236373139785</v>
      </c>
      <c r="AX20" s="3" t="n">
        <f aca="false">IF(AX$5&gt;$B20,ABS(10/(AX$5-$B20)-1)-(AX$5-$B20)*01_Inputs!$C$23,"")</f>
        <v>0.947643788057592</v>
      </c>
      <c r="AY20" s="3" t="n">
        <f aca="false">IF(AY$5&gt;$B20,ABS(10/(AY$5-$B20)-1)-(AY$5-$B20)*01_Inputs!$C$23,"")</f>
        <v>0.950494847504951</v>
      </c>
      <c r="AZ20" s="3" t="n">
        <f aca="false">IF(AZ$5&gt;$B20,ABS(10/(AZ$5-$B20)-1)-(AZ$5-$B20)*01_Inputs!$C$23,"")</f>
        <v>0.951922868923077</v>
      </c>
    </row>
    <row r="21" customFormat="false" ht="15" hidden="false" customHeight="false" outlineLevel="0" collapsed="false">
      <c r="A21" s="9" t="n">
        <v>16</v>
      </c>
      <c r="B21" s="9" t="n">
        <f aca="false">01_Inputs!$B$56</f>
        <v>70</v>
      </c>
      <c r="C21" s="17" t="n">
        <f aca="false">MIN(I21:AZ21)</f>
        <v>0.411764688882353</v>
      </c>
      <c r="D21" s="9" t="n">
        <f aca="false">MATCH($C21,I21:AZ21,0)</f>
        <v>17</v>
      </c>
      <c r="E21" s="9" t="n">
        <f aca="false">INDEX(I$5:AZ$5,1,$D21)</f>
        <v>87</v>
      </c>
      <c r="F21" s="9" t="n">
        <f aca="false">$E21-$B21</f>
        <v>17</v>
      </c>
      <c r="I21" s="3" t="str">
        <f aca="false">IF(I$5&gt;$B21,ABS(10/(I$5-$B21)-1)-(I$5-$B21)*01_Inputs!$C$23,"")</f>
        <v/>
      </c>
      <c r="J21" s="3" t="str">
        <f aca="false">IF(J$5&gt;$B21,ABS(10/(J$5-$B21)-1)-(J$5-$B21)*01_Inputs!$C$23,"")</f>
        <v/>
      </c>
      <c r="K21" s="3" t="str">
        <f aca="false">IF(K$5&gt;$B21,ABS(10/(K$5-$B21)-1)-(K$5-$B21)*01_Inputs!$C$23,"")</f>
        <v/>
      </c>
      <c r="L21" s="3" t="str">
        <f aca="false">IF(L$5&gt;$B21,ABS(10/(L$5-$B21)-1)-(L$5-$B21)*01_Inputs!$C$23,"")</f>
        <v/>
      </c>
      <c r="M21" s="3" t="str">
        <f aca="false">IF(M$5&gt;$B21,ABS(10/(M$5-$B21)-1)-(M$5-$B21)*01_Inputs!$C$23,"")</f>
        <v/>
      </c>
      <c r="N21" s="3" t="str">
        <f aca="false">IF(N$5&gt;$B21,ABS(10/(N$5-$B21)-1)-(N$5-$B21)*01_Inputs!$C$23,"")</f>
        <v/>
      </c>
      <c r="O21" s="3" t="str">
        <f aca="false">IF(O$5&gt;$B21,ABS(10/(O$5-$B21)-1)-(O$5-$B21)*01_Inputs!$C$23,"")</f>
        <v/>
      </c>
      <c r="P21" s="3" t="str">
        <f aca="false">IF(P$5&gt;$B21,ABS(10/(P$5-$B21)-1)-(P$5-$B21)*01_Inputs!$C$23,"")</f>
        <v/>
      </c>
      <c r="Q21" s="3" t="str">
        <f aca="false">IF(Q$5&gt;$B21,ABS(10/(Q$5-$B21)-1)-(Q$5-$B21)*01_Inputs!$C$23,"")</f>
        <v/>
      </c>
      <c r="R21" s="3" t="str">
        <f aca="false">IF(R$5&gt;$B21,ABS(10/(R$5-$B21)-1)-(R$5-$B21)*01_Inputs!$C$23,"")</f>
        <v/>
      </c>
      <c r="S21" s="3" t="str">
        <f aca="false">IF(S$5&gt;$B21,ABS(10/(S$5-$B21)-1)-(S$5-$B21)*01_Inputs!$C$23,"")</f>
        <v/>
      </c>
      <c r="T21" s="3" t="str">
        <f aca="false">IF(T$5&gt;$B21,ABS(10/(T$5-$B21)-1)-(T$5-$B21)*01_Inputs!$C$23,"")</f>
        <v/>
      </c>
      <c r="U21" s="3" t="str">
        <f aca="false">IF(U$5&gt;$B21,ABS(10/(U$5-$B21)-1)-(U$5-$B21)*01_Inputs!$C$23,"")</f>
        <v/>
      </c>
      <c r="V21" s="3" t="str">
        <f aca="false">IF(V$5&gt;$B21,ABS(10/(V$5-$B21)-1)-(V$5-$B21)*01_Inputs!$C$23,"")</f>
        <v/>
      </c>
      <c r="W21" s="3" t="str">
        <f aca="false">IF(W$5&gt;$B21,ABS(10/(W$5-$B21)-1)-(W$5-$B21)*01_Inputs!$C$23,"")</f>
        <v/>
      </c>
      <c r="X21" s="3" t="str">
        <f aca="false">IF(X$5&gt;$B21,ABS(10/(X$5-$B21)-1)-(X$5-$B21)*01_Inputs!$C$23,"")</f>
        <v/>
      </c>
      <c r="Y21" s="3" t="n">
        <f aca="false">IF(Y$5&gt;$B21,ABS(10/(Y$5-$B21)-1)-(Y$5-$B21)*01_Inputs!$C$23,"")</f>
        <v>0.411764688882353</v>
      </c>
      <c r="Z21" s="3" t="n">
        <f aca="false">IF(Z$5&gt;$B21,ABS(10/(Z$5-$B21)-1)-(Z$5-$B21)*01_Inputs!$C$23,"")</f>
        <v>0.444444426444444</v>
      </c>
      <c r="AA21" s="3" t="n">
        <f aca="false">IF(AA$5&gt;$B21,ABS(10/(AA$5-$B21)-1)-(AA$5-$B21)*01_Inputs!$C$23,"")</f>
        <v>0.642857114857143</v>
      </c>
      <c r="AB21" s="3" t="n">
        <f aca="false">IF(AB$5&gt;$B21,ABS(10/(AB$5-$B21)-1)-(AB$5-$B21)*01_Inputs!$C$23,"")</f>
        <v>0.74999996</v>
      </c>
      <c r="AC21" s="3" t="n">
        <f aca="false">IF(AC$5&gt;$B21,ABS(10/(AC$5-$B21)-1)-(AC$5-$B21)*01_Inputs!$C$23,"")</f>
        <v>0.795918318346939</v>
      </c>
      <c r="AD21" s="3" t="n">
        <f aca="false">IF(AD$5&gt;$B21,ABS(10/(AD$5-$B21)-1)-(AD$5-$B21)*01_Inputs!$C$23,"")</f>
        <v>0.803921517627451</v>
      </c>
      <c r="AE21" s="3" t="n">
        <f aca="false">IF(AE$5&gt;$B21,ABS(10/(AE$5-$B21)-1)-(AE$5-$B21)*01_Inputs!$C$23,"")</f>
        <v>0.807692255692308</v>
      </c>
      <c r="AF21" s="3" t="n">
        <f aca="false">IF(AF$5&gt;$B21,ABS(10/(AF$5-$B21)-1)-(AF$5-$B21)*01_Inputs!$C$23,"")</f>
        <v>0.841269778269841</v>
      </c>
      <c r="AG21" s="3" t="n">
        <f aca="false">IF(AG$5&gt;$B21,ABS(10/(AG$5-$B21)-1)-(AG$5-$B21)*01_Inputs!$C$23,"")</f>
        <v>0.855072394768116</v>
      </c>
      <c r="AH21" s="3" t="n">
        <f aca="false">IF(AH$5&gt;$B21,ABS(10/(AH$5-$B21)-1)-(AH$5-$B21)*01_Inputs!$C$23,"")</f>
        <v>0.89247302527957</v>
      </c>
      <c r="AI21" s="3" t="n">
        <f aca="false">IF(AI$5&gt;$B21,ABS(10/(AI$5-$B21)-1)-(AI$5-$B21)*01_Inputs!$C$23,"")</f>
        <v>0.894736747105263</v>
      </c>
      <c r="AJ21" s="3" t="n">
        <f aca="false">IF(AJ$5&gt;$B21,ABS(10/(AJ$5-$B21)-1)-(AJ$5-$B21)*01_Inputs!$C$23,"")</f>
        <v>0.908256771733945</v>
      </c>
      <c r="AK21" s="3" t="n">
        <f aca="false">IF(AK$5&gt;$B21,ABS(10/(AK$5-$B21)-1)-(AK$5-$B21)*01_Inputs!$C$23,"")</f>
        <v>0.920634794634921</v>
      </c>
      <c r="AL21" s="3" t="n">
        <f aca="false">IF(AL$5&gt;$B21,ABS(10/(AL$5-$B21)-1)-(AL$5-$B21)*01_Inputs!$C$23,"")</f>
        <v>0.926470452235294</v>
      </c>
      <c r="AM21" s="3" t="n">
        <f aca="false">IF(AM$5&gt;$B21,ABS(10/(AM$5-$B21)-1)-(AM$5-$B21)*01_Inputs!$C$23,"")</f>
        <v>0.932885757040268</v>
      </c>
      <c r="AN21" s="3" t="n">
        <f aca="false">IF(AN$5&gt;$B21,ABS(10/(AN$5-$B21)-1)-(AN$5-$B21)*01_Inputs!$C$23,"")</f>
        <v>0.933333183333333</v>
      </c>
      <c r="AO21" s="3" t="n">
        <f aca="false">IF(AO$5&gt;$B21,ABS(10/(AO$5-$B21)-1)-(AO$5-$B21)*01_Inputs!$C$23,"")</f>
        <v>0.933774683437086</v>
      </c>
      <c r="AP21" s="3" t="n">
        <f aca="false">IF(AP$5&gt;$B21,ABS(10/(AP$5-$B21)-1)-(AP$5-$B21)*01_Inputs!$C$23,"")</f>
        <v>0.936708702759494</v>
      </c>
      <c r="AQ21" s="3" t="n">
        <f aca="false">IF(AQ$5&gt;$B21,ABS(10/(AQ$5-$B21)-1)-(AQ$5-$B21)*01_Inputs!$C$23,"")</f>
        <v>0.937106759238994</v>
      </c>
      <c r="AR21" s="3" t="n">
        <f aca="false">IF(AR$5&gt;$B21,ABS(10/(AR$5-$B21)-1)-(AR$5-$B21)*01_Inputs!$C$23,"")</f>
        <v>0.938271442938272</v>
      </c>
      <c r="AS21" s="3" t="n">
        <f aca="false">IF(AS$5&gt;$B21,ABS(10/(AS$5-$B21)-1)-(AS$5-$B21)*01_Inputs!$C$23,"")</f>
        <v>0.939758870144578</v>
      </c>
      <c r="AT21" s="3" t="n">
        <f aca="false">IF(AT$5&gt;$B21,ABS(10/(AT$5-$B21)-1)-(AT$5-$B21)*01_Inputs!$C$23,"")</f>
        <v>0.941860293116279</v>
      </c>
      <c r="AU21" s="3" t="n">
        <f aca="false">IF(AU$5&gt;$B21,ABS(10/(AU$5-$B21)-1)-(AU$5-$B21)*01_Inputs!$C$23,"")</f>
        <v>0.942528561632184</v>
      </c>
      <c r="AV21" s="3" t="n">
        <f aca="false">IF(AV$5&gt;$B21,ABS(10/(AV$5-$B21)-1)-(AV$5-$B21)*01_Inputs!$C$23,"")</f>
        <v>0.944444264444444</v>
      </c>
      <c r="AW21" s="3" t="n">
        <f aca="false">IF(AW$5&gt;$B21,ABS(10/(AW$5-$B21)-1)-(AW$5-$B21)*01_Inputs!$C$23,"")</f>
        <v>0.945651989913043</v>
      </c>
      <c r="AX21" s="3" t="n">
        <f aca="false">IF(AX$5&gt;$B21,ABS(10/(AX$5-$B21)-1)-(AX$5-$B21)*01_Inputs!$C$23,"")</f>
        <v>0.947089758089947</v>
      </c>
      <c r="AY21" s="3" t="n">
        <f aca="false">IF(AY$5&gt;$B21,ABS(10/(AY$5-$B21)-1)-(AY$5-$B21)*01_Inputs!$C$23,"")</f>
        <v>0.9499998</v>
      </c>
      <c r="AZ21" s="3" t="n">
        <f aca="false">IF(AZ$5&gt;$B21,ABS(10/(AZ$5-$B21)-1)-(AZ$5-$B21)*01_Inputs!$C$23,"")</f>
        <v>0.951456104679612</v>
      </c>
    </row>
    <row r="22" customFormat="false" ht="15" hidden="false" customHeight="false" outlineLevel="0" collapsed="false">
      <c r="A22" s="9" t="n">
        <v>17</v>
      </c>
      <c r="B22" s="9" t="n">
        <f aca="false">01_Inputs!$B$57</f>
        <v>87</v>
      </c>
      <c r="C22" s="17" t="n">
        <f aca="false">MIN(I22:AZ22)</f>
        <v>0.090909079909091</v>
      </c>
      <c r="D22" s="9" t="n">
        <f aca="false">MATCH($C22,I22:AZ22,0)</f>
        <v>19</v>
      </c>
      <c r="E22" s="9" t="n">
        <f aca="false">INDEX(I$5:AZ$5,1,$D22)</f>
        <v>98</v>
      </c>
      <c r="F22" s="9" t="n">
        <f aca="false">$E22-$B22</f>
        <v>11</v>
      </c>
      <c r="I22" s="3" t="str">
        <f aca="false">IF(I$5&gt;$B22,ABS(10/(I$5-$B22)-1)-(I$5-$B22)*01_Inputs!$C$23,"")</f>
        <v/>
      </c>
      <c r="J22" s="3" t="str">
        <f aca="false">IF(J$5&gt;$B22,ABS(10/(J$5-$B22)-1)-(J$5-$B22)*01_Inputs!$C$23,"")</f>
        <v/>
      </c>
      <c r="K22" s="3" t="str">
        <f aca="false">IF(K$5&gt;$B22,ABS(10/(K$5-$B22)-1)-(K$5-$B22)*01_Inputs!$C$23,"")</f>
        <v/>
      </c>
      <c r="L22" s="3" t="str">
        <f aca="false">IF(L$5&gt;$B22,ABS(10/(L$5-$B22)-1)-(L$5-$B22)*01_Inputs!$C$23,"")</f>
        <v/>
      </c>
      <c r="M22" s="3" t="str">
        <f aca="false">IF(M$5&gt;$B22,ABS(10/(M$5-$B22)-1)-(M$5-$B22)*01_Inputs!$C$23,"")</f>
        <v/>
      </c>
      <c r="N22" s="3" t="str">
        <f aca="false">IF(N$5&gt;$B22,ABS(10/(N$5-$B22)-1)-(N$5-$B22)*01_Inputs!$C$23,"")</f>
        <v/>
      </c>
      <c r="O22" s="3" t="str">
        <f aca="false">IF(O$5&gt;$B22,ABS(10/(O$5-$B22)-1)-(O$5-$B22)*01_Inputs!$C$23,"")</f>
        <v/>
      </c>
      <c r="P22" s="3" t="str">
        <f aca="false">IF(P$5&gt;$B22,ABS(10/(P$5-$B22)-1)-(P$5-$B22)*01_Inputs!$C$23,"")</f>
        <v/>
      </c>
      <c r="Q22" s="3" t="str">
        <f aca="false">IF(Q$5&gt;$B22,ABS(10/(Q$5-$B22)-1)-(Q$5-$B22)*01_Inputs!$C$23,"")</f>
        <v/>
      </c>
      <c r="R22" s="3" t="str">
        <f aca="false">IF(R$5&gt;$B22,ABS(10/(R$5-$B22)-1)-(R$5-$B22)*01_Inputs!$C$23,"")</f>
        <v/>
      </c>
      <c r="S22" s="3" t="str">
        <f aca="false">IF(S$5&gt;$B22,ABS(10/(S$5-$B22)-1)-(S$5-$B22)*01_Inputs!$C$23,"")</f>
        <v/>
      </c>
      <c r="T22" s="3" t="str">
        <f aca="false">IF(T$5&gt;$B22,ABS(10/(T$5-$B22)-1)-(T$5-$B22)*01_Inputs!$C$23,"")</f>
        <v/>
      </c>
      <c r="U22" s="3" t="str">
        <f aca="false">IF(U$5&gt;$B22,ABS(10/(U$5-$B22)-1)-(U$5-$B22)*01_Inputs!$C$23,"")</f>
        <v/>
      </c>
      <c r="V22" s="3" t="str">
        <f aca="false">IF(V$5&gt;$B22,ABS(10/(V$5-$B22)-1)-(V$5-$B22)*01_Inputs!$C$23,"")</f>
        <v/>
      </c>
      <c r="W22" s="3" t="str">
        <f aca="false">IF(W$5&gt;$B22,ABS(10/(W$5-$B22)-1)-(W$5-$B22)*01_Inputs!$C$23,"")</f>
        <v/>
      </c>
      <c r="X22" s="3" t="str">
        <f aca="false">IF(X$5&gt;$B22,ABS(10/(X$5-$B22)-1)-(X$5-$B22)*01_Inputs!$C$23,"")</f>
        <v/>
      </c>
      <c r="Y22" s="3" t="str">
        <f aca="false">IF(Y$5&gt;$B22,ABS(10/(Y$5-$B22)-1)-(Y$5-$B22)*01_Inputs!$C$23,"")</f>
        <v/>
      </c>
      <c r="Z22" s="3" t="n">
        <f aca="false">IF(Z$5&gt;$B22,ABS(10/(Z$5-$B22)-1)-(Z$5-$B22)*01_Inputs!$C$23,"")</f>
        <v>8.999999999</v>
      </c>
      <c r="AA22" s="3" t="n">
        <f aca="false">IF(AA$5&gt;$B22,ABS(10/(AA$5-$B22)-1)-(AA$5-$B22)*01_Inputs!$C$23,"")</f>
        <v>0.090909079909091</v>
      </c>
      <c r="AB22" s="3" t="n">
        <f aca="false">IF(AB$5&gt;$B22,ABS(10/(AB$5-$B22)-1)-(AB$5-$B22)*01_Inputs!$C$23,"")</f>
        <v>0.565217368304348</v>
      </c>
      <c r="AC22" s="3" t="n">
        <f aca="false">IF(AC$5&gt;$B22,ABS(10/(AC$5-$B22)-1)-(AC$5-$B22)*01_Inputs!$C$23,"")</f>
        <v>0.687499968</v>
      </c>
      <c r="AD22" s="3" t="n">
        <f aca="false">IF(AD$5&gt;$B22,ABS(10/(AD$5-$B22)-1)-(AD$5-$B22)*01_Inputs!$C$23,"")</f>
        <v>0.705882318941176</v>
      </c>
      <c r="AE22" s="3" t="n">
        <f aca="false">IF(AE$5&gt;$B22,ABS(10/(AE$5-$B22)-1)-(AE$5-$B22)*01_Inputs!$C$23,"")</f>
        <v>0.714285679285714</v>
      </c>
      <c r="AF22" s="3" t="n">
        <f aca="false">IF(AF$5&gt;$B22,ABS(10/(AF$5-$B22)-1)-(AF$5-$B22)*01_Inputs!$C$23,"")</f>
        <v>0.782608649652174</v>
      </c>
      <c r="AG22" s="3" t="n">
        <f aca="false">IF(AG$5&gt;$B22,ABS(10/(AG$5-$B22)-1)-(AG$5-$B22)*01_Inputs!$C$23,"")</f>
        <v>0.807692255692308</v>
      </c>
      <c r="AH22" s="3" t="n">
        <f aca="false">IF(AH$5&gt;$B22,ABS(10/(AH$5-$B22)-1)-(AH$5-$B22)*01_Inputs!$C$23,"")</f>
        <v>0.868420976631579</v>
      </c>
      <c r="AI22" s="3" t="n">
        <f aca="false">IF(AI$5&gt;$B22,ABS(10/(AI$5-$B22)-1)-(AI$5-$B22)*01_Inputs!$C$23,"")</f>
        <v>0.871794793794872</v>
      </c>
      <c r="AJ22" s="3" t="n">
        <f aca="false">IF(AJ$5&gt;$B22,ABS(10/(AJ$5-$B22)-1)-(AJ$5-$B22)*01_Inputs!$C$23,"")</f>
        <v>0.891304255826087</v>
      </c>
      <c r="AK22" s="3" t="n">
        <f aca="false">IF(AK$5&gt;$B22,ABS(10/(AK$5-$B22)-1)-(AK$5-$B22)*01_Inputs!$C$23,"")</f>
        <v>0.908256771733945</v>
      </c>
      <c r="AL22" s="3" t="n">
        <f aca="false">IF(AL$5&gt;$B22,ABS(10/(AL$5-$B22)-1)-(AL$5-$B22)*01_Inputs!$C$23,"")</f>
        <v>0.915966267554622</v>
      </c>
      <c r="AM22" s="3" t="n">
        <f aca="false">IF(AM$5&gt;$B22,ABS(10/(AM$5-$B22)-1)-(AM$5-$B22)*01_Inputs!$C$23,"")</f>
        <v>0.924242292242424</v>
      </c>
      <c r="AN22" s="3" t="n">
        <f aca="false">IF(AN$5&gt;$B22,ABS(10/(AN$5-$B22)-1)-(AN$5-$B22)*01_Inputs!$C$23,"")</f>
        <v>0.924811897075188</v>
      </c>
      <c r="AO22" s="3" t="n">
        <f aca="false">IF(AO$5&gt;$B22,ABS(10/(AO$5-$B22)-1)-(AO$5-$B22)*01_Inputs!$C$23,"")</f>
        <v>0.925373000328358</v>
      </c>
      <c r="AP22" s="3" t="n">
        <f aca="false">IF(AP$5&gt;$B22,ABS(10/(AP$5-$B22)-1)-(AP$5-$B22)*01_Inputs!$C$23,"")</f>
        <v>0.929077873184397</v>
      </c>
      <c r="AQ22" s="3" t="n">
        <f aca="false">IF(AQ$5&gt;$B22,ABS(10/(AQ$5-$B22)-1)-(AQ$5-$B22)*01_Inputs!$C$23,"")</f>
        <v>0.929577322788732</v>
      </c>
      <c r="AR22" s="3" t="n">
        <f aca="false">IF(AR$5&gt;$B22,ABS(10/(AR$5-$B22)-1)-(AR$5-$B22)*01_Inputs!$C$23,"")</f>
        <v>0.931034337758621</v>
      </c>
      <c r="AS22" s="3" t="n">
        <f aca="false">IF(AS$5&gt;$B22,ABS(10/(AS$5-$B22)-1)-(AS$5-$B22)*01_Inputs!$C$23,"")</f>
        <v>0.932885757040268</v>
      </c>
      <c r="AT22" s="3" t="n">
        <f aca="false">IF(AT$5&gt;$B22,ABS(10/(AT$5-$B22)-1)-(AT$5-$B22)*01_Inputs!$C$23,"")</f>
        <v>0.935483715967742</v>
      </c>
      <c r="AU22" s="3" t="n">
        <f aca="false">IF(AU$5&gt;$B22,ABS(10/(AU$5-$B22)-1)-(AU$5-$B22)*01_Inputs!$C$23,"")</f>
        <v>0.936305575484076</v>
      </c>
      <c r="AV22" s="3" t="n">
        <f aca="false">IF(AV$5&gt;$B22,ABS(10/(AV$5-$B22)-1)-(AV$5-$B22)*01_Inputs!$C$23,"")</f>
        <v>0.938650143748466</v>
      </c>
      <c r="AW22" s="3" t="n">
        <f aca="false">IF(AW$5&gt;$B22,ABS(10/(AW$5-$B22)-1)-(AW$5-$B22)*01_Inputs!$C$23,"")</f>
        <v>0.940119593479042</v>
      </c>
      <c r="AX22" s="3" t="n">
        <f aca="false">IF(AX$5&gt;$B22,ABS(10/(AX$5-$B22)-1)-(AX$5-$B22)*01_Inputs!$C$23,"")</f>
        <v>0.941860293116279</v>
      </c>
      <c r="AY22" s="3" t="n">
        <f aca="false">IF(AY$5&gt;$B22,ABS(10/(AY$5-$B22)-1)-(AY$5-$B22)*01_Inputs!$C$23,"")</f>
        <v>0.945355008256831</v>
      </c>
      <c r="AZ22" s="3" t="n">
        <f aca="false">IF(AZ$5&gt;$B22,ABS(10/(AZ$5-$B22)-1)-(AZ$5-$B22)*01_Inputs!$C$23,"")</f>
        <v>0.947089758089947</v>
      </c>
    </row>
    <row r="23" customFormat="false" ht="15" hidden="false" customHeight="false" outlineLevel="0" collapsed="false">
      <c r="A23" s="9" t="n">
        <v>18</v>
      </c>
      <c r="B23" s="9" t="n">
        <f aca="false">01_Inputs!$B$58</f>
        <v>88</v>
      </c>
      <c r="C23" s="17" t="n">
        <f aca="false">MIN(I23:AZ23)</f>
        <v>-1E-008</v>
      </c>
      <c r="D23" s="9" t="n">
        <f aca="false">MATCH($C23,I23:AZ23,0)</f>
        <v>19</v>
      </c>
      <c r="E23" s="9" t="n">
        <f aca="false">INDEX(I$5:AZ$5,1,$D23)</f>
        <v>98</v>
      </c>
      <c r="F23" s="9" t="n">
        <f aca="false">$E23-$B23</f>
        <v>10</v>
      </c>
      <c r="I23" s="3" t="str">
        <f aca="false">IF(I$5&gt;$B23,ABS(10/(I$5-$B23)-1)-(I$5-$B23)*01_Inputs!$C$23,"")</f>
        <v/>
      </c>
      <c r="J23" s="3" t="str">
        <f aca="false">IF(J$5&gt;$B23,ABS(10/(J$5-$B23)-1)-(J$5-$B23)*01_Inputs!$C$23,"")</f>
        <v/>
      </c>
      <c r="K23" s="3" t="str">
        <f aca="false">IF(K$5&gt;$B23,ABS(10/(K$5-$B23)-1)-(K$5-$B23)*01_Inputs!$C$23,"")</f>
        <v/>
      </c>
      <c r="L23" s="3" t="str">
        <f aca="false">IF(L$5&gt;$B23,ABS(10/(L$5-$B23)-1)-(L$5-$B23)*01_Inputs!$C$23,"")</f>
        <v/>
      </c>
      <c r="M23" s="3" t="str">
        <f aca="false">IF(M$5&gt;$B23,ABS(10/(M$5-$B23)-1)-(M$5-$B23)*01_Inputs!$C$23,"")</f>
        <v/>
      </c>
      <c r="N23" s="3" t="str">
        <f aca="false">IF(N$5&gt;$B23,ABS(10/(N$5-$B23)-1)-(N$5-$B23)*01_Inputs!$C$23,"")</f>
        <v/>
      </c>
      <c r="O23" s="3" t="str">
        <f aca="false">IF(O$5&gt;$B23,ABS(10/(O$5-$B23)-1)-(O$5-$B23)*01_Inputs!$C$23,"")</f>
        <v/>
      </c>
      <c r="P23" s="3" t="str">
        <f aca="false">IF(P$5&gt;$B23,ABS(10/(P$5-$B23)-1)-(P$5-$B23)*01_Inputs!$C$23,"")</f>
        <v/>
      </c>
      <c r="Q23" s="3" t="str">
        <f aca="false">IF(Q$5&gt;$B23,ABS(10/(Q$5-$B23)-1)-(Q$5-$B23)*01_Inputs!$C$23,"")</f>
        <v/>
      </c>
      <c r="R23" s="3" t="str">
        <f aca="false">IF(R$5&gt;$B23,ABS(10/(R$5-$B23)-1)-(R$5-$B23)*01_Inputs!$C$23,"")</f>
        <v/>
      </c>
      <c r="S23" s="3" t="str">
        <f aca="false">IF(S$5&gt;$B23,ABS(10/(S$5-$B23)-1)-(S$5-$B23)*01_Inputs!$C$23,"")</f>
        <v/>
      </c>
      <c r="T23" s="3" t="str">
        <f aca="false">IF(T$5&gt;$B23,ABS(10/(T$5-$B23)-1)-(T$5-$B23)*01_Inputs!$C$23,"")</f>
        <v/>
      </c>
      <c r="U23" s="3" t="str">
        <f aca="false">IF(U$5&gt;$B23,ABS(10/(U$5-$B23)-1)-(U$5-$B23)*01_Inputs!$C$23,"")</f>
        <v/>
      </c>
      <c r="V23" s="3" t="str">
        <f aca="false">IF(V$5&gt;$B23,ABS(10/(V$5-$B23)-1)-(V$5-$B23)*01_Inputs!$C$23,"")</f>
        <v/>
      </c>
      <c r="W23" s="3" t="str">
        <f aca="false">IF(W$5&gt;$B23,ABS(10/(W$5-$B23)-1)-(W$5-$B23)*01_Inputs!$C$23,"")</f>
        <v/>
      </c>
      <c r="X23" s="3" t="str">
        <f aca="false">IF(X$5&gt;$B23,ABS(10/(X$5-$B23)-1)-(X$5-$B23)*01_Inputs!$C$23,"")</f>
        <v/>
      </c>
      <c r="Y23" s="3" t="str">
        <f aca="false">IF(Y$5&gt;$B23,ABS(10/(Y$5-$B23)-1)-(Y$5-$B23)*01_Inputs!$C$23,"")</f>
        <v/>
      </c>
      <c r="Z23" s="3" t="str">
        <f aca="false">IF(Z$5&gt;$B23,ABS(10/(Z$5-$B23)-1)-(Z$5-$B23)*01_Inputs!$C$23,"")</f>
        <v/>
      </c>
      <c r="AA23" s="3" t="n">
        <f aca="false">IF(AA$5&gt;$B23,ABS(10/(AA$5-$B23)-1)-(AA$5-$B23)*01_Inputs!$C$23,"")</f>
        <v>-1E-008</v>
      </c>
      <c r="AB23" s="3" t="n">
        <f aca="false">IF(AB$5&gt;$B23,ABS(10/(AB$5-$B23)-1)-(AB$5-$B23)*01_Inputs!$C$23,"")</f>
        <v>0.545454523454545</v>
      </c>
      <c r="AC23" s="3" t="n">
        <f aca="false">IF(AC$5&gt;$B23,ABS(10/(AC$5-$B23)-1)-(AC$5-$B23)*01_Inputs!$C$23,"")</f>
        <v>0.67741932383871</v>
      </c>
      <c r="AD23" s="3" t="n">
        <f aca="false">IF(AD$5&gt;$B23,ABS(10/(AD$5-$B23)-1)-(AD$5-$B23)*01_Inputs!$C$23,"")</f>
        <v>0.696969663969697</v>
      </c>
      <c r="AE23" s="3" t="n">
        <f aca="false">IF(AE$5&gt;$B23,ABS(10/(AE$5-$B23)-1)-(AE$5-$B23)*01_Inputs!$C$23,"")</f>
        <v>0.705882318941176</v>
      </c>
      <c r="AF23" s="3" t="n">
        <f aca="false">IF(AF$5&gt;$B23,ABS(10/(AF$5-$B23)-1)-(AF$5-$B23)*01_Inputs!$C$23,"")</f>
        <v>0.777777732777778</v>
      </c>
      <c r="AG23" s="3" t="n">
        <f aca="false">IF(AG$5&gt;$B23,ABS(10/(AG$5-$B23)-1)-(AG$5-$B23)*01_Inputs!$C$23,"")</f>
        <v>0.803921517627451</v>
      </c>
      <c r="AH23" s="3" t="n">
        <f aca="false">IF(AH$5&gt;$B23,ABS(10/(AH$5-$B23)-1)-(AH$5-$B23)*01_Inputs!$C$23,"")</f>
        <v>0.866666591666667</v>
      </c>
      <c r="AI23" s="3" t="n">
        <f aca="false">IF(AI$5&gt;$B23,ABS(10/(AI$5-$B23)-1)-(AI$5-$B23)*01_Inputs!$C$23,"")</f>
        <v>0.87012979312987</v>
      </c>
      <c r="AJ23" s="3" t="n">
        <f aca="false">IF(AJ$5&gt;$B23,ABS(10/(AJ$5-$B23)-1)-(AJ$5-$B23)*01_Inputs!$C$23,"")</f>
        <v>0.89010979910989</v>
      </c>
      <c r="AK23" s="3" t="n">
        <f aca="false">IF(AK$5&gt;$B23,ABS(10/(AK$5-$B23)-1)-(AK$5-$B23)*01_Inputs!$C$23,"")</f>
        <v>0.907407299407407</v>
      </c>
      <c r="AL23" s="3" t="n">
        <f aca="false">IF(AL$5&gt;$B23,ABS(10/(AL$5-$B23)-1)-(AL$5-$B23)*01_Inputs!$C$23,"")</f>
        <v>0.915254119288136</v>
      </c>
      <c r="AM23" s="3" t="n">
        <f aca="false">IF(AM$5&gt;$B23,ABS(10/(AM$5-$B23)-1)-(AM$5-$B23)*01_Inputs!$C$23,"")</f>
        <v>0.923663991137405</v>
      </c>
      <c r="AN23" s="3" t="n">
        <f aca="false">IF(AN$5&gt;$B23,ABS(10/(AN$5-$B23)-1)-(AN$5-$B23)*01_Inputs!$C$23,"")</f>
        <v>0.924242292242424</v>
      </c>
      <c r="AO23" s="3" t="n">
        <f aca="false">IF(AO$5&gt;$B23,ABS(10/(AO$5-$B23)-1)-(AO$5-$B23)*01_Inputs!$C$23,"")</f>
        <v>0.924811897075188</v>
      </c>
      <c r="AP23" s="3" t="n">
        <f aca="false">IF(AP$5&gt;$B23,ABS(10/(AP$5-$B23)-1)-(AP$5-$B23)*01_Inputs!$C$23,"")</f>
        <v>0.928571288571429</v>
      </c>
      <c r="AQ23" s="3" t="n">
        <f aca="false">IF(AQ$5&gt;$B23,ABS(10/(AQ$5-$B23)-1)-(AQ$5-$B23)*01_Inputs!$C$23,"")</f>
        <v>0.929077873184397</v>
      </c>
      <c r="AR23" s="3" t="n">
        <f aca="false">IF(AR$5&gt;$B23,ABS(10/(AR$5-$B23)-1)-(AR$5-$B23)*01_Inputs!$C$23,"")</f>
        <v>0.930555411555556</v>
      </c>
      <c r="AS23" s="3" t="n">
        <f aca="false">IF(AS$5&gt;$B23,ABS(10/(AS$5-$B23)-1)-(AS$5-$B23)*01_Inputs!$C$23,"")</f>
        <v>0.932432284432432</v>
      </c>
      <c r="AT23" s="3" t="n">
        <f aca="false">IF(AT$5&gt;$B23,ABS(10/(AT$5-$B23)-1)-(AT$5-$B23)*01_Inputs!$C$23,"")</f>
        <v>0.935064781064935</v>
      </c>
      <c r="AU23" s="3" t="n">
        <f aca="false">IF(AU$5&gt;$B23,ABS(10/(AU$5-$B23)-1)-(AU$5-$B23)*01_Inputs!$C$23,"")</f>
        <v>0.935897279897436</v>
      </c>
      <c r="AV23" s="3" t="n">
        <f aca="false">IF(AV$5&gt;$B23,ABS(10/(AV$5-$B23)-1)-(AV$5-$B23)*01_Inputs!$C$23,"")</f>
        <v>0.938271442938272</v>
      </c>
      <c r="AW23" s="3" t="n">
        <f aca="false">IF(AW$5&gt;$B23,ABS(10/(AW$5-$B23)-1)-(AW$5-$B23)*01_Inputs!$C$23,"")</f>
        <v>0.939758870144578</v>
      </c>
      <c r="AX23" s="3" t="n">
        <f aca="false">IF(AX$5&gt;$B23,ABS(10/(AX$5-$B23)-1)-(AX$5-$B23)*01_Inputs!$C$23,"")</f>
        <v>0.941520296836257</v>
      </c>
      <c r="AY23" s="3" t="n">
        <f aca="false">IF(AY$5&gt;$B23,ABS(10/(AY$5-$B23)-1)-(AY$5-$B23)*01_Inputs!$C$23,"")</f>
        <v>0.945054763054945</v>
      </c>
      <c r="AZ23" s="3" t="n">
        <f aca="false">IF(AZ$5&gt;$B23,ABS(10/(AZ$5-$B23)-1)-(AZ$5-$B23)*01_Inputs!$C$23,"")</f>
        <v>0.946808322638298</v>
      </c>
    </row>
    <row r="24" customFormat="false" ht="15" hidden="false" customHeight="false" outlineLevel="0" collapsed="false">
      <c r="A24" s="9" t="n">
        <v>19</v>
      </c>
      <c r="B24" s="9" t="n">
        <f aca="false">01_Inputs!$B$59</f>
        <v>98</v>
      </c>
      <c r="C24" s="17" t="n">
        <f aca="false">MIN(I24:AZ24)</f>
        <v>0.166666654666667</v>
      </c>
      <c r="D24" s="9" t="n">
        <f aca="false">MATCH($C24,I24:AZ24,0)</f>
        <v>20</v>
      </c>
      <c r="E24" s="9" t="n">
        <f aca="false">INDEX(I$5:AZ$5,1,$D24)</f>
        <v>110</v>
      </c>
      <c r="F24" s="9" t="n">
        <f aca="false">$E24-$B24</f>
        <v>12</v>
      </c>
      <c r="I24" s="3" t="str">
        <f aca="false">IF(I$5&gt;$B24,ABS(10/(I$5-$B24)-1)-(I$5-$B24)*01_Inputs!$C$23,"")</f>
        <v/>
      </c>
      <c r="J24" s="3" t="str">
        <f aca="false">IF(J$5&gt;$B24,ABS(10/(J$5-$B24)-1)-(J$5-$B24)*01_Inputs!$C$23,"")</f>
        <v/>
      </c>
      <c r="K24" s="3" t="str">
        <f aca="false">IF(K$5&gt;$B24,ABS(10/(K$5-$B24)-1)-(K$5-$B24)*01_Inputs!$C$23,"")</f>
        <v/>
      </c>
      <c r="L24" s="3" t="str">
        <f aca="false">IF(L$5&gt;$B24,ABS(10/(L$5-$B24)-1)-(L$5-$B24)*01_Inputs!$C$23,"")</f>
        <v/>
      </c>
      <c r="M24" s="3" t="str">
        <f aca="false">IF(M$5&gt;$B24,ABS(10/(M$5-$B24)-1)-(M$5-$B24)*01_Inputs!$C$23,"")</f>
        <v/>
      </c>
      <c r="N24" s="3" t="str">
        <f aca="false">IF(N$5&gt;$B24,ABS(10/(N$5-$B24)-1)-(N$5-$B24)*01_Inputs!$C$23,"")</f>
        <v/>
      </c>
      <c r="O24" s="3" t="str">
        <f aca="false">IF(O$5&gt;$B24,ABS(10/(O$5-$B24)-1)-(O$5-$B24)*01_Inputs!$C$23,"")</f>
        <v/>
      </c>
      <c r="P24" s="3" t="str">
        <f aca="false">IF(P$5&gt;$B24,ABS(10/(P$5-$B24)-1)-(P$5-$B24)*01_Inputs!$C$23,"")</f>
        <v/>
      </c>
      <c r="Q24" s="3" t="str">
        <f aca="false">IF(Q$5&gt;$B24,ABS(10/(Q$5-$B24)-1)-(Q$5-$B24)*01_Inputs!$C$23,"")</f>
        <v/>
      </c>
      <c r="R24" s="3" t="str">
        <f aca="false">IF(R$5&gt;$B24,ABS(10/(R$5-$B24)-1)-(R$5-$B24)*01_Inputs!$C$23,"")</f>
        <v/>
      </c>
      <c r="S24" s="3" t="str">
        <f aca="false">IF(S$5&gt;$B24,ABS(10/(S$5-$B24)-1)-(S$5-$B24)*01_Inputs!$C$23,"")</f>
        <v/>
      </c>
      <c r="T24" s="3" t="str">
        <f aca="false">IF(T$5&gt;$B24,ABS(10/(T$5-$B24)-1)-(T$5-$B24)*01_Inputs!$C$23,"")</f>
        <v/>
      </c>
      <c r="U24" s="3" t="str">
        <f aca="false">IF(U$5&gt;$B24,ABS(10/(U$5-$B24)-1)-(U$5-$B24)*01_Inputs!$C$23,"")</f>
        <v/>
      </c>
      <c r="V24" s="3" t="str">
        <f aca="false">IF(V$5&gt;$B24,ABS(10/(V$5-$B24)-1)-(V$5-$B24)*01_Inputs!$C$23,"")</f>
        <v/>
      </c>
      <c r="W24" s="3" t="str">
        <f aca="false">IF(W$5&gt;$B24,ABS(10/(W$5-$B24)-1)-(W$5-$B24)*01_Inputs!$C$23,"")</f>
        <v/>
      </c>
      <c r="X24" s="3" t="str">
        <f aca="false">IF(X$5&gt;$B24,ABS(10/(X$5-$B24)-1)-(X$5-$B24)*01_Inputs!$C$23,"")</f>
        <v/>
      </c>
      <c r="Y24" s="3" t="str">
        <f aca="false">IF(Y$5&gt;$B24,ABS(10/(Y$5-$B24)-1)-(Y$5-$B24)*01_Inputs!$C$23,"")</f>
        <v/>
      </c>
      <c r="Z24" s="3" t="str">
        <f aca="false">IF(Z$5&gt;$B24,ABS(10/(Z$5-$B24)-1)-(Z$5-$B24)*01_Inputs!$C$23,"")</f>
        <v/>
      </c>
      <c r="AA24" s="3" t="str">
        <f aca="false">IF(AA$5&gt;$B24,ABS(10/(AA$5-$B24)-1)-(AA$5-$B24)*01_Inputs!$C$23,"")</f>
        <v/>
      </c>
      <c r="AB24" s="3" t="n">
        <f aca="false">IF(AB$5&gt;$B24,ABS(10/(AB$5-$B24)-1)-(AB$5-$B24)*01_Inputs!$C$23,"")</f>
        <v>0.166666654666667</v>
      </c>
      <c r="AC24" s="3" t="n">
        <f aca="false">IF(AC$5&gt;$B24,ABS(10/(AC$5-$B24)-1)-(AC$5-$B24)*01_Inputs!$C$23,"")</f>
        <v>0.523809502809524</v>
      </c>
      <c r="AD24" s="3" t="n">
        <f aca="false">IF(AD$5&gt;$B24,ABS(10/(AD$5-$B24)-1)-(AD$5-$B24)*01_Inputs!$C$23,"")</f>
        <v>0.565217368304348</v>
      </c>
      <c r="AE24" s="3" t="n">
        <f aca="false">IF(AE$5&gt;$B24,ABS(10/(AE$5-$B24)-1)-(AE$5-$B24)*01_Inputs!$C$23,"")</f>
        <v>0.583333309333333</v>
      </c>
      <c r="AF24" s="3" t="n">
        <f aca="false">IF(AF$5&gt;$B24,ABS(10/(AF$5-$B24)-1)-(AF$5-$B24)*01_Inputs!$C$23,"")</f>
        <v>0.714285679285714</v>
      </c>
      <c r="AG24" s="3" t="n">
        <f aca="false">IF(AG$5&gt;$B24,ABS(10/(AG$5-$B24)-1)-(AG$5-$B24)*01_Inputs!$C$23,"")</f>
        <v>0.75609751997561</v>
      </c>
      <c r="AH24" s="3" t="n">
        <f aca="false">IF(AH$5&gt;$B24,ABS(10/(AH$5-$B24)-1)-(AH$5-$B24)*01_Inputs!$C$23,"")</f>
        <v>0.846153781153846</v>
      </c>
      <c r="AI24" s="3" t="n">
        <f aca="false">IF(AI$5&gt;$B24,ABS(10/(AI$5-$B24)-1)-(AI$5-$B24)*01_Inputs!$C$23,"")</f>
        <v>0.850746201656716</v>
      </c>
      <c r="AJ24" s="3" t="n">
        <f aca="false">IF(AJ$5&gt;$B24,ABS(10/(AJ$5-$B24)-1)-(AJ$5-$B24)*01_Inputs!$C$23,"")</f>
        <v>0.876543128876543</v>
      </c>
      <c r="AK24" s="3" t="n">
        <f aca="false">IF(AK$5&gt;$B24,ABS(10/(AK$5-$B24)-1)-(AK$5-$B24)*01_Inputs!$C$23,"")</f>
        <v>0.897959085673469</v>
      </c>
      <c r="AL24" s="3" t="n">
        <f aca="false">IF(AL$5&gt;$B24,ABS(10/(AL$5-$B24)-1)-(AL$5-$B24)*01_Inputs!$C$23,"")</f>
        <v>0.907407299407407</v>
      </c>
      <c r="AM24" s="3" t="n">
        <f aca="false">IF(AM$5&gt;$B24,ABS(10/(AM$5-$B24)-1)-(AM$5-$B24)*01_Inputs!$C$23,"")</f>
        <v>0.917355250900827</v>
      </c>
      <c r="AN24" s="3" t="n">
        <f aca="false">IF(AN$5&gt;$B24,ABS(10/(AN$5-$B24)-1)-(AN$5-$B24)*01_Inputs!$C$23,"")</f>
        <v>0.918032664885246</v>
      </c>
      <c r="AO24" s="3" t="n">
        <f aca="false">IF(AO$5&gt;$B24,ABS(10/(AO$5-$B24)-1)-(AO$5-$B24)*01_Inputs!$C$23,"")</f>
        <v>0.91869906399187</v>
      </c>
      <c r="AP24" s="3" t="n">
        <f aca="false">IF(AP$5&gt;$B24,ABS(10/(AP$5-$B24)-1)-(AP$5-$B24)*01_Inputs!$C$23,"")</f>
        <v>0.923076793076923</v>
      </c>
      <c r="AQ24" s="3" t="n">
        <f aca="false">IF(AQ$5&gt;$B24,ABS(10/(AQ$5-$B24)-1)-(AQ$5-$B24)*01_Inputs!$C$23,"")</f>
        <v>0.923663991137405</v>
      </c>
      <c r="AR24" s="3" t="n">
        <f aca="false">IF(AR$5&gt;$B24,ABS(10/(AR$5-$B24)-1)-(AR$5-$B24)*01_Inputs!$C$23,"")</f>
        <v>0.925373000328358</v>
      </c>
      <c r="AS24" s="3" t="n">
        <f aca="false">IF(AS$5&gt;$B24,ABS(10/(AS$5-$B24)-1)-(AS$5-$B24)*01_Inputs!$C$23,"")</f>
        <v>0.927536093884058</v>
      </c>
      <c r="AT24" s="3" t="n">
        <f aca="false">IF(AT$5&gt;$B24,ABS(10/(AT$5-$B24)-1)-(AT$5-$B24)*01_Inputs!$C$23,"")</f>
        <v>0.930555411555556</v>
      </c>
      <c r="AU24" s="3" t="n">
        <f aca="false">IF(AU$5&gt;$B24,ABS(10/(AU$5-$B24)-1)-(AU$5-$B24)*01_Inputs!$C$23,"")</f>
        <v>0.931506703315069</v>
      </c>
      <c r="AV24" s="3" t="n">
        <f aca="false">IF(AV$5&gt;$B24,ABS(10/(AV$5-$B24)-1)-(AV$5-$B24)*01_Inputs!$C$23,"")</f>
        <v>0.93421037431579</v>
      </c>
      <c r="AW24" s="3" t="n">
        <f aca="false">IF(AW$5&gt;$B24,ABS(10/(AW$5-$B24)-1)-(AW$5-$B24)*01_Inputs!$C$23,"")</f>
        <v>0.935897279897436</v>
      </c>
      <c r="AX24" s="3" t="n">
        <f aca="false">IF(AX$5&gt;$B24,ABS(10/(AX$5-$B24)-1)-(AX$5-$B24)*01_Inputs!$C$23,"")</f>
        <v>0.937888037757764</v>
      </c>
      <c r="AY24" s="3" t="n">
        <f aca="false">IF(AY$5&gt;$B24,ABS(10/(AY$5-$B24)-1)-(AY$5-$B24)*01_Inputs!$C$23,"")</f>
        <v>0.941860293116279</v>
      </c>
      <c r="AZ24" s="3" t="n">
        <f aca="false">IF(AZ$5&gt;$B24,ABS(10/(AZ$5-$B24)-1)-(AZ$5-$B24)*01_Inputs!$C$23,"")</f>
        <v>0.943820046719101</v>
      </c>
    </row>
    <row r="25" customFormat="false" ht="15" hidden="false" customHeight="false" outlineLevel="0" collapsed="false">
      <c r="A25" s="9" t="n">
        <v>20</v>
      </c>
      <c r="B25" s="9" t="n">
        <f aca="false">01_Inputs!$B$60</f>
        <v>110</v>
      </c>
      <c r="C25" s="17" t="n">
        <f aca="false">MIN(I25:AZ25)</f>
        <v>0.090909079909091</v>
      </c>
      <c r="D25" s="9" t="n">
        <f aca="false">MATCH($C25,I25:AZ25,0)</f>
        <v>22</v>
      </c>
      <c r="E25" s="9" t="n">
        <f aca="false">INDEX(I$5:AZ$5,1,$D25)</f>
        <v>121</v>
      </c>
      <c r="F25" s="9" t="n">
        <f aca="false">$E25-$B25</f>
        <v>11</v>
      </c>
      <c r="I25" s="3" t="str">
        <f aca="false">IF(I$5&gt;$B25,ABS(10/(I$5-$B25)-1)-(I$5-$B25)*01_Inputs!$C$23,"")</f>
        <v/>
      </c>
      <c r="J25" s="3" t="str">
        <f aca="false">IF(J$5&gt;$B25,ABS(10/(J$5-$B25)-1)-(J$5-$B25)*01_Inputs!$C$23,"")</f>
        <v/>
      </c>
      <c r="K25" s="3" t="str">
        <f aca="false">IF(K$5&gt;$B25,ABS(10/(K$5-$B25)-1)-(K$5-$B25)*01_Inputs!$C$23,"")</f>
        <v/>
      </c>
      <c r="L25" s="3" t="str">
        <f aca="false">IF(L$5&gt;$B25,ABS(10/(L$5-$B25)-1)-(L$5-$B25)*01_Inputs!$C$23,"")</f>
        <v/>
      </c>
      <c r="M25" s="3" t="str">
        <f aca="false">IF(M$5&gt;$B25,ABS(10/(M$5-$B25)-1)-(M$5-$B25)*01_Inputs!$C$23,"")</f>
        <v/>
      </c>
      <c r="N25" s="3" t="str">
        <f aca="false">IF(N$5&gt;$B25,ABS(10/(N$5-$B25)-1)-(N$5-$B25)*01_Inputs!$C$23,"")</f>
        <v/>
      </c>
      <c r="O25" s="3" t="str">
        <f aca="false">IF(O$5&gt;$B25,ABS(10/(O$5-$B25)-1)-(O$5-$B25)*01_Inputs!$C$23,"")</f>
        <v/>
      </c>
      <c r="P25" s="3" t="str">
        <f aca="false">IF(P$5&gt;$B25,ABS(10/(P$5-$B25)-1)-(P$5-$B25)*01_Inputs!$C$23,"")</f>
        <v/>
      </c>
      <c r="Q25" s="3" t="str">
        <f aca="false">IF(Q$5&gt;$B25,ABS(10/(Q$5-$B25)-1)-(Q$5-$B25)*01_Inputs!$C$23,"")</f>
        <v/>
      </c>
      <c r="R25" s="3" t="str">
        <f aca="false">IF(R$5&gt;$B25,ABS(10/(R$5-$B25)-1)-(R$5-$B25)*01_Inputs!$C$23,"")</f>
        <v/>
      </c>
      <c r="S25" s="3" t="str">
        <f aca="false">IF(S$5&gt;$B25,ABS(10/(S$5-$B25)-1)-(S$5-$B25)*01_Inputs!$C$23,"")</f>
        <v/>
      </c>
      <c r="T25" s="3" t="str">
        <f aca="false">IF(T$5&gt;$B25,ABS(10/(T$5-$B25)-1)-(T$5-$B25)*01_Inputs!$C$23,"")</f>
        <v/>
      </c>
      <c r="U25" s="3" t="str">
        <f aca="false">IF(U$5&gt;$B25,ABS(10/(U$5-$B25)-1)-(U$5-$B25)*01_Inputs!$C$23,"")</f>
        <v/>
      </c>
      <c r="V25" s="3" t="str">
        <f aca="false">IF(V$5&gt;$B25,ABS(10/(V$5-$B25)-1)-(V$5-$B25)*01_Inputs!$C$23,"")</f>
        <v/>
      </c>
      <c r="W25" s="3" t="str">
        <f aca="false">IF(W$5&gt;$B25,ABS(10/(W$5-$B25)-1)-(W$5-$B25)*01_Inputs!$C$23,"")</f>
        <v/>
      </c>
      <c r="X25" s="3" t="str">
        <f aca="false">IF(X$5&gt;$B25,ABS(10/(X$5-$B25)-1)-(X$5-$B25)*01_Inputs!$C$23,"")</f>
        <v/>
      </c>
      <c r="Y25" s="3" t="str">
        <f aca="false">IF(Y$5&gt;$B25,ABS(10/(Y$5-$B25)-1)-(Y$5-$B25)*01_Inputs!$C$23,"")</f>
        <v/>
      </c>
      <c r="Z25" s="3" t="str">
        <f aca="false">IF(Z$5&gt;$B25,ABS(10/(Z$5-$B25)-1)-(Z$5-$B25)*01_Inputs!$C$23,"")</f>
        <v/>
      </c>
      <c r="AA25" s="3" t="str">
        <f aca="false">IF(AA$5&gt;$B25,ABS(10/(AA$5-$B25)-1)-(AA$5-$B25)*01_Inputs!$C$23,"")</f>
        <v/>
      </c>
      <c r="AB25" s="3" t="str">
        <f aca="false">IF(AB$5&gt;$B25,ABS(10/(AB$5-$B25)-1)-(AB$5-$B25)*01_Inputs!$C$23,"")</f>
        <v/>
      </c>
      <c r="AC25" s="3" t="n">
        <f aca="false">IF(AC$5&gt;$B25,ABS(10/(AC$5-$B25)-1)-(AC$5-$B25)*01_Inputs!$C$23,"")</f>
        <v>0.111111102111111</v>
      </c>
      <c r="AD25" s="3" t="n">
        <f aca="false">IF(AD$5&gt;$B25,ABS(10/(AD$5-$B25)-1)-(AD$5-$B25)*01_Inputs!$C$23,"")</f>
        <v>0.090909079909091</v>
      </c>
      <c r="AE25" s="3" t="n">
        <f aca="false">IF(AE$5&gt;$B25,ABS(10/(AE$5-$B25)-1)-(AE$5-$B25)*01_Inputs!$C$23,"")</f>
        <v>0.166666654666667</v>
      </c>
      <c r="AF25" s="3" t="n">
        <f aca="false">IF(AF$5&gt;$B25,ABS(10/(AF$5-$B25)-1)-(AF$5-$B25)*01_Inputs!$C$23,"")</f>
        <v>0.565217368304348</v>
      </c>
      <c r="AG25" s="3" t="n">
        <f aca="false">IF(AG$5&gt;$B25,ABS(10/(AG$5-$B25)-1)-(AG$5-$B25)*01_Inputs!$C$23,"")</f>
        <v>0.655172384793104</v>
      </c>
      <c r="AH25" s="3" t="n">
        <f aca="false">IF(AH$5&gt;$B25,ABS(10/(AH$5-$B25)-1)-(AH$5-$B25)*01_Inputs!$C$23,"")</f>
        <v>0.811320701716981</v>
      </c>
      <c r="AI25" s="3" t="n">
        <f aca="false">IF(AI$5&gt;$B25,ABS(10/(AI$5-$B25)-1)-(AI$5-$B25)*01_Inputs!$C$23,"")</f>
        <v>0.818181763181818</v>
      </c>
      <c r="AJ25" s="3" t="n">
        <f aca="false">IF(AJ$5&gt;$B25,ABS(10/(AJ$5-$B25)-1)-(AJ$5-$B25)*01_Inputs!$C$23,"")</f>
        <v>0.855072394768116</v>
      </c>
      <c r="AK25" s="3" t="n">
        <f aca="false">IF(AK$5&gt;$B25,ABS(10/(AK$5-$B25)-1)-(AK$5-$B25)*01_Inputs!$C$23,"")</f>
        <v>0.883720844232558</v>
      </c>
      <c r="AL25" s="3" t="n">
        <f aca="false">IF(AL$5&gt;$B25,ABS(10/(AL$5-$B25)-1)-(AL$5-$B25)*01_Inputs!$C$23,"")</f>
        <v>0.895833237333333</v>
      </c>
      <c r="AM25" s="3" t="n">
        <f aca="false">IF(AM$5&gt;$B25,ABS(10/(AM$5-$B25)-1)-(AM$5-$B25)*01_Inputs!$C$23,"")</f>
        <v>0.908256771733945</v>
      </c>
      <c r="AN25" s="3" t="n">
        <f aca="false">IF(AN$5&gt;$B25,ABS(10/(AN$5-$B25)-1)-(AN$5-$B25)*01_Inputs!$C$23,"")</f>
        <v>0.909090799090909</v>
      </c>
      <c r="AO25" s="3" t="n">
        <f aca="false">IF(AO$5&gt;$B25,ABS(10/(AO$5-$B25)-1)-(AO$5-$B25)*01_Inputs!$C$23,"")</f>
        <v>0.90990979890991</v>
      </c>
      <c r="AP25" s="3" t="n">
        <f aca="false">IF(AP$5&gt;$B25,ABS(10/(AP$5-$B25)-1)-(AP$5-$B25)*01_Inputs!$C$23,"")</f>
        <v>0.915254119288136</v>
      </c>
      <c r="AQ25" s="3" t="n">
        <f aca="false">IF(AQ$5&gt;$B25,ABS(10/(AQ$5-$B25)-1)-(AQ$5-$B25)*01_Inputs!$C$23,"")</f>
        <v>0.915966267554622</v>
      </c>
      <c r="AR25" s="3" t="n">
        <f aca="false">IF(AR$5&gt;$B25,ABS(10/(AR$5-$B25)-1)-(AR$5-$B25)*01_Inputs!$C$23,"")</f>
        <v>0.918032664885246</v>
      </c>
      <c r="AS25" s="3" t="n">
        <f aca="false">IF(AS$5&gt;$B25,ABS(10/(AS$5-$B25)-1)-(AS$5-$B25)*01_Inputs!$C$23,"")</f>
        <v>0.920634794634921</v>
      </c>
      <c r="AT25" s="3" t="n">
        <f aca="false">IF(AT$5&gt;$B25,ABS(10/(AT$5-$B25)-1)-(AT$5-$B25)*01_Inputs!$C$23,"")</f>
        <v>0.924242292242424</v>
      </c>
      <c r="AU25" s="3" t="n">
        <f aca="false">IF(AU$5&gt;$B25,ABS(10/(AU$5-$B25)-1)-(AU$5-$B25)*01_Inputs!$C$23,"")</f>
        <v>0.925373000328358</v>
      </c>
      <c r="AV25" s="3" t="n">
        <f aca="false">IF(AV$5&gt;$B25,ABS(10/(AV$5-$B25)-1)-(AV$5-$B25)*01_Inputs!$C$23,"")</f>
        <v>0.928571288571429</v>
      </c>
      <c r="AW25" s="3" t="n">
        <f aca="false">IF(AW$5&gt;$B25,ABS(10/(AW$5-$B25)-1)-(AW$5-$B25)*01_Inputs!$C$23,"")</f>
        <v>0.930555411555556</v>
      </c>
      <c r="AX25" s="3" t="n">
        <f aca="false">IF(AX$5&gt;$B25,ABS(10/(AX$5-$B25)-1)-(AX$5-$B25)*01_Inputs!$C$23,"")</f>
        <v>0.932885757040268</v>
      </c>
      <c r="AY25" s="3" t="n">
        <f aca="false">IF(AY$5&gt;$B25,ABS(10/(AY$5-$B25)-1)-(AY$5-$B25)*01_Inputs!$C$23,"")</f>
        <v>0.93749984</v>
      </c>
      <c r="AZ25" s="3" t="n">
        <f aca="false">IF(AZ$5&gt;$B25,ABS(10/(AZ$5-$B25)-1)-(AZ$5-$B25)*01_Inputs!$C$23,"")</f>
        <v>0.939758870144578</v>
      </c>
    </row>
    <row r="26" customFormat="false" ht="15" hidden="false" customHeight="false" outlineLevel="0" collapsed="false">
      <c r="A26" s="9" t="n">
        <v>21</v>
      </c>
      <c r="B26" s="9" t="n">
        <f aca="false">01_Inputs!$B$61</f>
        <v>119</v>
      </c>
      <c r="C26" s="17" t="n">
        <f aca="false">MIN(I26:AZ26)</f>
        <v>0.285714271714286</v>
      </c>
      <c r="D26" s="9" t="n">
        <f aca="false">MATCH($C26,I26:AZ26,0)</f>
        <v>24</v>
      </c>
      <c r="E26" s="9" t="n">
        <f aca="false">INDEX(I$5:AZ$5,1,$D26)</f>
        <v>133</v>
      </c>
      <c r="F26" s="9" t="n">
        <f aca="false">$E26-$B26</f>
        <v>14</v>
      </c>
      <c r="I26" s="3" t="str">
        <f aca="false">IF(I$5&gt;$B26,ABS(10/(I$5-$B26)-1)-(I$5-$B26)*01_Inputs!$C$23,"")</f>
        <v/>
      </c>
      <c r="J26" s="3" t="str">
        <f aca="false">IF(J$5&gt;$B26,ABS(10/(J$5-$B26)-1)-(J$5-$B26)*01_Inputs!$C$23,"")</f>
        <v/>
      </c>
      <c r="K26" s="3" t="str">
        <f aca="false">IF(K$5&gt;$B26,ABS(10/(K$5-$B26)-1)-(K$5-$B26)*01_Inputs!$C$23,"")</f>
        <v/>
      </c>
      <c r="L26" s="3" t="str">
        <f aca="false">IF(L$5&gt;$B26,ABS(10/(L$5-$B26)-1)-(L$5-$B26)*01_Inputs!$C$23,"")</f>
        <v/>
      </c>
      <c r="M26" s="3" t="str">
        <f aca="false">IF(M$5&gt;$B26,ABS(10/(M$5-$B26)-1)-(M$5-$B26)*01_Inputs!$C$23,"")</f>
        <v/>
      </c>
      <c r="N26" s="3" t="str">
        <f aca="false">IF(N$5&gt;$B26,ABS(10/(N$5-$B26)-1)-(N$5-$B26)*01_Inputs!$C$23,"")</f>
        <v/>
      </c>
      <c r="O26" s="3" t="str">
        <f aca="false">IF(O$5&gt;$B26,ABS(10/(O$5-$B26)-1)-(O$5-$B26)*01_Inputs!$C$23,"")</f>
        <v/>
      </c>
      <c r="P26" s="3" t="str">
        <f aca="false">IF(P$5&gt;$B26,ABS(10/(P$5-$B26)-1)-(P$5-$B26)*01_Inputs!$C$23,"")</f>
        <v/>
      </c>
      <c r="Q26" s="3" t="str">
        <f aca="false">IF(Q$5&gt;$B26,ABS(10/(Q$5-$B26)-1)-(Q$5-$B26)*01_Inputs!$C$23,"")</f>
        <v/>
      </c>
      <c r="R26" s="3" t="str">
        <f aca="false">IF(R$5&gt;$B26,ABS(10/(R$5-$B26)-1)-(R$5-$B26)*01_Inputs!$C$23,"")</f>
        <v/>
      </c>
      <c r="S26" s="3" t="str">
        <f aca="false">IF(S$5&gt;$B26,ABS(10/(S$5-$B26)-1)-(S$5-$B26)*01_Inputs!$C$23,"")</f>
        <v/>
      </c>
      <c r="T26" s="3" t="str">
        <f aca="false">IF(T$5&gt;$B26,ABS(10/(T$5-$B26)-1)-(T$5-$B26)*01_Inputs!$C$23,"")</f>
        <v/>
      </c>
      <c r="U26" s="3" t="str">
        <f aca="false">IF(U$5&gt;$B26,ABS(10/(U$5-$B26)-1)-(U$5-$B26)*01_Inputs!$C$23,"")</f>
        <v/>
      </c>
      <c r="V26" s="3" t="str">
        <f aca="false">IF(V$5&gt;$B26,ABS(10/(V$5-$B26)-1)-(V$5-$B26)*01_Inputs!$C$23,"")</f>
        <v/>
      </c>
      <c r="W26" s="3" t="str">
        <f aca="false">IF(W$5&gt;$B26,ABS(10/(W$5-$B26)-1)-(W$5-$B26)*01_Inputs!$C$23,"")</f>
        <v/>
      </c>
      <c r="X26" s="3" t="str">
        <f aca="false">IF(X$5&gt;$B26,ABS(10/(X$5-$B26)-1)-(X$5-$B26)*01_Inputs!$C$23,"")</f>
        <v/>
      </c>
      <c r="Y26" s="3" t="str">
        <f aca="false">IF(Y$5&gt;$B26,ABS(10/(Y$5-$B26)-1)-(Y$5-$B26)*01_Inputs!$C$23,"")</f>
        <v/>
      </c>
      <c r="Z26" s="3" t="str">
        <f aca="false">IF(Z$5&gt;$B26,ABS(10/(Z$5-$B26)-1)-(Z$5-$B26)*01_Inputs!$C$23,"")</f>
        <v/>
      </c>
      <c r="AA26" s="3" t="str">
        <f aca="false">IF(AA$5&gt;$B26,ABS(10/(AA$5-$B26)-1)-(AA$5-$B26)*01_Inputs!$C$23,"")</f>
        <v/>
      </c>
      <c r="AB26" s="3" t="str">
        <f aca="false">IF(AB$5&gt;$B26,ABS(10/(AB$5-$B26)-1)-(AB$5-$B26)*01_Inputs!$C$23,"")</f>
        <v/>
      </c>
      <c r="AC26" s="3" t="str">
        <f aca="false">IF(AC$5&gt;$B26,ABS(10/(AC$5-$B26)-1)-(AC$5-$B26)*01_Inputs!$C$23,"")</f>
        <v/>
      </c>
      <c r="AD26" s="3" t="n">
        <f aca="false">IF(AD$5&gt;$B26,ABS(10/(AD$5-$B26)-1)-(AD$5-$B26)*01_Inputs!$C$23,"")</f>
        <v>3.999999998</v>
      </c>
      <c r="AE26" s="3" t="n">
        <f aca="false">IF(AE$5&gt;$B26,ABS(10/(AE$5-$B26)-1)-(AE$5-$B26)*01_Inputs!$C$23,"")</f>
        <v>2.33333333033333</v>
      </c>
      <c r="AF26" s="3" t="n">
        <f aca="false">IF(AF$5&gt;$B26,ABS(10/(AF$5-$B26)-1)-(AF$5-$B26)*01_Inputs!$C$23,"")</f>
        <v>0.285714271714286</v>
      </c>
      <c r="AG26" s="3" t="n">
        <f aca="false">IF(AG$5&gt;$B26,ABS(10/(AG$5-$B26)-1)-(AG$5-$B26)*01_Inputs!$C$23,"")</f>
        <v>0.49999998</v>
      </c>
      <c r="AH26" s="3" t="n">
        <f aca="false">IF(AH$5&gt;$B26,ABS(10/(AH$5-$B26)-1)-(AH$5-$B26)*01_Inputs!$C$23,"")</f>
        <v>0.772727228727273</v>
      </c>
      <c r="AI26" s="3" t="n">
        <f aca="false">IF(AI$5&gt;$B26,ABS(10/(AI$5-$B26)-1)-(AI$5-$B26)*01_Inputs!$C$23,"")</f>
        <v>0.782608649652174</v>
      </c>
      <c r="AJ26" s="3" t="n">
        <f aca="false">IF(AJ$5&gt;$B26,ABS(10/(AJ$5-$B26)-1)-(AJ$5-$B26)*01_Inputs!$C$23,"")</f>
        <v>0.833333273333333</v>
      </c>
      <c r="AK26" s="3" t="n">
        <f aca="false">IF(AK$5&gt;$B26,ABS(10/(AK$5-$B26)-1)-(AK$5-$B26)*01_Inputs!$C$23,"")</f>
        <v>0.87012979312987</v>
      </c>
      <c r="AL26" s="3" t="n">
        <f aca="false">IF(AL$5&gt;$B26,ABS(10/(AL$5-$B26)-1)-(AL$5-$B26)*01_Inputs!$C$23,"")</f>
        <v>0.885057384264368</v>
      </c>
      <c r="AM26" s="3" t="n">
        <f aca="false">IF(AM$5&gt;$B26,ABS(10/(AM$5-$B26)-1)-(AM$5-$B26)*01_Inputs!$C$23,"")</f>
        <v>0.8999999</v>
      </c>
      <c r="AN26" s="3" t="n">
        <f aca="false">IF(AN$5&gt;$B26,ABS(10/(AN$5-$B26)-1)-(AN$5-$B26)*01_Inputs!$C$23,"")</f>
        <v>0.900989998009901</v>
      </c>
      <c r="AO26" s="3" t="n">
        <f aca="false">IF(AO$5&gt;$B26,ABS(10/(AO$5-$B26)-1)-(AO$5-$B26)*01_Inputs!$C$23,"")</f>
        <v>0.901960682313726</v>
      </c>
      <c r="AP26" s="3" t="n">
        <f aca="false">IF(AP$5&gt;$B26,ABS(10/(AP$5-$B26)-1)-(AP$5-$B26)*01_Inputs!$C$23,"")</f>
        <v>0.908256771733945</v>
      </c>
      <c r="AQ26" s="3" t="n">
        <f aca="false">IF(AQ$5&gt;$B26,ABS(10/(AQ$5-$B26)-1)-(AQ$5-$B26)*01_Inputs!$C$23,"")</f>
        <v>0.909090799090909</v>
      </c>
      <c r="AR26" s="3" t="n">
        <f aca="false">IF(AR$5&gt;$B26,ABS(10/(AR$5-$B26)-1)-(AR$5-$B26)*01_Inputs!$C$23,"")</f>
        <v>0.911504311778761</v>
      </c>
      <c r="AS26" s="3" t="n">
        <f aca="false">IF(AS$5&gt;$B26,ABS(10/(AS$5-$B26)-1)-(AS$5-$B26)*01_Inputs!$C$23,"")</f>
        <v>0.914529797529915</v>
      </c>
      <c r="AT26" s="3" t="n">
        <f aca="false">IF(AT$5&gt;$B26,ABS(10/(AT$5-$B26)-1)-(AT$5-$B26)*01_Inputs!$C$23,"")</f>
        <v>0.91869906399187</v>
      </c>
      <c r="AU26" s="3" t="n">
        <f aca="false">IF(AU$5&gt;$B26,ABS(10/(AU$5-$B26)-1)-(AU$5-$B26)*01_Inputs!$C$23,"")</f>
        <v>0.919999875</v>
      </c>
      <c r="AV26" s="3" t="n">
        <f aca="false">IF(AV$5&gt;$B26,ABS(10/(AV$5-$B26)-1)-(AV$5-$B26)*01_Inputs!$C$23,"")</f>
        <v>0.923663991137405</v>
      </c>
      <c r="AW26" s="3" t="n">
        <f aca="false">IF(AW$5&gt;$B26,ABS(10/(AW$5-$B26)-1)-(AW$5-$B26)*01_Inputs!$C$23,"")</f>
        <v>0.925925790925926</v>
      </c>
      <c r="AX26" s="3" t="n">
        <f aca="false">IF(AX$5&gt;$B26,ABS(10/(AX$5-$B26)-1)-(AX$5-$B26)*01_Inputs!$C$23,"")</f>
        <v>0.928571288571429</v>
      </c>
      <c r="AY26" s="3" t="n">
        <f aca="false">IF(AY$5&gt;$B26,ABS(10/(AY$5-$B26)-1)-(AY$5-$B26)*01_Inputs!$C$23,"")</f>
        <v>0.933774683437086</v>
      </c>
      <c r="AZ26" s="3" t="n">
        <f aca="false">IF(AZ$5&gt;$B26,ABS(10/(AZ$5-$B26)-1)-(AZ$5-$B26)*01_Inputs!$C$23,"")</f>
        <v>0.936305575484076</v>
      </c>
    </row>
    <row r="27" customFormat="false" ht="15" hidden="false" customHeight="false" outlineLevel="0" collapsed="false">
      <c r="A27" s="9" t="n">
        <v>22</v>
      </c>
      <c r="B27" s="9" t="n">
        <f aca="false">01_Inputs!$B$62</f>
        <v>121</v>
      </c>
      <c r="C27" s="17" t="n">
        <f aca="false">MIN(I27:AZ27)</f>
        <v>0.166666654666667</v>
      </c>
      <c r="D27" s="9" t="n">
        <f aca="false">MATCH($C27,I27:AZ27,0)</f>
        <v>24</v>
      </c>
      <c r="E27" s="9" t="n">
        <f aca="false">INDEX(I$5:AZ$5,1,$D27)</f>
        <v>133</v>
      </c>
      <c r="F27" s="9" t="n">
        <f aca="false">$E27-$B27</f>
        <v>12</v>
      </c>
      <c r="I27" s="3" t="str">
        <f aca="false">IF(I$5&gt;$B27,ABS(10/(I$5-$B27)-1)-(I$5-$B27)*01_Inputs!$C$23,"")</f>
        <v/>
      </c>
      <c r="J27" s="3" t="str">
        <f aca="false">IF(J$5&gt;$B27,ABS(10/(J$5-$B27)-1)-(J$5-$B27)*01_Inputs!$C$23,"")</f>
        <v/>
      </c>
      <c r="K27" s="3" t="str">
        <f aca="false">IF(K$5&gt;$B27,ABS(10/(K$5-$B27)-1)-(K$5-$B27)*01_Inputs!$C$23,"")</f>
        <v/>
      </c>
      <c r="L27" s="3" t="str">
        <f aca="false">IF(L$5&gt;$B27,ABS(10/(L$5-$B27)-1)-(L$5-$B27)*01_Inputs!$C$23,"")</f>
        <v/>
      </c>
      <c r="M27" s="3" t="str">
        <f aca="false">IF(M$5&gt;$B27,ABS(10/(M$5-$B27)-1)-(M$5-$B27)*01_Inputs!$C$23,"")</f>
        <v/>
      </c>
      <c r="N27" s="3" t="str">
        <f aca="false">IF(N$5&gt;$B27,ABS(10/(N$5-$B27)-1)-(N$5-$B27)*01_Inputs!$C$23,"")</f>
        <v/>
      </c>
      <c r="O27" s="3" t="str">
        <f aca="false">IF(O$5&gt;$B27,ABS(10/(O$5-$B27)-1)-(O$5-$B27)*01_Inputs!$C$23,"")</f>
        <v/>
      </c>
      <c r="P27" s="3" t="str">
        <f aca="false">IF(P$5&gt;$B27,ABS(10/(P$5-$B27)-1)-(P$5-$B27)*01_Inputs!$C$23,"")</f>
        <v/>
      </c>
      <c r="Q27" s="3" t="str">
        <f aca="false">IF(Q$5&gt;$B27,ABS(10/(Q$5-$B27)-1)-(Q$5-$B27)*01_Inputs!$C$23,"")</f>
        <v/>
      </c>
      <c r="R27" s="3" t="str">
        <f aca="false">IF(R$5&gt;$B27,ABS(10/(R$5-$B27)-1)-(R$5-$B27)*01_Inputs!$C$23,"")</f>
        <v/>
      </c>
      <c r="S27" s="3" t="str">
        <f aca="false">IF(S$5&gt;$B27,ABS(10/(S$5-$B27)-1)-(S$5-$B27)*01_Inputs!$C$23,"")</f>
        <v/>
      </c>
      <c r="T27" s="3" t="str">
        <f aca="false">IF(T$5&gt;$B27,ABS(10/(T$5-$B27)-1)-(T$5-$B27)*01_Inputs!$C$23,"")</f>
        <v/>
      </c>
      <c r="U27" s="3" t="str">
        <f aca="false">IF(U$5&gt;$B27,ABS(10/(U$5-$B27)-1)-(U$5-$B27)*01_Inputs!$C$23,"")</f>
        <v/>
      </c>
      <c r="V27" s="3" t="str">
        <f aca="false">IF(V$5&gt;$B27,ABS(10/(V$5-$B27)-1)-(V$5-$B27)*01_Inputs!$C$23,"")</f>
        <v/>
      </c>
      <c r="W27" s="3" t="str">
        <f aca="false">IF(W$5&gt;$B27,ABS(10/(W$5-$B27)-1)-(W$5-$B27)*01_Inputs!$C$23,"")</f>
        <v/>
      </c>
      <c r="X27" s="3" t="str">
        <f aca="false">IF(X$5&gt;$B27,ABS(10/(X$5-$B27)-1)-(X$5-$B27)*01_Inputs!$C$23,"")</f>
        <v/>
      </c>
      <c r="Y27" s="3" t="str">
        <f aca="false">IF(Y$5&gt;$B27,ABS(10/(Y$5-$B27)-1)-(Y$5-$B27)*01_Inputs!$C$23,"")</f>
        <v/>
      </c>
      <c r="Z27" s="3" t="str">
        <f aca="false">IF(Z$5&gt;$B27,ABS(10/(Z$5-$B27)-1)-(Z$5-$B27)*01_Inputs!$C$23,"")</f>
        <v/>
      </c>
      <c r="AA27" s="3" t="str">
        <f aca="false">IF(AA$5&gt;$B27,ABS(10/(AA$5-$B27)-1)-(AA$5-$B27)*01_Inputs!$C$23,"")</f>
        <v/>
      </c>
      <c r="AB27" s="3" t="str">
        <f aca="false">IF(AB$5&gt;$B27,ABS(10/(AB$5-$B27)-1)-(AB$5-$B27)*01_Inputs!$C$23,"")</f>
        <v/>
      </c>
      <c r="AC27" s="3" t="str">
        <f aca="false">IF(AC$5&gt;$B27,ABS(10/(AC$5-$B27)-1)-(AC$5-$B27)*01_Inputs!$C$23,"")</f>
        <v/>
      </c>
      <c r="AD27" s="3" t="str">
        <f aca="false">IF(AD$5&gt;$B27,ABS(10/(AD$5-$B27)-1)-(AD$5-$B27)*01_Inputs!$C$23,"")</f>
        <v/>
      </c>
      <c r="AE27" s="3" t="n">
        <f aca="false">IF(AE$5&gt;$B27,ABS(10/(AE$5-$B27)-1)-(AE$5-$B27)*01_Inputs!$C$23,"")</f>
        <v>8.999999999</v>
      </c>
      <c r="AF27" s="3" t="n">
        <f aca="false">IF(AF$5&gt;$B27,ABS(10/(AF$5-$B27)-1)-(AF$5-$B27)*01_Inputs!$C$23,"")</f>
        <v>0.166666654666667</v>
      </c>
      <c r="AG27" s="3" t="n">
        <f aca="false">IF(AG$5&gt;$B27,ABS(10/(AG$5-$B27)-1)-(AG$5-$B27)*01_Inputs!$C$23,"")</f>
        <v>0.444444426444444</v>
      </c>
      <c r="AH27" s="3" t="n">
        <f aca="false">IF(AH$5&gt;$B27,ABS(10/(AH$5-$B27)-1)-(AH$5-$B27)*01_Inputs!$C$23,"")</f>
        <v>0.761904719904762</v>
      </c>
      <c r="AI27" s="3" t="n">
        <f aca="false">IF(AI$5&gt;$B27,ABS(10/(AI$5-$B27)-1)-(AI$5-$B27)*01_Inputs!$C$23,"")</f>
        <v>0.772727228727273</v>
      </c>
      <c r="AJ27" s="3" t="n">
        <f aca="false">IF(AJ$5&gt;$B27,ABS(10/(AJ$5-$B27)-1)-(AJ$5-$B27)*01_Inputs!$C$23,"")</f>
        <v>0.827586148896552</v>
      </c>
      <c r="AK27" s="3" t="n">
        <f aca="false">IF(AK$5&gt;$B27,ABS(10/(AK$5-$B27)-1)-(AK$5-$B27)*01_Inputs!$C$23,"")</f>
        <v>0.866666591666667</v>
      </c>
      <c r="AL27" s="3" t="n">
        <f aca="false">IF(AL$5&gt;$B27,ABS(10/(AL$5-$B27)-1)-(AL$5-$B27)*01_Inputs!$C$23,"")</f>
        <v>0.882352856176471</v>
      </c>
      <c r="AM27" s="3" t="n">
        <f aca="false">IF(AM$5&gt;$B27,ABS(10/(AM$5-$B27)-1)-(AM$5-$B27)*01_Inputs!$C$23,"")</f>
        <v>0.897959085673469</v>
      </c>
      <c r="AN27" s="3" t="n">
        <f aca="false">IF(AN$5&gt;$B27,ABS(10/(AN$5-$B27)-1)-(AN$5-$B27)*01_Inputs!$C$23,"")</f>
        <v>0.898989799989899</v>
      </c>
      <c r="AO27" s="3" t="n">
        <f aca="false">IF(AO$5&gt;$B27,ABS(10/(AO$5-$B27)-1)-(AO$5-$B27)*01_Inputs!$C$23,"")</f>
        <v>0.8999999</v>
      </c>
      <c r="AP27" s="3" t="n">
        <f aca="false">IF(AP$5&gt;$B27,ABS(10/(AP$5-$B27)-1)-(AP$5-$B27)*01_Inputs!$C$23,"")</f>
        <v>0.906541949074766</v>
      </c>
      <c r="AQ27" s="3" t="n">
        <f aca="false">IF(AQ$5&gt;$B27,ABS(10/(AQ$5-$B27)-1)-(AQ$5-$B27)*01_Inputs!$C$23,"")</f>
        <v>0.907407299407407</v>
      </c>
      <c r="AR27" s="3" t="n">
        <f aca="false">IF(AR$5&gt;$B27,ABS(10/(AR$5-$B27)-1)-(AR$5-$B27)*01_Inputs!$C$23,"")</f>
        <v>0.90990979890991</v>
      </c>
      <c r="AS27" s="3" t="n">
        <f aca="false">IF(AS$5&gt;$B27,ABS(10/(AS$5-$B27)-1)-(AS$5-$B27)*01_Inputs!$C$23,"")</f>
        <v>0.91304336326087</v>
      </c>
      <c r="AT27" s="3" t="n">
        <f aca="false">IF(AT$5&gt;$B27,ABS(10/(AT$5-$B27)-1)-(AT$5-$B27)*01_Inputs!$C$23,"")</f>
        <v>0.917355250900827</v>
      </c>
      <c r="AU27" s="3" t="n">
        <f aca="false">IF(AU$5&gt;$B27,ABS(10/(AU$5-$B27)-1)-(AU$5-$B27)*01_Inputs!$C$23,"")</f>
        <v>0.91869906399187</v>
      </c>
      <c r="AV27" s="3" t="n">
        <f aca="false">IF(AV$5&gt;$B27,ABS(10/(AV$5-$B27)-1)-(AV$5-$B27)*01_Inputs!$C$23,"")</f>
        <v>0.922480491155039</v>
      </c>
      <c r="AW27" s="3" t="n">
        <f aca="false">IF(AW$5&gt;$B27,ABS(10/(AW$5-$B27)-1)-(AW$5-$B27)*01_Inputs!$C$23,"")</f>
        <v>0.924811897075188</v>
      </c>
      <c r="AX27" s="3" t="n">
        <f aca="false">IF(AX$5&gt;$B27,ABS(10/(AX$5-$B27)-1)-(AX$5-$B27)*01_Inputs!$C$23,"")</f>
        <v>0.927536093884058</v>
      </c>
      <c r="AY27" s="3" t="n">
        <f aca="false">IF(AY$5&gt;$B27,ABS(10/(AY$5-$B27)-1)-(AY$5-$B27)*01_Inputs!$C$23,"")</f>
        <v>0.932885757040268</v>
      </c>
      <c r="AZ27" s="3" t="n">
        <f aca="false">IF(AZ$5&gt;$B27,ABS(10/(AZ$5-$B27)-1)-(AZ$5-$B27)*01_Inputs!$C$23,"")</f>
        <v>0.935483715967742</v>
      </c>
    </row>
    <row r="28" customFormat="false" ht="15" hidden="false" customHeight="false" outlineLevel="0" collapsed="false">
      <c r="A28" s="9" t="n">
        <v>23</v>
      </c>
      <c r="B28" s="9" t="n">
        <f aca="false">01_Inputs!$B$63</f>
        <v>122</v>
      </c>
      <c r="C28" s="17" t="n">
        <f aca="false">MIN(I28:AZ28)</f>
        <v>0.090909079909091</v>
      </c>
      <c r="D28" s="9" t="n">
        <f aca="false">MATCH($C28,I28:AZ28,0)</f>
        <v>24</v>
      </c>
      <c r="E28" s="9" t="n">
        <f aca="false">INDEX(I$5:AZ$5,1,$D28)</f>
        <v>133</v>
      </c>
      <c r="F28" s="9" t="n">
        <f aca="false">$E28-$B28</f>
        <v>11</v>
      </c>
      <c r="I28" s="3" t="str">
        <f aca="false">IF(I$5&gt;$B28,ABS(10/(I$5-$B28)-1)-(I$5-$B28)*01_Inputs!$C$23,"")</f>
        <v/>
      </c>
      <c r="J28" s="3" t="str">
        <f aca="false">IF(J$5&gt;$B28,ABS(10/(J$5-$B28)-1)-(J$5-$B28)*01_Inputs!$C$23,"")</f>
        <v/>
      </c>
      <c r="K28" s="3" t="str">
        <f aca="false">IF(K$5&gt;$B28,ABS(10/(K$5-$B28)-1)-(K$5-$B28)*01_Inputs!$C$23,"")</f>
        <v/>
      </c>
      <c r="L28" s="3" t="str">
        <f aca="false">IF(L$5&gt;$B28,ABS(10/(L$5-$B28)-1)-(L$5-$B28)*01_Inputs!$C$23,"")</f>
        <v/>
      </c>
      <c r="M28" s="3" t="str">
        <f aca="false">IF(M$5&gt;$B28,ABS(10/(M$5-$B28)-1)-(M$5-$B28)*01_Inputs!$C$23,"")</f>
        <v/>
      </c>
      <c r="N28" s="3" t="str">
        <f aca="false">IF(N$5&gt;$B28,ABS(10/(N$5-$B28)-1)-(N$5-$B28)*01_Inputs!$C$23,"")</f>
        <v/>
      </c>
      <c r="O28" s="3" t="str">
        <f aca="false">IF(O$5&gt;$B28,ABS(10/(O$5-$B28)-1)-(O$5-$B28)*01_Inputs!$C$23,"")</f>
        <v/>
      </c>
      <c r="P28" s="3" t="str">
        <f aca="false">IF(P$5&gt;$B28,ABS(10/(P$5-$B28)-1)-(P$5-$B28)*01_Inputs!$C$23,"")</f>
        <v/>
      </c>
      <c r="Q28" s="3" t="str">
        <f aca="false">IF(Q$5&gt;$B28,ABS(10/(Q$5-$B28)-1)-(Q$5-$B28)*01_Inputs!$C$23,"")</f>
        <v/>
      </c>
      <c r="R28" s="3" t="str">
        <f aca="false">IF(R$5&gt;$B28,ABS(10/(R$5-$B28)-1)-(R$5-$B28)*01_Inputs!$C$23,"")</f>
        <v/>
      </c>
      <c r="S28" s="3" t="str">
        <f aca="false">IF(S$5&gt;$B28,ABS(10/(S$5-$B28)-1)-(S$5-$B28)*01_Inputs!$C$23,"")</f>
        <v/>
      </c>
      <c r="T28" s="3" t="str">
        <f aca="false">IF(T$5&gt;$B28,ABS(10/(T$5-$B28)-1)-(T$5-$B28)*01_Inputs!$C$23,"")</f>
        <v/>
      </c>
      <c r="U28" s="3" t="str">
        <f aca="false">IF(U$5&gt;$B28,ABS(10/(U$5-$B28)-1)-(U$5-$B28)*01_Inputs!$C$23,"")</f>
        <v/>
      </c>
      <c r="V28" s="3" t="str">
        <f aca="false">IF(V$5&gt;$B28,ABS(10/(V$5-$B28)-1)-(V$5-$B28)*01_Inputs!$C$23,"")</f>
        <v/>
      </c>
      <c r="W28" s="3" t="str">
        <f aca="false">IF(W$5&gt;$B28,ABS(10/(W$5-$B28)-1)-(W$5-$B28)*01_Inputs!$C$23,"")</f>
        <v/>
      </c>
      <c r="X28" s="3" t="str">
        <f aca="false">IF(X$5&gt;$B28,ABS(10/(X$5-$B28)-1)-(X$5-$B28)*01_Inputs!$C$23,"")</f>
        <v/>
      </c>
      <c r="Y28" s="3" t="str">
        <f aca="false">IF(Y$5&gt;$B28,ABS(10/(Y$5-$B28)-1)-(Y$5-$B28)*01_Inputs!$C$23,"")</f>
        <v/>
      </c>
      <c r="Z28" s="3" t="str">
        <f aca="false">IF(Z$5&gt;$B28,ABS(10/(Z$5-$B28)-1)-(Z$5-$B28)*01_Inputs!$C$23,"")</f>
        <v/>
      </c>
      <c r="AA28" s="3" t="str">
        <f aca="false">IF(AA$5&gt;$B28,ABS(10/(AA$5-$B28)-1)-(AA$5-$B28)*01_Inputs!$C$23,"")</f>
        <v/>
      </c>
      <c r="AB28" s="3" t="str">
        <f aca="false">IF(AB$5&gt;$B28,ABS(10/(AB$5-$B28)-1)-(AB$5-$B28)*01_Inputs!$C$23,"")</f>
        <v/>
      </c>
      <c r="AC28" s="3" t="str">
        <f aca="false">IF(AC$5&gt;$B28,ABS(10/(AC$5-$B28)-1)-(AC$5-$B28)*01_Inputs!$C$23,"")</f>
        <v/>
      </c>
      <c r="AD28" s="3" t="str">
        <f aca="false">IF(AD$5&gt;$B28,ABS(10/(AD$5-$B28)-1)-(AD$5-$B28)*01_Inputs!$C$23,"")</f>
        <v/>
      </c>
      <c r="AE28" s="3" t="str">
        <f aca="false">IF(AE$5&gt;$B28,ABS(10/(AE$5-$B28)-1)-(AE$5-$B28)*01_Inputs!$C$23,"")</f>
        <v/>
      </c>
      <c r="AF28" s="3" t="n">
        <f aca="false">IF(AF$5&gt;$B28,ABS(10/(AF$5-$B28)-1)-(AF$5-$B28)*01_Inputs!$C$23,"")</f>
        <v>0.090909079909091</v>
      </c>
      <c r="AG28" s="3" t="n">
        <f aca="false">IF(AG$5&gt;$B28,ABS(10/(AG$5-$B28)-1)-(AG$5-$B28)*01_Inputs!$C$23,"")</f>
        <v>0.411764688882353</v>
      </c>
      <c r="AH28" s="3" t="n">
        <f aca="false">IF(AH$5&gt;$B28,ABS(10/(AH$5-$B28)-1)-(AH$5-$B28)*01_Inputs!$C$23,"")</f>
        <v>0.75609751997561</v>
      </c>
      <c r="AI28" s="3" t="n">
        <f aca="false">IF(AI$5&gt;$B28,ABS(10/(AI$5-$B28)-1)-(AI$5-$B28)*01_Inputs!$C$23,"")</f>
        <v>0.767441817465116</v>
      </c>
      <c r="AJ28" s="3" t="n">
        <f aca="false">IF(AJ$5&gt;$B28,ABS(10/(AJ$5-$B28)-1)-(AJ$5-$B28)*01_Inputs!$C$23,"")</f>
        <v>0.824561346508772</v>
      </c>
      <c r="AK28" s="3" t="n">
        <f aca="false">IF(AK$5&gt;$B28,ABS(10/(AK$5-$B28)-1)-(AK$5-$B28)*01_Inputs!$C$23,"")</f>
        <v>0.864864790864865</v>
      </c>
      <c r="AL28" s="3" t="n">
        <f aca="false">IF(AL$5&gt;$B28,ABS(10/(AL$5-$B28)-1)-(AL$5-$B28)*01_Inputs!$C$23,"")</f>
        <v>0.880952296952381</v>
      </c>
      <c r="AM28" s="3" t="n">
        <f aca="false">IF(AM$5&gt;$B28,ABS(10/(AM$5-$B28)-1)-(AM$5-$B28)*01_Inputs!$C$23,"")</f>
        <v>0.896907119494845</v>
      </c>
      <c r="AN28" s="3" t="n">
        <f aca="false">IF(AN$5&gt;$B28,ABS(10/(AN$5-$B28)-1)-(AN$5-$B28)*01_Inputs!$C$23,"")</f>
        <v>0.897959085673469</v>
      </c>
      <c r="AO28" s="3" t="n">
        <f aca="false">IF(AO$5&gt;$B28,ABS(10/(AO$5-$B28)-1)-(AO$5-$B28)*01_Inputs!$C$23,"")</f>
        <v>0.898989799989899</v>
      </c>
      <c r="AP28" s="3" t="n">
        <f aca="false">IF(AP$5&gt;$B28,ABS(10/(AP$5-$B28)-1)-(AP$5-$B28)*01_Inputs!$C$23,"")</f>
        <v>0.905660271358491</v>
      </c>
      <c r="AQ28" s="3" t="n">
        <f aca="false">IF(AQ$5&gt;$B28,ABS(10/(AQ$5-$B28)-1)-(AQ$5-$B28)*01_Inputs!$C$23,"")</f>
        <v>0.906541949074766</v>
      </c>
      <c r="AR28" s="3" t="n">
        <f aca="false">IF(AR$5&gt;$B28,ABS(10/(AR$5-$B28)-1)-(AR$5-$B28)*01_Inputs!$C$23,"")</f>
        <v>0.909090799090909</v>
      </c>
      <c r="AS28" s="3" t="n">
        <f aca="false">IF(AS$5&gt;$B28,ABS(10/(AS$5-$B28)-1)-(AS$5-$B28)*01_Inputs!$C$23,"")</f>
        <v>0.912280587754386</v>
      </c>
      <c r="AT28" s="3" t="n">
        <f aca="false">IF(AT$5&gt;$B28,ABS(10/(AT$5-$B28)-1)-(AT$5-$B28)*01_Inputs!$C$23,"")</f>
        <v>0.916666546666667</v>
      </c>
      <c r="AU28" s="3" t="n">
        <f aca="false">IF(AU$5&gt;$B28,ABS(10/(AU$5-$B28)-1)-(AU$5-$B28)*01_Inputs!$C$23,"")</f>
        <v>0.918032664885246</v>
      </c>
      <c r="AV28" s="3" t="n">
        <f aca="false">IF(AV$5&gt;$B28,ABS(10/(AV$5-$B28)-1)-(AV$5-$B28)*01_Inputs!$C$23,"")</f>
        <v>0.921874872</v>
      </c>
      <c r="AW28" s="3" t="n">
        <f aca="false">IF(AW$5&gt;$B28,ABS(10/(AW$5-$B28)-1)-(AW$5-$B28)*01_Inputs!$C$23,"")</f>
        <v>0.924242292242424</v>
      </c>
      <c r="AX28" s="3" t="n">
        <f aca="false">IF(AX$5&gt;$B28,ABS(10/(AX$5-$B28)-1)-(AX$5-$B28)*01_Inputs!$C$23,"")</f>
        <v>0.927007162270073</v>
      </c>
      <c r="AY28" s="3" t="n">
        <f aca="false">IF(AY$5&gt;$B28,ABS(10/(AY$5-$B28)-1)-(AY$5-$B28)*01_Inputs!$C$23,"")</f>
        <v>0.932432284432432</v>
      </c>
      <c r="AZ28" s="3" t="n">
        <f aca="false">IF(AZ$5&gt;$B28,ABS(10/(AZ$5-$B28)-1)-(AZ$5-$B28)*01_Inputs!$C$23,"")</f>
        <v>0.935064781064935</v>
      </c>
    </row>
    <row r="29" customFormat="false" ht="15" hidden="false" customHeight="false" outlineLevel="0" collapsed="false">
      <c r="A29" s="9" t="n">
        <v>24</v>
      </c>
      <c r="B29" s="9" t="n">
        <f aca="false">01_Inputs!$B$64</f>
        <v>133</v>
      </c>
      <c r="C29" s="17" t="n">
        <f aca="false">MIN(I29:AZ29)</f>
        <v>0.666666636666667</v>
      </c>
      <c r="D29" s="9" t="n">
        <f aca="false">MATCH($C29,I29:AZ29,0)</f>
        <v>26</v>
      </c>
      <c r="E29" s="9" t="n">
        <f aca="false">INDEX(I$5:AZ$5,1,$D29)</f>
        <v>163</v>
      </c>
      <c r="F29" s="9" t="n">
        <f aca="false">$E29-$B29</f>
        <v>30</v>
      </c>
      <c r="I29" s="3" t="str">
        <f aca="false">IF(I$5&gt;$B29,ABS(10/(I$5-$B29)-1)-(I$5-$B29)*01_Inputs!$C$23,"")</f>
        <v/>
      </c>
      <c r="J29" s="3" t="str">
        <f aca="false">IF(J$5&gt;$B29,ABS(10/(J$5-$B29)-1)-(J$5-$B29)*01_Inputs!$C$23,"")</f>
        <v/>
      </c>
      <c r="K29" s="3" t="str">
        <f aca="false">IF(K$5&gt;$B29,ABS(10/(K$5-$B29)-1)-(K$5-$B29)*01_Inputs!$C$23,"")</f>
        <v/>
      </c>
      <c r="L29" s="3" t="str">
        <f aca="false">IF(L$5&gt;$B29,ABS(10/(L$5-$B29)-1)-(L$5-$B29)*01_Inputs!$C$23,"")</f>
        <v/>
      </c>
      <c r="M29" s="3" t="str">
        <f aca="false">IF(M$5&gt;$B29,ABS(10/(M$5-$B29)-1)-(M$5-$B29)*01_Inputs!$C$23,"")</f>
        <v/>
      </c>
      <c r="N29" s="3" t="str">
        <f aca="false">IF(N$5&gt;$B29,ABS(10/(N$5-$B29)-1)-(N$5-$B29)*01_Inputs!$C$23,"")</f>
        <v/>
      </c>
      <c r="O29" s="3" t="str">
        <f aca="false">IF(O$5&gt;$B29,ABS(10/(O$5-$B29)-1)-(O$5-$B29)*01_Inputs!$C$23,"")</f>
        <v/>
      </c>
      <c r="P29" s="3" t="str">
        <f aca="false">IF(P$5&gt;$B29,ABS(10/(P$5-$B29)-1)-(P$5-$B29)*01_Inputs!$C$23,"")</f>
        <v/>
      </c>
      <c r="Q29" s="3" t="str">
        <f aca="false">IF(Q$5&gt;$B29,ABS(10/(Q$5-$B29)-1)-(Q$5-$B29)*01_Inputs!$C$23,"")</f>
        <v/>
      </c>
      <c r="R29" s="3" t="str">
        <f aca="false">IF(R$5&gt;$B29,ABS(10/(R$5-$B29)-1)-(R$5-$B29)*01_Inputs!$C$23,"")</f>
        <v/>
      </c>
      <c r="S29" s="3" t="str">
        <f aca="false">IF(S$5&gt;$B29,ABS(10/(S$5-$B29)-1)-(S$5-$B29)*01_Inputs!$C$23,"")</f>
        <v/>
      </c>
      <c r="T29" s="3" t="str">
        <f aca="false">IF(T$5&gt;$B29,ABS(10/(T$5-$B29)-1)-(T$5-$B29)*01_Inputs!$C$23,"")</f>
        <v/>
      </c>
      <c r="U29" s="3" t="str">
        <f aca="false">IF(U$5&gt;$B29,ABS(10/(U$5-$B29)-1)-(U$5-$B29)*01_Inputs!$C$23,"")</f>
        <v/>
      </c>
      <c r="V29" s="3" t="str">
        <f aca="false">IF(V$5&gt;$B29,ABS(10/(V$5-$B29)-1)-(V$5-$B29)*01_Inputs!$C$23,"")</f>
        <v/>
      </c>
      <c r="W29" s="3" t="str">
        <f aca="false">IF(W$5&gt;$B29,ABS(10/(W$5-$B29)-1)-(W$5-$B29)*01_Inputs!$C$23,"")</f>
        <v/>
      </c>
      <c r="X29" s="3" t="str">
        <f aca="false">IF(X$5&gt;$B29,ABS(10/(X$5-$B29)-1)-(X$5-$B29)*01_Inputs!$C$23,"")</f>
        <v/>
      </c>
      <c r="Y29" s="3" t="str">
        <f aca="false">IF(Y$5&gt;$B29,ABS(10/(Y$5-$B29)-1)-(Y$5-$B29)*01_Inputs!$C$23,"")</f>
        <v/>
      </c>
      <c r="Z29" s="3" t="str">
        <f aca="false">IF(Z$5&gt;$B29,ABS(10/(Z$5-$B29)-1)-(Z$5-$B29)*01_Inputs!$C$23,"")</f>
        <v/>
      </c>
      <c r="AA29" s="3" t="str">
        <f aca="false">IF(AA$5&gt;$B29,ABS(10/(AA$5-$B29)-1)-(AA$5-$B29)*01_Inputs!$C$23,"")</f>
        <v/>
      </c>
      <c r="AB29" s="3" t="str">
        <f aca="false">IF(AB$5&gt;$B29,ABS(10/(AB$5-$B29)-1)-(AB$5-$B29)*01_Inputs!$C$23,"")</f>
        <v/>
      </c>
      <c r="AC29" s="3" t="str">
        <f aca="false">IF(AC$5&gt;$B29,ABS(10/(AC$5-$B29)-1)-(AC$5-$B29)*01_Inputs!$C$23,"")</f>
        <v/>
      </c>
      <c r="AD29" s="3" t="str">
        <f aca="false">IF(AD$5&gt;$B29,ABS(10/(AD$5-$B29)-1)-(AD$5-$B29)*01_Inputs!$C$23,"")</f>
        <v/>
      </c>
      <c r="AE29" s="3" t="str">
        <f aca="false">IF(AE$5&gt;$B29,ABS(10/(AE$5-$B29)-1)-(AE$5-$B29)*01_Inputs!$C$23,"")</f>
        <v/>
      </c>
      <c r="AF29" s="3" t="str">
        <f aca="false">IF(AF$5&gt;$B29,ABS(10/(AF$5-$B29)-1)-(AF$5-$B29)*01_Inputs!$C$23,"")</f>
        <v/>
      </c>
      <c r="AG29" s="3" t="n">
        <f aca="false">IF(AG$5&gt;$B29,ABS(10/(AG$5-$B29)-1)-(AG$5-$B29)*01_Inputs!$C$23,"")</f>
        <v>0.666666660666667</v>
      </c>
      <c r="AH29" s="3" t="n">
        <f aca="false">IF(AH$5&gt;$B29,ABS(10/(AH$5-$B29)-1)-(AH$5-$B29)*01_Inputs!$C$23,"")</f>
        <v>0.666666636666667</v>
      </c>
      <c r="AI29" s="3" t="n">
        <f aca="false">IF(AI$5&gt;$B29,ABS(10/(AI$5-$B29)-1)-(AI$5-$B29)*01_Inputs!$C$23,"")</f>
        <v>0.687499968</v>
      </c>
      <c r="AJ29" s="3" t="n">
        <f aca="false">IF(AJ$5&gt;$B29,ABS(10/(AJ$5-$B29)-1)-(AJ$5-$B29)*01_Inputs!$C$23,"")</f>
        <v>0.782608649652174</v>
      </c>
      <c r="AK29" s="3" t="n">
        <f aca="false">IF(AK$5&gt;$B29,ABS(10/(AK$5-$B29)-1)-(AK$5-$B29)*01_Inputs!$C$23,"")</f>
        <v>0.841269778269841</v>
      </c>
      <c r="AL29" s="3" t="n">
        <f aca="false">IF(AL$5&gt;$B29,ABS(10/(AL$5-$B29)-1)-(AL$5-$B29)*01_Inputs!$C$23,"")</f>
        <v>0.863013625630137</v>
      </c>
      <c r="AM29" s="3" t="n">
        <f aca="false">IF(AM$5&gt;$B29,ABS(10/(AM$5-$B29)-1)-(AM$5-$B29)*01_Inputs!$C$23,"")</f>
        <v>0.883720844232558</v>
      </c>
      <c r="AN29" s="3" t="n">
        <f aca="false">IF(AN$5&gt;$B29,ABS(10/(AN$5-$B29)-1)-(AN$5-$B29)*01_Inputs!$C$23,"")</f>
        <v>0.885057384264368</v>
      </c>
      <c r="AO29" s="3" t="n">
        <f aca="false">IF(AO$5&gt;$B29,ABS(10/(AO$5-$B29)-1)-(AO$5-$B29)*01_Inputs!$C$23,"")</f>
        <v>0.886363548363636</v>
      </c>
      <c r="AP29" s="3" t="n">
        <f aca="false">IF(AP$5&gt;$B29,ABS(10/(AP$5-$B29)-1)-(AP$5-$B29)*01_Inputs!$C$23,"")</f>
        <v>0.894736747105263</v>
      </c>
      <c r="AQ29" s="3" t="n">
        <f aca="false">IF(AQ$5&gt;$B29,ABS(10/(AQ$5-$B29)-1)-(AQ$5-$B29)*01_Inputs!$C$23,"")</f>
        <v>0.895833237333333</v>
      </c>
      <c r="AR29" s="3" t="n">
        <f aca="false">IF(AR$5&gt;$B29,ABS(10/(AR$5-$B29)-1)-(AR$5-$B29)*01_Inputs!$C$23,"")</f>
        <v>0.898989799989899</v>
      </c>
      <c r="AS29" s="3" t="n">
        <f aca="false">IF(AS$5&gt;$B29,ABS(10/(AS$5-$B29)-1)-(AS$5-$B29)*01_Inputs!$C$23,"")</f>
        <v>0.902912518359223</v>
      </c>
      <c r="AT29" s="3" t="n">
        <f aca="false">IF(AT$5&gt;$B29,ABS(10/(AT$5-$B29)-1)-(AT$5-$B29)*01_Inputs!$C$23,"")</f>
        <v>0.908256771733945</v>
      </c>
      <c r="AU29" s="3" t="n">
        <f aca="false">IF(AU$5&gt;$B29,ABS(10/(AU$5-$B29)-1)-(AU$5-$B29)*01_Inputs!$C$23,"")</f>
        <v>0.90990979890991</v>
      </c>
      <c r="AV29" s="3" t="n">
        <f aca="false">IF(AV$5&gt;$B29,ABS(10/(AV$5-$B29)-1)-(AV$5-$B29)*01_Inputs!$C$23,"")</f>
        <v>0.914529797529915</v>
      </c>
      <c r="AW29" s="3" t="n">
        <f aca="false">IF(AW$5&gt;$B29,ABS(10/(AW$5-$B29)-1)-(AW$5-$B29)*01_Inputs!$C$23,"")</f>
        <v>0.917355250900827</v>
      </c>
      <c r="AX29" s="3" t="n">
        <f aca="false">IF(AX$5&gt;$B29,ABS(10/(AX$5-$B29)-1)-(AX$5-$B29)*01_Inputs!$C$23,"")</f>
        <v>0.920634794634921</v>
      </c>
      <c r="AY29" s="3" t="n">
        <f aca="false">IF(AY$5&gt;$B29,ABS(10/(AY$5-$B29)-1)-(AY$5-$B29)*01_Inputs!$C$23,"")</f>
        <v>0.927007162270073</v>
      </c>
      <c r="AZ29" s="3" t="n">
        <f aca="false">IF(AZ$5&gt;$B29,ABS(10/(AZ$5-$B29)-1)-(AZ$5-$B29)*01_Inputs!$C$23,"")</f>
        <v>0.93006978706993</v>
      </c>
    </row>
    <row r="30" customFormat="false" ht="15" hidden="false" customHeight="false" outlineLevel="0" collapsed="false">
      <c r="A30" s="9" t="n">
        <v>25</v>
      </c>
      <c r="B30" s="9" t="n">
        <f aca="false">01_Inputs!$B$65</f>
        <v>139</v>
      </c>
      <c r="C30" s="17" t="n">
        <f aca="false">MIN(I30:AZ30)</f>
        <v>0.583333309333333</v>
      </c>
      <c r="D30" s="9" t="n">
        <f aca="false">MATCH($C30,I30:AZ30,0)</f>
        <v>26</v>
      </c>
      <c r="E30" s="9" t="n">
        <f aca="false">INDEX(I$5:AZ$5,1,$D30)</f>
        <v>163</v>
      </c>
      <c r="F30" s="9" t="n">
        <f aca="false">$E30-$B30</f>
        <v>24</v>
      </c>
      <c r="I30" s="3" t="str">
        <f aca="false">IF(I$5&gt;$B30,ABS(10/(I$5-$B30)-1)-(I$5-$B30)*01_Inputs!$C$23,"")</f>
        <v/>
      </c>
      <c r="J30" s="3" t="str">
        <f aca="false">IF(J$5&gt;$B30,ABS(10/(J$5-$B30)-1)-(J$5-$B30)*01_Inputs!$C$23,"")</f>
        <v/>
      </c>
      <c r="K30" s="3" t="str">
        <f aca="false">IF(K$5&gt;$B30,ABS(10/(K$5-$B30)-1)-(K$5-$B30)*01_Inputs!$C$23,"")</f>
        <v/>
      </c>
      <c r="L30" s="3" t="str">
        <f aca="false">IF(L$5&gt;$B30,ABS(10/(L$5-$B30)-1)-(L$5-$B30)*01_Inputs!$C$23,"")</f>
        <v/>
      </c>
      <c r="M30" s="3" t="str">
        <f aca="false">IF(M$5&gt;$B30,ABS(10/(M$5-$B30)-1)-(M$5-$B30)*01_Inputs!$C$23,"")</f>
        <v/>
      </c>
      <c r="N30" s="3" t="str">
        <f aca="false">IF(N$5&gt;$B30,ABS(10/(N$5-$B30)-1)-(N$5-$B30)*01_Inputs!$C$23,"")</f>
        <v/>
      </c>
      <c r="O30" s="3" t="str">
        <f aca="false">IF(O$5&gt;$B30,ABS(10/(O$5-$B30)-1)-(O$5-$B30)*01_Inputs!$C$23,"")</f>
        <v/>
      </c>
      <c r="P30" s="3" t="str">
        <f aca="false">IF(P$5&gt;$B30,ABS(10/(P$5-$B30)-1)-(P$5-$B30)*01_Inputs!$C$23,"")</f>
        <v/>
      </c>
      <c r="Q30" s="3" t="str">
        <f aca="false">IF(Q$5&gt;$B30,ABS(10/(Q$5-$B30)-1)-(Q$5-$B30)*01_Inputs!$C$23,"")</f>
        <v/>
      </c>
      <c r="R30" s="3" t="str">
        <f aca="false">IF(R$5&gt;$B30,ABS(10/(R$5-$B30)-1)-(R$5-$B30)*01_Inputs!$C$23,"")</f>
        <v/>
      </c>
      <c r="S30" s="3" t="str">
        <f aca="false">IF(S$5&gt;$B30,ABS(10/(S$5-$B30)-1)-(S$5-$B30)*01_Inputs!$C$23,"")</f>
        <v/>
      </c>
      <c r="T30" s="3" t="str">
        <f aca="false">IF(T$5&gt;$B30,ABS(10/(T$5-$B30)-1)-(T$5-$B30)*01_Inputs!$C$23,"")</f>
        <v/>
      </c>
      <c r="U30" s="3" t="str">
        <f aca="false">IF(U$5&gt;$B30,ABS(10/(U$5-$B30)-1)-(U$5-$B30)*01_Inputs!$C$23,"")</f>
        <v/>
      </c>
      <c r="V30" s="3" t="str">
        <f aca="false">IF(V$5&gt;$B30,ABS(10/(V$5-$B30)-1)-(V$5-$B30)*01_Inputs!$C$23,"")</f>
        <v/>
      </c>
      <c r="W30" s="3" t="str">
        <f aca="false">IF(W$5&gt;$B30,ABS(10/(W$5-$B30)-1)-(W$5-$B30)*01_Inputs!$C$23,"")</f>
        <v/>
      </c>
      <c r="X30" s="3" t="str">
        <f aca="false">IF(X$5&gt;$B30,ABS(10/(X$5-$B30)-1)-(X$5-$B30)*01_Inputs!$C$23,"")</f>
        <v/>
      </c>
      <c r="Y30" s="3" t="str">
        <f aca="false">IF(Y$5&gt;$B30,ABS(10/(Y$5-$B30)-1)-(Y$5-$B30)*01_Inputs!$C$23,"")</f>
        <v/>
      </c>
      <c r="Z30" s="3" t="str">
        <f aca="false">IF(Z$5&gt;$B30,ABS(10/(Z$5-$B30)-1)-(Z$5-$B30)*01_Inputs!$C$23,"")</f>
        <v/>
      </c>
      <c r="AA30" s="3" t="str">
        <f aca="false">IF(AA$5&gt;$B30,ABS(10/(AA$5-$B30)-1)-(AA$5-$B30)*01_Inputs!$C$23,"")</f>
        <v/>
      </c>
      <c r="AB30" s="3" t="str">
        <f aca="false">IF(AB$5&gt;$B30,ABS(10/(AB$5-$B30)-1)-(AB$5-$B30)*01_Inputs!$C$23,"")</f>
        <v/>
      </c>
      <c r="AC30" s="3" t="str">
        <f aca="false">IF(AC$5&gt;$B30,ABS(10/(AC$5-$B30)-1)-(AC$5-$B30)*01_Inputs!$C$23,"")</f>
        <v/>
      </c>
      <c r="AD30" s="3" t="str">
        <f aca="false">IF(AD$5&gt;$B30,ABS(10/(AD$5-$B30)-1)-(AD$5-$B30)*01_Inputs!$C$23,"")</f>
        <v/>
      </c>
      <c r="AE30" s="3" t="str">
        <f aca="false">IF(AE$5&gt;$B30,ABS(10/(AE$5-$B30)-1)-(AE$5-$B30)*01_Inputs!$C$23,"")</f>
        <v/>
      </c>
      <c r="AF30" s="3" t="str">
        <f aca="false">IF(AF$5&gt;$B30,ABS(10/(AF$5-$B30)-1)-(AF$5-$B30)*01_Inputs!$C$23,"")</f>
        <v/>
      </c>
      <c r="AG30" s="3" t="str">
        <f aca="false">IF(AG$5&gt;$B30,ABS(10/(AG$5-$B30)-1)-(AG$5-$B30)*01_Inputs!$C$23,"")</f>
        <v/>
      </c>
      <c r="AH30" s="3" t="n">
        <f aca="false">IF(AH$5&gt;$B30,ABS(10/(AH$5-$B30)-1)-(AH$5-$B30)*01_Inputs!$C$23,"")</f>
        <v>0.583333309333333</v>
      </c>
      <c r="AI30" s="3" t="n">
        <f aca="false">IF(AI$5&gt;$B30,ABS(10/(AI$5-$B30)-1)-(AI$5-$B30)*01_Inputs!$C$23,"")</f>
        <v>0.615384589384615</v>
      </c>
      <c r="AJ30" s="3" t="n">
        <f aca="false">IF(AJ$5&gt;$B30,ABS(10/(AJ$5-$B30)-1)-(AJ$5-$B30)*01_Inputs!$C$23,"")</f>
        <v>0.74999996</v>
      </c>
      <c r="AK30" s="3" t="n">
        <f aca="false">IF(AK$5&gt;$B30,ABS(10/(AK$5-$B30)-1)-(AK$5-$B30)*01_Inputs!$C$23,"")</f>
        <v>0.824561346508772</v>
      </c>
      <c r="AL30" s="3" t="n">
        <f aca="false">IF(AL$5&gt;$B30,ABS(10/(AL$5-$B30)-1)-(AL$5-$B30)*01_Inputs!$C$23,"")</f>
        <v>0.850746201656716</v>
      </c>
      <c r="AM30" s="3" t="n">
        <f aca="false">IF(AM$5&gt;$B30,ABS(10/(AM$5-$B30)-1)-(AM$5-$B30)*01_Inputs!$C$23,"")</f>
        <v>0.87499992</v>
      </c>
      <c r="AN30" s="3" t="n">
        <f aca="false">IF(AN$5&gt;$B30,ABS(10/(AN$5-$B30)-1)-(AN$5-$B30)*01_Inputs!$C$23,"")</f>
        <v>0.876543128876543</v>
      </c>
      <c r="AO30" s="3" t="n">
        <f aca="false">IF(AO$5&gt;$B30,ABS(10/(AO$5-$B30)-1)-(AO$5-$B30)*01_Inputs!$C$23,"")</f>
        <v>0.878048698487805</v>
      </c>
      <c r="AP30" s="3" t="n">
        <f aca="false">IF(AP$5&gt;$B30,ABS(10/(AP$5-$B30)-1)-(AP$5-$B30)*01_Inputs!$C$23,"")</f>
        <v>0.887640360438202</v>
      </c>
      <c r="AQ30" s="3" t="n">
        <f aca="false">IF(AQ$5&gt;$B30,ABS(10/(AQ$5-$B30)-1)-(AQ$5-$B30)*01_Inputs!$C$23,"")</f>
        <v>0.888888798888889</v>
      </c>
      <c r="AR30" s="3" t="n">
        <f aca="false">IF(AR$5&gt;$B30,ABS(10/(AR$5-$B30)-1)-(AR$5-$B30)*01_Inputs!$C$23,"")</f>
        <v>0.89247302527957</v>
      </c>
      <c r="AS30" s="3" t="n">
        <f aca="false">IF(AS$5&gt;$B30,ABS(10/(AS$5-$B30)-1)-(AS$5-$B30)*01_Inputs!$C$23,"")</f>
        <v>0.896907119494845</v>
      </c>
      <c r="AT30" s="3" t="n">
        <f aca="false">IF(AT$5&gt;$B30,ABS(10/(AT$5-$B30)-1)-(AT$5-$B30)*01_Inputs!$C$23,"")</f>
        <v>0.902912518359223</v>
      </c>
      <c r="AU30" s="3" t="n">
        <f aca="false">IF(AU$5&gt;$B30,ABS(10/(AU$5-$B30)-1)-(AU$5-$B30)*01_Inputs!$C$23,"")</f>
        <v>0.904761799761905</v>
      </c>
      <c r="AV30" s="3" t="n">
        <f aca="false">IF(AV$5&gt;$B30,ABS(10/(AV$5-$B30)-1)-(AV$5-$B30)*01_Inputs!$C$23,"")</f>
        <v>0.90990979890991</v>
      </c>
      <c r="AW30" s="3" t="n">
        <f aca="false">IF(AW$5&gt;$B30,ABS(10/(AW$5-$B30)-1)-(AW$5-$B30)*01_Inputs!$C$23,"")</f>
        <v>0.91304336326087</v>
      </c>
      <c r="AX30" s="3" t="n">
        <f aca="false">IF(AX$5&gt;$B30,ABS(10/(AX$5-$B30)-1)-(AX$5-$B30)*01_Inputs!$C$23,"")</f>
        <v>0.916666546666667</v>
      </c>
      <c r="AY30" s="3" t="n">
        <f aca="false">IF(AY$5&gt;$B30,ABS(10/(AY$5-$B30)-1)-(AY$5-$B30)*01_Inputs!$C$23,"")</f>
        <v>0.923663991137405</v>
      </c>
      <c r="AZ30" s="3" t="n">
        <f aca="false">IF(AZ$5&gt;$B30,ABS(10/(AZ$5-$B30)-1)-(AZ$5-$B30)*01_Inputs!$C$23,"")</f>
        <v>0.927007162270073</v>
      </c>
    </row>
    <row r="31" customFormat="false" ht="15" hidden="false" customHeight="false" outlineLevel="0" collapsed="false">
      <c r="A31" s="9" t="n">
        <v>26</v>
      </c>
      <c r="B31" s="9" t="n">
        <f aca="false">01_Inputs!$B$66</f>
        <v>163</v>
      </c>
      <c r="C31" s="17" t="n">
        <f aca="false">MIN(I31:AZ31)</f>
        <v>0.374999984</v>
      </c>
      <c r="D31" s="9" t="n">
        <f aca="false">MATCH($C31,I31:AZ31,0)</f>
        <v>28</v>
      </c>
      <c r="E31" s="9" t="n">
        <f aca="false">INDEX(I$5:AZ$5,1,$D31)</f>
        <v>179</v>
      </c>
      <c r="F31" s="9" t="n">
        <f aca="false">$E31-$B31</f>
        <v>16</v>
      </c>
      <c r="I31" s="3" t="str">
        <f aca="false">IF(I$5&gt;$B31,ABS(10/(I$5-$B31)-1)-(I$5-$B31)*01_Inputs!$C$23,"")</f>
        <v/>
      </c>
      <c r="J31" s="3" t="str">
        <f aca="false">IF(J$5&gt;$B31,ABS(10/(J$5-$B31)-1)-(J$5-$B31)*01_Inputs!$C$23,"")</f>
        <v/>
      </c>
      <c r="K31" s="3" t="str">
        <f aca="false">IF(K$5&gt;$B31,ABS(10/(K$5-$B31)-1)-(K$5-$B31)*01_Inputs!$C$23,"")</f>
        <v/>
      </c>
      <c r="L31" s="3" t="str">
        <f aca="false">IF(L$5&gt;$B31,ABS(10/(L$5-$B31)-1)-(L$5-$B31)*01_Inputs!$C$23,"")</f>
        <v/>
      </c>
      <c r="M31" s="3" t="str">
        <f aca="false">IF(M$5&gt;$B31,ABS(10/(M$5-$B31)-1)-(M$5-$B31)*01_Inputs!$C$23,"")</f>
        <v/>
      </c>
      <c r="N31" s="3" t="str">
        <f aca="false">IF(N$5&gt;$B31,ABS(10/(N$5-$B31)-1)-(N$5-$B31)*01_Inputs!$C$23,"")</f>
        <v/>
      </c>
      <c r="O31" s="3" t="str">
        <f aca="false">IF(O$5&gt;$B31,ABS(10/(O$5-$B31)-1)-(O$5-$B31)*01_Inputs!$C$23,"")</f>
        <v/>
      </c>
      <c r="P31" s="3" t="str">
        <f aca="false">IF(P$5&gt;$B31,ABS(10/(P$5-$B31)-1)-(P$5-$B31)*01_Inputs!$C$23,"")</f>
        <v/>
      </c>
      <c r="Q31" s="3" t="str">
        <f aca="false">IF(Q$5&gt;$B31,ABS(10/(Q$5-$B31)-1)-(Q$5-$B31)*01_Inputs!$C$23,"")</f>
        <v/>
      </c>
      <c r="R31" s="3" t="str">
        <f aca="false">IF(R$5&gt;$B31,ABS(10/(R$5-$B31)-1)-(R$5-$B31)*01_Inputs!$C$23,"")</f>
        <v/>
      </c>
      <c r="S31" s="3" t="str">
        <f aca="false">IF(S$5&gt;$B31,ABS(10/(S$5-$B31)-1)-(S$5-$B31)*01_Inputs!$C$23,"")</f>
        <v/>
      </c>
      <c r="T31" s="3" t="str">
        <f aca="false">IF(T$5&gt;$B31,ABS(10/(T$5-$B31)-1)-(T$5-$B31)*01_Inputs!$C$23,"")</f>
        <v/>
      </c>
      <c r="U31" s="3" t="str">
        <f aca="false">IF(U$5&gt;$B31,ABS(10/(U$5-$B31)-1)-(U$5-$B31)*01_Inputs!$C$23,"")</f>
        <v/>
      </c>
      <c r="V31" s="3" t="str">
        <f aca="false">IF(V$5&gt;$B31,ABS(10/(V$5-$B31)-1)-(V$5-$B31)*01_Inputs!$C$23,"")</f>
        <v/>
      </c>
      <c r="W31" s="3" t="str">
        <f aca="false">IF(W$5&gt;$B31,ABS(10/(W$5-$B31)-1)-(W$5-$B31)*01_Inputs!$C$23,"")</f>
        <v/>
      </c>
      <c r="X31" s="3" t="str">
        <f aca="false">IF(X$5&gt;$B31,ABS(10/(X$5-$B31)-1)-(X$5-$B31)*01_Inputs!$C$23,"")</f>
        <v/>
      </c>
      <c r="Y31" s="3" t="str">
        <f aca="false">IF(Y$5&gt;$B31,ABS(10/(Y$5-$B31)-1)-(Y$5-$B31)*01_Inputs!$C$23,"")</f>
        <v/>
      </c>
      <c r="Z31" s="3" t="str">
        <f aca="false">IF(Z$5&gt;$B31,ABS(10/(Z$5-$B31)-1)-(Z$5-$B31)*01_Inputs!$C$23,"")</f>
        <v/>
      </c>
      <c r="AA31" s="3" t="str">
        <f aca="false">IF(AA$5&gt;$B31,ABS(10/(AA$5-$B31)-1)-(AA$5-$B31)*01_Inputs!$C$23,"")</f>
        <v/>
      </c>
      <c r="AB31" s="3" t="str">
        <f aca="false">IF(AB$5&gt;$B31,ABS(10/(AB$5-$B31)-1)-(AB$5-$B31)*01_Inputs!$C$23,"")</f>
        <v/>
      </c>
      <c r="AC31" s="3" t="str">
        <f aca="false">IF(AC$5&gt;$B31,ABS(10/(AC$5-$B31)-1)-(AC$5-$B31)*01_Inputs!$C$23,"")</f>
        <v/>
      </c>
      <c r="AD31" s="3" t="str">
        <f aca="false">IF(AD$5&gt;$B31,ABS(10/(AD$5-$B31)-1)-(AD$5-$B31)*01_Inputs!$C$23,"")</f>
        <v/>
      </c>
      <c r="AE31" s="3" t="str">
        <f aca="false">IF(AE$5&gt;$B31,ABS(10/(AE$5-$B31)-1)-(AE$5-$B31)*01_Inputs!$C$23,"")</f>
        <v/>
      </c>
      <c r="AF31" s="3" t="str">
        <f aca="false">IF(AF$5&gt;$B31,ABS(10/(AF$5-$B31)-1)-(AF$5-$B31)*01_Inputs!$C$23,"")</f>
        <v/>
      </c>
      <c r="AG31" s="3" t="str">
        <f aca="false">IF(AG$5&gt;$B31,ABS(10/(AG$5-$B31)-1)-(AG$5-$B31)*01_Inputs!$C$23,"")</f>
        <v/>
      </c>
      <c r="AH31" s="3" t="str">
        <f aca="false">IF(AH$5&gt;$B31,ABS(10/(AH$5-$B31)-1)-(AH$5-$B31)*01_Inputs!$C$23,"")</f>
        <v/>
      </c>
      <c r="AI31" s="3" t="n">
        <f aca="false">IF(AI$5&gt;$B31,ABS(10/(AI$5-$B31)-1)-(AI$5-$B31)*01_Inputs!$C$23,"")</f>
        <v>3.999999998</v>
      </c>
      <c r="AJ31" s="3" t="n">
        <f aca="false">IF(AJ$5&gt;$B31,ABS(10/(AJ$5-$B31)-1)-(AJ$5-$B31)*01_Inputs!$C$23,"")</f>
        <v>0.374999984</v>
      </c>
      <c r="AK31" s="3" t="n">
        <f aca="false">IF(AK$5&gt;$B31,ABS(10/(AK$5-$B31)-1)-(AK$5-$B31)*01_Inputs!$C$23,"")</f>
        <v>0.696969663969697</v>
      </c>
      <c r="AL31" s="3" t="n">
        <f aca="false">IF(AL$5&gt;$B31,ABS(10/(AL$5-$B31)-1)-(AL$5-$B31)*01_Inputs!$C$23,"")</f>
        <v>0.767441817465116</v>
      </c>
      <c r="AM31" s="3" t="n">
        <f aca="false">IF(AM$5&gt;$B31,ABS(10/(AM$5-$B31)-1)-(AM$5-$B31)*01_Inputs!$C$23,"")</f>
        <v>0.821428515428571</v>
      </c>
      <c r="AN31" s="3" t="n">
        <f aca="false">IF(AN$5&gt;$B31,ABS(10/(AN$5-$B31)-1)-(AN$5-$B31)*01_Inputs!$C$23,"")</f>
        <v>0.824561346508772</v>
      </c>
      <c r="AO31" s="3" t="n">
        <f aca="false">IF(AO$5&gt;$B31,ABS(10/(AO$5-$B31)-1)-(AO$5-$B31)*01_Inputs!$C$23,"")</f>
        <v>0.827586148896552</v>
      </c>
      <c r="AP31" s="3" t="n">
        <f aca="false">IF(AP$5&gt;$B31,ABS(10/(AP$5-$B31)-1)-(AP$5-$B31)*01_Inputs!$C$23,"")</f>
        <v>0.846153781153846</v>
      </c>
      <c r="AQ31" s="3" t="n">
        <f aca="false">IF(AQ$5&gt;$B31,ABS(10/(AQ$5-$B31)-1)-(AQ$5-$B31)*01_Inputs!$C$23,"")</f>
        <v>0.848484782484849</v>
      </c>
      <c r="AR31" s="3" t="n">
        <f aca="false">IF(AR$5&gt;$B31,ABS(10/(AR$5-$B31)-1)-(AR$5-$B31)*01_Inputs!$C$23,"")</f>
        <v>0.855072394768116</v>
      </c>
      <c r="AS31" s="3" t="n">
        <f aca="false">IF(AS$5&gt;$B31,ABS(10/(AS$5-$B31)-1)-(AS$5-$B31)*01_Inputs!$C$23,"")</f>
        <v>0.863013625630137</v>
      </c>
      <c r="AT31" s="3" t="n">
        <f aca="false">IF(AT$5&gt;$B31,ABS(10/(AT$5-$B31)-1)-(AT$5-$B31)*01_Inputs!$C$23,"")</f>
        <v>0.873417642518987</v>
      </c>
      <c r="AU31" s="3" t="n">
        <f aca="false">IF(AU$5&gt;$B31,ABS(10/(AU$5-$B31)-1)-(AU$5-$B31)*01_Inputs!$C$23,"")</f>
        <v>0.876543128876543</v>
      </c>
      <c r="AV31" s="3" t="n">
        <f aca="false">IF(AV$5&gt;$B31,ABS(10/(AV$5-$B31)-1)-(AV$5-$B31)*01_Inputs!$C$23,"")</f>
        <v>0.885057384264368</v>
      </c>
      <c r="AW31" s="3" t="n">
        <f aca="false">IF(AW$5&gt;$B31,ABS(10/(AW$5-$B31)-1)-(AW$5-$B31)*01_Inputs!$C$23,"")</f>
        <v>0.89010979910989</v>
      </c>
      <c r="AX31" s="3" t="n">
        <f aca="false">IF(AX$5&gt;$B31,ABS(10/(AX$5-$B31)-1)-(AX$5-$B31)*01_Inputs!$C$23,"")</f>
        <v>0.895833237333333</v>
      </c>
      <c r="AY31" s="3" t="n">
        <f aca="false">IF(AY$5&gt;$B31,ABS(10/(AY$5-$B31)-1)-(AY$5-$B31)*01_Inputs!$C$23,"")</f>
        <v>0.906541949074766</v>
      </c>
      <c r="AZ31" s="3" t="n">
        <f aca="false">IF(AZ$5&gt;$B31,ABS(10/(AZ$5-$B31)-1)-(AZ$5-$B31)*01_Inputs!$C$23,"")</f>
        <v>0.911504311778761</v>
      </c>
    </row>
    <row r="32" customFormat="false" ht="15" hidden="false" customHeight="false" outlineLevel="0" collapsed="false">
      <c r="A32" s="9" t="n">
        <v>27</v>
      </c>
      <c r="B32" s="9" t="n">
        <f aca="false">01_Inputs!$B$67</f>
        <v>165</v>
      </c>
      <c r="C32" s="17" t="n">
        <f aca="false">MIN(I32:AZ32)</f>
        <v>0.285714271714286</v>
      </c>
      <c r="D32" s="9" t="n">
        <f aca="false">MATCH($C32,I32:AZ32,0)</f>
        <v>28</v>
      </c>
      <c r="E32" s="9" t="n">
        <f aca="false">INDEX(I$5:AZ$5,1,$D32)</f>
        <v>179</v>
      </c>
      <c r="F32" s="9" t="n">
        <f aca="false">$E32-$B32</f>
        <v>14</v>
      </c>
      <c r="I32" s="3" t="str">
        <f aca="false">IF(I$5&gt;$B32,ABS(10/(I$5-$B32)-1)-(I$5-$B32)*01_Inputs!$C$23,"")</f>
        <v/>
      </c>
      <c r="J32" s="3" t="str">
        <f aca="false">IF(J$5&gt;$B32,ABS(10/(J$5-$B32)-1)-(J$5-$B32)*01_Inputs!$C$23,"")</f>
        <v/>
      </c>
      <c r="K32" s="3" t="str">
        <f aca="false">IF(K$5&gt;$B32,ABS(10/(K$5-$B32)-1)-(K$5-$B32)*01_Inputs!$C$23,"")</f>
        <v/>
      </c>
      <c r="L32" s="3" t="str">
        <f aca="false">IF(L$5&gt;$B32,ABS(10/(L$5-$B32)-1)-(L$5-$B32)*01_Inputs!$C$23,"")</f>
        <v/>
      </c>
      <c r="M32" s="3" t="str">
        <f aca="false">IF(M$5&gt;$B32,ABS(10/(M$5-$B32)-1)-(M$5-$B32)*01_Inputs!$C$23,"")</f>
        <v/>
      </c>
      <c r="N32" s="3" t="str">
        <f aca="false">IF(N$5&gt;$B32,ABS(10/(N$5-$B32)-1)-(N$5-$B32)*01_Inputs!$C$23,"")</f>
        <v/>
      </c>
      <c r="O32" s="3" t="str">
        <f aca="false">IF(O$5&gt;$B32,ABS(10/(O$5-$B32)-1)-(O$5-$B32)*01_Inputs!$C$23,"")</f>
        <v/>
      </c>
      <c r="P32" s="3" t="str">
        <f aca="false">IF(P$5&gt;$B32,ABS(10/(P$5-$B32)-1)-(P$5-$B32)*01_Inputs!$C$23,"")</f>
        <v/>
      </c>
      <c r="Q32" s="3" t="str">
        <f aca="false">IF(Q$5&gt;$B32,ABS(10/(Q$5-$B32)-1)-(Q$5-$B32)*01_Inputs!$C$23,"")</f>
        <v/>
      </c>
      <c r="R32" s="3" t="str">
        <f aca="false">IF(R$5&gt;$B32,ABS(10/(R$5-$B32)-1)-(R$5-$B32)*01_Inputs!$C$23,"")</f>
        <v/>
      </c>
      <c r="S32" s="3" t="str">
        <f aca="false">IF(S$5&gt;$B32,ABS(10/(S$5-$B32)-1)-(S$5-$B32)*01_Inputs!$C$23,"")</f>
        <v/>
      </c>
      <c r="T32" s="3" t="str">
        <f aca="false">IF(T$5&gt;$B32,ABS(10/(T$5-$B32)-1)-(T$5-$B32)*01_Inputs!$C$23,"")</f>
        <v/>
      </c>
      <c r="U32" s="3" t="str">
        <f aca="false">IF(U$5&gt;$B32,ABS(10/(U$5-$B32)-1)-(U$5-$B32)*01_Inputs!$C$23,"")</f>
        <v/>
      </c>
      <c r="V32" s="3" t="str">
        <f aca="false">IF(V$5&gt;$B32,ABS(10/(V$5-$B32)-1)-(V$5-$B32)*01_Inputs!$C$23,"")</f>
        <v/>
      </c>
      <c r="W32" s="3" t="str">
        <f aca="false">IF(W$5&gt;$B32,ABS(10/(W$5-$B32)-1)-(W$5-$B32)*01_Inputs!$C$23,"")</f>
        <v/>
      </c>
      <c r="X32" s="3" t="str">
        <f aca="false">IF(X$5&gt;$B32,ABS(10/(X$5-$B32)-1)-(X$5-$B32)*01_Inputs!$C$23,"")</f>
        <v/>
      </c>
      <c r="Y32" s="3" t="str">
        <f aca="false">IF(Y$5&gt;$B32,ABS(10/(Y$5-$B32)-1)-(Y$5-$B32)*01_Inputs!$C$23,"")</f>
        <v/>
      </c>
      <c r="Z32" s="3" t="str">
        <f aca="false">IF(Z$5&gt;$B32,ABS(10/(Z$5-$B32)-1)-(Z$5-$B32)*01_Inputs!$C$23,"")</f>
        <v/>
      </c>
      <c r="AA32" s="3" t="str">
        <f aca="false">IF(AA$5&gt;$B32,ABS(10/(AA$5-$B32)-1)-(AA$5-$B32)*01_Inputs!$C$23,"")</f>
        <v/>
      </c>
      <c r="AB32" s="3" t="str">
        <f aca="false">IF(AB$5&gt;$B32,ABS(10/(AB$5-$B32)-1)-(AB$5-$B32)*01_Inputs!$C$23,"")</f>
        <v/>
      </c>
      <c r="AC32" s="3" t="str">
        <f aca="false">IF(AC$5&gt;$B32,ABS(10/(AC$5-$B32)-1)-(AC$5-$B32)*01_Inputs!$C$23,"")</f>
        <v/>
      </c>
      <c r="AD32" s="3" t="str">
        <f aca="false">IF(AD$5&gt;$B32,ABS(10/(AD$5-$B32)-1)-(AD$5-$B32)*01_Inputs!$C$23,"")</f>
        <v/>
      </c>
      <c r="AE32" s="3" t="str">
        <f aca="false">IF(AE$5&gt;$B32,ABS(10/(AE$5-$B32)-1)-(AE$5-$B32)*01_Inputs!$C$23,"")</f>
        <v/>
      </c>
      <c r="AF32" s="3" t="str">
        <f aca="false">IF(AF$5&gt;$B32,ABS(10/(AF$5-$B32)-1)-(AF$5-$B32)*01_Inputs!$C$23,"")</f>
        <v/>
      </c>
      <c r="AG32" s="3" t="str">
        <f aca="false">IF(AG$5&gt;$B32,ABS(10/(AG$5-$B32)-1)-(AG$5-$B32)*01_Inputs!$C$23,"")</f>
        <v/>
      </c>
      <c r="AH32" s="3" t="str">
        <f aca="false">IF(AH$5&gt;$B32,ABS(10/(AH$5-$B32)-1)-(AH$5-$B32)*01_Inputs!$C$23,"")</f>
        <v/>
      </c>
      <c r="AI32" s="3" t="str">
        <f aca="false">IF(AI$5&gt;$B32,ABS(10/(AI$5-$B32)-1)-(AI$5-$B32)*01_Inputs!$C$23,"")</f>
        <v/>
      </c>
      <c r="AJ32" s="3" t="n">
        <f aca="false">IF(AJ$5&gt;$B32,ABS(10/(AJ$5-$B32)-1)-(AJ$5-$B32)*01_Inputs!$C$23,"")</f>
        <v>0.285714271714286</v>
      </c>
      <c r="AK32" s="3" t="n">
        <f aca="false">IF(AK$5&gt;$B32,ABS(10/(AK$5-$B32)-1)-(AK$5-$B32)*01_Inputs!$C$23,"")</f>
        <v>0.67741932383871</v>
      </c>
      <c r="AL32" s="3" t="n">
        <f aca="false">IF(AL$5&gt;$B32,ABS(10/(AL$5-$B32)-1)-(AL$5-$B32)*01_Inputs!$C$23,"")</f>
        <v>0.75609751997561</v>
      </c>
      <c r="AM32" s="3" t="n">
        <f aca="false">IF(AM$5&gt;$B32,ABS(10/(AM$5-$B32)-1)-(AM$5-$B32)*01_Inputs!$C$23,"")</f>
        <v>0.814814760814815</v>
      </c>
      <c r="AN32" s="3" t="n">
        <f aca="false">IF(AN$5&gt;$B32,ABS(10/(AN$5-$B32)-1)-(AN$5-$B32)*01_Inputs!$C$23,"")</f>
        <v>0.818181763181818</v>
      </c>
      <c r="AO32" s="3" t="n">
        <f aca="false">IF(AO$5&gt;$B32,ABS(10/(AO$5-$B32)-1)-(AO$5-$B32)*01_Inputs!$C$23,"")</f>
        <v>0.821428515428571</v>
      </c>
      <c r="AP32" s="3" t="n">
        <f aca="false">IF(AP$5&gt;$B32,ABS(10/(AP$5-$B32)-1)-(AP$5-$B32)*01_Inputs!$C$23,"")</f>
        <v>0.841269778269841</v>
      </c>
      <c r="AQ32" s="3" t="n">
        <f aca="false">IF(AQ$5&gt;$B32,ABS(10/(AQ$5-$B32)-1)-(AQ$5-$B32)*01_Inputs!$C$23,"")</f>
        <v>0.843749936</v>
      </c>
      <c r="AR32" s="3" t="n">
        <f aca="false">IF(AR$5&gt;$B32,ABS(10/(AR$5-$B32)-1)-(AR$5-$B32)*01_Inputs!$C$23,"")</f>
        <v>0.850746201656716</v>
      </c>
      <c r="AS32" s="3" t="n">
        <f aca="false">IF(AS$5&gt;$B32,ABS(10/(AS$5-$B32)-1)-(AS$5-$B32)*01_Inputs!$C$23,"")</f>
        <v>0.859154858577465</v>
      </c>
      <c r="AT32" s="3" t="n">
        <f aca="false">IF(AT$5&gt;$B32,ABS(10/(AT$5-$B32)-1)-(AT$5-$B32)*01_Inputs!$C$23,"")</f>
        <v>0.87012979312987</v>
      </c>
      <c r="AU32" s="3" t="n">
        <f aca="false">IF(AU$5&gt;$B32,ABS(10/(AU$5-$B32)-1)-(AU$5-$B32)*01_Inputs!$C$23,"")</f>
        <v>0.873417642518987</v>
      </c>
      <c r="AV32" s="3" t="n">
        <f aca="false">IF(AV$5&gt;$B32,ABS(10/(AV$5-$B32)-1)-(AV$5-$B32)*01_Inputs!$C$23,"")</f>
        <v>0.882352856176471</v>
      </c>
      <c r="AW32" s="3" t="n">
        <f aca="false">IF(AW$5&gt;$B32,ABS(10/(AW$5-$B32)-1)-(AW$5-$B32)*01_Inputs!$C$23,"")</f>
        <v>0.887640360438202</v>
      </c>
      <c r="AX32" s="3" t="n">
        <f aca="false">IF(AX$5&gt;$B32,ABS(10/(AX$5-$B32)-1)-(AX$5-$B32)*01_Inputs!$C$23,"")</f>
        <v>0.893616927276596</v>
      </c>
      <c r="AY32" s="3" t="n">
        <f aca="false">IF(AY$5&gt;$B32,ABS(10/(AY$5-$B32)-1)-(AY$5-$B32)*01_Inputs!$C$23,"")</f>
        <v>0.904761799761905</v>
      </c>
      <c r="AZ32" s="3" t="n">
        <f aca="false">IF(AZ$5&gt;$B32,ABS(10/(AZ$5-$B32)-1)-(AZ$5-$B32)*01_Inputs!$C$23,"")</f>
        <v>0.90990979890991</v>
      </c>
    </row>
    <row r="33" customFormat="false" ht="15" hidden="false" customHeight="false" outlineLevel="0" collapsed="false">
      <c r="A33" s="9" t="n">
        <v>28</v>
      </c>
      <c r="B33" s="9" t="n">
        <f aca="false">01_Inputs!$B$68</f>
        <v>179</v>
      </c>
      <c r="C33" s="17" t="n">
        <f aca="false">MIN(I33:AZ33)</f>
        <v>0.411764688882353</v>
      </c>
      <c r="D33" s="9" t="n">
        <f aca="false">MATCH($C33,I33:AZ33,0)</f>
        <v>29</v>
      </c>
      <c r="E33" s="9" t="n">
        <f aca="false">INDEX(I$5:AZ$5,1,$D33)</f>
        <v>196</v>
      </c>
      <c r="F33" s="9" t="n">
        <f aca="false">$E33-$B33</f>
        <v>17</v>
      </c>
      <c r="I33" s="3" t="str">
        <f aca="false">IF(I$5&gt;$B33,ABS(10/(I$5-$B33)-1)-(I$5-$B33)*01_Inputs!$C$23,"")</f>
        <v/>
      </c>
      <c r="J33" s="3" t="str">
        <f aca="false">IF(J$5&gt;$B33,ABS(10/(J$5-$B33)-1)-(J$5-$B33)*01_Inputs!$C$23,"")</f>
        <v/>
      </c>
      <c r="K33" s="3" t="str">
        <f aca="false">IF(K$5&gt;$B33,ABS(10/(K$5-$B33)-1)-(K$5-$B33)*01_Inputs!$C$23,"")</f>
        <v/>
      </c>
      <c r="L33" s="3" t="str">
        <f aca="false">IF(L$5&gt;$B33,ABS(10/(L$5-$B33)-1)-(L$5-$B33)*01_Inputs!$C$23,"")</f>
        <v/>
      </c>
      <c r="M33" s="3" t="str">
        <f aca="false">IF(M$5&gt;$B33,ABS(10/(M$5-$B33)-1)-(M$5-$B33)*01_Inputs!$C$23,"")</f>
        <v/>
      </c>
      <c r="N33" s="3" t="str">
        <f aca="false">IF(N$5&gt;$B33,ABS(10/(N$5-$B33)-1)-(N$5-$B33)*01_Inputs!$C$23,"")</f>
        <v/>
      </c>
      <c r="O33" s="3" t="str">
        <f aca="false">IF(O$5&gt;$B33,ABS(10/(O$5-$B33)-1)-(O$5-$B33)*01_Inputs!$C$23,"")</f>
        <v/>
      </c>
      <c r="P33" s="3" t="str">
        <f aca="false">IF(P$5&gt;$B33,ABS(10/(P$5-$B33)-1)-(P$5-$B33)*01_Inputs!$C$23,"")</f>
        <v/>
      </c>
      <c r="Q33" s="3" t="str">
        <f aca="false">IF(Q$5&gt;$B33,ABS(10/(Q$5-$B33)-1)-(Q$5-$B33)*01_Inputs!$C$23,"")</f>
        <v/>
      </c>
      <c r="R33" s="3" t="str">
        <f aca="false">IF(R$5&gt;$B33,ABS(10/(R$5-$B33)-1)-(R$5-$B33)*01_Inputs!$C$23,"")</f>
        <v/>
      </c>
      <c r="S33" s="3" t="str">
        <f aca="false">IF(S$5&gt;$B33,ABS(10/(S$5-$B33)-1)-(S$5-$B33)*01_Inputs!$C$23,"")</f>
        <v/>
      </c>
      <c r="T33" s="3" t="str">
        <f aca="false">IF(T$5&gt;$B33,ABS(10/(T$5-$B33)-1)-(T$5-$B33)*01_Inputs!$C$23,"")</f>
        <v/>
      </c>
      <c r="U33" s="3" t="str">
        <f aca="false">IF(U$5&gt;$B33,ABS(10/(U$5-$B33)-1)-(U$5-$B33)*01_Inputs!$C$23,"")</f>
        <v/>
      </c>
      <c r="V33" s="3" t="str">
        <f aca="false">IF(V$5&gt;$B33,ABS(10/(V$5-$B33)-1)-(V$5-$B33)*01_Inputs!$C$23,"")</f>
        <v/>
      </c>
      <c r="W33" s="3" t="str">
        <f aca="false">IF(W$5&gt;$B33,ABS(10/(W$5-$B33)-1)-(W$5-$B33)*01_Inputs!$C$23,"")</f>
        <v/>
      </c>
      <c r="X33" s="3" t="str">
        <f aca="false">IF(X$5&gt;$B33,ABS(10/(X$5-$B33)-1)-(X$5-$B33)*01_Inputs!$C$23,"")</f>
        <v/>
      </c>
      <c r="Y33" s="3" t="str">
        <f aca="false">IF(Y$5&gt;$B33,ABS(10/(Y$5-$B33)-1)-(Y$5-$B33)*01_Inputs!$C$23,"")</f>
        <v/>
      </c>
      <c r="Z33" s="3" t="str">
        <f aca="false">IF(Z$5&gt;$B33,ABS(10/(Z$5-$B33)-1)-(Z$5-$B33)*01_Inputs!$C$23,"")</f>
        <v/>
      </c>
      <c r="AA33" s="3" t="str">
        <f aca="false">IF(AA$5&gt;$B33,ABS(10/(AA$5-$B33)-1)-(AA$5-$B33)*01_Inputs!$C$23,"")</f>
        <v/>
      </c>
      <c r="AB33" s="3" t="str">
        <f aca="false">IF(AB$5&gt;$B33,ABS(10/(AB$5-$B33)-1)-(AB$5-$B33)*01_Inputs!$C$23,"")</f>
        <v/>
      </c>
      <c r="AC33" s="3" t="str">
        <f aca="false">IF(AC$5&gt;$B33,ABS(10/(AC$5-$B33)-1)-(AC$5-$B33)*01_Inputs!$C$23,"")</f>
        <v/>
      </c>
      <c r="AD33" s="3" t="str">
        <f aca="false">IF(AD$5&gt;$B33,ABS(10/(AD$5-$B33)-1)-(AD$5-$B33)*01_Inputs!$C$23,"")</f>
        <v/>
      </c>
      <c r="AE33" s="3" t="str">
        <f aca="false">IF(AE$5&gt;$B33,ABS(10/(AE$5-$B33)-1)-(AE$5-$B33)*01_Inputs!$C$23,"")</f>
        <v/>
      </c>
      <c r="AF33" s="3" t="str">
        <f aca="false">IF(AF$5&gt;$B33,ABS(10/(AF$5-$B33)-1)-(AF$5-$B33)*01_Inputs!$C$23,"")</f>
        <v/>
      </c>
      <c r="AG33" s="3" t="str">
        <f aca="false">IF(AG$5&gt;$B33,ABS(10/(AG$5-$B33)-1)-(AG$5-$B33)*01_Inputs!$C$23,"")</f>
        <v/>
      </c>
      <c r="AH33" s="3" t="str">
        <f aca="false">IF(AH$5&gt;$B33,ABS(10/(AH$5-$B33)-1)-(AH$5-$B33)*01_Inputs!$C$23,"")</f>
        <v/>
      </c>
      <c r="AI33" s="3" t="str">
        <f aca="false">IF(AI$5&gt;$B33,ABS(10/(AI$5-$B33)-1)-(AI$5-$B33)*01_Inputs!$C$23,"")</f>
        <v/>
      </c>
      <c r="AJ33" s="3" t="str">
        <f aca="false">IF(AJ$5&gt;$B33,ABS(10/(AJ$5-$B33)-1)-(AJ$5-$B33)*01_Inputs!$C$23,"")</f>
        <v/>
      </c>
      <c r="AK33" s="3" t="n">
        <f aca="false">IF(AK$5&gt;$B33,ABS(10/(AK$5-$B33)-1)-(AK$5-$B33)*01_Inputs!$C$23,"")</f>
        <v>0.411764688882353</v>
      </c>
      <c r="AL33" s="3" t="n">
        <f aca="false">IF(AL$5&gt;$B33,ABS(10/(AL$5-$B33)-1)-(AL$5-$B33)*01_Inputs!$C$23,"")</f>
        <v>0.62962960262963</v>
      </c>
      <c r="AM33" s="3" t="n">
        <f aca="false">IF(AM$5&gt;$B33,ABS(10/(AM$5-$B33)-1)-(AM$5-$B33)*01_Inputs!$C$23,"")</f>
        <v>0.74999996</v>
      </c>
      <c r="AN33" s="3" t="n">
        <f aca="false">IF(AN$5&gt;$B33,ABS(10/(AN$5-$B33)-1)-(AN$5-$B33)*01_Inputs!$C$23,"")</f>
        <v>0.75609751997561</v>
      </c>
      <c r="AO33" s="3" t="n">
        <f aca="false">IF(AO$5&gt;$B33,ABS(10/(AO$5-$B33)-1)-(AO$5-$B33)*01_Inputs!$C$23,"")</f>
        <v>0.761904719904762</v>
      </c>
      <c r="AP33" s="3" t="n">
        <f aca="false">IF(AP$5&gt;$B33,ABS(10/(AP$5-$B33)-1)-(AP$5-$B33)*01_Inputs!$C$23,"")</f>
        <v>0.795918318346939</v>
      </c>
      <c r="AQ33" s="3" t="n">
        <f aca="false">IF(AQ$5&gt;$B33,ABS(10/(AQ$5-$B33)-1)-(AQ$5-$B33)*01_Inputs!$C$23,"")</f>
        <v>0.79999995</v>
      </c>
      <c r="AR33" s="3" t="n">
        <f aca="false">IF(AR$5&gt;$B33,ABS(10/(AR$5-$B33)-1)-(AR$5-$B33)*01_Inputs!$C$23,"")</f>
        <v>0.811320701716981</v>
      </c>
      <c r="AS33" s="3" t="n">
        <f aca="false">IF(AS$5&gt;$B33,ABS(10/(AS$5-$B33)-1)-(AS$5-$B33)*01_Inputs!$C$23,"")</f>
        <v>0.824561346508772</v>
      </c>
      <c r="AT33" s="3" t="n">
        <f aca="false">IF(AT$5&gt;$B33,ABS(10/(AT$5-$B33)-1)-(AT$5-$B33)*01_Inputs!$C$23,"")</f>
        <v>0.841269778269841</v>
      </c>
      <c r="AU33" s="3" t="n">
        <f aca="false">IF(AU$5&gt;$B33,ABS(10/(AU$5-$B33)-1)-(AU$5-$B33)*01_Inputs!$C$23,"")</f>
        <v>0.846153781153846</v>
      </c>
      <c r="AV33" s="3" t="n">
        <f aca="false">IF(AV$5&gt;$B33,ABS(10/(AV$5-$B33)-1)-(AV$5-$B33)*01_Inputs!$C$23,"")</f>
        <v>0.859154858577465</v>
      </c>
      <c r="AW33" s="3" t="n">
        <f aca="false">IF(AW$5&gt;$B33,ABS(10/(AW$5-$B33)-1)-(AW$5-$B33)*01_Inputs!$C$23,"")</f>
        <v>0.866666591666667</v>
      </c>
      <c r="AX33" s="3" t="n">
        <f aca="false">IF(AX$5&gt;$B33,ABS(10/(AX$5-$B33)-1)-(AX$5-$B33)*01_Inputs!$C$23,"")</f>
        <v>0.87499992</v>
      </c>
      <c r="AY33" s="3" t="n">
        <f aca="false">IF(AY$5&gt;$B33,ABS(10/(AY$5-$B33)-1)-(AY$5-$B33)*01_Inputs!$C$23,"")</f>
        <v>0.89010979910989</v>
      </c>
      <c r="AZ33" s="3" t="n">
        <f aca="false">IF(AZ$5&gt;$B33,ABS(10/(AZ$5-$B33)-1)-(AZ$5-$B33)*01_Inputs!$C$23,"")</f>
        <v>0.896907119494845</v>
      </c>
    </row>
    <row r="34" customFormat="false" ht="15" hidden="false" customHeight="false" outlineLevel="0" collapsed="false">
      <c r="A34" s="9" t="n">
        <v>29</v>
      </c>
      <c r="B34" s="9" t="n">
        <f aca="false">01_Inputs!$B$69</f>
        <v>196</v>
      </c>
      <c r="C34" s="17" t="n">
        <f aca="false">MIN(I34:AZ34)</f>
        <v>-1E-008</v>
      </c>
      <c r="D34" s="9" t="n">
        <f aca="false">MATCH($C34,I34:AZ34,0)</f>
        <v>30</v>
      </c>
      <c r="E34" s="9" t="n">
        <f aca="false">INDEX(I$5:AZ$5,1,$D34)</f>
        <v>206</v>
      </c>
      <c r="F34" s="9" t="n">
        <f aca="false">$E34-$B34</f>
        <v>10</v>
      </c>
      <c r="I34" s="3" t="str">
        <f aca="false">IF(I$5&gt;$B34,ABS(10/(I$5-$B34)-1)-(I$5-$B34)*01_Inputs!$C$23,"")</f>
        <v/>
      </c>
      <c r="J34" s="3" t="str">
        <f aca="false">IF(J$5&gt;$B34,ABS(10/(J$5-$B34)-1)-(J$5-$B34)*01_Inputs!$C$23,"")</f>
        <v/>
      </c>
      <c r="K34" s="3" t="str">
        <f aca="false">IF(K$5&gt;$B34,ABS(10/(K$5-$B34)-1)-(K$5-$B34)*01_Inputs!$C$23,"")</f>
        <v/>
      </c>
      <c r="L34" s="3" t="str">
        <f aca="false">IF(L$5&gt;$B34,ABS(10/(L$5-$B34)-1)-(L$5-$B34)*01_Inputs!$C$23,"")</f>
        <v/>
      </c>
      <c r="M34" s="3" t="str">
        <f aca="false">IF(M$5&gt;$B34,ABS(10/(M$5-$B34)-1)-(M$5-$B34)*01_Inputs!$C$23,"")</f>
        <v/>
      </c>
      <c r="N34" s="3" t="str">
        <f aca="false">IF(N$5&gt;$B34,ABS(10/(N$5-$B34)-1)-(N$5-$B34)*01_Inputs!$C$23,"")</f>
        <v/>
      </c>
      <c r="O34" s="3" t="str">
        <f aca="false">IF(O$5&gt;$B34,ABS(10/(O$5-$B34)-1)-(O$5-$B34)*01_Inputs!$C$23,"")</f>
        <v/>
      </c>
      <c r="P34" s="3" t="str">
        <f aca="false">IF(P$5&gt;$B34,ABS(10/(P$5-$B34)-1)-(P$5-$B34)*01_Inputs!$C$23,"")</f>
        <v/>
      </c>
      <c r="Q34" s="3" t="str">
        <f aca="false">IF(Q$5&gt;$B34,ABS(10/(Q$5-$B34)-1)-(Q$5-$B34)*01_Inputs!$C$23,"")</f>
        <v/>
      </c>
      <c r="R34" s="3" t="str">
        <f aca="false">IF(R$5&gt;$B34,ABS(10/(R$5-$B34)-1)-(R$5-$B34)*01_Inputs!$C$23,"")</f>
        <v/>
      </c>
      <c r="S34" s="3" t="str">
        <f aca="false">IF(S$5&gt;$B34,ABS(10/(S$5-$B34)-1)-(S$5-$B34)*01_Inputs!$C$23,"")</f>
        <v/>
      </c>
      <c r="T34" s="3" t="str">
        <f aca="false">IF(T$5&gt;$B34,ABS(10/(T$5-$B34)-1)-(T$5-$B34)*01_Inputs!$C$23,"")</f>
        <v/>
      </c>
      <c r="U34" s="3" t="str">
        <f aca="false">IF(U$5&gt;$B34,ABS(10/(U$5-$B34)-1)-(U$5-$B34)*01_Inputs!$C$23,"")</f>
        <v/>
      </c>
      <c r="V34" s="3" t="str">
        <f aca="false">IF(V$5&gt;$B34,ABS(10/(V$5-$B34)-1)-(V$5-$B34)*01_Inputs!$C$23,"")</f>
        <v/>
      </c>
      <c r="W34" s="3" t="str">
        <f aca="false">IF(W$5&gt;$B34,ABS(10/(W$5-$B34)-1)-(W$5-$B34)*01_Inputs!$C$23,"")</f>
        <v/>
      </c>
      <c r="X34" s="3" t="str">
        <f aca="false">IF(X$5&gt;$B34,ABS(10/(X$5-$B34)-1)-(X$5-$B34)*01_Inputs!$C$23,"")</f>
        <v/>
      </c>
      <c r="Y34" s="3" t="str">
        <f aca="false">IF(Y$5&gt;$B34,ABS(10/(Y$5-$B34)-1)-(Y$5-$B34)*01_Inputs!$C$23,"")</f>
        <v/>
      </c>
      <c r="Z34" s="3" t="str">
        <f aca="false">IF(Z$5&gt;$B34,ABS(10/(Z$5-$B34)-1)-(Z$5-$B34)*01_Inputs!$C$23,"")</f>
        <v/>
      </c>
      <c r="AA34" s="3" t="str">
        <f aca="false">IF(AA$5&gt;$B34,ABS(10/(AA$5-$B34)-1)-(AA$5-$B34)*01_Inputs!$C$23,"")</f>
        <v/>
      </c>
      <c r="AB34" s="3" t="str">
        <f aca="false">IF(AB$5&gt;$B34,ABS(10/(AB$5-$B34)-1)-(AB$5-$B34)*01_Inputs!$C$23,"")</f>
        <v/>
      </c>
      <c r="AC34" s="3" t="str">
        <f aca="false">IF(AC$5&gt;$B34,ABS(10/(AC$5-$B34)-1)-(AC$5-$B34)*01_Inputs!$C$23,"")</f>
        <v/>
      </c>
      <c r="AD34" s="3" t="str">
        <f aca="false">IF(AD$5&gt;$B34,ABS(10/(AD$5-$B34)-1)-(AD$5-$B34)*01_Inputs!$C$23,"")</f>
        <v/>
      </c>
      <c r="AE34" s="3" t="str">
        <f aca="false">IF(AE$5&gt;$B34,ABS(10/(AE$5-$B34)-1)-(AE$5-$B34)*01_Inputs!$C$23,"")</f>
        <v/>
      </c>
      <c r="AF34" s="3" t="str">
        <f aca="false">IF(AF$5&gt;$B34,ABS(10/(AF$5-$B34)-1)-(AF$5-$B34)*01_Inputs!$C$23,"")</f>
        <v/>
      </c>
      <c r="AG34" s="3" t="str">
        <f aca="false">IF(AG$5&gt;$B34,ABS(10/(AG$5-$B34)-1)-(AG$5-$B34)*01_Inputs!$C$23,"")</f>
        <v/>
      </c>
      <c r="AH34" s="3" t="str">
        <f aca="false">IF(AH$5&gt;$B34,ABS(10/(AH$5-$B34)-1)-(AH$5-$B34)*01_Inputs!$C$23,"")</f>
        <v/>
      </c>
      <c r="AI34" s="3" t="str">
        <f aca="false">IF(AI$5&gt;$B34,ABS(10/(AI$5-$B34)-1)-(AI$5-$B34)*01_Inputs!$C$23,"")</f>
        <v/>
      </c>
      <c r="AJ34" s="3" t="str">
        <f aca="false">IF(AJ$5&gt;$B34,ABS(10/(AJ$5-$B34)-1)-(AJ$5-$B34)*01_Inputs!$C$23,"")</f>
        <v/>
      </c>
      <c r="AK34" s="3" t="str">
        <f aca="false">IF(AK$5&gt;$B34,ABS(10/(AK$5-$B34)-1)-(AK$5-$B34)*01_Inputs!$C$23,"")</f>
        <v/>
      </c>
      <c r="AL34" s="3" t="n">
        <f aca="false">IF(AL$5&gt;$B34,ABS(10/(AL$5-$B34)-1)-(AL$5-$B34)*01_Inputs!$C$23,"")</f>
        <v>-1E-008</v>
      </c>
      <c r="AM34" s="3" t="n">
        <f aca="false">IF(AM$5&gt;$B34,ABS(10/(AM$5-$B34)-1)-(AM$5-$B34)*01_Inputs!$C$23,"")</f>
        <v>0.565217368304348</v>
      </c>
      <c r="AN34" s="3" t="n">
        <f aca="false">IF(AN$5&gt;$B34,ABS(10/(AN$5-$B34)-1)-(AN$5-$B34)*01_Inputs!$C$23,"")</f>
        <v>0.583333309333333</v>
      </c>
      <c r="AO34" s="3" t="n">
        <f aca="false">IF(AO$5&gt;$B34,ABS(10/(AO$5-$B34)-1)-(AO$5-$B34)*01_Inputs!$C$23,"")</f>
        <v>0.599999975</v>
      </c>
      <c r="AP34" s="3" t="n">
        <f aca="false">IF(AP$5&gt;$B34,ABS(10/(AP$5-$B34)-1)-(AP$5-$B34)*01_Inputs!$C$23,"")</f>
        <v>0.687499968</v>
      </c>
      <c r="AQ34" s="3" t="n">
        <f aca="false">IF(AQ$5&gt;$B34,ABS(10/(AQ$5-$B34)-1)-(AQ$5-$B34)*01_Inputs!$C$23,"")</f>
        <v>0.696969663969697</v>
      </c>
      <c r="AR34" s="3" t="n">
        <f aca="false">IF(AR$5&gt;$B34,ABS(10/(AR$5-$B34)-1)-(AR$5-$B34)*01_Inputs!$C$23,"")</f>
        <v>0.722222186222222</v>
      </c>
      <c r="AS34" s="3" t="n">
        <f aca="false">IF(AS$5&gt;$B34,ABS(10/(AS$5-$B34)-1)-(AS$5-$B34)*01_Inputs!$C$23,"")</f>
        <v>0.74999996</v>
      </c>
      <c r="AT34" s="3" t="n">
        <f aca="false">IF(AT$5&gt;$B34,ABS(10/(AT$5-$B34)-1)-(AT$5-$B34)*01_Inputs!$C$23,"")</f>
        <v>0.782608649652174</v>
      </c>
      <c r="AU34" s="3" t="n">
        <f aca="false">IF(AU$5&gt;$B34,ABS(10/(AU$5-$B34)-1)-(AU$5-$B34)*01_Inputs!$C$23,"")</f>
        <v>0.791666618666667</v>
      </c>
      <c r="AV34" s="3" t="n">
        <f aca="false">IF(AV$5&gt;$B34,ABS(10/(AV$5-$B34)-1)-(AV$5-$B34)*01_Inputs!$C$23,"")</f>
        <v>0.814814760814815</v>
      </c>
      <c r="AW34" s="3" t="n">
        <f aca="false">IF(AW$5&gt;$B34,ABS(10/(AW$5-$B34)-1)-(AW$5-$B34)*01_Inputs!$C$23,"")</f>
        <v>0.827586148896552</v>
      </c>
      <c r="AX34" s="3" t="n">
        <f aca="false">IF(AX$5&gt;$B34,ABS(10/(AX$5-$B34)-1)-(AX$5-$B34)*01_Inputs!$C$23,"")</f>
        <v>0.841269778269841</v>
      </c>
      <c r="AY34" s="3" t="n">
        <f aca="false">IF(AY$5&gt;$B34,ABS(10/(AY$5-$B34)-1)-(AY$5-$B34)*01_Inputs!$C$23,"")</f>
        <v>0.864864790864865</v>
      </c>
      <c r="AZ34" s="3" t="n">
        <f aca="false">IF(AZ$5&gt;$B34,ABS(10/(AZ$5-$B34)-1)-(AZ$5-$B34)*01_Inputs!$C$23,"")</f>
        <v>0.87499992</v>
      </c>
    </row>
    <row r="35" customFormat="false" ht="15" hidden="false" customHeight="false" outlineLevel="0" collapsed="false">
      <c r="A35" s="9" t="n">
        <v>30</v>
      </c>
      <c r="B35" s="9" t="n">
        <f aca="false">01_Inputs!$B$70</f>
        <v>206</v>
      </c>
      <c r="C35" s="17" t="n">
        <f aca="false">MIN(I35:AZ35)</f>
        <v>0.230769217769231</v>
      </c>
      <c r="D35" s="9" t="n">
        <f aca="false">MATCH($C35,I35:AZ35,0)</f>
        <v>31</v>
      </c>
      <c r="E35" s="9" t="n">
        <f aca="false">INDEX(I$5:AZ$5,1,$D35)</f>
        <v>219</v>
      </c>
      <c r="F35" s="9" t="n">
        <f aca="false">$E35-$B35</f>
        <v>13</v>
      </c>
      <c r="I35" s="3" t="str">
        <f aca="false">IF(I$5&gt;$B35,ABS(10/(I$5-$B35)-1)-(I$5-$B35)*01_Inputs!$C$23,"")</f>
        <v/>
      </c>
      <c r="J35" s="3" t="str">
        <f aca="false">IF(J$5&gt;$B35,ABS(10/(J$5-$B35)-1)-(J$5-$B35)*01_Inputs!$C$23,"")</f>
        <v/>
      </c>
      <c r="K35" s="3" t="str">
        <f aca="false">IF(K$5&gt;$B35,ABS(10/(K$5-$B35)-1)-(K$5-$B35)*01_Inputs!$C$23,"")</f>
        <v/>
      </c>
      <c r="L35" s="3" t="str">
        <f aca="false">IF(L$5&gt;$B35,ABS(10/(L$5-$B35)-1)-(L$5-$B35)*01_Inputs!$C$23,"")</f>
        <v/>
      </c>
      <c r="M35" s="3" t="str">
        <f aca="false">IF(M$5&gt;$B35,ABS(10/(M$5-$B35)-1)-(M$5-$B35)*01_Inputs!$C$23,"")</f>
        <v/>
      </c>
      <c r="N35" s="3" t="str">
        <f aca="false">IF(N$5&gt;$B35,ABS(10/(N$5-$B35)-1)-(N$5-$B35)*01_Inputs!$C$23,"")</f>
        <v/>
      </c>
      <c r="O35" s="3" t="str">
        <f aca="false">IF(O$5&gt;$B35,ABS(10/(O$5-$B35)-1)-(O$5-$B35)*01_Inputs!$C$23,"")</f>
        <v/>
      </c>
      <c r="P35" s="3" t="str">
        <f aca="false">IF(P$5&gt;$B35,ABS(10/(P$5-$B35)-1)-(P$5-$B35)*01_Inputs!$C$23,"")</f>
        <v/>
      </c>
      <c r="Q35" s="3" t="str">
        <f aca="false">IF(Q$5&gt;$B35,ABS(10/(Q$5-$B35)-1)-(Q$5-$B35)*01_Inputs!$C$23,"")</f>
        <v/>
      </c>
      <c r="R35" s="3" t="str">
        <f aca="false">IF(R$5&gt;$B35,ABS(10/(R$5-$B35)-1)-(R$5-$B35)*01_Inputs!$C$23,"")</f>
        <v/>
      </c>
      <c r="S35" s="3" t="str">
        <f aca="false">IF(S$5&gt;$B35,ABS(10/(S$5-$B35)-1)-(S$5-$B35)*01_Inputs!$C$23,"")</f>
        <v/>
      </c>
      <c r="T35" s="3" t="str">
        <f aca="false">IF(T$5&gt;$B35,ABS(10/(T$5-$B35)-1)-(T$5-$B35)*01_Inputs!$C$23,"")</f>
        <v/>
      </c>
      <c r="U35" s="3" t="str">
        <f aca="false">IF(U$5&gt;$B35,ABS(10/(U$5-$B35)-1)-(U$5-$B35)*01_Inputs!$C$23,"")</f>
        <v/>
      </c>
      <c r="V35" s="3" t="str">
        <f aca="false">IF(V$5&gt;$B35,ABS(10/(V$5-$B35)-1)-(V$5-$B35)*01_Inputs!$C$23,"")</f>
        <v/>
      </c>
      <c r="W35" s="3" t="str">
        <f aca="false">IF(W$5&gt;$B35,ABS(10/(W$5-$B35)-1)-(W$5-$B35)*01_Inputs!$C$23,"")</f>
        <v/>
      </c>
      <c r="X35" s="3" t="str">
        <f aca="false">IF(X$5&gt;$B35,ABS(10/(X$5-$B35)-1)-(X$5-$B35)*01_Inputs!$C$23,"")</f>
        <v/>
      </c>
      <c r="Y35" s="3" t="str">
        <f aca="false">IF(Y$5&gt;$B35,ABS(10/(Y$5-$B35)-1)-(Y$5-$B35)*01_Inputs!$C$23,"")</f>
        <v/>
      </c>
      <c r="Z35" s="3" t="str">
        <f aca="false">IF(Z$5&gt;$B35,ABS(10/(Z$5-$B35)-1)-(Z$5-$B35)*01_Inputs!$C$23,"")</f>
        <v/>
      </c>
      <c r="AA35" s="3" t="str">
        <f aca="false">IF(AA$5&gt;$B35,ABS(10/(AA$5-$B35)-1)-(AA$5-$B35)*01_Inputs!$C$23,"")</f>
        <v/>
      </c>
      <c r="AB35" s="3" t="str">
        <f aca="false">IF(AB$5&gt;$B35,ABS(10/(AB$5-$B35)-1)-(AB$5-$B35)*01_Inputs!$C$23,"")</f>
        <v/>
      </c>
      <c r="AC35" s="3" t="str">
        <f aca="false">IF(AC$5&gt;$B35,ABS(10/(AC$5-$B35)-1)-(AC$5-$B35)*01_Inputs!$C$23,"")</f>
        <v/>
      </c>
      <c r="AD35" s="3" t="str">
        <f aca="false">IF(AD$5&gt;$B35,ABS(10/(AD$5-$B35)-1)-(AD$5-$B35)*01_Inputs!$C$23,"")</f>
        <v/>
      </c>
      <c r="AE35" s="3" t="str">
        <f aca="false">IF(AE$5&gt;$B35,ABS(10/(AE$5-$B35)-1)-(AE$5-$B35)*01_Inputs!$C$23,"")</f>
        <v/>
      </c>
      <c r="AF35" s="3" t="str">
        <f aca="false">IF(AF$5&gt;$B35,ABS(10/(AF$5-$B35)-1)-(AF$5-$B35)*01_Inputs!$C$23,"")</f>
        <v/>
      </c>
      <c r="AG35" s="3" t="str">
        <f aca="false">IF(AG$5&gt;$B35,ABS(10/(AG$5-$B35)-1)-(AG$5-$B35)*01_Inputs!$C$23,"")</f>
        <v/>
      </c>
      <c r="AH35" s="3" t="str">
        <f aca="false">IF(AH$5&gt;$B35,ABS(10/(AH$5-$B35)-1)-(AH$5-$B35)*01_Inputs!$C$23,"")</f>
        <v/>
      </c>
      <c r="AI35" s="3" t="str">
        <f aca="false">IF(AI$5&gt;$B35,ABS(10/(AI$5-$B35)-1)-(AI$5-$B35)*01_Inputs!$C$23,"")</f>
        <v/>
      </c>
      <c r="AJ35" s="3" t="str">
        <f aca="false">IF(AJ$5&gt;$B35,ABS(10/(AJ$5-$B35)-1)-(AJ$5-$B35)*01_Inputs!$C$23,"")</f>
        <v/>
      </c>
      <c r="AK35" s="3" t="str">
        <f aca="false">IF(AK$5&gt;$B35,ABS(10/(AK$5-$B35)-1)-(AK$5-$B35)*01_Inputs!$C$23,"")</f>
        <v/>
      </c>
      <c r="AL35" s="3" t="str">
        <f aca="false">IF(AL$5&gt;$B35,ABS(10/(AL$5-$B35)-1)-(AL$5-$B35)*01_Inputs!$C$23,"")</f>
        <v/>
      </c>
      <c r="AM35" s="3" t="n">
        <f aca="false">IF(AM$5&gt;$B35,ABS(10/(AM$5-$B35)-1)-(AM$5-$B35)*01_Inputs!$C$23,"")</f>
        <v>0.230769217769231</v>
      </c>
      <c r="AN35" s="3" t="n">
        <f aca="false">IF(AN$5&gt;$B35,ABS(10/(AN$5-$B35)-1)-(AN$5-$B35)*01_Inputs!$C$23,"")</f>
        <v>0.285714271714286</v>
      </c>
      <c r="AO35" s="3" t="n">
        <f aca="false">IF(AO$5&gt;$B35,ABS(10/(AO$5-$B35)-1)-(AO$5-$B35)*01_Inputs!$C$23,"")</f>
        <v>0.333333318333333</v>
      </c>
      <c r="AP35" s="3" t="n">
        <f aca="false">IF(AP$5&gt;$B35,ABS(10/(AP$5-$B35)-1)-(AP$5-$B35)*01_Inputs!$C$23,"")</f>
        <v>0.545454523454545</v>
      </c>
      <c r="AQ35" s="3" t="n">
        <f aca="false">IF(AQ$5&gt;$B35,ABS(10/(AQ$5-$B35)-1)-(AQ$5-$B35)*01_Inputs!$C$23,"")</f>
        <v>0.565217368304348</v>
      </c>
      <c r="AR35" s="3" t="n">
        <f aca="false">IF(AR$5&gt;$B35,ABS(10/(AR$5-$B35)-1)-(AR$5-$B35)*01_Inputs!$C$23,"")</f>
        <v>0.615384589384615</v>
      </c>
      <c r="AS35" s="3" t="n">
        <f aca="false">IF(AS$5&gt;$B35,ABS(10/(AS$5-$B35)-1)-(AS$5-$B35)*01_Inputs!$C$23,"")</f>
        <v>0.666666636666667</v>
      </c>
      <c r="AT35" s="3" t="n">
        <f aca="false">IF(AT$5&gt;$B35,ABS(10/(AT$5-$B35)-1)-(AT$5-$B35)*01_Inputs!$C$23,"")</f>
        <v>0.722222186222222</v>
      </c>
      <c r="AU35" s="3" t="n">
        <f aca="false">IF(AU$5&gt;$B35,ABS(10/(AU$5-$B35)-1)-(AU$5-$B35)*01_Inputs!$C$23,"")</f>
        <v>0.736842067263158</v>
      </c>
      <c r="AV35" s="3" t="n">
        <f aca="false">IF(AV$5&gt;$B35,ABS(10/(AV$5-$B35)-1)-(AV$5-$B35)*01_Inputs!$C$23,"")</f>
        <v>0.772727228727273</v>
      </c>
      <c r="AW35" s="3" t="n">
        <f aca="false">IF(AW$5&gt;$B35,ABS(10/(AW$5-$B35)-1)-(AW$5-$B35)*01_Inputs!$C$23,"")</f>
        <v>0.791666618666667</v>
      </c>
      <c r="AX35" s="3" t="n">
        <f aca="false">IF(AX$5&gt;$B35,ABS(10/(AX$5-$B35)-1)-(AX$5-$B35)*01_Inputs!$C$23,"")</f>
        <v>0.811320701716981</v>
      </c>
      <c r="AY35" s="3" t="n">
        <f aca="false">IF(AY$5&gt;$B35,ABS(10/(AY$5-$B35)-1)-(AY$5-$B35)*01_Inputs!$C$23,"")</f>
        <v>0.843749936</v>
      </c>
      <c r="AZ35" s="3" t="n">
        <f aca="false">IF(AZ$5&gt;$B35,ABS(10/(AZ$5-$B35)-1)-(AZ$5-$B35)*01_Inputs!$C$23,"")</f>
        <v>0.857142787142857</v>
      </c>
    </row>
    <row r="36" customFormat="false" ht="15" hidden="false" customHeight="false" outlineLevel="0" collapsed="false">
      <c r="A36" s="9" t="n">
        <v>31</v>
      </c>
      <c r="B36" s="9" t="n">
        <f aca="false">01_Inputs!$B$71</f>
        <v>219</v>
      </c>
      <c r="C36" s="17" t="n">
        <f aca="false">MIN(I36:AZ36)</f>
        <v>-1E-008</v>
      </c>
      <c r="D36" s="9" t="n">
        <f aca="false">MATCH($C36,I36:AZ36,0)</f>
        <v>35</v>
      </c>
      <c r="E36" s="9" t="n">
        <f aca="false">INDEX(I$5:AZ$5,1,$D36)</f>
        <v>229</v>
      </c>
      <c r="F36" s="9" t="n">
        <f aca="false">$E36-$B36</f>
        <v>10</v>
      </c>
      <c r="I36" s="3" t="str">
        <f aca="false">IF(I$5&gt;$B36,ABS(10/(I$5-$B36)-1)-(I$5-$B36)*01_Inputs!$C$23,"")</f>
        <v/>
      </c>
      <c r="J36" s="3" t="str">
        <f aca="false">IF(J$5&gt;$B36,ABS(10/(J$5-$B36)-1)-(J$5-$B36)*01_Inputs!$C$23,"")</f>
        <v/>
      </c>
      <c r="K36" s="3" t="str">
        <f aca="false">IF(K$5&gt;$B36,ABS(10/(K$5-$B36)-1)-(K$5-$B36)*01_Inputs!$C$23,"")</f>
        <v/>
      </c>
      <c r="L36" s="3" t="str">
        <f aca="false">IF(L$5&gt;$B36,ABS(10/(L$5-$B36)-1)-(L$5-$B36)*01_Inputs!$C$23,"")</f>
        <v/>
      </c>
      <c r="M36" s="3" t="str">
        <f aca="false">IF(M$5&gt;$B36,ABS(10/(M$5-$B36)-1)-(M$5-$B36)*01_Inputs!$C$23,"")</f>
        <v/>
      </c>
      <c r="N36" s="3" t="str">
        <f aca="false">IF(N$5&gt;$B36,ABS(10/(N$5-$B36)-1)-(N$5-$B36)*01_Inputs!$C$23,"")</f>
        <v/>
      </c>
      <c r="O36" s="3" t="str">
        <f aca="false">IF(O$5&gt;$B36,ABS(10/(O$5-$B36)-1)-(O$5-$B36)*01_Inputs!$C$23,"")</f>
        <v/>
      </c>
      <c r="P36" s="3" t="str">
        <f aca="false">IF(P$5&gt;$B36,ABS(10/(P$5-$B36)-1)-(P$5-$B36)*01_Inputs!$C$23,"")</f>
        <v/>
      </c>
      <c r="Q36" s="3" t="str">
        <f aca="false">IF(Q$5&gt;$B36,ABS(10/(Q$5-$B36)-1)-(Q$5-$B36)*01_Inputs!$C$23,"")</f>
        <v/>
      </c>
      <c r="R36" s="3" t="str">
        <f aca="false">IF(R$5&gt;$B36,ABS(10/(R$5-$B36)-1)-(R$5-$B36)*01_Inputs!$C$23,"")</f>
        <v/>
      </c>
      <c r="S36" s="3" t="str">
        <f aca="false">IF(S$5&gt;$B36,ABS(10/(S$5-$B36)-1)-(S$5-$B36)*01_Inputs!$C$23,"")</f>
        <v/>
      </c>
      <c r="T36" s="3" t="str">
        <f aca="false">IF(T$5&gt;$B36,ABS(10/(T$5-$B36)-1)-(T$5-$B36)*01_Inputs!$C$23,"")</f>
        <v/>
      </c>
      <c r="U36" s="3" t="str">
        <f aca="false">IF(U$5&gt;$B36,ABS(10/(U$5-$B36)-1)-(U$5-$B36)*01_Inputs!$C$23,"")</f>
        <v/>
      </c>
      <c r="V36" s="3" t="str">
        <f aca="false">IF(V$5&gt;$B36,ABS(10/(V$5-$B36)-1)-(V$5-$B36)*01_Inputs!$C$23,"")</f>
        <v/>
      </c>
      <c r="W36" s="3" t="str">
        <f aca="false">IF(W$5&gt;$B36,ABS(10/(W$5-$B36)-1)-(W$5-$B36)*01_Inputs!$C$23,"")</f>
        <v/>
      </c>
      <c r="X36" s="3" t="str">
        <f aca="false">IF(X$5&gt;$B36,ABS(10/(X$5-$B36)-1)-(X$5-$B36)*01_Inputs!$C$23,"")</f>
        <v/>
      </c>
      <c r="Y36" s="3" t="str">
        <f aca="false">IF(Y$5&gt;$B36,ABS(10/(Y$5-$B36)-1)-(Y$5-$B36)*01_Inputs!$C$23,"")</f>
        <v/>
      </c>
      <c r="Z36" s="3" t="str">
        <f aca="false">IF(Z$5&gt;$B36,ABS(10/(Z$5-$B36)-1)-(Z$5-$B36)*01_Inputs!$C$23,"")</f>
        <v/>
      </c>
      <c r="AA36" s="3" t="str">
        <f aca="false">IF(AA$5&gt;$B36,ABS(10/(AA$5-$B36)-1)-(AA$5-$B36)*01_Inputs!$C$23,"")</f>
        <v/>
      </c>
      <c r="AB36" s="3" t="str">
        <f aca="false">IF(AB$5&gt;$B36,ABS(10/(AB$5-$B36)-1)-(AB$5-$B36)*01_Inputs!$C$23,"")</f>
        <v/>
      </c>
      <c r="AC36" s="3" t="str">
        <f aca="false">IF(AC$5&gt;$B36,ABS(10/(AC$5-$B36)-1)-(AC$5-$B36)*01_Inputs!$C$23,"")</f>
        <v/>
      </c>
      <c r="AD36" s="3" t="str">
        <f aca="false">IF(AD$5&gt;$B36,ABS(10/(AD$5-$B36)-1)-(AD$5-$B36)*01_Inputs!$C$23,"")</f>
        <v/>
      </c>
      <c r="AE36" s="3" t="str">
        <f aca="false">IF(AE$5&gt;$B36,ABS(10/(AE$5-$B36)-1)-(AE$5-$B36)*01_Inputs!$C$23,"")</f>
        <v/>
      </c>
      <c r="AF36" s="3" t="str">
        <f aca="false">IF(AF$5&gt;$B36,ABS(10/(AF$5-$B36)-1)-(AF$5-$B36)*01_Inputs!$C$23,"")</f>
        <v/>
      </c>
      <c r="AG36" s="3" t="str">
        <f aca="false">IF(AG$5&gt;$B36,ABS(10/(AG$5-$B36)-1)-(AG$5-$B36)*01_Inputs!$C$23,"")</f>
        <v/>
      </c>
      <c r="AH36" s="3" t="str">
        <f aca="false">IF(AH$5&gt;$B36,ABS(10/(AH$5-$B36)-1)-(AH$5-$B36)*01_Inputs!$C$23,"")</f>
        <v/>
      </c>
      <c r="AI36" s="3" t="str">
        <f aca="false">IF(AI$5&gt;$B36,ABS(10/(AI$5-$B36)-1)-(AI$5-$B36)*01_Inputs!$C$23,"")</f>
        <v/>
      </c>
      <c r="AJ36" s="3" t="str">
        <f aca="false">IF(AJ$5&gt;$B36,ABS(10/(AJ$5-$B36)-1)-(AJ$5-$B36)*01_Inputs!$C$23,"")</f>
        <v/>
      </c>
      <c r="AK36" s="3" t="str">
        <f aca="false">IF(AK$5&gt;$B36,ABS(10/(AK$5-$B36)-1)-(AK$5-$B36)*01_Inputs!$C$23,"")</f>
        <v/>
      </c>
      <c r="AL36" s="3" t="str">
        <f aca="false">IF(AL$5&gt;$B36,ABS(10/(AL$5-$B36)-1)-(AL$5-$B36)*01_Inputs!$C$23,"")</f>
        <v/>
      </c>
      <c r="AM36" s="3" t="str">
        <f aca="false">IF(AM$5&gt;$B36,ABS(10/(AM$5-$B36)-1)-(AM$5-$B36)*01_Inputs!$C$23,"")</f>
        <v/>
      </c>
      <c r="AN36" s="3" t="n">
        <f aca="false">IF(AN$5&gt;$B36,ABS(10/(AN$5-$B36)-1)-(AN$5-$B36)*01_Inputs!$C$23,"")</f>
        <v>8.999999999</v>
      </c>
      <c r="AO36" s="3" t="n">
        <f aca="false">IF(AO$5&gt;$B36,ABS(10/(AO$5-$B36)-1)-(AO$5-$B36)*01_Inputs!$C$23,"")</f>
        <v>3.999999998</v>
      </c>
      <c r="AP36" s="3" t="n">
        <f aca="false">IF(AP$5&gt;$B36,ABS(10/(AP$5-$B36)-1)-(AP$5-$B36)*01_Inputs!$C$23,"")</f>
        <v>0.111111102111111</v>
      </c>
      <c r="AQ36" s="3" t="n">
        <f aca="false">IF(AQ$5&gt;$B36,ABS(10/(AQ$5-$B36)-1)-(AQ$5-$B36)*01_Inputs!$C$23,"")</f>
        <v>-1E-008</v>
      </c>
      <c r="AR36" s="3" t="n">
        <f aca="false">IF(AR$5&gt;$B36,ABS(10/(AR$5-$B36)-1)-(AR$5-$B36)*01_Inputs!$C$23,"")</f>
        <v>0.230769217769231</v>
      </c>
      <c r="AS36" s="3" t="n">
        <f aca="false">IF(AS$5&gt;$B36,ABS(10/(AS$5-$B36)-1)-(AS$5-$B36)*01_Inputs!$C$23,"")</f>
        <v>0.411764688882353</v>
      </c>
      <c r="AT36" s="3" t="n">
        <f aca="false">IF(AT$5&gt;$B36,ABS(10/(AT$5-$B36)-1)-(AT$5-$B36)*01_Inputs!$C$23,"")</f>
        <v>0.565217368304348</v>
      </c>
      <c r="AU36" s="3" t="n">
        <f aca="false">IF(AU$5&gt;$B36,ABS(10/(AU$5-$B36)-1)-(AU$5-$B36)*01_Inputs!$C$23,"")</f>
        <v>0.599999975</v>
      </c>
      <c r="AV36" s="3" t="n">
        <f aca="false">IF(AV$5&gt;$B36,ABS(10/(AV$5-$B36)-1)-(AV$5-$B36)*01_Inputs!$C$23,"")</f>
        <v>0.67741932383871</v>
      </c>
      <c r="AW36" s="3" t="n">
        <f aca="false">IF(AW$5&gt;$B36,ABS(10/(AW$5-$B36)-1)-(AW$5-$B36)*01_Inputs!$C$23,"")</f>
        <v>0.714285679285714</v>
      </c>
      <c r="AX36" s="3" t="n">
        <f aca="false">IF(AX$5&gt;$B36,ABS(10/(AX$5-$B36)-1)-(AX$5-$B36)*01_Inputs!$C$23,"")</f>
        <v>0.74999996</v>
      </c>
      <c r="AY36" s="3" t="n">
        <f aca="false">IF(AY$5&gt;$B36,ABS(10/(AY$5-$B36)-1)-(AY$5-$B36)*01_Inputs!$C$23,"")</f>
        <v>0.803921517627451</v>
      </c>
      <c r="AZ36" s="3" t="n">
        <f aca="false">IF(AZ$5&gt;$B36,ABS(10/(AZ$5-$B36)-1)-(AZ$5-$B36)*01_Inputs!$C$23,"")</f>
        <v>0.824561346508772</v>
      </c>
    </row>
    <row r="37" customFormat="false" ht="15" hidden="false" customHeight="false" outlineLevel="0" collapsed="false">
      <c r="A37" s="9" t="n">
        <v>32</v>
      </c>
      <c r="B37" s="9" t="n">
        <f aca="false">01_Inputs!$B$72</f>
        <v>220</v>
      </c>
      <c r="C37" s="17" t="n">
        <f aca="false">MIN(I37:AZ37)</f>
        <v>0.111111102111111</v>
      </c>
      <c r="D37" s="9" t="n">
        <f aca="false">MATCH($C37,I37:AZ37,0)</f>
        <v>35</v>
      </c>
      <c r="E37" s="9" t="n">
        <f aca="false">INDEX(I$5:AZ$5,1,$D37)</f>
        <v>229</v>
      </c>
      <c r="F37" s="9" t="n">
        <f aca="false">$E37-$B37</f>
        <v>9</v>
      </c>
      <c r="I37" s="3" t="str">
        <f aca="false">IF(I$5&gt;$B37,ABS(10/(I$5-$B37)-1)-(I$5-$B37)*01_Inputs!$C$23,"")</f>
        <v/>
      </c>
      <c r="J37" s="3" t="str">
        <f aca="false">IF(J$5&gt;$B37,ABS(10/(J$5-$B37)-1)-(J$5-$B37)*01_Inputs!$C$23,"")</f>
        <v/>
      </c>
      <c r="K37" s="3" t="str">
        <f aca="false">IF(K$5&gt;$B37,ABS(10/(K$5-$B37)-1)-(K$5-$B37)*01_Inputs!$C$23,"")</f>
        <v/>
      </c>
      <c r="L37" s="3" t="str">
        <f aca="false">IF(L$5&gt;$B37,ABS(10/(L$5-$B37)-1)-(L$5-$B37)*01_Inputs!$C$23,"")</f>
        <v/>
      </c>
      <c r="M37" s="3" t="str">
        <f aca="false">IF(M$5&gt;$B37,ABS(10/(M$5-$B37)-1)-(M$5-$B37)*01_Inputs!$C$23,"")</f>
        <v/>
      </c>
      <c r="N37" s="3" t="str">
        <f aca="false">IF(N$5&gt;$B37,ABS(10/(N$5-$B37)-1)-(N$5-$B37)*01_Inputs!$C$23,"")</f>
        <v/>
      </c>
      <c r="O37" s="3" t="str">
        <f aca="false">IF(O$5&gt;$B37,ABS(10/(O$5-$B37)-1)-(O$5-$B37)*01_Inputs!$C$23,"")</f>
        <v/>
      </c>
      <c r="P37" s="3" t="str">
        <f aca="false">IF(P$5&gt;$B37,ABS(10/(P$5-$B37)-1)-(P$5-$B37)*01_Inputs!$C$23,"")</f>
        <v/>
      </c>
      <c r="Q37" s="3" t="str">
        <f aca="false">IF(Q$5&gt;$B37,ABS(10/(Q$5-$B37)-1)-(Q$5-$B37)*01_Inputs!$C$23,"")</f>
        <v/>
      </c>
      <c r="R37" s="3" t="str">
        <f aca="false">IF(R$5&gt;$B37,ABS(10/(R$5-$B37)-1)-(R$5-$B37)*01_Inputs!$C$23,"")</f>
        <v/>
      </c>
      <c r="S37" s="3" t="str">
        <f aca="false">IF(S$5&gt;$B37,ABS(10/(S$5-$B37)-1)-(S$5-$B37)*01_Inputs!$C$23,"")</f>
        <v/>
      </c>
      <c r="T37" s="3" t="str">
        <f aca="false">IF(T$5&gt;$B37,ABS(10/(T$5-$B37)-1)-(T$5-$B37)*01_Inputs!$C$23,"")</f>
        <v/>
      </c>
      <c r="U37" s="3" t="str">
        <f aca="false">IF(U$5&gt;$B37,ABS(10/(U$5-$B37)-1)-(U$5-$B37)*01_Inputs!$C$23,"")</f>
        <v/>
      </c>
      <c r="V37" s="3" t="str">
        <f aca="false">IF(V$5&gt;$B37,ABS(10/(V$5-$B37)-1)-(V$5-$B37)*01_Inputs!$C$23,"")</f>
        <v/>
      </c>
      <c r="W37" s="3" t="str">
        <f aca="false">IF(W$5&gt;$B37,ABS(10/(W$5-$B37)-1)-(W$5-$B37)*01_Inputs!$C$23,"")</f>
        <v/>
      </c>
      <c r="X37" s="3" t="str">
        <f aca="false">IF(X$5&gt;$B37,ABS(10/(X$5-$B37)-1)-(X$5-$B37)*01_Inputs!$C$23,"")</f>
        <v/>
      </c>
      <c r="Y37" s="3" t="str">
        <f aca="false">IF(Y$5&gt;$B37,ABS(10/(Y$5-$B37)-1)-(Y$5-$B37)*01_Inputs!$C$23,"")</f>
        <v/>
      </c>
      <c r="Z37" s="3" t="str">
        <f aca="false">IF(Z$5&gt;$B37,ABS(10/(Z$5-$B37)-1)-(Z$5-$B37)*01_Inputs!$C$23,"")</f>
        <v/>
      </c>
      <c r="AA37" s="3" t="str">
        <f aca="false">IF(AA$5&gt;$B37,ABS(10/(AA$5-$B37)-1)-(AA$5-$B37)*01_Inputs!$C$23,"")</f>
        <v/>
      </c>
      <c r="AB37" s="3" t="str">
        <f aca="false">IF(AB$5&gt;$B37,ABS(10/(AB$5-$B37)-1)-(AB$5-$B37)*01_Inputs!$C$23,"")</f>
        <v/>
      </c>
      <c r="AC37" s="3" t="str">
        <f aca="false">IF(AC$5&gt;$B37,ABS(10/(AC$5-$B37)-1)-(AC$5-$B37)*01_Inputs!$C$23,"")</f>
        <v/>
      </c>
      <c r="AD37" s="3" t="str">
        <f aca="false">IF(AD$5&gt;$B37,ABS(10/(AD$5-$B37)-1)-(AD$5-$B37)*01_Inputs!$C$23,"")</f>
        <v/>
      </c>
      <c r="AE37" s="3" t="str">
        <f aca="false">IF(AE$5&gt;$B37,ABS(10/(AE$5-$B37)-1)-(AE$5-$B37)*01_Inputs!$C$23,"")</f>
        <v/>
      </c>
      <c r="AF37" s="3" t="str">
        <f aca="false">IF(AF$5&gt;$B37,ABS(10/(AF$5-$B37)-1)-(AF$5-$B37)*01_Inputs!$C$23,"")</f>
        <v/>
      </c>
      <c r="AG37" s="3" t="str">
        <f aca="false">IF(AG$5&gt;$B37,ABS(10/(AG$5-$B37)-1)-(AG$5-$B37)*01_Inputs!$C$23,"")</f>
        <v/>
      </c>
      <c r="AH37" s="3" t="str">
        <f aca="false">IF(AH$5&gt;$B37,ABS(10/(AH$5-$B37)-1)-(AH$5-$B37)*01_Inputs!$C$23,"")</f>
        <v/>
      </c>
      <c r="AI37" s="3" t="str">
        <f aca="false">IF(AI$5&gt;$B37,ABS(10/(AI$5-$B37)-1)-(AI$5-$B37)*01_Inputs!$C$23,"")</f>
        <v/>
      </c>
      <c r="AJ37" s="3" t="str">
        <f aca="false">IF(AJ$5&gt;$B37,ABS(10/(AJ$5-$B37)-1)-(AJ$5-$B37)*01_Inputs!$C$23,"")</f>
        <v/>
      </c>
      <c r="AK37" s="3" t="str">
        <f aca="false">IF(AK$5&gt;$B37,ABS(10/(AK$5-$B37)-1)-(AK$5-$B37)*01_Inputs!$C$23,"")</f>
        <v/>
      </c>
      <c r="AL37" s="3" t="str">
        <f aca="false">IF(AL$5&gt;$B37,ABS(10/(AL$5-$B37)-1)-(AL$5-$B37)*01_Inputs!$C$23,"")</f>
        <v/>
      </c>
      <c r="AM37" s="3" t="str">
        <f aca="false">IF(AM$5&gt;$B37,ABS(10/(AM$5-$B37)-1)-(AM$5-$B37)*01_Inputs!$C$23,"")</f>
        <v/>
      </c>
      <c r="AN37" s="3" t="str">
        <f aca="false">IF(AN$5&gt;$B37,ABS(10/(AN$5-$B37)-1)-(AN$5-$B37)*01_Inputs!$C$23,"")</f>
        <v/>
      </c>
      <c r="AO37" s="3" t="n">
        <f aca="false">IF(AO$5&gt;$B37,ABS(10/(AO$5-$B37)-1)-(AO$5-$B37)*01_Inputs!$C$23,"")</f>
        <v>8.999999999</v>
      </c>
      <c r="AP37" s="3" t="n">
        <f aca="false">IF(AP$5&gt;$B37,ABS(10/(AP$5-$B37)-1)-(AP$5-$B37)*01_Inputs!$C$23,"")</f>
        <v>0.249999992</v>
      </c>
      <c r="AQ37" s="3" t="n">
        <f aca="false">IF(AQ$5&gt;$B37,ABS(10/(AQ$5-$B37)-1)-(AQ$5-$B37)*01_Inputs!$C$23,"")</f>
        <v>0.111111102111111</v>
      </c>
      <c r="AR37" s="3" t="n">
        <f aca="false">IF(AR$5&gt;$B37,ABS(10/(AR$5-$B37)-1)-(AR$5-$B37)*01_Inputs!$C$23,"")</f>
        <v>0.166666654666667</v>
      </c>
      <c r="AS37" s="3" t="n">
        <f aca="false">IF(AS$5&gt;$B37,ABS(10/(AS$5-$B37)-1)-(AS$5-$B37)*01_Inputs!$C$23,"")</f>
        <v>0.374999984</v>
      </c>
      <c r="AT37" s="3" t="n">
        <f aca="false">IF(AT$5&gt;$B37,ABS(10/(AT$5-$B37)-1)-(AT$5-$B37)*01_Inputs!$C$23,"")</f>
        <v>0.545454523454545</v>
      </c>
      <c r="AU37" s="3" t="n">
        <f aca="false">IF(AU$5&gt;$B37,ABS(10/(AU$5-$B37)-1)-(AU$5-$B37)*01_Inputs!$C$23,"")</f>
        <v>0.583333309333333</v>
      </c>
      <c r="AV37" s="3" t="n">
        <f aca="false">IF(AV$5&gt;$B37,ABS(10/(AV$5-$B37)-1)-(AV$5-$B37)*01_Inputs!$C$23,"")</f>
        <v>0.666666636666667</v>
      </c>
      <c r="AW37" s="3" t="n">
        <f aca="false">IF(AW$5&gt;$B37,ABS(10/(AW$5-$B37)-1)-(AW$5-$B37)*01_Inputs!$C$23,"")</f>
        <v>0.705882318941176</v>
      </c>
      <c r="AX37" s="3" t="n">
        <f aca="false">IF(AX$5&gt;$B37,ABS(10/(AX$5-$B37)-1)-(AX$5-$B37)*01_Inputs!$C$23,"")</f>
        <v>0.743589704589744</v>
      </c>
      <c r="AY37" s="3" t="n">
        <f aca="false">IF(AY$5&gt;$B37,ABS(10/(AY$5-$B37)-1)-(AY$5-$B37)*01_Inputs!$C$23,"")</f>
        <v>0.79999995</v>
      </c>
      <c r="AZ37" s="3" t="n">
        <f aca="false">IF(AZ$5&gt;$B37,ABS(10/(AZ$5-$B37)-1)-(AZ$5-$B37)*01_Inputs!$C$23,"")</f>
        <v>0.821428515428571</v>
      </c>
    </row>
    <row r="38" customFormat="false" ht="15" hidden="false" customHeight="false" outlineLevel="0" collapsed="false">
      <c r="A38" s="9" t="n">
        <v>33</v>
      </c>
      <c r="B38" s="9" t="n">
        <f aca="false">01_Inputs!$B$73</f>
        <v>221</v>
      </c>
      <c r="C38" s="17" t="n">
        <f aca="false">MIN(I38:AZ38)</f>
        <v>0.090909079909091</v>
      </c>
      <c r="D38" s="9" t="n">
        <f aca="false">MATCH($C38,I38:AZ38,0)</f>
        <v>36</v>
      </c>
      <c r="E38" s="9" t="n">
        <f aca="false">INDEX(I$5:AZ$5,1,$D38)</f>
        <v>232</v>
      </c>
      <c r="F38" s="9" t="n">
        <f aca="false">$E38-$B38</f>
        <v>11</v>
      </c>
      <c r="I38" s="3" t="str">
        <f aca="false">IF(I$5&gt;$B38,ABS(10/(I$5-$B38)-1)-(I$5-$B38)*01_Inputs!$C$23,"")</f>
        <v/>
      </c>
      <c r="J38" s="3" t="str">
        <f aca="false">IF(J$5&gt;$B38,ABS(10/(J$5-$B38)-1)-(J$5-$B38)*01_Inputs!$C$23,"")</f>
        <v/>
      </c>
      <c r="K38" s="3" t="str">
        <f aca="false">IF(K$5&gt;$B38,ABS(10/(K$5-$B38)-1)-(K$5-$B38)*01_Inputs!$C$23,"")</f>
        <v/>
      </c>
      <c r="L38" s="3" t="str">
        <f aca="false">IF(L$5&gt;$B38,ABS(10/(L$5-$B38)-1)-(L$5-$B38)*01_Inputs!$C$23,"")</f>
        <v/>
      </c>
      <c r="M38" s="3" t="str">
        <f aca="false">IF(M$5&gt;$B38,ABS(10/(M$5-$B38)-1)-(M$5-$B38)*01_Inputs!$C$23,"")</f>
        <v/>
      </c>
      <c r="N38" s="3" t="str">
        <f aca="false">IF(N$5&gt;$B38,ABS(10/(N$5-$B38)-1)-(N$5-$B38)*01_Inputs!$C$23,"")</f>
        <v/>
      </c>
      <c r="O38" s="3" t="str">
        <f aca="false">IF(O$5&gt;$B38,ABS(10/(O$5-$B38)-1)-(O$5-$B38)*01_Inputs!$C$23,"")</f>
        <v/>
      </c>
      <c r="P38" s="3" t="str">
        <f aca="false">IF(P$5&gt;$B38,ABS(10/(P$5-$B38)-1)-(P$5-$B38)*01_Inputs!$C$23,"")</f>
        <v/>
      </c>
      <c r="Q38" s="3" t="str">
        <f aca="false">IF(Q$5&gt;$B38,ABS(10/(Q$5-$B38)-1)-(Q$5-$B38)*01_Inputs!$C$23,"")</f>
        <v/>
      </c>
      <c r="R38" s="3" t="str">
        <f aca="false">IF(R$5&gt;$B38,ABS(10/(R$5-$B38)-1)-(R$5-$B38)*01_Inputs!$C$23,"")</f>
        <v/>
      </c>
      <c r="S38" s="3" t="str">
        <f aca="false">IF(S$5&gt;$B38,ABS(10/(S$5-$B38)-1)-(S$5-$B38)*01_Inputs!$C$23,"")</f>
        <v/>
      </c>
      <c r="T38" s="3" t="str">
        <f aca="false">IF(T$5&gt;$B38,ABS(10/(T$5-$B38)-1)-(T$5-$B38)*01_Inputs!$C$23,"")</f>
        <v/>
      </c>
      <c r="U38" s="3" t="str">
        <f aca="false">IF(U$5&gt;$B38,ABS(10/(U$5-$B38)-1)-(U$5-$B38)*01_Inputs!$C$23,"")</f>
        <v/>
      </c>
      <c r="V38" s="3" t="str">
        <f aca="false">IF(V$5&gt;$B38,ABS(10/(V$5-$B38)-1)-(V$5-$B38)*01_Inputs!$C$23,"")</f>
        <v/>
      </c>
      <c r="W38" s="3" t="str">
        <f aca="false">IF(W$5&gt;$B38,ABS(10/(W$5-$B38)-1)-(W$5-$B38)*01_Inputs!$C$23,"")</f>
        <v/>
      </c>
      <c r="X38" s="3" t="str">
        <f aca="false">IF(X$5&gt;$B38,ABS(10/(X$5-$B38)-1)-(X$5-$B38)*01_Inputs!$C$23,"")</f>
        <v/>
      </c>
      <c r="Y38" s="3" t="str">
        <f aca="false">IF(Y$5&gt;$B38,ABS(10/(Y$5-$B38)-1)-(Y$5-$B38)*01_Inputs!$C$23,"")</f>
        <v/>
      </c>
      <c r="Z38" s="3" t="str">
        <f aca="false">IF(Z$5&gt;$B38,ABS(10/(Z$5-$B38)-1)-(Z$5-$B38)*01_Inputs!$C$23,"")</f>
        <v/>
      </c>
      <c r="AA38" s="3" t="str">
        <f aca="false">IF(AA$5&gt;$B38,ABS(10/(AA$5-$B38)-1)-(AA$5-$B38)*01_Inputs!$C$23,"")</f>
        <v/>
      </c>
      <c r="AB38" s="3" t="str">
        <f aca="false">IF(AB$5&gt;$B38,ABS(10/(AB$5-$B38)-1)-(AB$5-$B38)*01_Inputs!$C$23,"")</f>
        <v/>
      </c>
      <c r="AC38" s="3" t="str">
        <f aca="false">IF(AC$5&gt;$B38,ABS(10/(AC$5-$B38)-1)-(AC$5-$B38)*01_Inputs!$C$23,"")</f>
        <v/>
      </c>
      <c r="AD38" s="3" t="str">
        <f aca="false">IF(AD$5&gt;$B38,ABS(10/(AD$5-$B38)-1)-(AD$5-$B38)*01_Inputs!$C$23,"")</f>
        <v/>
      </c>
      <c r="AE38" s="3" t="str">
        <f aca="false">IF(AE$5&gt;$B38,ABS(10/(AE$5-$B38)-1)-(AE$5-$B38)*01_Inputs!$C$23,"")</f>
        <v/>
      </c>
      <c r="AF38" s="3" t="str">
        <f aca="false">IF(AF$5&gt;$B38,ABS(10/(AF$5-$B38)-1)-(AF$5-$B38)*01_Inputs!$C$23,"")</f>
        <v/>
      </c>
      <c r="AG38" s="3" t="str">
        <f aca="false">IF(AG$5&gt;$B38,ABS(10/(AG$5-$B38)-1)-(AG$5-$B38)*01_Inputs!$C$23,"")</f>
        <v/>
      </c>
      <c r="AH38" s="3" t="str">
        <f aca="false">IF(AH$5&gt;$B38,ABS(10/(AH$5-$B38)-1)-(AH$5-$B38)*01_Inputs!$C$23,"")</f>
        <v/>
      </c>
      <c r="AI38" s="3" t="str">
        <f aca="false">IF(AI$5&gt;$B38,ABS(10/(AI$5-$B38)-1)-(AI$5-$B38)*01_Inputs!$C$23,"")</f>
        <v/>
      </c>
      <c r="AJ38" s="3" t="str">
        <f aca="false">IF(AJ$5&gt;$B38,ABS(10/(AJ$5-$B38)-1)-(AJ$5-$B38)*01_Inputs!$C$23,"")</f>
        <v/>
      </c>
      <c r="AK38" s="3" t="str">
        <f aca="false">IF(AK$5&gt;$B38,ABS(10/(AK$5-$B38)-1)-(AK$5-$B38)*01_Inputs!$C$23,"")</f>
        <v/>
      </c>
      <c r="AL38" s="3" t="str">
        <f aca="false">IF(AL$5&gt;$B38,ABS(10/(AL$5-$B38)-1)-(AL$5-$B38)*01_Inputs!$C$23,"")</f>
        <v/>
      </c>
      <c r="AM38" s="3" t="str">
        <f aca="false">IF(AM$5&gt;$B38,ABS(10/(AM$5-$B38)-1)-(AM$5-$B38)*01_Inputs!$C$23,"")</f>
        <v/>
      </c>
      <c r="AN38" s="3" t="str">
        <f aca="false">IF(AN$5&gt;$B38,ABS(10/(AN$5-$B38)-1)-(AN$5-$B38)*01_Inputs!$C$23,"")</f>
        <v/>
      </c>
      <c r="AO38" s="3" t="str">
        <f aca="false">IF(AO$5&gt;$B38,ABS(10/(AO$5-$B38)-1)-(AO$5-$B38)*01_Inputs!$C$23,"")</f>
        <v/>
      </c>
      <c r="AP38" s="3" t="n">
        <f aca="false">IF(AP$5&gt;$B38,ABS(10/(AP$5-$B38)-1)-(AP$5-$B38)*01_Inputs!$C$23,"")</f>
        <v>0.428571421571429</v>
      </c>
      <c r="AQ38" s="3" t="n">
        <f aca="false">IF(AQ$5&gt;$B38,ABS(10/(AQ$5-$B38)-1)-(AQ$5-$B38)*01_Inputs!$C$23,"")</f>
        <v>0.249999992</v>
      </c>
      <c r="AR38" s="3" t="n">
        <f aca="false">IF(AR$5&gt;$B38,ABS(10/(AR$5-$B38)-1)-(AR$5-$B38)*01_Inputs!$C$23,"")</f>
        <v>0.090909079909091</v>
      </c>
      <c r="AS38" s="3" t="n">
        <f aca="false">IF(AS$5&gt;$B38,ABS(10/(AS$5-$B38)-1)-(AS$5-$B38)*01_Inputs!$C$23,"")</f>
        <v>0.333333318333333</v>
      </c>
      <c r="AT38" s="3" t="n">
        <f aca="false">IF(AT$5&gt;$B38,ABS(10/(AT$5-$B38)-1)-(AT$5-$B38)*01_Inputs!$C$23,"")</f>
        <v>0.523809502809524</v>
      </c>
      <c r="AU38" s="3" t="n">
        <f aca="false">IF(AU$5&gt;$B38,ABS(10/(AU$5-$B38)-1)-(AU$5-$B38)*01_Inputs!$C$23,"")</f>
        <v>0.565217368304348</v>
      </c>
      <c r="AV38" s="3" t="n">
        <f aca="false">IF(AV$5&gt;$B38,ABS(10/(AV$5-$B38)-1)-(AV$5-$B38)*01_Inputs!$C$23,"")</f>
        <v>0.655172384793104</v>
      </c>
      <c r="AW38" s="3" t="n">
        <f aca="false">IF(AW$5&gt;$B38,ABS(10/(AW$5-$B38)-1)-(AW$5-$B38)*01_Inputs!$C$23,"")</f>
        <v>0.696969663969697</v>
      </c>
      <c r="AX38" s="3" t="n">
        <f aca="false">IF(AX$5&gt;$B38,ABS(10/(AX$5-$B38)-1)-(AX$5-$B38)*01_Inputs!$C$23,"")</f>
        <v>0.736842067263158</v>
      </c>
      <c r="AY38" s="3" t="n">
        <f aca="false">IF(AY$5&gt;$B38,ABS(10/(AY$5-$B38)-1)-(AY$5-$B38)*01_Inputs!$C$23,"")</f>
        <v>0.795918318346939</v>
      </c>
      <c r="AZ38" s="3" t="n">
        <f aca="false">IF(AZ$5&gt;$B38,ABS(10/(AZ$5-$B38)-1)-(AZ$5-$B38)*01_Inputs!$C$23,"")</f>
        <v>0.818181763181818</v>
      </c>
    </row>
    <row r="39" customFormat="false" ht="15" hidden="false" customHeight="false" outlineLevel="0" collapsed="false">
      <c r="A39" s="9" t="n">
        <v>34</v>
      </c>
      <c r="B39" s="9" t="n">
        <f aca="false">01_Inputs!$B$74</f>
        <v>228</v>
      </c>
      <c r="C39" s="17" t="n">
        <f aca="false">MIN(I39:AZ39)</f>
        <v>0.249999992</v>
      </c>
      <c r="D39" s="9" t="n">
        <f aca="false">MATCH($C39,I39:AZ39,0)</f>
        <v>37</v>
      </c>
      <c r="E39" s="9" t="n">
        <f aca="false">INDEX(I$5:AZ$5,1,$D39)</f>
        <v>236</v>
      </c>
      <c r="F39" s="9" t="n">
        <f aca="false">$E39-$B39</f>
        <v>8</v>
      </c>
      <c r="I39" s="3" t="str">
        <f aca="false">IF(I$5&gt;$B39,ABS(10/(I$5-$B39)-1)-(I$5-$B39)*01_Inputs!$C$23,"")</f>
        <v/>
      </c>
      <c r="J39" s="3" t="str">
        <f aca="false">IF(J$5&gt;$B39,ABS(10/(J$5-$B39)-1)-(J$5-$B39)*01_Inputs!$C$23,"")</f>
        <v/>
      </c>
      <c r="K39" s="3" t="str">
        <f aca="false">IF(K$5&gt;$B39,ABS(10/(K$5-$B39)-1)-(K$5-$B39)*01_Inputs!$C$23,"")</f>
        <v/>
      </c>
      <c r="L39" s="3" t="str">
        <f aca="false">IF(L$5&gt;$B39,ABS(10/(L$5-$B39)-1)-(L$5-$B39)*01_Inputs!$C$23,"")</f>
        <v/>
      </c>
      <c r="M39" s="3" t="str">
        <f aca="false">IF(M$5&gt;$B39,ABS(10/(M$5-$B39)-1)-(M$5-$B39)*01_Inputs!$C$23,"")</f>
        <v/>
      </c>
      <c r="N39" s="3" t="str">
        <f aca="false">IF(N$5&gt;$B39,ABS(10/(N$5-$B39)-1)-(N$5-$B39)*01_Inputs!$C$23,"")</f>
        <v/>
      </c>
      <c r="O39" s="3" t="str">
        <f aca="false">IF(O$5&gt;$B39,ABS(10/(O$5-$B39)-1)-(O$5-$B39)*01_Inputs!$C$23,"")</f>
        <v/>
      </c>
      <c r="P39" s="3" t="str">
        <f aca="false">IF(P$5&gt;$B39,ABS(10/(P$5-$B39)-1)-(P$5-$B39)*01_Inputs!$C$23,"")</f>
        <v/>
      </c>
      <c r="Q39" s="3" t="str">
        <f aca="false">IF(Q$5&gt;$B39,ABS(10/(Q$5-$B39)-1)-(Q$5-$B39)*01_Inputs!$C$23,"")</f>
        <v/>
      </c>
      <c r="R39" s="3" t="str">
        <f aca="false">IF(R$5&gt;$B39,ABS(10/(R$5-$B39)-1)-(R$5-$B39)*01_Inputs!$C$23,"")</f>
        <v/>
      </c>
      <c r="S39" s="3" t="str">
        <f aca="false">IF(S$5&gt;$B39,ABS(10/(S$5-$B39)-1)-(S$5-$B39)*01_Inputs!$C$23,"")</f>
        <v/>
      </c>
      <c r="T39" s="3" t="str">
        <f aca="false">IF(T$5&gt;$B39,ABS(10/(T$5-$B39)-1)-(T$5-$B39)*01_Inputs!$C$23,"")</f>
        <v/>
      </c>
      <c r="U39" s="3" t="str">
        <f aca="false">IF(U$5&gt;$B39,ABS(10/(U$5-$B39)-1)-(U$5-$B39)*01_Inputs!$C$23,"")</f>
        <v/>
      </c>
      <c r="V39" s="3" t="str">
        <f aca="false">IF(V$5&gt;$B39,ABS(10/(V$5-$B39)-1)-(V$5-$B39)*01_Inputs!$C$23,"")</f>
        <v/>
      </c>
      <c r="W39" s="3" t="str">
        <f aca="false">IF(W$5&gt;$B39,ABS(10/(W$5-$B39)-1)-(W$5-$B39)*01_Inputs!$C$23,"")</f>
        <v/>
      </c>
      <c r="X39" s="3" t="str">
        <f aca="false">IF(X$5&gt;$B39,ABS(10/(X$5-$B39)-1)-(X$5-$B39)*01_Inputs!$C$23,"")</f>
        <v/>
      </c>
      <c r="Y39" s="3" t="str">
        <f aca="false">IF(Y$5&gt;$B39,ABS(10/(Y$5-$B39)-1)-(Y$5-$B39)*01_Inputs!$C$23,"")</f>
        <v/>
      </c>
      <c r="Z39" s="3" t="str">
        <f aca="false">IF(Z$5&gt;$B39,ABS(10/(Z$5-$B39)-1)-(Z$5-$B39)*01_Inputs!$C$23,"")</f>
        <v/>
      </c>
      <c r="AA39" s="3" t="str">
        <f aca="false">IF(AA$5&gt;$B39,ABS(10/(AA$5-$B39)-1)-(AA$5-$B39)*01_Inputs!$C$23,"")</f>
        <v/>
      </c>
      <c r="AB39" s="3" t="str">
        <f aca="false">IF(AB$5&gt;$B39,ABS(10/(AB$5-$B39)-1)-(AB$5-$B39)*01_Inputs!$C$23,"")</f>
        <v/>
      </c>
      <c r="AC39" s="3" t="str">
        <f aca="false">IF(AC$5&gt;$B39,ABS(10/(AC$5-$B39)-1)-(AC$5-$B39)*01_Inputs!$C$23,"")</f>
        <v/>
      </c>
      <c r="AD39" s="3" t="str">
        <f aca="false">IF(AD$5&gt;$B39,ABS(10/(AD$5-$B39)-1)-(AD$5-$B39)*01_Inputs!$C$23,"")</f>
        <v/>
      </c>
      <c r="AE39" s="3" t="str">
        <f aca="false">IF(AE$5&gt;$B39,ABS(10/(AE$5-$B39)-1)-(AE$5-$B39)*01_Inputs!$C$23,"")</f>
        <v/>
      </c>
      <c r="AF39" s="3" t="str">
        <f aca="false">IF(AF$5&gt;$B39,ABS(10/(AF$5-$B39)-1)-(AF$5-$B39)*01_Inputs!$C$23,"")</f>
        <v/>
      </c>
      <c r="AG39" s="3" t="str">
        <f aca="false">IF(AG$5&gt;$B39,ABS(10/(AG$5-$B39)-1)-(AG$5-$B39)*01_Inputs!$C$23,"")</f>
        <v/>
      </c>
      <c r="AH39" s="3" t="str">
        <f aca="false">IF(AH$5&gt;$B39,ABS(10/(AH$5-$B39)-1)-(AH$5-$B39)*01_Inputs!$C$23,"")</f>
        <v/>
      </c>
      <c r="AI39" s="3" t="str">
        <f aca="false">IF(AI$5&gt;$B39,ABS(10/(AI$5-$B39)-1)-(AI$5-$B39)*01_Inputs!$C$23,"")</f>
        <v/>
      </c>
      <c r="AJ39" s="3" t="str">
        <f aca="false">IF(AJ$5&gt;$B39,ABS(10/(AJ$5-$B39)-1)-(AJ$5-$B39)*01_Inputs!$C$23,"")</f>
        <v/>
      </c>
      <c r="AK39" s="3" t="str">
        <f aca="false">IF(AK$5&gt;$B39,ABS(10/(AK$5-$B39)-1)-(AK$5-$B39)*01_Inputs!$C$23,"")</f>
        <v/>
      </c>
      <c r="AL39" s="3" t="str">
        <f aca="false">IF(AL$5&gt;$B39,ABS(10/(AL$5-$B39)-1)-(AL$5-$B39)*01_Inputs!$C$23,"")</f>
        <v/>
      </c>
      <c r="AM39" s="3" t="str">
        <f aca="false">IF(AM$5&gt;$B39,ABS(10/(AM$5-$B39)-1)-(AM$5-$B39)*01_Inputs!$C$23,"")</f>
        <v/>
      </c>
      <c r="AN39" s="3" t="str">
        <f aca="false">IF(AN$5&gt;$B39,ABS(10/(AN$5-$B39)-1)-(AN$5-$B39)*01_Inputs!$C$23,"")</f>
        <v/>
      </c>
      <c r="AO39" s="3" t="str">
        <f aca="false">IF(AO$5&gt;$B39,ABS(10/(AO$5-$B39)-1)-(AO$5-$B39)*01_Inputs!$C$23,"")</f>
        <v/>
      </c>
      <c r="AP39" s="3" t="str">
        <f aca="false">IF(AP$5&gt;$B39,ABS(10/(AP$5-$B39)-1)-(AP$5-$B39)*01_Inputs!$C$23,"")</f>
        <v/>
      </c>
      <c r="AQ39" s="3" t="n">
        <f aca="false">IF(AQ$5&gt;$B39,ABS(10/(AQ$5-$B39)-1)-(AQ$5-$B39)*01_Inputs!$C$23,"")</f>
        <v>8.999999999</v>
      </c>
      <c r="AR39" s="3" t="n">
        <f aca="false">IF(AR$5&gt;$B39,ABS(10/(AR$5-$B39)-1)-(AR$5-$B39)*01_Inputs!$C$23,"")</f>
        <v>1.499999996</v>
      </c>
      <c r="AS39" s="3" t="n">
        <f aca="false">IF(AS$5&gt;$B39,ABS(10/(AS$5-$B39)-1)-(AS$5-$B39)*01_Inputs!$C$23,"")</f>
        <v>0.249999992</v>
      </c>
      <c r="AT39" s="3" t="n">
        <f aca="false">IF(AT$5&gt;$B39,ABS(10/(AT$5-$B39)-1)-(AT$5-$B39)*01_Inputs!$C$23,"")</f>
        <v>0.285714271714286</v>
      </c>
      <c r="AU39" s="3" t="n">
        <f aca="false">IF(AU$5&gt;$B39,ABS(10/(AU$5-$B39)-1)-(AU$5-$B39)*01_Inputs!$C$23,"")</f>
        <v>0.374999984</v>
      </c>
      <c r="AV39" s="3" t="n">
        <f aca="false">IF(AV$5&gt;$B39,ABS(10/(AV$5-$B39)-1)-(AV$5-$B39)*01_Inputs!$C$23,"")</f>
        <v>0.545454523454545</v>
      </c>
      <c r="AW39" s="3" t="n">
        <f aca="false">IF(AW$5&gt;$B39,ABS(10/(AW$5-$B39)-1)-(AW$5-$B39)*01_Inputs!$C$23,"")</f>
        <v>0.615384589384615</v>
      </c>
      <c r="AX39" s="3" t="n">
        <f aca="false">IF(AX$5&gt;$B39,ABS(10/(AX$5-$B39)-1)-(AX$5-$B39)*01_Inputs!$C$23,"")</f>
        <v>0.67741932383871</v>
      </c>
      <c r="AY39" s="3" t="n">
        <f aca="false">IF(AY$5&gt;$B39,ABS(10/(AY$5-$B39)-1)-(AY$5-$B39)*01_Inputs!$C$23,"")</f>
        <v>0.761904719904762</v>
      </c>
      <c r="AZ39" s="3" t="n">
        <f aca="false">IF(AZ$5&gt;$B39,ABS(10/(AZ$5-$B39)-1)-(AZ$5-$B39)*01_Inputs!$C$23,"")</f>
        <v>0.791666618666667</v>
      </c>
    </row>
    <row r="40" customFormat="false" ht="15" hidden="false" customHeight="false" outlineLevel="0" collapsed="false">
      <c r="A40" s="9" t="n">
        <v>35</v>
      </c>
      <c r="B40" s="9" t="n">
        <f aca="false">01_Inputs!$B$75</f>
        <v>229</v>
      </c>
      <c r="C40" s="17" t="n">
        <f aca="false">MIN(I40:AZ40)</f>
        <v>0.230769217769231</v>
      </c>
      <c r="D40" s="9" t="n">
        <f aca="false">MATCH($C40,I40:AZ40,0)</f>
        <v>38</v>
      </c>
      <c r="E40" s="9" t="n">
        <f aca="false">INDEX(I$5:AZ$5,1,$D40)</f>
        <v>242</v>
      </c>
      <c r="F40" s="9" t="n">
        <f aca="false">$E40-$B40</f>
        <v>13</v>
      </c>
      <c r="I40" s="3" t="str">
        <f aca="false">IF(I$5&gt;$B40,ABS(10/(I$5-$B40)-1)-(I$5-$B40)*01_Inputs!$C$23,"")</f>
        <v/>
      </c>
      <c r="J40" s="3" t="str">
        <f aca="false">IF(J$5&gt;$B40,ABS(10/(J$5-$B40)-1)-(J$5-$B40)*01_Inputs!$C$23,"")</f>
        <v/>
      </c>
      <c r="K40" s="3" t="str">
        <f aca="false">IF(K$5&gt;$B40,ABS(10/(K$5-$B40)-1)-(K$5-$B40)*01_Inputs!$C$23,"")</f>
        <v/>
      </c>
      <c r="L40" s="3" t="str">
        <f aca="false">IF(L$5&gt;$B40,ABS(10/(L$5-$B40)-1)-(L$5-$B40)*01_Inputs!$C$23,"")</f>
        <v/>
      </c>
      <c r="M40" s="3" t="str">
        <f aca="false">IF(M$5&gt;$B40,ABS(10/(M$5-$B40)-1)-(M$5-$B40)*01_Inputs!$C$23,"")</f>
        <v/>
      </c>
      <c r="N40" s="3" t="str">
        <f aca="false">IF(N$5&gt;$B40,ABS(10/(N$5-$B40)-1)-(N$5-$B40)*01_Inputs!$C$23,"")</f>
        <v/>
      </c>
      <c r="O40" s="3" t="str">
        <f aca="false">IF(O$5&gt;$B40,ABS(10/(O$5-$B40)-1)-(O$5-$B40)*01_Inputs!$C$23,"")</f>
        <v/>
      </c>
      <c r="P40" s="3" t="str">
        <f aca="false">IF(P$5&gt;$B40,ABS(10/(P$5-$B40)-1)-(P$5-$B40)*01_Inputs!$C$23,"")</f>
        <v/>
      </c>
      <c r="Q40" s="3" t="str">
        <f aca="false">IF(Q$5&gt;$B40,ABS(10/(Q$5-$B40)-1)-(Q$5-$B40)*01_Inputs!$C$23,"")</f>
        <v/>
      </c>
      <c r="R40" s="3" t="str">
        <f aca="false">IF(R$5&gt;$B40,ABS(10/(R$5-$B40)-1)-(R$5-$B40)*01_Inputs!$C$23,"")</f>
        <v/>
      </c>
      <c r="S40" s="3" t="str">
        <f aca="false">IF(S$5&gt;$B40,ABS(10/(S$5-$B40)-1)-(S$5-$B40)*01_Inputs!$C$23,"")</f>
        <v/>
      </c>
      <c r="T40" s="3" t="str">
        <f aca="false">IF(T$5&gt;$B40,ABS(10/(T$5-$B40)-1)-(T$5-$B40)*01_Inputs!$C$23,"")</f>
        <v/>
      </c>
      <c r="U40" s="3" t="str">
        <f aca="false">IF(U$5&gt;$B40,ABS(10/(U$5-$B40)-1)-(U$5-$B40)*01_Inputs!$C$23,"")</f>
        <v/>
      </c>
      <c r="V40" s="3" t="str">
        <f aca="false">IF(V$5&gt;$B40,ABS(10/(V$5-$B40)-1)-(V$5-$B40)*01_Inputs!$C$23,"")</f>
        <v/>
      </c>
      <c r="W40" s="3" t="str">
        <f aca="false">IF(W$5&gt;$B40,ABS(10/(W$5-$B40)-1)-(W$5-$B40)*01_Inputs!$C$23,"")</f>
        <v/>
      </c>
      <c r="X40" s="3" t="str">
        <f aca="false">IF(X$5&gt;$B40,ABS(10/(X$5-$B40)-1)-(X$5-$B40)*01_Inputs!$C$23,"")</f>
        <v/>
      </c>
      <c r="Y40" s="3" t="str">
        <f aca="false">IF(Y$5&gt;$B40,ABS(10/(Y$5-$B40)-1)-(Y$5-$B40)*01_Inputs!$C$23,"")</f>
        <v/>
      </c>
      <c r="Z40" s="3" t="str">
        <f aca="false">IF(Z$5&gt;$B40,ABS(10/(Z$5-$B40)-1)-(Z$5-$B40)*01_Inputs!$C$23,"")</f>
        <v/>
      </c>
      <c r="AA40" s="3" t="str">
        <f aca="false">IF(AA$5&gt;$B40,ABS(10/(AA$5-$B40)-1)-(AA$5-$B40)*01_Inputs!$C$23,"")</f>
        <v/>
      </c>
      <c r="AB40" s="3" t="str">
        <f aca="false">IF(AB$5&gt;$B40,ABS(10/(AB$5-$B40)-1)-(AB$5-$B40)*01_Inputs!$C$23,"")</f>
        <v/>
      </c>
      <c r="AC40" s="3" t="str">
        <f aca="false">IF(AC$5&gt;$B40,ABS(10/(AC$5-$B40)-1)-(AC$5-$B40)*01_Inputs!$C$23,"")</f>
        <v/>
      </c>
      <c r="AD40" s="3" t="str">
        <f aca="false">IF(AD$5&gt;$B40,ABS(10/(AD$5-$B40)-1)-(AD$5-$B40)*01_Inputs!$C$23,"")</f>
        <v/>
      </c>
      <c r="AE40" s="3" t="str">
        <f aca="false">IF(AE$5&gt;$B40,ABS(10/(AE$5-$B40)-1)-(AE$5-$B40)*01_Inputs!$C$23,"")</f>
        <v/>
      </c>
      <c r="AF40" s="3" t="str">
        <f aca="false">IF(AF$5&gt;$B40,ABS(10/(AF$5-$B40)-1)-(AF$5-$B40)*01_Inputs!$C$23,"")</f>
        <v/>
      </c>
      <c r="AG40" s="3" t="str">
        <f aca="false">IF(AG$5&gt;$B40,ABS(10/(AG$5-$B40)-1)-(AG$5-$B40)*01_Inputs!$C$23,"")</f>
        <v/>
      </c>
      <c r="AH40" s="3" t="str">
        <f aca="false">IF(AH$5&gt;$B40,ABS(10/(AH$5-$B40)-1)-(AH$5-$B40)*01_Inputs!$C$23,"")</f>
        <v/>
      </c>
      <c r="AI40" s="3" t="str">
        <f aca="false">IF(AI$5&gt;$B40,ABS(10/(AI$5-$B40)-1)-(AI$5-$B40)*01_Inputs!$C$23,"")</f>
        <v/>
      </c>
      <c r="AJ40" s="3" t="str">
        <f aca="false">IF(AJ$5&gt;$B40,ABS(10/(AJ$5-$B40)-1)-(AJ$5-$B40)*01_Inputs!$C$23,"")</f>
        <v/>
      </c>
      <c r="AK40" s="3" t="str">
        <f aca="false">IF(AK$5&gt;$B40,ABS(10/(AK$5-$B40)-1)-(AK$5-$B40)*01_Inputs!$C$23,"")</f>
        <v/>
      </c>
      <c r="AL40" s="3" t="str">
        <f aca="false">IF(AL$5&gt;$B40,ABS(10/(AL$5-$B40)-1)-(AL$5-$B40)*01_Inputs!$C$23,"")</f>
        <v/>
      </c>
      <c r="AM40" s="3" t="str">
        <f aca="false">IF(AM$5&gt;$B40,ABS(10/(AM$5-$B40)-1)-(AM$5-$B40)*01_Inputs!$C$23,"")</f>
        <v/>
      </c>
      <c r="AN40" s="3" t="str">
        <f aca="false">IF(AN$5&gt;$B40,ABS(10/(AN$5-$B40)-1)-(AN$5-$B40)*01_Inputs!$C$23,"")</f>
        <v/>
      </c>
      <c r="AO40" s="3" t="str">
        <f aca="false">IF(AO$5&gt;$B40,ABS(10/(AO$5-$B40)-1)-(AO$5-$B40)*01_Inputs!$C$23,"")</f>
        <v/>
      </c>
      <c r="AP40" s="3" t="str">
        <f aca="false">IF(AP$5&gt;$B40,ABS(10/(AP$5-$B40)-1)-(AP$5-$B40)*01_Inputs!$C$23,"")</f>
        <v/>
      </c>
      <c r="AQ40" s="3" t="str">
        <f aca="false">IF(AQ$5&gt;$B40,ABS(10/(AQ$5-$B40)-1)-(AQ$5-$B40)*01_Inputs!$C$23,"")</f>
        <v/>
      </c>
      <c r="AR40" s="3" t="n">
        <f aca="false">IF(AR$5&gt;$B40,ABS(10/(AR$5-$B40)-1)-(AR$5-$B40)*01_Inputs!$C$23,"")</f>
        <v>2.33333333033333</v>
      </c>
      <c r="AS40" s="3" t="n">
        <f aca="false">IF(AS$5&gt;$B40,ABS(10/(AS$5-$B40)-1)-(AS$5-$B40)*01_Inputs!$C$23,"")</f>
        <v>0.428571421571429</v>
      </c>
      <c r="AT40" s="3" t="n">
        <f aca="false">IF(AT$5&gt;$B40,ABS(10/(AT$5-$B40)-1)-(AT$5-$B40)*01_Inputs!$C$23,"")</f>
        <v>0.230769217769231</v>
      </c>
      <c r="AU40" s="3" t="n">
        <f aca="false">IF(AU$5&gt;$B40,ABS(10/(AU$5-$B40)-1)-(AU$5-$B40)*01_Inputs!$C$23,"")</f>
        <v>0.333333318333333</v>
      </c>
      <c r="AV40" s="3" t="n">
        <f aca="false">IF(AV$5&gt;$B40,ABS(10/(AV$5-$B40)-1)-(AV$5-$B40)*01_Inputs!$C$23,"")</f>
        <v>0.523809502809524</v>
      </c>
      <c r="AW40" s="3" t="n">
        <f aca="false">IF(AW$5&gt;$B40,ABS(10/(AW$5-$B40)-1)-(AW$5-$B40)*01_Inputs!$C$23,"")</f>
        <v>0.599999975</v>
      </c>
      <c r="AX40" s="3" t="n">
        <f aca="false">IF(AX$5&gt;$B40,ABS(10/(AX$5-$B40)-1)-(AX$5-$B40)*01_Inputs!$C$23,"")</f>
        <v>0.666666636666667</v>
      </c>
      <c r="AY40" s="3" t="n">
        <f aca="false">IF(AY$5&gt;$B40,ABS(10/(AY$5-$B40)-1)-(AY$5-$B40)*01_Inputs!$C$23,"")</f>
        <v>0.75609751997561</v>
      </c>
      <c r="AZ40" s="3" t="n">
        <f aca="false">IF(AZ$5&gt;$B40,ABS(10/(AZ$5-$B40)-1)-(AZ$5-$B40)*01_Inputs!$C$23,"")</f>
        <v>0.787233995553192</v>
      </c>
    </row>
    <row r="41" customFormat="false" ht="15" hidden="false" customHeight="false" outlineLevel="0" collapsed="false">
      <c r="A41" s="9" t="n">
        <v>36</v>
      </c>
      <c r="B41" s="9" t="n">
        <f aca="false">01_Inputs!$B$76</f>
        <v>232</v>
      </c>
      <c r="C41" s="17" t="n">
        <f aca="false">MIN(I41:AZ41)</f>
        <v>-1E-008</v>
      </c>
      <c r="D41" s="9" t="n">
        <f aca="false">MATCH($C41,I41:AZ41,0)</f>
        <v>38</v>
      </c>
      <c r="E41" s="9" t="n">
        <f aca="false">INDEX(I$5:AZ$5,1,$D41)</f>
        <v>242</v>
      </c>
      <c r="F41" s="9" t="n">
        <f aca="false">$E41-$B41</f>
        <v>10</v>
      </c>
      <c r="I41" s="3" t="str">
        <f aca="false">IF(I$5&gt;$B41,ABS(10/(I$5-$B41)-1)-(I$5-$B41)*01_Inputs!$C$23,"")</f>
        <v/>
      </c>
      <c r="J41" s="3" t="str">
        <f aca="false">IF(J$5&gt;$B41,ABS(10/(J$5-$B41)-1)-(J$5-$B41)*01_Inputs!$C$23,"")</f>
        <v/>
      </c>
      <c r="K41" s="3" t="str">
        <f aca="false">IF(K$5&gt;$B41,ABS(10/(K$5-$B41)-1)-(K$5-$B41)*01_Inputs!$C$23,"")</f>
        <v/>
      </c>
      <c r="L41" s="3" t="str">
        <f aca="false">IF(L$5&gt;$B41,ABS(10/(L$5-$B41)-1)-(L$5-$B41)*01_Inputs!$C$23,"")</f>
        <v/>
      </c>
      <c r="M41" s="3" t="str">
        <f aca="false">IF(M$5&gt;$B41,ABS(10/(M$5-$B41)-1)-(M$5-$B41)*01_Inputs!$C$23,"")</f>
        <v/>
      </c>
      <c r="N41" s="3" t="str">
        <f aca="false">IF(N$5&gt;$B41,ABS(10/(N$5-$B41)-1)-(N$5-$B41)*01_Inputs!$C$23,"")</f>
        <v/>
      </c>
      <c r="O41" s="3" t="str">
        <f aca="false">IF(O$5&gt;$B41,ABS(10/(O$5-$B41)-1)-(O$5-$B41)*01_Inputs!$C$23,"")</f>
        <v/>
      </c>
      <c r="P41" s="3" t="str">
        <f aca="false">IF(P$5&gt;$B41,ABS(10/(P$5-$B41)-1)-(P$5-$B41)*01_Inputs!$C$23,"")</f>
        <v/>
      </c>
      <c r="Q41" s="3" t="str">
        <f aca="false">IF(Q$5&gt;$B41,ABS(10/(Q$5-$B41)-1)-(Q$5-$B41)*01_Inputs!$C$23,"")</f>
        <v/>
      </c>
      <c r="R41" s="3" t="str">
        <f aca="false">IF(R$5&gt;$B41,ABS(10/(R$5-$B41)-1)-(R$5-$B41)*01_Inputs!$C$23,"")</f>
        <v/>
      </c>
      <c r="S41" s="3" t="str">
        <f aca="false">IF(S$5&gt;$B41,ABS(10/(S$5-$B41)-1)-(S$5-$B41)*01_Inputs!$C$23,"")</f>
        <v/>
      </c>
      <c r="T41" s="3" t="str">
        <f aca="false">IF(T$5&gt;$B41,ABS(10/(T$5-$B41)-1)-(T$5-$B41)*01_Inputs!$C$23,"")</f>
        <v/>
      </c>
      <c r="U41" s="3" t="str">
        <f aca="false">IF(U$5&gt;$B41,ABS(10/(U$5-$B41)-1)-(U$5-$B41)*01_Inputs!$C$23,"")</f>
        <v/>
      </c>
      <c r="V41" s="3" t="str">
        <f aca="false">IF(V$5&gt;$B41,ABS(10/(V$5-$B41)-1)-(V$5-$B41)*01_Inputs!$C$23,"")</f>
        <v/>
      </c>
      <c r="W41" s="3" t="str">
        <f aca="false">IF(W$5&gt;$B41,ABS(10/(W$5-$B41)-1)-(W$5-$B41)*01_Inputs!$C$23,"")</f>
        <v/>
      </c>
      <c r="X41" s="3" t="str">
        <f aca="false">IF(X$5&gt;$B41,ABS(10/(X$5-$B41)-1)-(X$5-$B41)*01_Inputs!$C$23,"")</f>
        <v/>
      </c>
      <c r="Y41" s="3" t="str">
        <f aca="false">IF(Y$5&gt;$B41,ABS(10/(Y$5-$B41)-1)-(Y$5-$B41)*01_Inputs!$C$23,"")</f>
        <v/>
      </c>
      <c r="Z41" s="3" t="str">
        <f aca="false">IF(Z$5&gt;$B41,ABS(10/(Z$5-$B41)-1)-(Z$5-$B41)*01_Inputs!$C$23,"")</f>
        <v/>
      </c>
      <c r="AA41" s="3" t="str">
        <f aca="false">IF(AA$5&gt;$B41,ABS(10/(AA$5-$B41)-1)-(AA$5-$B41)*01_Inputs!$C$23,"")</f>
        <v/>
      </c>
      <c r="AB41" s="3" t="str">
        <f aca="false">IF(AB$5&gt;$B41,ABS(10/(AB$5-$B41)-1)-(AB$5-$B41)*01_Inputs!$C$23,"")</f>
        <v/>
      </c>
      <c r="AC41" s="3" t="str">
        <f aca="false">IF(AC$5&gt;$B41,ABS(10/(AC$5-$B41)-1)-(AC$5-$B41)*01_Inputs!$C$23,"")</f>
        <v/>
      </c>
      <c r="AD41" s="3" t="str">
        <f aca="false">IF(AD$5&gt;$B41,ABS(10/(AD$5-$B41)-1)-(AD$5-$B41)*01_Inputs!$C$23,"")</f>
        <v/>
      </c>
      <c r="AE41" s="3" t="str">
        <f aca="false">IF(AE$5&gt;$B41,ABS(10/(AE$5-$B41)-1)-(AE$5-$B41)*01_Inputs!$C$23,"")</f>
        <v/>
      </c>
      <c r="AF41" s="3" t="str">
        <f aca="false">IF(AF$5&gt;$B41,ABS(10/(AF$5-$B41)-1)-(AF$5-$B41)*01_Inputs!$C$23,"")</f>
        <v/>
      </c>
      <c r="AG41" s="3" t="str">
        <f aca="false">IF(AG$5&gt;$B41,ABS(10/(AG$5-$B41)-1)-(AG$5-$B41)*01_Inputs!$C$23,"")</f>
        <v/>
      </c>
      <c r="AH41" s="3" t="str">
        <f aca="false">IF(AH$5&gt;$B41,ABS(10/(AH$5-$B41)-1)-(AH$5-$B41)*01_Inputs!$C$23,"")</f>
        <v/>
      </c>
      <c r="AI41" s="3" t="str">
        <f aca="false">IF(AI$5&gt;$B41,ABS(10/(AI$5-$B41)-1)-(AI$5-$B41)*01_Inputs!$C$23,"")</f>
        <v/>
      </c>
      <c r="AJ41" s="3" t="str">
        <f aca="false">IF(AJ$5&gt;$B41,ABS(10/(AJ$5-$B41)-1)-(AJ$5-$B41)*01_Inputs!$C$23,"")</f>
        <v/>
      </c>
      <c r="AK41" s="3" t="str">
        <f aca="false">IF(AK$5&gt;$B41,ABS(10/(AK$5-$B41)-1)-(AK$5-$B41)*01_Inputs!$C$23,"")</f>
        <v/>
      </c>
      <c r="AL41" s="3" t="str">
        <f aca="false">IF(AL$5&gt;$B41,ABS(10/(AL$5-$B41)-1)-(AL$5-$B41)*01_Inputs!$C$23,"")</f>
        <v/>
      </c>
      <c r="AM41" s="3" t="str">
        <f aca="false">IF(AM$5&gt;$B41,ABS(10/(AM$5-$B41)-1)-(AM$5-$B41)*01_Inputs!$C$23,"")</f>
        <v/>
      </c>
      <c r="AN41" s="3" t="str">
        <f aca="false">IF(AN$5&gt;$B41,ABS(10/(AN$5-$B41)-1)-(AN$5-$B41)*01_Inputs!$C$23,"")</f>
        <v/>
      </c>
      <c r="AO41" s="3" t="str">
        <f aca="false">IF(AO$5&gt;$B41,ABS(10/(AO$5-$B41)-1)-(AO$5-$B41)*01_Inputs!$C$23,"")</f>
        <v/>
      </c>
      <c r="AP41" s="3" t="str">
        <f aca="false">IF(AP$5&gt;$B41,ABS(10/(AP$5-$B41)-1)-(AP$5-$B41)*01_Inputs!$C$23,"")</f>
        <v/>
      </c>
      <c r="AQ41" s="3" t="str">
        <f aca="false">IF(AQ$5&gt;$B41,ABS(10/(AQ$5-$B41)-1)-(AQ$5-$B41)*01_Inputs!$C$23,"")</f>
        <v/>
      </c>
      <c r="AR41" s="3" t="str">
        <f aca="false">IF(AR$5&gt;$B41,ABS(10/(AR$5-$B41)-1)-(AR$5-$B41)*01_Inputs!$C$23,"")</f>
        <v/>
      </c>
      <c r="AS41" s="3" t="n">
        <f aca="false">IF(AS$5&gt;$B41,ABS(10/(AS$5-$B41)-1)-(AS$5-$B41)*01_Inputs!$C$23,"")</f>
        <v>1.499999996</v>
      </c>
      <c r="AT41" s="3" t="n">
        <f aca="false">IF(AT$5&gt;$B41,ABS(10/(AT$5-$B41)-1)-(AT$5-$B41)*01_Inputs!$C$23,"")</f>
        <v>-1E-008</v>
      </c>
      <c r="AU41" s="3" t="n">
        <f aca="false">IF(AU$5&gt;$B41,ABS(10/(AU$5-$B41)-1)-(AU$5-$B41)*01_Inputs!$C$23,"")</f>
        <v>0.166666654666667</v>
      </c>
      <c r="AV41" s="3" t="n">
        <f aca="false">IF(AV$5&gt;$B41,ABS(10/(AV$5-$B41)-1)-(AV$5-$B41)*01_Inputs!$C$23,"")</f>
        <v>0.444444426444444</v>
      </c>
      <c r="AW41" s="3" t="n">
        <f aca="false">IF(AW$5&gt;$B41,ABS(10/(AW$5-$B41)-1)-(AW$5-$B41)*01_Inputs!$C$23,"")</f>
        <v>0.545454523454545</v>
      </c>
      <c r="AX41" s="3" t="n">
        <f aca="false">IF(AX$5&gt;$B41,ABS(10/(AX$5-$B41)-1)-(AX$5-$B41)*01_Inputs!$C$23,"")</f>
        <v>0.62962960262963</v>
      </c>
      <c r="AY41" s="3" t="n">
        <f aca="false">IF(AY$5&gt;$B41,ABS(10/(AY$5-$B41)-1)-(AY$5-$B41)*01_Inputs!$C$23,"")</f>
        <v>0.736842067263158</v>
      </c>
      <c r="AZ41" s="3" t="n">
        <f aca="false">IF(AZ$5&gt;$B41,ABS(10/(AZ$5-$B41)-1)-(AZ$5-$B41)*01_Inputs!$C$23,"")</f>
        <v>0.772727228727273</v>
      </c>
    </row>
    <row r="42" customFormat="false" ht="15" hidden="false" customHeight="false" outlineLevel="0" collapsed="false">
      <c r="A42" s="9" t="n">
        <v>37</v>
      </c>
      <c r="B42" s="9" t="n">
        <f aca="false">01_Inputs!$B$77</f>
        <v>236</v>
      </c>
      <c r="C42" s="17" t="n">
        <f aca="false">MIN(I42:AZ42)</f>
        <v>0.249999992</v>
      </c>
      <c r="D42" s="9" t="n">
        <f aca="false">MATCH($C42,I42:AZ42,0)</f>
        <v>39</v>
      </c>
      <c r="E42" s="9" t="n">
        <f aca="false">INDEX(I$5:AZ$5,1,$D42)</f>
        <v>244</v>
      </c>
      <c r="F42" s="9" t="n">
        <f aca="false">$E42-$B42</f>
        <v>8</v>
      </c>
      <c r="I42" s="3" t="str">
        <f aca="false">IF(I$5&gt;$B42,ABS(10/(I$5-$B42)-1)-(I$5-$B42)*01_Inputs!$C$23,"")</f>
        <v/>
      </c>
      <c r="J42" s="3" t="str">
        <f aca="false">IF(J$5&gt;$B42,ABS(10/(J$5-$B42)-1)-(J$5-$B42)*01_Inputs!$C$23,"")</f>
        <v/>
      </c>
      <c r="K42" s="3" t="str">
        <f aca="false">IF(K$5&gt;$B42,ABS(10/(K$5-$B42)-1)-(K$5-$B42)*01_Inputs!$C$23,"")</f>
        <v/>
      </c>
      <c r="L42" s="3" t="str">
        <f aca="false">IF(L$5&gt;$B42,ABS(10/(L$5-$B42)-1)-(L$5-$B42)*01_Inputs!$C$23,"")</f>
        <v/>
      </c>
      <c r="M42" s="3" t="str">
        <f aca="false">IF(M$5&gt;$B42,ABS(10/(M$5-$B42)-1)-(M$5-$B42)*01_Inputs!$C$23,"")</f>
        <v/>
      </c>
      <c r="N42" s="3" t="str">
        <f aca="false">IF(N$5&gt;$B42,ABS(10/(N$5-$B42)-1)-(N$5-$B42)*01_Inputs!$C$23,"")</f>
        <v/>
      </c>
      <c r="O42" s="3" t="str">
        <f aca="false">IF(O$5&gt;$B42,ABS(10/(O$5-$B42)-1)-(O$5-$B42)*01_Inputs!$C$23,"")</f>
        <v/>
      </c>
      <c r="P42" s="3" t="str">
        <f aca="false">IF(P$5&gt;$B42,ABS(10/(P$5-$B42)-1)-(P$5-$B42)*01_Inputs!$C$23,"")</f>
        <v/>
      </c>
      <c r="Q42" s="3" t="str">
        <f aca="false">IF(Q$5&gt;$B42,ABS(10/(Q$5-$B42)-1)-(Q$5-$B42)*01_Inputs!$C$23,"")</f>
        <v/>
      </c>
      <c r="R42" s="3" t="str">
        <f aca="false">IF(R$5&gt;$B42,ABS(10/(R$5-$B42)-1)-(R$5-$B42)*01_Inputs!$C$23,"")</f>
        <v/>
      </c>
      <c r="S42" s="3" t="str">
        <f aca="false">IF(S$5&gt;$B42,ABS(10/(S$5-$B42)-1)-(S$5-$B42)*01_Inputs!$C$23,"")</f>
        <v/>
      </c>
      <c r="T42" s="3" t="str">
        <f aca="false">IF(T$5&gt;$B42,ABS(10/(T$5-$B42)-1)-(T$5-$B42)*01_Inputs!$C$23,"")</f>
        <v/>
      </c>
      <c r="U42" s="3" t="str">
        <f aca="false">IF(U$5&gt;$B42,ABS(10/(U$5-$B42)-1)-(U$5-$B42)*01_Inputs!$C$23,"")</f>
        <v/>
      </c>
      <c r="V42" s="3" t="str">
        <f aca="false">IF(V$5&gt;$B42,ABS(10/(V$5-$B42)-1)-(V$5-$B42)*01_Inputs!$C$23,"")</f>
        <v/>
      </c>
      <c r="W42" s="3" t="str">
        <f aca="false">IF(W$5&gt;$B42,ABS(10/(W$5-$B42)-1)-(W$5-$B42)*01_Inputs!$C$23,"")</f>
        <v/>
      </c>
      <c r="X42" s="3" t="str">
        <f aca="false">IF(X$5&gt;$B42,ABS(10/(X$5-$B42)-1)-(X$5-$B42)*01_Inputs!$C$23,"")</f>
        <v/>
      </c>
      <c r="Y42" s="3" t="str">
        <f aca="false">IF(Y$5&gt;$B42,ABS(10/(Y$5-$B42)-1)-(Y$5-$B42)*01_Inputs!$C$23,"")</f>
        <v/>
      </c>
      <c r="Z42" s="3" t="str">
        <f aca="false">IF(Z$5&gt;$B42,ABS(10/(Z$5-$B42)-1)-(Z$5-$B42)*01_Inputs!$C$23,"")</f>
        <v/>
      </c>
      <c r="AA42" s="3" t="str">
        <f aca="false">IF(AA$5&gt;$B42,ABS(10/(AA$5-$B42)-1)-(AA$5-$B42)*01_Inputs!$C$23,"")</f>
        <v/>
      </c>
      <c r="AB42" s="3" t="str">
        <f aca="false">IF(AB$5&gt;$B42,ABS(10/(AB$5-$B42)-1)-(AB$5-$B42)*01_Inputs!$C$23,"")</f>
        <v/>
      </c>
      <c r="AC42" s="3" t="str">
        <f aca="false">IF(AC$5&gt;$B42,ABS(10/(AC$5-$B42)-1)-(AC$5-$B42)*01_Inputs!$C$23,"")</f>
        <v/>
      </c>
      <c r="AD42" s="3" t="str">
        <f aca="false">IF(AD$5&gt;$B42,ABS(10/(AD$5-$B42)-1)-(AD$5-$B42)*01_Inputs!$C$23,"")</f>
        <v/>
      </c>
      <c r="AE42" s="3" t="str">
        <f aca="false">IF(AE$5&gt;$B42,ABS(10/(AE$5-$B42)-1)-(AE$5-$B42)*01_Inputs!$C$23,"")</f>
        <v/>
      </c>
      <c r="AF42" s="3" t="str">
        <f aca="false">IF(AF$5&gt;$B42,ABS(10/(AF$5-$B42)-1)-(AF$5-$B42)*01_Inputs!$C$23,"")</f>
        <v/>
      </c>
      <c r="AG42" s="3" t="str">
        <f aca="false">IF(AG$5&gt;$B42,ABS(10/(AG$5-$B42)-1)-(AG$5-$B42)*01_Inputs!$C$23,"")</f>
        <v/>
      </c>
      <c r="AH42" s="3" t="str">
        <f aca="false">IF(AH$5&gt;$B42,ABS(10/(AH$5-$B42)-1)-(AH$5-$B42)*01_Inputs!$C$23,"")</f>
        <v/>
      </c>
      <c r="AI42" s="3" t="str">
        <f aca="false">IF(AI$5&gt;$B42,ABS(10/(AI$5-$B42)-1)-(AI$5-$B42)*01_Inputs!$C$23,"")</f>
        <v/>
      </c>
      <c r="AJ42" s="3" t="str">
        <f aca="false">IF(AJ$5&gt;$B42,ABS(10/(AJ$5-$B42)-1)-(AJ$5-$B42)*01_Inputs!$C$23,"")</f>
        <v/>
      </c>
      <c r="AK42" s="3" t="str">
        <f aca="false">IF(AK$5&gt;$B42,ABS(10/(AK$5-$B42)-1)-(AK$5-$B42)*01_Inputs!$C$23,"")</f>
        <v/>
      </c>
      <c r="AL42" s="3" t="str">
        <f aca="false">IF(AL$5&gt;$B42,ABS(10/(AL$5-$B42)-1)-(AL$5-$B42)*01_Inputs!$C$23,"")</f>
        <v/>
      </c>
      <c r="AM42" s="3" t="str">
        <f aca="false">IF(AM$5&gt;$B42,ABS(10/(AM$5-$B42)-1)-(AM$5-$B42)*01_Inputs!$C$23,"")</f>
        <v/>
      </c>
      <c r="AN42" s="3" t="str">
        <f aca="false">IF(AN$5&gt;$B42,ABS(10/(AN$5-$B42)-1)-(AN$5-$B42)*01_Inputs!$C$23,"")</f>
        <v/>
      </c>
      <c r="AO42" s="3" t="str">
        <f aca="false">IF(AO$5&gt;$B42,ABS(10/(AO$5-$B42)-1)-(AO$5-$B42)*01_Inputs!$C$23,"")</f>
        <v/>
      </c>
      <c r="AP42" s="3" t="str">
        <f aca="false">IF(AP$5&gt;$B42,ABS(10/(AP$5-$B42)-1)-(AP$5-$B42)*01_Inputs!$C$23,"")</f>
        <v/>
      </c>
      <c r="AQ42" s="3" t="str">
        <f aca="false">IF(AQ$5&gt;$B42,ABS(10/(AQ$5-$B42)-1)-(AQ$5-$B42)*01_Inputs!$C$23,"")</f>
        <v/>
      </c>
      <c r="AR42" s="3" t="str">
        <f aca="false">IF(AR$5&gt;$B42,ABS(10/(AR$5-$B42)-1)-(AR$5-$B42)*01_Inputs!$C$23,"")</f>
        <v/>
      </c>
      <c r="AS42" s="3" t="str">
        <f aca="false">IF(AS$5&gt;$B42,ABS(10/(AS$5-$B42)-1)-(AS$5-$B42)*01_Inputs!$C$23,"")</f>
        <v/>
      </c>
      <c r="AT42" s="3" t="n">
        <f aca="false">IF(AT$5&gt;$B42,ABS(10/(AT$5-$B42)-1)-(AT$5-$B42)*01_Inputs!$C$23,"")</f>
        <v>0.666666660666667</v>
      </c>
      <c r="AU42" s="3" t="n">
        <f aca="false">IF(AU$5&gt;$B42,ABS(10/(AU$5-$B42)-1)-(AU$5-$B42)*01_Inputs!$C$23,"")</f>
        <v>0.249999992</v>
      </c>
      <c r="AV42" s="3" t="n">
        <f aca="false">IF(AV$5&gt;$B42,ABS(10/(AV$5-$B42)-1)-(AV$5-$B42)*01_Inputs!$C$23,"")</f>
        <v>0.285714271714286</v>
      </c>
      <c r="AW42" s="3" t="n">
        <f aca="false">IF(AW$5&gt;$B42,ABS(10/(AW$5-$B42)-1)-(AW$5-$B42)*01_Inputs!$C$23,"")</f>
        <v>0.444444426444444</v>
      </c>
      <c r="AX42" s="3" t="n">
        <f aca="false">IF(AX$5&gt;$B42,ABS(10/(AX$5-$B42)-1)-(AX$5-$B42)*01_Inputs!$C$23,"")</f>
        <v>0.565217368304348</v>
      </c>
      <c r="AY42" s="3" t="n">
        <f aca="false">IF(AY$5&gt;$B42,ABS(10/(AY$5-$B42)-1)-(AY$5-$B42)*01_Inputs!$C$23,"")</f>
        <v>0.705882318941176</v>
      </c>
      <c r="AZ42" s="3" t="n">
        <f aca="false">IF(AZ$5&gt;$B42,ABS(10/(AZ$5-$B42)-1)-(AZ$5-$B42)*01_Inputs!$C$23,"")</f>
        <v>0.74999996</v>
      </c>
    </row>
    <row r="43" customFormat="false" ht="15" hidden="false" customHeight="false" outlineLevel="0" collapsed="false">
      <c r="A43" s="9" t="n">
        <v>38</v>
      </c>
      <c r="B43" s="9" t="n">
        <f aca="false">01_Inputs!$B$78</f>
        <v>242</v>
      </c>
      <c r="C43" s="17" t="n">
        <f aca="false">MIN(I43:AZ43)</f>
        <v>0.166666654666667</v>
      </c>
      <c r="D43" s="9" t="n">
        <f aca="false">MATCH($C43,I43:AZ43,0)</f>
        <v>41</v>
      </c>
      <c r="E43" s="9" t="n">
        <f aca="false">INDEX(I$5:AZ$5,1,$D43)</f>
        <v>254</v>
      </c>
      <c r="F43" s="9" t="n">
        <f aca="false">$E43-$B43</f>
        <v>12</v>
      </c>
      <c r="I43" s="3" t="str">
        <f aca="false">IF(I$5&gt;$B43,ABS(10/(I$5-$B43)-1)-(I$5-$B43)*01_Inputs!$C$23,"")</f>
        <v/>
      </c>
      <c r="J43" s="3" t="str">
        <f aca="false">IF(J$5&gt;$B43,ABS(10/(J$5-$B43)-1)-(J$5-$B43)*01_Inputs!$C$23,"")</f>
        <v/>
      </c>
      <c r="K43" s="3" t="str">
        <f aca="false">IF(K$5&gt;$B43,ABS(10/(K$5-$B43)-1)-(K$5-$B43)*01_Inputs!$C$23,"")</f>
        <v/>
      </c>
      <c r="L43" s="3" t="str">
        <f aca="false">IF(L$5&gt;$B43,ABS(10/(L$5-$B43)-1)-(L$5-$B43)*01_Inputs!$C$23,"")</f>
        <v/>
      </c>
      <c r="M43" s="3" t="str">
        <f aca="false">IF(M$5&gt;$B43,ABS(10/(M$5-$B43)-1)-(M$5-$B43)*01_Inputs!$C$23,"")</f>
        <v/>
      </c>
      <c r="N43" s="3" t="str">
        <f aca="false">IF(N$5&gt;$B43,ABS(10/(N$5-$B43)-1)-(N$5-$B43)*01_Inputs!$C$23,"")</f>
        <v/>
      </c>
      <c r="O43" s="3" t="str">
        <f aca="false">IF(O$5&gt;$B43,ABS(10/(O$5-$B43)-1)-(O$5-$B43)*01_Inputs!$C$23,"")</f>
        <v/>
      </c>
      <c r="P43" s="3" t="str">
        <f aca="false">IF(P$5&gt;$B43,ABS(10/(P$5-$B43)-1)-(P$5-$B43)*01_Inputs!$C$23,"")</f>
        <v/>
      </c>
      <c r="Q43" s="3" t="str">
        <f aca="false">IF(Q$5&gt;$B43,ABS(10/(Q$5-$B43)-1)-(Q$5-$B43)*01_Inputs!$C$23,"")</f>
        <v/>
      </c>
      <c r="R43" s="3" t="str">
        <f aca="false">IF(R$5&gt;$B43,ABS(10/(R$5-$B43)-1)-(R$5-$B43)*01_Inputs!$C$23,"")</f>
        <v/>
      </c>
      <c r="S43" s="3" t="str">
        <f aca="false">IF(S$5&gt;$B43,ABS(10/(S$5-$B43)-1)-(S$5-$B43)*01_Inputs!$C$23,"")</f>
        <v/>
      </c>
      <c r="T43" s="3" t="str">
        <f aca="false">IF(T$5&gt;$B43,ABS(10/(T$5-$B43)-1)-(T$5-$B43)*01_Inputs!$C$23,"")</f>
        <v/>
      </c>
      <c r="U43" s="3" t="str">
        <f aca="false">IF(U$5&gt;$B43,ABS(10/(U$5-$B43)-1)-(U$5-$B43)*01_Inputs!$C$23,"")</f>
        <v/>
      </c>
      <c r="V43" s="3" t="str">
        <f aca="false">IF(V$5&gt;$B43,ABS(10/(V$5-$B43)-1)-(V$5-$B43)*01_Inputs!$C$23,"")</f>
        <v/>
      </c>
      <c r="W43" s="3" t="str">
        <f aca="false">IF(W$5&gt;$B43,ABS(10/(W$5-$B43)-1)-(W$5-$B43)*01_Inputs!$C$23,"")</f>
        <v/>
      </c>
      <c r="X43" s="3" t="str">
        <f aca="false">IF(X$5&gt;$B43,ABS(10/(X$5-$B43)-1)-(X$5-$B43)*01_Inputs!$C$23,"")</f>
        <v/>
      </c>
      <c r="Y43" s="3" t="str">
        <f aca="false">IF(Y$5&gt;$B43,ABS(10/(Y$5-$B43)-1)-(Y$5-$B43)*01_Inputs!$C$23,"")</f>
        <v/>
      </c>
      <c r="Z43" s="3" t="str">
        <f aca="false">IF(Z$5&gt;$B43,ABS(10/(Z$5-$B43)-1)-(Z$5-$B43)*01_Inputs!$C$23,"")</f>
        <v/>
      </c>
      <c r="AA43" s="3" t="str">
        <f aca="false">IF(AA$5&gt;$B43,ABS(10/(AA$5-$B43)-1)-(AA$5-$B43)*01_Inputs!$C$23,"")</f>
        <v/>
      </c>
      <c r="AB43" s="3" t="str">
        <f aca="false">IF(AB$5&gt;$B43,ABS(10/(AB$5-$B43)-1)-(AB$5-$B43)*01_Inputs!$C$23,"")</f>
        <v/>
      </c>
      <c r="AC43" s="3" t="str">
        <f aca="false">IF(AC$5&gt;$B43,ABS(10/(AC$5-$B43)-1)-(AC$5-$B43)*01_Inputs!$C$23,"")</f>
        <v/>
      </c>
      <c r="AD43" s="3" t="str">
        <f aca="false">IF(AD$5&gt;$B43,ABS(10/(AD$5-$B43)-1)-(AD$5-$B43)*01_Inputs!$C$23,"")</f>
        <v/>
      </c>
      <c r="AE43" s="3" t="str">
        <f aca="false">IF(AE$5&gt;$B43,ABS(10/(AE$5-$B43)-1)-(AE$5-$B43)*01_Inputs!$C$23,"")</f>
        <v/>
      </c>
      <c r="AF43" s="3" t="str">
        <f aca="false">IF(AF$5&gt;$B43,ABS(10/(AF$5-$B43)-1)-(AF$5-$B43)*01_Inputs!$C$23,"")</f>
        <v/>
      </c>
      <c r="AG43" s="3" t="str">
        <f aca="false">IF(AG$5&gt;$B43,ABS(10/(AG$5-$B43)-1)-(AG$5-$B43)*01_Inputs!$C$23,"")</f>
        <v/>
      </c>
      <c r="AH43" s="3" t="str">
        <f aca="false">IF(AH$5&gt;$B43,ABS(10/(AH$5-$B43)-1)-(AH$5-$B43)*01_Inputs!$C$23,"")</f>
        <v/>
      </c>
      <c r="AI43" s="3" t="str">
        <f aca="false">IF(AI$5&gt;$B43,ABS(10/(AI$5-$B43)-1)-(AI$5-$B43)*01_Inputs!$C$23,"")</f>
        <v/>
      </c>
      <c r="AJ43" s="3" t="str">
        <f aca="false">IF(AJ$5&gt;$B43,ABS(10/(AJ$5-$B43)-1)-(AJ$5-$B43)*01_Inputs!$C$23,"")</f>
        <v/>
      </c>
      <c r="AK43" s="3" t="str">
        <f aca="false">IF(AK$5&gt;$B43,ABS(10/(AK$5-$B43)-1)-(AK$5-$B43)*01_Inputs!$C$23,"")</f>
        <v/>
      </c>
      <c r="AL43" s="3" t="str">
        <f aca="false">IF(AL$5&gt;$B43,ABS(10/(AL$5-$B43)-1)-(AL$5-$B43)*01_Inputs!$C$23,"")</f>
        <v/>
      </c>
      <c r="AM43" s="3" t="str">
        <f aca="false">IF(AM$5&gt;$B43,ABS(10/(AM$5-$B43)-1)-(AM$5-$B43)*01_Inputs!$C$23,"")</f>
        <v/>
      </c>
      <c r="AN43" s="3" t="str">
        <f aca="false">IF(AN$5&gt;$B43,ABS(10/(AN$5-$B43)-1)-(AN$5-$B43)*01_Inputs!$C$23,"")</f>
        <v/>
      </c>
      <c r="AO43" s="3" t="str">
        <f aca="false">IF(AO$5&gt;$B43,ABS(10/(AO$5-$B43)-1)-(AO$5-$B43)*01_Inputs!$C$23,"")</f>
        <v/>
      </c>
      <c r="AP43" s="3" t="str">
        <f aca="false">IF(AP$5&gt;$B43,ABS(10/(AP$5-$B43)-1)-(AP$5-$B43)*01_Inputs!$C$23,"")</f>
        <v/>
      </c>
      <c r="AQ43" s="3" t="str">
        <f aca="false">IF(AQ$5&gt;$B43,ABS(10/(AQ$5-$B43)-1)-(AQ$5-$B43)*01_Inputs!$C$23,"")</f>
        <v/>
      </c>
      <c r="AR43" s="3" t="str">
        <f aca="false">IF(AR$5&gt;$B43,ABS(10/(AR$5-$B43)-1)-(AR$5-$B43)*01_Inputs!$C$23,"")</f>
        <v/>
      </c>
      <c r="AS43" s="3" t="str">
        <f aca="false">IF(AS$5&gt;$B43,ABS(10/(AS$5-$B43)-1)-(AS$5-$B43)*01_Inputs!$C$23,"")</f>
        <v/>
      </c>
      <c r="AT43" s="3" t="str">
        <f aca="false">IF(AT$5&gt;$B43,ABS(10/(AT$5-$B43)-1)-(AT$5-$B43)*01_Inputs!$C$23,"")</f>
        <v/>
      </c>
      <c r="AU43" s="3" t="n">
        <f aca="false">IF(AU$5&gt;$B43,ABS(10/(AU$5-$B43)-1)-(AU$5-$B43)*01_Inputs!$C$23,"")</f>
        <v>3.999999998</v>
      </c>
      <c r="AV43" s="3" t="n">
        <f aca="false">IF(AV$5&gt;$B43,ABS(10/(AV$5-$B43)-1)-(AV$5-$B43)*01_Inputs!$C$23,"")</f>
        <v>0.249999992</v>
      </c>
      <c r="AW43" s="3" t="n">
        <f aca="false">IF(AW$5&gt;$B43,ABS(10/(AW$5-$B43)-1)-(AW$5-$B43)*01_Inputs!$C$23,"")</f>
        <v>0.166666654666667</v>
      </c>
      <c r="AX43" s="3" t="n">
        <f aca="false">IF(AX$5&gt;$B43,ABS(10/(AX$5-$B43)-1)-(AX$5-$B43)*01_Inputs!$C$23,"")</f>
        <v>0.411764688882353</v>
      </c>
      <c r="AY43" s="3" t="n">
        <f aca="false">IF(AY$5&gt;$B43,ABS(10/(AY$5-$B43)-1)-(AY$5-$B43)*01_Inputs!$C$23,"")</f>
        <v>0.642857114857143</v>
      </c>
      <c r="AZ43" s="3" t="n">
        <f aca="false">IF(AZ$5&gt;$B43,ABS(10/(AZ$5-$B43)-1)-(AZ$5-$B43)*01_Inputs!$C$23,"")</f>
        <v>0.705882318941176</v>
      </c>
    </row>
    <row r="44" customFormat="false" ht="15" hidden="false" customHeight="false" outlineLevel="0" collapsed="false">
      <c r="A44" s="9" t="n">
        <v>39</v>
      </c>
      <c r="B44" s="9" t="n">
        <f aca="false">01_Inputs!$B$79</f>
        <v>244</v>
      </c>
      <c r="C44" s="17" t="n">
        <f aca="false">MIN(I44:AZ44)</f>
        <v>-1E-008</v>
      </c>
      <c r="D44" s="9" t="n">
        <f aca="false">MATCH($C44,I44:AZ44,0)</f>
        <v>41</v>
      </c>
      <c r="E44" s="9" t="n">
        <f aca="false">INDEX(I$5:AZ$5,1,$D44)</f>
        <v>254</v>
      </c>
      <c r="F44" s="9" t="n">
        <f aca="false">$E44-$B44</f>
        <v>10</v>
      </c>
      <c r="I44" s="3" t="str">
        <f aca="false">IF(I$5&gt;$B44,ABS(10/(I$5-$B44)-1)-(I$5-$B44)*01_Inputs!$C$23,"")</f>
        <v/>
      </c>
      <c r="J44" s="3" t="str">
        <f aca="false">IF(J$5&gt;$B44,ABS(10/(J$5-$B44)-1)-(J$5-$B44)*01_Inputs!$C$23,"")</f>
        <v/>
      </c>
      <c r="K44" s="3" t="str">
        <f aca="false">IF(K$5&gt;$B44,ABS(10/(K$5-$B44)-1)-(K$5-$B44)*01_Inputs!$C$23,"")</f>
        <v/>
      </c>
      <c r="L44" s="3" t="str">
        <f aca="false">IF(L$5&gt;$B44,ABS(10/(L$5-$B44)-1)-(L$5-$B44)*01_Inputs!$C$23,"")</f>
        <v/>
      </c>
      <c r="M44" s="3" t="str">
        <f aca="false">IF(M$5&gt;$B44,ABS(10/(M$5-$B44)-1)-(M$5-$B44)*01_Inputs!$C$23,"")</f>
        <v/>
      </c>
      <c r="N44" s="3" t="str">
        <f aca="false">IF(N$5&gt;$B44,ABS(10/(N$5-$B44)-1)-(N$5-$B44)*01_Inputs!$C$23,"")</f>
        <v/>
      </c>
      <c r="O44" s="3" t="str">
        <f aca="false">IF(O$5&gt;$B44,ABS(10/(O$5-$B44)-1)-(O$5-$B44)*01_Inputs!$C$23,"")</f>
        <v/>
      </c>
      <c r="P44" s="3" t="str">
        <f aca="false">IF(P$5&gt;$B44,ABS(10/(P$5-$B44)-1)-(P$5-$B44)*01_Inputs!$C$23,"")</f>
        <v/>
      </c>
      <c r="Q44" s="3" t="str">
        <f aca="false">IF(Q$5&gt;$B44,ABS(10/(Q$5-$B44)-1)-(Q$5-$B44)*01_Inputs!$C$23,"")</f>
        <v/>
      </c>
      <c r="R44" s="3" t="str">
        <f aca="false">IF(R$5&gt;$B44,ABS(10/(R$5-$B44)-1)-(R$5-$B44)*01_Inputs!$C$23,"")</f>
        <v/>
      </c>
      <c r="S44" s="3" t="str">
        <f aca="false">IF(S$5&gt;$B44,ABS(10/(S$5-$B44)-1)-(S$5-$B44)*01_Inputs!$C$23,"")</f>
        <v/>
      </c>
      <c r="T44" s="3" t="str">
        <f aca="false">IF(T$5&gt;$B44,ABS(10/(T$5-$B44)-1)-(T$5-$B44)*01_Inputs!$C$23,"")</f>
        <v/>
      </c>
      <c r="U44" s="3" t="str">
        <f aca="false">IF(U$5&gt;$B44,ABS(10/(U$5-$B44)-1)-(U$5-$B44)*01_Inputs!$C$23,"")</f>
        <v/>
      </c>
      <c r="V44" s="3" t="str">
        <f aca="false">IF(V$5&gt;$B44,ABS(10/(V$5-$B44)-1)-(V$5-$B44)*01_Inputs!$C$23,"")</f>
        <v/>
      </c>
      <c r="W44" s="3" t="str">
        <f aca="false">IF(W$5&gt;$B44,ABS(10/(W$5-$B44)-1)-(W$5-$B44)*01_Inputs!$C$23,"")</f>
        <v/>
      </c>
      <c r="X44" s="3" t="str">
        <f aca="false">IF(X$5&gt;$B44,ABS(10/(X$5-$B44)-1)-(X$5-$B44)*01_Inputs!$C$23,"")</f>
        <v/>
      </c>
      <c r="Y44" s="3" t="str">
        <f aca="false">IF(Y$5&gt;$B44,ABS(10/(Y$5-$B44)-1)-(Y$5-$B44)*01_Inputs!$C$23,"")</f>
        <v/>
      </c>
      <c r="Z44" s="3" t="str">
        <f aca="false">IF(Z$5&gt;$B44,ABS(10/(Z$5-$B44)-1)-(Z$5-$B44)*01_Inputs!$C$23,"")</f>
        <v/>
      </c>
      <c r="AA44" s="3" t="str">
        <f aca="false">IF(AA$5&gt;$B44,ABS(10/(AA$5-$B44)-1)-(AA$5-$B44)*01_Inputs!$C$23,"")</f>
        <v/>
      </c>
      <c r="AB44" s="3" t="str">
        <f aca="false">IF(AB$5&gt;$B44,ABS(10/(AB$5-$B44)-1)-(AB$5-$B44)*01_Inputs!$C$23,"")</f>
        <v/>
      </c>
      <c r="AC44" s="3" t="str">
        <f aca="false">IF(AC$5&gt;$B44,ABS(10/(AC$5-$B44)-1)-(AC$5-$B44)*01_Inputs!$C$23,"")</f>
        <v/>
      </c>
      <c r="AD44" s="3" t="str">
        <f aca="false">IF(AD$5&gt;$B44,ABS(10/(AD$5-$B44)-1)-(AD$5-$B44)*01_Inputs!$C$23,"")</f>
        <v/>
      </c>
      <c r="AE44" s="3" t="str">
        <f aca="false">IF(AE$5&gt;$B44,ABS(10/(AE$5-$B44)-1)-(AE$5-$B44)*01_Inputs!$C$23,"")</f>
        <v/>
      </c>
      <c r="AF44" s="3" t="str">
        <f aca="false">IF(AF$5&gt;$B44,ABS(10/(AF$5-$B44)-1)-(AF$5-$B44)*01_Inputs!$C$23,"")</f>
        <v/>
      </c>
      <c r="AG44" s="3" t="str">
        <f aca="false">IF(AG$5&gt;$B44,ABS(10/(AG$5-$B44)-1)-(AG$5-$B44)*01_Inputs!$C$23,"")</f>
        <v/>
      </c>
      <c r="AH44" s="3" t="str">
        <f aca="false">IF(AH$5&gt;$B44,ABS(10/(AH$5-$B44)-1)-(AH$5-$B44)*01_Inputs!$C$23,"")</f>
        <v/>
      </c>
      <c r="AI44" s="3" t="str">
        <f aca="false">IF(AI$5&gt;$B44,ABS(10/(AI$5-$B44)-1)-(AI$5-$B44)*01_Inputs!$C$23,"")</f>
        <v/>
      </c>
      <c r="AJ44" s="3" t="str">
        <f aca="false">IF(AJ$5&gt;$B44,ABS(10/(AJ$5-$B44)-1)-(AJ$5-$B44)*01_Inputs!$C$23,"")</f>
        <v/>
      </c>
      <c r="AK44" s="3" t="str">
        <f aca="false">IF(AK$5&gt;$B44,ABS(10/(AK$5-$B44)-1)-(AK$5-$B44)*01_Inputs!$C$23,"")</f>
        <v/>
      </c>
      <c r="AL44" s="3" t="str">
        <f aca="false">IF(AL$5&gt;$B44,ABS(10/(AL$5-$B44)-1)-(AL$5-$B44)*01_Inputs!$C$23,"")</f>
        <v/>
      </c>
      <c r="AM44" s="3" t="str">
        <f aca="false">IF(AM$5&gt;$B44,ABS(10/(AM$5-$B44)-1)-(AM$5-$B44)*01_Inputs!$C$23,"")</f>
        <v/>
      </c>
      <c r="AN44" s="3" t="str">
        <f aca="false">IF(AN$5&gt;$B44,ABS(10/(AN$5-$B44)-1)-(AN$5-$B44)*01_Inputs!$C$23,"")</f>
        <v/>
      </c>
      <c r="AO44" s="3" t="str">
        <f aca="false">IF(AO$5&gt;$B44,ABS(10/(AO$5-$B44)-1)-(AO$5-$B44)*01_Inputs!$C$23,"")</f>
        <v/>
      </c>
      <c r="AP44" s="3" t="str">
        <f aca="false">IF(AP$5&gt;$B44,ABS(10/(AP$5-$B44)-1)-(AP$5-$B44)*01_Inputs!$C$23,"")</f>
        <v/>
      </c>
      <c r="AQ44" s="3" t="str">
        <f aca="false">IF(AQ$5&gt;$B44,ABS(10/(AQ$5-$B44)-1)-(AQ$5-$B44)*01_Inputs!$C$23,"")</f>
        <v/>
      </c>
      <c r="AR44" s="3" t="str">
        <f aca="false">IF(AR$5&gt;$B44,ABS(10/(AR$5-$B44)-1)-(AR$5-$B44)*01_Inputs!$C$23,"")</f>
        <v/>
      </c>
      <c r="AS44" s="3" t="str">
        <f aca="false">IF(AS$5&gt;$B44,ABS(10/(AS$5-$B44)-1)-(AS$5-$B44)*01_Inputs!$C$23,"")</f>
        <v/>
      </c>
      <c r="AT44" s="3" t="str">
        <f aca="false">IF(AT$5&gt;$B44,ABS(10/(AT$5-$B44)-1)-(AT$5-$B44)*01_Inputs!$C$23,"")</f>
        <v/>
      </c>
      <c r="AU44" s="3" t="str">
        <f aca="false">IF(AU$5&gt;$B44,ABS(10/(AU$5-$B44)-1)-(AU$5-$B44)*01_Inputs!$C$23,"")</f>
        <v/>
      </c>
      <c r="AV44" s="3" t="n">
        <f aca="false">IF(AV$5&gt;$B44,ABS(10/(AV$5-$B44)-1)-(AV$5-$B44)*01_Inputs!$C$23,"")</f>
        <v>0.666666660666667</v>
      </c>
      <c r="AW44" s="3" t="n">
        <f aca="false">IF(AW$5&gt;$B44,ABS(10/(AW$5-$B44)-1)-(AW$5-$B44)*01_Inputs!$C$23,"")</f>
        <v>-1E-008</v>
      </c>
      <c r="AX44" s="3" t="n">
        <f aca="false">IF(AX$5&gt;$B44,ABS(10/(AX$5-$B44)-1)-(AX$5-$B44)*01_Inputs!$C$23,"")</f>
        <v>0.333333318333333</v>
      </c>
      <c r="AY44" s="3" t="n">
        <f aca="false">IF(AY$5&gt;$B44,ABS(10/(AY$5-$B44)-1)-(AY$5-$B44)*01_Inputs!$C$23,"")</f>
        <v>0.615384589384615</v>
      </c>
      <c r="AZ44" s="3" t="n">
        <f aca="false">IF(AZ$5&gt;$B44,ABS(10/(AZ$5-$B44)-1)-(AZ$5-$B44)*01_Inputs!$C$23,"")</f>
        <v>0.687499968</v>
      </c>
    </row>
    <row r="45" customFormat="false" ht="15" hidden="false" customHeight="false" outlineLevel="0" collapsed="false">
      <c r="A45" s="9" t="n">
        <v>40</v>
      </c>
      <c r="B45" s="9" t="n">
        <f aca="false">01_Inputs!$B$80</f>
        <v>250</v>
      </c>
      <c r="C45" s="17" t="n">
        <f aca="false">MIN(I45:AZ45)</f>
        <v>0.111111102111111</v>
      </c>
      <c r="D45" s="9" t="n">
        <f aca="false">MATCH($C45,I45:AZ45,0)</f>
        <v>42</v>
      </c>
      <c r="E45" s="9" t="n">
        <f aca="false">INDEX(I$5:AZ$5,1,$D45)</f>
        <v>259</v>
      </c>
      <c r="F45" s="9" t="n">
        <f aca="false">$E45-$B45</f>
        <v>9</v>
      </c>
      <c r="I45" s="3" t="str">
        <f aca="false">IF(I$5&gt;$B45,ABS(10/(I$5-$B45)-1)-(I$5-$B45)*01_Inputs!$C$23,"")</f>
        <v/>
      </c>
      <c r="J45" s="3" t="str">
        <f aca="false">IF(J$5&gt;$B45,ABS(10/(J$5-$B45)-1)-(J$5-$B45)*01_Inputs!$C$23,"")</f>
        <v/>
      </c>
      <c r="K45" s="3" t="str">
        <f aca="false">IF(K$5&gt;$B45,ABS(10/(K$5-$B45)-1)-(K$5-$B45)*01_Inputs!$C$23,"")</f>
        <v/>
      </c>
      <c r="L45" s="3" t="str">
        <f aca="false">IF(L$5&gt;$B45,ABS(10/(L$5-$B45)-1)-(L$5-$B45)*01_Inputs!$C$23,"")</f>
        <v/>
      </c>
      <c r="M45" s="3" t="str">
        <f aca="false">IF(M$5&gt;$B45,ABS(10/(M$5-$B45)-1)-(M$5-$B45)*01_Inputs!$C$23,"")</f>
        <v/>
      </c>
      <c r="N45" s="3" t="str">
        <f aca="false">IF(N$5&gt;$B45,ABS(10/(N$5-$B45)-1)-(N$5-$B45)*01_Inputs!$C$23,"")</f>
        <v/>
      </c>
      <c r="O45" s="3" t="str">
        <f aca="false">IF(O$5&gt;$B45,ABS(10/(O$5-$B45)-1)-(O$5-$B45)*01_Inputs!$C$23,"")</f>
        <v/>
      </c>
      <c r="P45" s="3" t="str">
        <f aca="false">IF(P$5&gt;$B45,ABS(10/(P$5-$B45)-1)-(P$5-$B45)*01_Inputs!$C$23,"")</f>
        <v/>
      </c>
      <c r="Q45" s="3" t="str">
        <f aca="false">IF(Q$5&gt;$B45,ABS(10/(Q$5-$B45)-1)-(Q$5-$B45)*01_Inputs!$C$23,"")</f>
        <v/>
      </c>
      <c r="R45" s="3" t="str">
        <f aca="false">IF(R$5&gt;$B45,ABS(10/(R$5-$B45)-1)-(R$5-$B45)*01_Inputs!$C$23,"")</f>
        <v/>
      </c>
      <c r="S45" s="3" t="str">
        <f aca="false">IF(S$5&gt;$B45,ABS(10/(S$5-$B45)-1)-(S$5-$B45)*01_Inputs!$C$23,"")</f>
        <v/>
      </c>
      <c r="T45" s="3" t="str">
        <f aca="false">IF(T$5&gt;$B45,ABS(10/(T$5-$B45)-1)-(T$5-$B45)*01_Inputs!$C$23,"")</f>
        <v/>
      </c>
      <c r="U45" s="3" t="str">
        <f aca="false">IF(U$5&gt;$B45,ABS(10/(U$5-$B45)-1)-(U$5-$B45)*01_Inputs!$C$23,"")</f>
        <v/>
      </c>
      <c r="V45" s="3" t="str">
        <f aca="false">IF(V$5&gt;$B45,ABS(10/(V$5-$B45)-1)-(V$5-$B45)*01_Inputs!$C$23,"")</f>
        <v/>
      </c>
      <c r="W45" s="3" t="str">
        <f aca="false">IF(W$5&gt;$B45,ABS(10/(W$5-$B45)-1)-(W$5-$B45)*01_Inputs!$C$23,"")</f>
        <v/>
      </c>
      <c r="X45" s="3" t="str">
        <f aca="false">IF(X$5&gt;$B45,ABS(10/(X$5-$B45)-1)-(X$5-$B45)*01_Inputs!$C$23,"")</f>
        <v/>
      </c>
      <c r="Y45" s="3" t="str">
        <f aca="false">IF(Y$5&gt;$B45,ABS(10/(Y$5-$B45)-1)-(Y$5-$B45)*01_Inputs!$C$23,"")</f>
        <v/>
      </c>
      <c r="Z45" s="3" t="str">
        <f aca="false">IF(Z$5&gt;$B45,ABS(10/(Z$5-$B45)-1)-(Z$5-$B45)*01_Inputs!$C$23,"")</f>
        <v/>
      </c>
      <c r="AA45" s="3" t="str">
        <f aca="false">IF(AA$5&gt;$B45,ABS(10/(AA$5-$B45)-1)-(AA$5-$B45)*01_Inputs!$C$23,"")</f>
        <v/>
      </c>
      <c r="AB45" s="3" t="str">
        <f aca="false">IF(AB$5&gt;$B45,ABS(10/(AB$5-$B45)-1)-(AB$5-$B45)*01_Inputs!$C$23,"")</f>
        <v/>
      </c>
      <c r="AC45" s="3" t="str">
        <f aca="false">IF(AC$5&gt;$B45,ABS(10/(AC$5-$B45)-1)-(AC$5-$B45)*01_Inputs!$C$23,"")</f>
        <v/>
      </c>
      <c r="AD45" s="3" t="str">
        <f aca="false">IF(AD$5&gt;$B45,ABS(10/(AD$5-$B45)-1)-(AD$5-$B45)*01_Inputs!$C$23,"")</f>
        <v/>
      </c>
      <c r="AE45" s="3" t="str">
        <f aca="false">IF(AE$5&gt;$B45,ABS(10/(AE$5-$B45)-1)-(AE$5-$B45)*01_Inputs!$C$23,"")</f>
        <v/>
      </c>
      <c r="AF45" s="3" t="str">
        <f aca="false">IF(AF$5&gt;$B45,ABS(10/(AF$5-$B45)-1)-(AF$5-$B45)*01_Inputs!$C$23,"")</f>
        <v/>
      </c>
      <c r="AG45" s="3" t="str">
        <f aca="false">IF(AG$5&gt;$B45,ABS(10/(AG$5-$B45)-1)-(AG$5-$B45)*01_Inputs!$C$23,"")</f>
        <v/>
      </c>
      <c r="AH45" s="3" t="str">
        <f aca="false">IF(AH$5&gt;$B45,ABS(10/(AH$5-$B45)-1)-(AH$5-$B45)*01_Inputs!$C$23,"")</f>
        <v/>
      </c>
      <c r="AI45" s="3" t="str">
        <f aca="false">IF(AI$5&gt;$B45,ABS(10/(AI$5-$B45)-1)-(AI$5-$B45)*01_Inputs!$C$23,"")</f>
        <v/>
      </c>
      <c r="AJ45" s="3" t="str">
        <f aca="false">IF(AJ$5&gt;$B45,ABS(10/(AJ$5-$B45)-1)-(AJ$5-$B45)*01_Inputs!$C$23,"")</f>
        <v/>
      </c>
      <c r="AK45" s="3" t="str">
        <f aca="false">IF(AK$5&gt;$B45,ABS(10/(AK$5-$B45)-1)-(AK$5-$B45)*01_Inputs!$C$23,"")</f>
        <v/>
      </c>
      <c r="AL45" s="3" t="str">
        <f aca="false">IF(AL$5&gt;$B45,ABS(10/(AL$5-$B45)-1)-(AL$5-$B45)*01_Inputs!$C$23,"")</f>
        <v/>
      </c>
      <c r="AM45" s="3" t="str">
        <f aca="false">IF(AM$5&gt;$B45,ABS(10/(AM$5-$B45)-1)-(AM$5-$B45)*01_Inputs!$C$23,"")</f>
        <v/>
      </c>
      <c r="AN45" s="3" t="str">
        <f aca="false">IF(AN$5&gt;$B45,ABS(10/(AN$5-$B45)-1)-(AN$5-$B45)*01_Inputs!$C$23,"")</f>
        <v/>
      </c>
      <c r="AO45" s="3" t="str">
        <f aca="false">IF(AO$5&gt;$B45,ABS(10/(AO$5-$B45)-1)-(AO$5-$B45)*01_Inputs!$C$23,"")</f>
        <v/>
      </c>
      <c r="AP45" s="3" t="str">
        <f aca="false">IF(AP$5&gt;$B45,ABS(10/(AP$5-$B45)-1)-(AP$5-$B45)*01_Inputs!$C$23,"")</f>
        <v/>
      </c>
      <c r="AQ45" s="3" t="str">
        <f aca="false">IF(AQ$5&gt;$B45,ABS(10/(AQ$5-$B45)-1)-(AQ$5-$B45)*01_Inputs!$C$23,"")</f>
        <v/>
      </c>
      <c r="AR45" s="3" t="str">
        <f aca="false">IF(AR$5&gt;$B45,ABS(10/(AR$5-$B45)-1)-(AR$5-$B45)*01_Inputs!$C$23,"")</f>
        <v/>
      </c>
      <c r="AS45" s="3" t="str">
        <f aca="false">IF(AS$5&gt;$B45,ABS(10/(AS$5-$B45)-1)-(AS$5-$B45)*01_Inputs!$C$23,"")</f>
        <v/>
      </c>
      <c r="AT45" s="3" t="str">
        <f aca="false">IF(AT$5&gt;$B45,ABS(10/(AT$5-$B45)-1)-(AT$5-$B45)*01_Inputs!$C$23,"")</f>
        <v/>
      </c>
      <c r="AU45" s="3" t="str">
        <f aca="false">IF(AU$5&gt;$B45,ABS(10/(AU$5-$B45)-1)-(AU$5-$B45)*01_Inputs!$C$23,"")</f>
        <v/>
      </c>
      <c r="AV45" s="3" t="str">
        <f aca="false">IF(AV$5&gt;$B45,ABS(10/(AV$5-$B45)-1)-(AV$5-$B45)*01_Inputs!$C$23,"")</f>
        <v/>
      </c>
      <c r="AW45" s="3" t="n">
        <f aca="false">IF(AW$5&gt;$B45,ABS(10/(AW$5-$B45)-1)-(AW$5-$B45)*01_Inputs!$C$23,"")</f>
        <v>1.499999996</v>
      </c>
      <c r="AX45" s="3" t="n">
        <f aca="false">IF(AX$5&gt;$B45,ABS(10/(AX$5-$B45)-1)-(AX$5-$B45)*01_Inputs!$C$23,"")</f>
        <v>0.111111102111111</v>
      </c>
      <c r="AY45" s="3" t="n">
        <f aca="false">IF(AY$5&gt;$B45,ABS(10/(AY$5-$B45)-1)-(AY$5-$B45)*01_Inputs!$C$23,"")</f>
        <v>0.49999998</v>
      </c>
      <c r="AZ45" s="3" t="n">
        <f aca="false">IF(AZ$5&gt;$B45,ABS(10/(AZ$5-$B45)-1)-(AZ$5-$B45)*01_Inputs!$C$23,"")</f>
        <v>0.615384589384615</v>
      </c>
    </row>
    <row r="47" customFormat="false" ht="15" hidden="false" customHeight="false" outlineLevel="0" collapsed="false">
      <c r="A47" s="4" t="s">
        <v>162</v>
      </c>
      <c r="C47" s="18" t="n">
        <f aca="false">AVERAGE(F6:F45)</f>
        <v>12.775</v>
      </c>
    </row>
    <row r="48" customFormat="false" ht="15" hidden="false" customHeight="false" outlineLevel="0" collapsed="false">
      <c r="A48" s="2" t="s">
        <v>163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
    <col collapsed="false" customWidth="true" hidden="false" outlineLevel="0" max="3" min="3" style="0" width="13"/>
    <col collapsed="false" customWidth="true" hidden="false" outlineLevel="0" max="4" min="4" style="0" width="11"/>
    <col collapsed="false" customWidth="true" hidden="false" outlineLevel="0" max="5" min="5" style="0" width="14"/>
    <col collapsed="false" customWidth="true" hidden="false" outlineLevel="0" max="6" min="6" style="0" width="11"/>
    <col collapsed="false" customWidth="true" hidden="false" outlineLevel="0" max="7" min="7" style="0" width="15"/>
    <col collapsed="false" customWidth="true" hidden="false" outlineLevel="0" max="8" min="8" style="0" width="19"/>
  </cols>
  <sheetData>
    <row r="1" customFormat="false" ht="17.35" hidden="false" customHeight="false" outlineLevel="0" collapsed="false">
      <c r="A1" s="1" t="s">
        <v>164</v>
      </c>
    </row>
    <row r="2" customFormat="false" ht="15" hidden="false" customHeight="false" outlineLevel="0" collapsed="false">
      <c r="A2" s="2" t="s">
        <v>165</v>
      </c>
    </row>
    <row r="5" customFormat="false" ht="15" hidden="false" customHeight="false" outlineLevel="0" collapsed="false">
      <c r="A5" s="8" t="s">
        <v>166</v>
      </c>
      <c r="B5" s="8" t="s">
        <v>157</v>
      </c>
      <c r="C5" s="8" t="s">
        <v>167</v>
      </c>
      <c r="D5" s="8" t="s">
        <v>160</v>
      </c>
      <c r="E5" s="8" t="s">
        <v>168</v>
      </c>
      <c r="F5" s="8" t="s">
        <v>161</v>
      </c>
      <c r="G5" s="8" t="s">
        <v>169</v>
      </c>
      <c r="H5" s="8" t="s">
        <v>170</v>
      </c>
    </row>
    <row r="6" customFormat="false" ht="15" hidden="false" customHeight="false" outlineLevel="0" collapsed="false">
      <c r="A6" s="9" t="n">
        <v>1</v>
      </c>
      <c r="B6" s="19" t="n">
        <f aca="false">02_Pairing!$B6</f>
        <v>8</v>
      </c>
      <c r="C6" s="20" t="n">
        <f aca="false">01_Inputs!$C$41</f>
        <v>57.554</v>
      </c>
      <c r="D6" s="19" t="n">
        <f aca="false">02_Pairing!$E6</f>
        <v>18</v>
      </c>
      <c r="E6" s="20" t="n">
        <f aca="false">INDEX(01_Inputs!$C$41:$C$84,MATCH($D6,01_Inputs!$B$41:$B$84,0))</f>
        <v>51.294</v>
      </c>
      <c r="F6" s="19" t="n">
        <f aca="false">02_Pairing!$F6</f>
        <v>10</v>
      </c>
      <c r="G6" s="17" t="n">
        <f aca="false">LN($E6/$C6)</f>
        <v>-0.115149851258848</v>
      </c>
      <c r="H6" s="17" t="n">
        <f aca="false">SQRT(01_Inputs!$C$20/$F6)*$G6</f>
        <v>-0.115149851258848</v>
      </c>
    </row>
    <row r="7" customFormat="false" ht="15" hidden="false" customHeight="false" outlineLevel="0" collapsed="false">
      <c r="A7" s="9" t="n">
        <v>2</v>
      </c>
      <c r="B7" s="19" t="n">
        <f aca="false">02_Pairing!$B7</f>
        <v>9</v>
      </c>
      <c r="C7" s="20" t="n">
        <f aca="false">01_Inputs!$C$42</f>
        <v>59.754</v>
      </c>
      <c r="D7" s="19" t="n">
        <f aca="false">02_Pairing!$E7</f>
        <v>18</v>
      </c>
      <c r="E7" s="20" t="n">
        <f aca="false">INDEX(01_Inputs!$C$41:$C$84,MATCH($D7,01_Inputs!$B$41:$B$84,0))</f>
        <v>51.294</v>
      </c>
      <c r="F7" s="19" t="n">
        <f aca="false">02_Pairing!$F7</f>
        <v>9</v>
      </c>
      <c r="G7" s="17" t="n">
        <f aca="false">LN($E7/$C7)</f>
        <v>-0.152662347905406</v>
      </c>
      <c r="H7" s="17" t="n">
        <f aca="false">SQRT(01_Inputs!$C$20/$F7)*$G7</f>
        <v>-0.160920244110039</v>
      </c>
    </row>
    <row r="8" customFormat="false" ht="15" hidden="false" customHeight="false" outlineLevel="0" collapsed="false">
      <c r="A8" s="9" t="n">
        <v>3</v>
      </c>
      <c r="B8" s="19" t="n">
        <f aca="false">02_Pairing!$B8</f>
        <v>12</v>
      </c>
      <c r="C8" s="20" t="n">
        <f aca="false">01_Inputs!$C$43</f>
        <v>59.294</v>
      </c>
      <c r="D8" s="19" t="n">
        <f aca="false">02_Pairing!$E8</f>
        <v>22</v>
      </c>
      <c r="E8" s="20" t="n">
        <f aca="false">INDEX(01_Inputs!$C$41:$C$84,MATCH($D8,01_Inputs!$B$41:$B$84,0))</f>
        <v>56.002</v>
      </c>
      <c r="F8" s="19" t="n">
        <f aca="false">02_Pairing!$F8</f>
        <v>10</v>
      </c>
      <c r="G8" s="17" t="n">
        <f aca="false">LN($E8/$C8)</f>
        <v>-0.0571207160630217</v>
      </c>
      <c r="H8" s="17" t="n">
        <f aca="false">SQRT(01_Inputs!$C$20/$F8)*$G8</f>
        <v>-0.0571207160630217</v>
      </c>
    </row>
    <row r="9" customFormat="false" ht="15" hidden="false" customHeight="false" outlineLevel="0" collapsed="false">
      <c r="A9" s="9" t="n">
        <v>4</v>
      </c>
      <c r="B9" s="19" t="n">
        <f aca="false">02_Pairing!$B9</f>
        <v>18</v>
      </c>
      <c r="C9" s="20" t="n">
        <f aca="false">01_Inputs!$C$44</f>
        <v>51.294</v>
      </c>
      <c r="D9" s="19" t="n">
        <f aca="false">02_Pairing!$E9</f>
        <v>29</v>
      </c>
      <c r="E9" s="20" t="n">
        <f aca="false">INDEX(01_Inputs!$C$41:$C$84,MATCH($D9,01_Inputs!$B$41:$B$84,0))</f>
        <v>61.805</v>
      </c>
      <c r="F9" s="19" t="n">
        <f aca="false">02_Pairing!$F9</f>
        <v>11</v>
      </c>
      <c r="G9" s="17" t="n">
        <f aca="false">LN($E9/$C9)</f>
        <v>0.186410481067635</v>
      </c>
      <c r="H9" s="17" t="n">
        <f aca="false">SQRT(01_Inputs!$C$20/$F9)*$G9</f>
        <v>0.177735419941264</v>
      </c>
    </row>
    <row r="10" customFormat="false" ht="15" hidden="false" customHeight="false" outlineLevel="0" collapsed="false">
      <c r="A10" s="9" t="n">
        <v>5</v>
      </c>
      <c r="B10" s="19" t="n">
        <f aca="false">02_Pairing!$B10</f>
        <v>22</v>
      </c>
      <c r="C10" s="20" t="n">
        <f aca="false">01_Inputs!$C$45</f>
        <v>56.002</v>
      </c>
      <c r="D10" s="19" t="n">
        <f aca="false">02_Pairing!$E10</f>
        <v>30</v>
      </c>
      <c r="E10" s="20" t="n">
        <f aca="false">INDEX(01_Inputs!$C$41:$C$84,MATCH($D10,01_Inputs!$B$41:$B$84,0))</f>
        <v>64.488</v>
      </c>
      <c r="F10" s="19" t="n">
        <f aca="false">02_Pairing!$F10</f>
        <v>8</v>
      </c>
      <c r="G10" s="17" t="n">
        <f aca="false">LN($E10/$C10)</f>
        <v>0.141091755598176</v>
      </c>
      <c r="H10" s="17" t="n">
        <f aca="false">SQRT(01_Inputs!$C$20/$F10)*$G10</f>
        <v>0.157745378291154</v>
      </c>
    </row>
    <row r="11" customFormat="false" ht="15" hidden="false" customHeight="false" outlineLevel="0" collapsed="false">
      <c r="A11" s="9" t="n">
        <v>6</v>
      </c>
      <c r="B11" s="19" t="n">
        <f aca="false">02_Pairing!$B11</f>
        <v>25</v>
      </c>
      <c r="C11" s="20" t="n">
        <f aca="false">01_Inputs!$C$46</f>
        <v>57.663</v>
      </c>
      <c r="D11" s="19" t="n">
        <f aca="false">02_Pairing!$E11</f>
        <v>48</v>
      </c>
      <c r="E11" s="20" t="n">
        <f aca="false">INDEX(01_Inputs!$C$41:$C$84,MATCH($D11,01_Inputs!$B$41:$B$84,0))</f>
        <v>63.328</v>
      </c>
      <c r="F11" s="19" t="n">
        <f aca="false">02_Pairing!$F11</f>
        <v>23</v>
      </c>
      <c r="G11" s="17" t="n">
        <f aca="false">LN($E11/$C11)</f>
        <v>0.0937118494270514</v>
      </c>
      <c r="H11" s="17" t="n">
        <f aca="false">SQRT(01_Inputs!$C$20/$F11)*$G11</f>
        <v>0.0617917636380039</v>
      </c>
    </row>
    <row r="12" customFormat="false" ht="15" hidden="false" customHeight="false" outlineLevel="0" collapsed="false">
      <c r="A12" s="9" t="n">
        <v>7</v>
      </c>
      <c r="B12" s="19" t="n">
        <f aca="false">02_Pairing!$B12</f>
        <v>29</v>
      </c>
      <c r="C12" s="20" t="n">
        <f aca="false">01_Inputs!$C$47</f>
        <v>61.805</v>
      </c>
      <c r="D12" s="19" t="n">
        <f aca="false">02_Pairing!$E12</f>
        <v>48</v>
      </c>
      <c r="E12" s="20" t="n">
        <f aca="false">INDEX(01_Inputs!$C$41:$C$84,MATCH($D12,01_Inputs!$B$41:$B$84,0))</f>
        <v>63.328</v>
      </c>
      <c r="F12" s="19" t="n">
        <f aca="false">02_Pairing!$F12</f>
        <v>19</v>
      </c>
      <c r="G12" s="17" t="n">
        <f aca="false">LN($E12/$C12)</f>
        <v>0.0243433020803688</v>
      </c>
      <c r="H12" s="17" t="n">
        <f aca="false">SQRT(01_Inputs!$C$20/$F12)*$G12</f>
        <v>0.0176604875085612</v>
      </c>
    </row>
    <row r="13" customFormat="false" ht="15" hidden="false" customHeight="false" outlineLevel="0" collapsed="false">
      <c r="A13" s="9" t="n">
        <v>8</v>
      </c>
      <c r="B13" s="19" t="n">
        <f aca="false">02_Pairing!$B13</f>
        <v>30</v>
      </c>
      <c r="C13" s="20" t="n">
        <f aca="false">01_Inputs!$C$48</f>
        <v>64.488</v>
      </c>
      <c r="D13" s="19" t="n">
        <f aca="false">02_Pairing!$E13</f>
        <v>48</v>
      </c>
      <c r="E13" s="20" t="n">
        <f aca="false">INDEX(01_Inputs!$C$41:$C$84,MATCH($D13,01_Inputs!$B$41:$B$84,0))</f>
        <v>63.328</v>
      </c>
      <c r="F13" s="19" t="n">
        <f aca="false">02_Pairing!$F13</f>
        <v>18</v>
      </c>
      <c r="G13" s="17" t="n">
        <f aca="false">LN($E13/$C13)</f>
        <v>-0.0181515905611445</v>
      </c>
      <c r="H13" s="17" t="n">
        <f aca="false">SQRT(01_Inputs!$C$20/$F13)*$G13</f>
        <v>-0.0135293967981542</v>
      </c>
    </row>
    <row r="14" customFormat="false" ht="15" hidden="false" customHeight="false" outlineLevel="0" collapsed="false">
      <c r="A14" s="9" t="n">
        <v>9</v>
      </c>
      <c r="B14" s="19" t="n">
        <f aca="false">02_Pairing!$B14</f>
        <v>48</v>
      </c>
      <c r="C14" s="20" t="n">
        <f aca="false">01_Inputs!$C$49</f>
        <v>63.328</v>
      </c>
      <c r="D14" s="19" t="n">
        <f aca="false">02_Pairing!$E14</f>
        <v>59</v>
      </c>
      <c r="E14" s="20" t="n">
        <f aca="false">INDEX(01_Inputs!$C$41:$C$84,MATCH($D14,01_Inputs!$B$41:$B$84,0))</f>
        <v>64.785</v>
      </c>
      <c r="F14" s="19" t="n">
        <f aca="false">02_Pairing!$F14</f>
        <v>11</v>
      </c>
      <c r="G14" s="17" t="n">
        <f aca="false">LN($E14/$C14)</f>
        <v>0.0227465256606189</v>
      </c>
      <c r="H14" s="17" t="n">
        <f aca="false">SQRT(01_Inputs!$C$20/$F14)*$G14</f>
        <v>0.021687961252715</v>
      </c>
    </row>
    <row r="15" customFormat="false" ht="15" hidden="false" customHeight="false" outlineLevel="0" collapsed="false">
      <c r="A15" s="9" t="n">
        <v>10</v>
      </c>
      <c r="B15" s="19" t="n">
        <f aca="false">02_Pairing!$B15</f>
        <v>49</v>
      </c>
      <c r="C15" s="20" t="n">
        <f aca="false">01_Inputs!$C$50</f>
        <v>60.403</v>
      </c>
      <c r="D15" s="19" t="n">
        <f aca="false">02_Pairing!$E15</f>
        <v>59</v>
      </c>
      <c r="E15" s="20" t="n">
        <f aca="false">INDEX(01_Inputs!$C$41:$C$84,MATCH($D15,01_Inputs!$B$41:$B$84,0))</f>
        <v>64.785</v>
      </c>
      <c r="F15" s="19" t="n">
        <f aca="false">02_Pairing!$F15</f>
        <v>10</v>
      </c>
      <c r="G15" s="17" t="n">
        <f aca="false">LN($E15/$C15)</f>
        <v>0.0700353224992904</v>
      </c>
      <c r="H15" s="17" t="n">
        <f aca="false">SQRT(01_Inputs!$C$20/$F15)*$G15</f>
        <v>0.0700353224992904</v>
      </c>
    </row>
    <row r="16" customFormat="false" ht="15" hidden="false" customHeight="false" outlineLevel="0" collapsed="false">
      <c r="A16" s="9" t="n">
        <v>11</v>
      </c>
      <c r="B16" s="19" t="n">
        <f aca="false">02_Pairing!$B16</f>
        <v>51</v>
      </c>
      <c r="C16" s="20" t="n">
        <f aca="false">01_Inputs!$C$51</f>
        <v>58.519</v>
      </c>
      <c r="D16" s="19" t="n">
        <f aca="false">02_Pairing!$E16</f>
        <v>62</v>
      </c>
      <c r="E16" s="20" t="n">
        <f aca="false">INDEX(01_Inputs!$C$41:$C$84,MATCH($D16,01_Inputs!$B$41:$B$84,0))</f>
        <v>61.735</v>
      </c>
      <c r="F16" s="19" t="n">
        <f aca="false">02_Pairing!$F16</f>
        <v>11</v>
      </c>
      <c r="G16" s="17" t="n">
        <f aca="false">LN($E16/$C16)</f>
        <v>0.0534995431887709</v>
      </c>
      <c r="H16" s="17" t="n">
        <f aca="false">SQRT(01_Inputs!$C$20/$F16)*$G16</f>
        <v>0.0510098129722219</v>
      </c>
    </row>
    <row r="17" customFormat="false" ht="15" hidden="false" customHeight="false" outlineLevel="0" collapsed="false">
      <c r="A17" s="9" t="n">
        <v>12</v>
      </c>
      <c r="B17" s="19" t="n">
        <f aca="false">02_Pairing!$B17</f>
        <v>57</v>
      </c>
      <c r="C17" s="20" t="n">
        <f aca="false">01_Inputs!$C$52</f>
        <v>67.35</v>
      </c>
      <c r="D17" s="19" t="n">
        <f aca="false">02_Pairing!$E17</f>
        <v>68</v>
      </c>
      <c r="E17" s="20" t="n">
        <f aca="false">INDEX(01_Inputs!$C$41:$C$84,MATCH($D17,01_Inputs!$B$41:$B$84,0))</f>
        <v>63.221</v>
      </c>
      <c r="F17" s="19" t="n">
        <f aca="false">02_Pairing!$F17</f>
        <v>11</v>
      </c>
      <c r="G17" s="17" t="n">
        <f aca="false">LN($E17/$C17)</f>
        <v>-0.0632663784148172</v>
      </c>
      <c r="H17" s="17" t="n">
        <f aca="false">SQRT(01_Inputs!$C$20/$F17)*$G17</f>
        <v>-0.0603221249755831</v>
      </c>
    </row>
    <row r="18" customFormat="false" ht="15" hidden="false" customHeight="false" outlineLevel="0" collapsed="false">
      <c r="A18" s="9" t="n">
        <v>13</v>
      </c>
      <c r="B18" s="19" t="n">
        <f aca="false">02_Pairing!$B18</f>
        <v>59</v>
      </c>
      <c r="C18" s="20" t="n">
        <f aca="false">01_Inputs!$C$53</f>
        <v>64.785</v>
      </c>
      <c r="D18" s="19" t="n">
        <f aca="false">02_Pairing!$E18</f>
        <v>70</v>
      </c>
      <c r="E18" s="20" t="n">
        <f aca="false">INDEX(01_Inputs!$C$41:$C$84,MATCH($D18,01_Inputs!$B$41:$B$84,0))</f>
        <v>62.666</v>
      </c>
      <c r="F18" s="19" t="n">
        <f aca="false">02_Pairing!$F18</f>
        <v>11</v>
      </c>
      <c r="G18" s="17" t="n">
        <f aca="false">LN($E18/$C18)</f>
        <v>-0.0332550592733941</v>
      </c>
      <c r="H18" s="17" t="n">
        <f aca="false">SQRT(01_Inputs!$C$20/$F18)*$G18</f>
        <v>-0.031707454920326</v>
      </c>
    </row>
    <row r="19" customFormat="false" ht="15" hidden="false" customHeight="false" outlineLevel="0" collapsed="false">
      <c r="A19" s="9" t="n">
        <v>14</v>
      </c>
      <c r="B19" s="19" t="n">
        <f aca="false">02_Pairing!$B19</f>
        <v>62</v>
      </c>
      <c r="C19" s="20" t="n">
        <f aca="false">01_Inputs!$C$54</f>
        <v>61.735</v>
      </c>
      <c r="D19" s="19" t="n">
        <f aca="false">02_Pairing!$E19</f>
        <v>70</v>
      </c>
      <c r="E19" s="20" t="n">
        <f aca="false">INDEX(01_Inputs!$C$41:$C$84,MATCH($D19,01_Inputs!$B$41:$B$84,0))</f>
        <v>62.666</v>
      </c>
      <c r="F19" s="19" t="n">
        <f aca="false">02_Pairing!$F19</f>
        <v>8</v>
      </c>
      <c r="G19" s="17" t="n">
        <f aca="false">LN($E19/$C19)</f>
        <v>0.0149680047876731</v>
      </c>
      <c r="H19" s="17" t="n">
        <f aca="false">SQRT(01_Inputs!$C$20/$F19)*$G19</f>
        <v>0.0167347380963897</v>
      </c>
    </row>
    <row r="20" customFormat="false" ht="15" hidden="false" customHeight="false" outlineLevel="0" collapsed="false">
      <c r="A20" s="9" t="n">
        <v>15</v>
      </c>
      <c r="B20" s="19" t="n">
        <f aca="false">02_Pairing!$B20</f>
        <v>68</v>
      </c>
      <c r="C20" s="20" t="n">
        <f aca="false">01_Inputs!$C$55</f>
        <v>63.221</v>
      </c>
      <c r="D20" s="19" t="n">
        <f aca="false">02_Pairing!$E20</f>
        <v>87</v>
      </c>
      <c r="E20" s="20" t="n">
        <f aca="false">INDEX(01_Inputs!$C$41:$C$84,MATCH($D20,01_Inputs!$B$41:$B$84,0))</f>
        <v>65.508</v>
      </c>
      <c r="F20" s="19" t="n">
        <f aca="false">02_Pairing!$F20</f>
        <v>19</v>
      </c>
      <c r="G20" s="17" t="n">
        <f aca="false">LN($E20/$C20)</f>
        <v>0.035535748146065</v>
      </c>
      <c r="H20" s="17" t="n">
        <f aca="false">SQRT(01_Inputs!$C$20/$F20)*$G20</f>
        <v>0.0257803413098611</v>
      </c>
    </row>
    <row r="21" customFormat="false" ht="15" hidden="false" customHeight="false" outlineLevel="0" collapsed="false">
      <c r="A21" s="9" t="n">
        <v>16</v>
      </c>
      <c r="B21" s="19" t="n">
        <f aca="false">02_Pairing!$B21</f>
        <v>70</v>
      </c>
      <c r="C21" s="20" t="n">
        <f aca="false">01_Inputs!$C$56</f>
        <v>62.666</v>
      </c>
      <c r="D21" s="19" t="n">
        <f aca="false">02_Pairing!$E21</f>
        <v>87</v>
      </c>
      <c r="E21" s="20" t="n">
        <f aca="false">INDEX(01_Inputs!$C$41:$C$84,MATCH($D21,01_Inputs!$B$41:$B$84,0))</f>
        <v>65.508</v>
      </c>
      <c r="F21" s="19" t="n">
        <f aca="false">02_Pairing!$F21</f>
        <v>17</v>
      </c>
      <c r="G21" s="17" t="n">
        <f aca="false">LN($E21/$C21)</f>
        <v>0.0443532367802407</v>
      </c>
      <c r="H21" s="17" t="n">
        <f aca="false">SQRT(01_Inputs!$C$20/$F21)*$G21</f>
        <v>0.0340173797525021</v>
      </c>
    </row>
    <row r="22" customFormat="false" ht="15" hidden="false" customHeight="false" outlineLevel="0" collapsed="false">
      <c r="A22" s="9" t="n">
        <v>17</v>
      </c>
      <c r="B22" s="19" t="n">
        <f aca="false">02_Pairing!$B22</f>
        <v>87</v>
      </c>
      <c r="C22" s="20" t="n">
        <f aca="false">01_Inputs!$C$57</f>
        <v>65.508</v>
      </c>
      <c r="D22" s="19" t="n">
        <f aca="false">02_Pairing!$E22</f>
        <v>98</v>
      </c>
      <c r="E22" s="20" t="n">
        <f aca="false">INDEX(01_Inputs!$C$41:$C$84,MATCH($D22,01_Inputs!$B$41:$B$84,0))</f>
        <v>69.084</v>
      </c>
      <c r="F22" s="19" t="n">
        <f aca="false">02_Pairing!$F22</f>
        <v>11</v>
      </c>
      <c r="G22" s="17" t="n">
        <f aca="false">LN($E22/$C22)</f>
        <v>0.0531508828940521</v>
      </c>
      <c r="H22" s="17" t="n">
        <f aca="false">SQRT(01_Inputs!$C$20/$F22)*$G22</f>
        <v>0.0506773784248522</v>
      </c>
    </row>
    <row r="23" customFormat="false" ht="15" hidden="false" customHeight="false" outlineLevel="0" collapsed="false">
      <c r="A23" s="9" t="n">
        <v>18</v>
      </c>
      <c r="B23" s="19" t="n">
        <f aca="false">02_Pairing!$B23</f>
        <v>88</v>
      </c>
      <c r="C23" s="20" t="n">
        <f aca="false">01_Inputs!$C$58</f>
        <v>63.363</v>
      </c>
      <c r="D23" s="19" t="n">
        <f aca="false">02_Pairing!$E23</f>
        <v>98</v>
      </c>
      <c r="E23" s="20" t="n">
        <f aca="false">INDEX(01_Inputs!$C$41:$C$84,MATCH($D23,01_Inputs!$B$41:$B$84,0))</f>
        <v>69.084</v>
      </c>
      <c r="F23" s="19" t="n">
        <f aca="false">02_Pairing!$F23</f>
        <v>10</v>
      </c>
      <c r="G23" s="17" t="n">
        <f aca="false">LN($E23/$C23)</f>
        <v>0.0864430606115581</v>
      </c>
      <c r="H23" s="17" t="n">
        <f aca="false">SQRT(01_Inputs!$C$20/$F23)*$G23</f>
        <v>0.0864430606115581</v>
      </c>
    </row>
    <row r="24" customFormat="false" ht="15" hidden="false" customHeight="false" outlineLevel="0" collapsed="false">
      <c r="A24" s="9" t="n">
        <v>19</v>
      </c>
      <c r="B24" s="19" t="n">
        <f aca="false">02_Pairing!$B24</f>
        <v>98</v>
      </c>
      <c r="C24" s="20" t="n">
        <f aca="false">01_Inputs!$C$59</f>
        <v>69.084</v>
      </c>
      <c r="D24" s="19" t="n">
        <f aca="false">02_Pairing!$E24</f>
        <v>110</v>
      </c>
      <c r="E24" s="20" t="n">
        <f aca="false">INDEX(01_Inputs!$C$41:$C$84,MATCH($D24,01_Inputs!$B$41:$B$84,0))</f>
        <v>65.549</v>
      </c>
      <c r="F24" s="19" t="n">
        <f aca="false">02_Pairing!$F24</f>
        <v>12</v>
      </c>
      <c r="G24" s="17" t="n">
        <f aca="false">LN($E24/$C24)</f>
        <v>-0.0525252009184604</v>
      </c>
      <c r="H24" s="17" t="n">
        <f aca="false">SQRT(01_Inputs!$C$20/$F24)*$G24</f>
        <v>-0.047948728967553</v>
      </c>
    </row>
    <row r="25" customFormat="false" ht="15" hidden="false" customHeight="false" outlineLevel="0" collapsed="false">
      <c r="A25" s="9" t="n">
        <v>20</v>
      </c>
      <c r="B25" s="19" t="n">
        <f aca="false">02_Pairing!$B25</f>
        <v>110</v>
      </c>
      <c r="C25" s="20" t="n">
        <f aca="false">01_Inputs!$C$60</f>
        <v>65.549</v>
      </c>
      <c r="D25" s="19" t="n">
        <f aca="false">02_Pairing!$E25</f>
        <v>121</v>
      </c>
      <c r="E25" s="20" t="n">
        <f aca="false">INDEX(01_Inputs!$C$41:$C$84,MATCH($D25,01_Inputs!$B$41:$B$84,0))</f>
        <v>66.745</v>
      </c>
      <c r="F25" s="19" t="n">
        <f aca="false">02_Pairing!$F25</f>
        <v>11</v>
      </c>
      <c r="G25" s="17" t="n">
        <f aca="false">LN($E25/$C25)</f>
        <v>0.0180814335444832</v>
      </c>
      <c r="H25" s="17" t="n">
        <f aca="false">SQRT(01_Inputs!$C$20/$F25)*$G25</f>
        <v>0.017239970444595</v>
      </c>
    </row>
    <row r="26" customFormat="false" ht="15" hidden="false" customHeight="false" outlineLevel="0" collapsed="false">
      <c r="A26" s="9" t="n">
        <v>21</v>
      </c>
      <c r="B26" s="19" t="n">
        <f aca="false">02_Pairing!$B26</f>
        <v>119</v>
      </c>
      <c r="C26" s="20" t="n">
        <f aca="false">01_Inputs!$C$61</f>
        <v>64.888</v>
      </c>
      <c r="D26" s="19" t="n">
        <f aca="false">02_Pairing!$E26</f>
        <v>133</v>
      </c>
      <c r="E26" s="20" t="n">
        <f aca="false">INDEX(01_Inputs!$C$41:$C$84,MATCH($D26,01_Inputs!$B$41:$B$84,0))</f>
        <v>64.429</v>
      </c>
      <c r="F26" s="19" t="n">
        <f aca="false">02_Pairing!$F26</f>
        <v>14</v>
      </c>
      <c r="G26" s="17" t="n">
        <f aca="false">LN($E26/$C26)</f>
        <v>-0.00709886445810166</v>
      </c>
      <c r="H26" s="17" t="n">
        <f aca="false">SQRT(01_Inputs!$C$20/$F26)*$G26</f>
        <v>-0.00599963550050566</v>
      </c>
    </row>
    <row r="27" customFormat="false" ht="15" hidden="false" customHeight="false" outlineLevel="0" collapsed="false">
      <c r="A27" s="9" t="n">
        <v>22</v>
      </c>
      <c r="B27" s="19" t="n">
        <f aca="false">02_Pairing!$B27</f>
        <v>121</v>
      </c>
      <c r="C27" s="20" t="n">
        <f aca="false">01_Inputs!$C$62</f>
        <v>66.745</v>
      </c>
      <c r="D27" s="19" t="n">
        <f aca="false">02_Pairing!$E27</f>
        <v>133</v>
      </c>
      <c r="E27" s="20" t="n">
        <f aca="false">INDEX(01_Inputs!$C$41:$C$84,MATCH($D27,01_Inputs!$B$41:$B$84,0))</f>
        <v>64.429</v>
      </c>
      <c r="F27" s="19" t="n">
        <f aca="false">02_Pairing!$F27</f>
        <v>12</v>
      </c>
      <c r="G27" s="17" t="n">
        <f aca="false">LN($E27/$C27)</f>
        <v>-0.0353155457977537</v>
      </c>
      <c r="H27" s="17" t="n">
        <f aca="false">SQRT(01_Inputs!$C$20/$F27)*$G27</f>
        <v>-0.0322385351067274</v>
      </c>
    </row>
    <row r="28" customFormat="false" ht="15" hidden="false" customHeight="false" outlineLevel="0" collapsed="false">
      <c r="A28" s="9" t="n">
        <v>23</v>
      </c>
      <c r="B28" s="19" t="n">
        <f aca="false">02_Pairing!$B28</f>
        <v>122</v>
      </c>
      <c r="C28" s="20" t="n">
        <f aca="false">01_Inputs!$C$63</f>
        <v>66.696</v>
      </c>
      <c r="D28" s="19" t="n">
        <f aca="false">02_Pairing!$E28</f>
        <v>133</v>
      </c>
      <c r="E28" s="20" t="n">
        <f aca="false">INDEX(01_Inputs!$C$41:$C$84,MATCH($D28,01_Inputs!$B$41:$B$84,0))</f>
        <v>64.429</v>
      </c>
      <c r="F28" s="19" t="n">
        <f aca="false">02_Pairing!$F28</f>
        <v>11</v>
      </c>
      <c r="G28" s="17" t="n">
        <f aca="false">LN($E28/$C28)</f>
        <v>-0.0345811387983702</v>
      </c>
      <c r="H28" s="17" t="n">
        <f aca="false">SQRT(01_Inputs!$C$20/$F28)*$G28</f>
        <v>-0.0329718221377552</v>
      </c>
    </row>
    <row r="29" customFormat="false" ht="15" hidden="false" customHeight="false" outlineLevel="0" collapsed="false">
      <c r="A29" s="9" t="n">
        <v>24</v>
      </c>
      <c r="B29" s="19" t="n">
        <f aca="false">02_Pairing!$B29</f>
        <v>133</v>
      </c>
      <c r="C29" s="20" t="n">
        <f aca="false">01_Inputs!$C$64</f>
        <v>64.429</v>
      </c>
      <c r="D29" s="19" t="n">
        <f aca="false">02_Pairing!$E29</f>
        <v>163</v>
      </c>
      <c r="E29" s="20" t="n">
        <f aca="false">INDEX(01_Inputs!$C$41:$C$84,MATCH($D29,01_Inputs!$B$41:$B$84,0))</f>
        <v>51.646</v>
      </c>
      <c r="F29" s="19" t="n">
        <f aca="false">02_Pairing!$F29</f>
        <v>30</v>
      </c>
      <c r="G29" s="17" t="n">
        <f aca="false">LN($E29/$C29)</f>
        <v>-0.221151094080145</v>
      </c>
      <c r="H29" s="17" t="n">
        <f aca="false">SQRT(01_Inputs!$C$20/$F29)*$G29</f>
        <v>-0.127681643698752</v>
      </c>
    </row>
    <row r="30" customFormat="false" ht="15" hidden="false" customHeight="false" outlineLevel="0" collapsed="false">
      <c r="A30" s="9" t="n">
        <v>25</v>
      </c>
      <c r="B30" s="19" t="n">
        <f aca="false">02_Pairing!$B30</f>
        <v>139</v>
      </c>
      <c r="C30" s="20" t="n">
        <f aca="false">01_Inputs!$C$65</f>
        <v>69.865</v>
      </c>
      <c r="D30" s="19" t="n">
        <f aca="false">02_Pairing!$E30</f>
        <v>163</v>
      </c>
      <c r="E30" s="20" t="n">
        <f aca="false">INDEX(01_Inputs!$C$41:$C$84,MATCH($D30,01_Inputs!$B$41:$B$84,0))</f>
        <v>51.646</v>
      </c>
      <c r="F30" s="19" t="n">
        <f aca="false">02_Pairing!$F30</f>
        <v>24</v>
      </c>
      <c r="G30" s="17" t="n">
        <f aca="false">LN($E30/$C30)</f>
        <v>-0.302152060302614</v>
      </c>
      <c r="H30" s="17" t="n">
        <f aca="false">SQRT(01_Inputs!$C$20/$F30)*$G30</f>
        <v>-0.19503831626238</v>
      </c>
    </row>
    <row r="31" customFormat="false" ht="15" hidden="false" customHeight="false" outlineLevel="0" collapsed="false">
      <c r="A31" s="9" t="n">
        <v>26</v>
      </c>
      <c r="B31" s="19" t="n">
        <f aca="false">02_Pairing!$B31</f>
        <v>163</v>
      </c>
      <c r="C31" s="20" t="n">
        <f aca="false">01_Inputs!$C$66</f>
        <v>51.646</v>
      </c>
      <c r="D31" s="19" t="n">
        <f aca="false">02_Pairing!$E31</f>
        <v>179</v>
      </c>
      <c r="E31" s="20" t="n">
        <f aca="false">INDEX(01_Inputs!$C$41:$C$84,MATCH($D31,01_Inputs!$B$41:$B$84,0))</f>
        <v>65.289</v>
      </c>
      <c r="F31" s="19" t="n">
        <f aca="false">02_Pairing!$F31</f>
        <v>16</v>
      </c>
      <c r="G31" s="17" t="n">
        <f aca="false">LN($E31/$C31)</f>
        <v>0.234410820570243</v>
      </c>
      <c r="H31" s="17" t="n">
        <f aca="false">SQRT(01_Inputs!$C$20/$F31)*$G31</f>
        <v>0.185318025297754</v>
      </c>
    </row>
    <row r="32" customFormat="false" ht="15" hidden="false" customHeight="false" outlineLevel="0" collapsed="false">
      <c r="A32" s="9" t="n">
        <v>27</v>
      </c>
      <c r="B32" s="19" t="n">
        <f aca="false">02_Pairing!$B32</f>
        <v>165</v>
      </c>
      <c r="C32" s="20" t="n">
        <f aca="false">01_Inputs!$C$67</f>
        <v>53.722</v>
      </c>
      <c r="D32" s="19" t="n">
        <f aca="false">02_Pairing!$E32</f>
        <v>179</v>
      </c>
      <c r="E32" s="20" t="n">
        <f aca="false">INDEX(01_Inputs!$C$41:$C$84,MATCH($D32,01_Inputs!$B$41:$B$84,0))</f>
        <v>65.289</v>
      </c>
      <c r="F32" s="19" t="n">
        <f aca="false">02_Pairing!$F32</f>
        <v>14</v>
      </c>
      <c r="G32" s="17" t="n">
        <f aca="false">LN($E32/$C32)</f>
        <v>0.195000967756119</v>
      </c>
      <c r="H32" s="17" t="n">
        <f aca="false">SQRT(01_Inputs!$C$20/$F32)*$G32</f>
        <v>0.164805897575262</v>
      </c>
    </row>
    <row r="33" customFormat="false" ht="15" hidden="false" customHeight="false" outlineLevel="0" collapsed="false">
      <c r="A33" s="9" t="n">
        <v>28</v>
      </c>
      <c r="B33" s="19" t="n">
        <f aca="false">02_Pairing!$B33</f>
        <v>179</v>
      </c>
      <c r="C33" s="20" t="n">
        <f aca="false">01_Inputs!$C$68</f>
        <v>65.289</v>
      </c>
      <c r="D33" s="19" t="n">
        <f aca="false">02_Pairing!$E33</f>
        <v>196</v>
      </c>
      <c r="E33" s="20" t="n">
        <f aca="false">INDEX(01_Inputs!$C$41:$C$84,MATCH($D33,01_Inputs!$B$41:$B$84,0))</f>
        <v>64.924</v>
      </c>
      <c r="F33" s="19" t="n">
        <f aca="false">02_Pairing!$F33</f>
        <v>17</v>
      </c>
      <c r="G33" s="17" t="n">
        <f aca="false">LN($E33/$C33)</f>
        <v>-0.0056062137572156</v>
      </c>
      <c r="H33" s="17" t="n">
        <f aca="false">SQRT(01_Inputs!$C$20/$F33)*$G33</f>
        <v>-0.00429976967177884</v>
      </c>
    </row>
    <row r="34" customFormat="false" ht="15" hidden="false" customHeight="false" outlineLevel="0" collapsed="false">
      <c r="A34" s="9" t="n">
        <v>29</v>
      </c>
      <c r="B34" s="19" t="n">
        <f aca="false">02_Pairing!$B34</f>
        <v>196</v>
      </c>
      <c r="C34" s="20" t="n">
        <f aca="false">01_Inputs!$C$69</f>
        <v>64.924</v>
      </c>
      <c r="D34" s="19" t="n">
        <f aca="false">02_Pairing!$E34</f>
        <v>206</v>
      </c>
      <c r="E34" s="20" t="n">
        <f aca="false">INDEX(01_Inputs!$C$41:$C$84,MATCH($D34,01_Inputs!$B$41:$B$84,0))</f>
        <v>78.815</v>
      </c>
      <c r="F34" s="19" t="n">
        <f aca="false">02_Pairing!$F34</f>
        <v>10</v>
      </c>
      <c r="G34" s="17" t="n">
        <f aca="false">LN($E34/$C34)</f>
        <v>0.193885979035681</v>
      </c>
      <c r="H34" s="17" t="n">
        <f aca="false">SQRT(01_Inputs!$C$20/$F34)*$G34</f>
        <v>0.193885979035681</v>
      </c>
    </row>
    <row r="35" customFormat="false" ht="15" hidden="false" customHeight="false" outlineLevel="0" collapsed="false">
      <c r="A35" s="9" t="n">
        <v>30</v>
      </c>
      <c r="B35" s="19" t="n">
        <f aca="false">02_Pairing!$B35</f>
        <v>206</v>
      </c>
      <c r="C35" s="20" t="n">
        <f aca="false">01_Inputs!$C$70</f>
        <v>78.815</v>
      </c>
      <c r="D35" s="19" t="n">
        <f aca="false">02_Pairing!$E35</f>
        <v>219</v>
      </c>
      <c r="E35" s="20" t="n">
        <f aca="false">INDEX(01_Inputs!$C$41:$C$84,MATCH($D35,01_Inputs!$B$41:$B$84,0))</f>
        <v>65.124</v>
      </c>
      <c r="F35" s="19" t="n">
        <f aca="false">02_Pairing!$F35</f>
        <v>13</v>
      </c>
      <c r="G35" s="17" t="n">
        <f aca="false">LN($E35/$C35)</f>
        <v>-0.190810189209238</v>
      </c>
      <c r="H35" s="17" t="n">
        <f aca="false">SQRT(01_Inputs!$C$20/$F35)*$G35</f>
        <v>-0.167351606611453</v>
      </c>
    </row>
    <row r="36" customFormat="false" ht="15" hidden="false" customHeight="false" outlineLevel="0" collapsed="false">
      <c r="A36" s="9" t="n">
        <v>31</v>
      </c>
      <c r="B36" s="19" t="n">
        <f aca="false">02_Pairing!$B36</f>
        <v>219</v>
      </c>
      <c r="C36" s="20" t="n">
        <f aca="false">01_Inputs!$C$71</f>
        <v>65.124</v>
      </c>
      <c r="D36" s="19" t="n">
        <f aca="false">02_Pairing!$E36</f>
        <v>229</v>
      </c>
      <c r="E36" s="20" t="n">
        <f aca="false">INDEX(01_Inputs!$C$41:$C$84,MATCH($D36,01_Inputs!$B$41:$B$84,0))</f>
        <v>58.019</v>
      </c>
      <c r="F36" s="19" t="n">
        <f aca="false">02_Pairing!$F36</f>
        <v>10</v>
      </c>
      <c r="G36" s="17" t="n">
        <f aca="false">LN($E36/$C36)</f>
        <v>-0.115522601760598</v>
      </c>
      <c r="H36" s="17" t="n">
        <f aca="false">SQRT(01_Inputs!$C$20/$F36)*$G36</f>
        <v>-0.115522601760598</v>
      </c>
    </row>
    <row r="37" customFormat="false" ht="15" hidden="false" customHeight="false" outlineLevel="0" collapsed="false">
      <c r="A37" s="9" t="n">
        <v>32</v>
      </c>
      <c r="B37" s="19" t="n">
        <f aca="false">02_Pairing!$B37</f>
        <v>220</v>
      </c>
      <c r="C37" s="20" t="n">
        <f aca="false">01_Inputs!$C$72</f>
        <v>64.543</v>
      </c>
      <c r="D37" s="19" t="n">
        <f aca="false">02_Pairing!$E37</f>
        <v>229</v>
      </c>
      <c r="E37" s="20" t="n">
        <f aca="false">INDEX(01_Inputs!$C$41:$C$84,MATCH($D37,01_Inputs!$B$41:$B$84,0))</f>
        <v>58.019</v>
      </c>
      <c r="F37" s="19" t="n">
        <f aca="false">02_Pairing!$F37</f>
        <v>9</v>
      </c>
      <c r="G37" s="17" t="n">
        <f aca="false">LN($E37/$C37)</f>
        <v>-0.106561125236218</v>
      </c>
      <c r="H37" s="17" t="n">
        <f aca="false">SQRT(01_Inputs!$C$20/$F37)*$G37</f>
        <v>-0.112325288592299</v>
      </c>
    </row>
    <row r="38" customFormat="false" ht="15" hidden="false" customHeight="false" outlineLevel="0" collapsed="false">
      <c r="A38" s="9" t="n">
        <v>33</v>
      </c>
      <c r="B38" s="19" t="n">
        <f aca="false">02_Pairing!$B38</f>
        <v>221</v>
      </c>
      <c r="C38" s="20" t="n">
        <f aca="false">01_Inputs!$C$73</f>
        <v>60.959</v>
      </c>
      <c r="D38" s="19" t="n">
        <f aca="false">02_Pairing!$E38</f>
        <v>232</v>
      </c>
      <c r="E38" s="20" t="n">
        <f aca="false">INDEX(01_Inputs!$C$41:$C$84,MATCH($D38,01_Inputs!$B$41:$B$84,0))</f>
        <v>55.956</v>
      </c>
      <c r="F38" s="19" t="n">
        <f aca="false">02_Pairing!$F38</f>
        <v>11</v>
      </c>
      <c r="G38" s="17" t="n">
        <f aca="false">LN($E38/$C38)</f>
        <v>-0.0856358394301814</v>
      </c>
      <c r="H38" s="17" t="n">
        <f aca="false">SQRT(01_Inputs!$C$20/$F38)*$G38</f>
        <v>-0.0816505691953205</v>
      </c>
    </row>
    <row r="39" customFormat="false" ht="15" hidden="false" customHeight="false" outlineLevel="0" collapsed="false">
      <c r="A39" s="9" t="n">
        <v>34</v>
      </c>
      <c r="B39" s="19" t="n">
        <f aca="false">02_Pairing!$B39</f>
        <v>228</v>
      </c>
      <c r="C39" s="20" t="n">
        <f aca="false">01_Inputs!$C$74</f>
        <v>57.458</v>
      </c>
      <c r="D39" s="19" t="n">
        <f aca="false">02_Pairing!$E39</f>
        <v>236</v>
      </c>
      <c r="E39" s="20" t="n">
        <f aca="false">INDEX(01_Inputs!$C$41:$C$84,MATCH($D39,01_Inputs!$B$41:$B$84,0))</f>
        <v>56.377</v>
      </c>
      <c r="F39" s="19" t="n">
        <f aca="false">02_Pairing!$F39</f>
        <v>8</v>
      </c>
      <c r="G39" s="17" t="n">
        <f aca="false">LN($E39/$C39)</f>
        <v>-0.0189929722112727</v>
      </c>
      <c r="H39" s="17" t="n">
        <f aca="false">SQRT(01_Inputs!$C$20/$F39)*$G39</f>
        <v>-0.0212347884795852</v>
      </c>
    </row>
    <row r="40" customFormat="false" ht="15" hidden="false" customHeight="false" outlineLevel="0" collapsed="false">
      <c r="A40" s="9" t="n">
        <v>35</v>
      </c>
      <c r="B40" s="19" t="n">
        <f aca="false">02_Pairing!$B40</f>
        <v>229</v>
      </c>
      <c r="C40" s="20" t="n">
        <f aca="false">01_Inputs!$C$75</f>
        <v>58.019</v>
      </c>
      <c r="D40" s="19" t="n">
        <f aca="false">02_Pairing!$E40</f>
        <v>242</v>
      </c>
      <c r="E40" s="20" t="n">
        <f aca="false">INDEX(01_Inputs!$C$41:$C$84,MATCH($D40,01_Inputs!$B$41:$B$84,0))</f>
        <v>57.223</v>
      </c>
      <c r="F40" s="19" t="n">
        <f aca="false">02_Pairing!$F40</f>
        <v>13</v>
      </c>
      <c r="G40" s="17" t="n">
        <f aca="false">LN($E40/$C40)</f>
        <v>-0.0138146276405167</v>
      </c>
      <c r="H40" s="17" t="n">
        <f aca="false">SQRT(01_Inputs!$C$20/$F40)*$G40</f>
        <v>-0.0121162299558557</v>
      </c>
    </row>
    <row r="41" customFormat="false" ht="15" hidden="false" customHeight="false" outlineLevel="0" collapsed="false">
      <c r="A41" s="9" t="n">
        <v>36</v>
      </c>
      <c r="B41" s="19" t="n">
        <f aca="false">02_Pairing!$B41</f>
        <v>232</v>
      </c>
      <c r="C41" s="20" t="n">
        <f aca="false">01_Inputs!$C$76</f>
        <v>55.956</v>
      </c>
      <c r="D41" s="19" t="n">
        <f aca="false">02_Pairing!$E41</f>
        <v>242</v>
      </c>
      <c r="E41" s="20" t="n">
        <f aca="false">INDEX(01_Inputs!$C$41:$C$84,MATCH($D41,01_Inputs!$B$41:$B$84,0))</f>
        <v>57.223</v>
      </c>
      <c r="F41" s="19" t="n">
        <f aca="false">02_Pairing!$F41</f>
        <v>10</v>
      </c>
      <c r="G41" s="17" t="n">
        <f aca="false">LN($E41/$C41)</f>
        <v>0.0223902478539687</v>
      </c>
      <c r="H41" s="17" t="n">
        <f aca="false">SQRT(01_Inputs!$C$20/$F41)*$G41</f>
        <v>0.0223902478539687</v>
      </c>
    </row>
    <row r="42" customFormat="false" ht="15" hidden="false" customHeight="false" outlineLevel="0" collapsed="false">
      <c r="A42" s="9" t="n">
        <v>37</v>
      </c>
      <c r="B42" s="19" t="n">
        <f aca="false">02_Pairing!$B42</f>
        <v>236</v>
      </c>
      <c r="C42" s="20" t="n">
        <f aca="false">01_Inputs!$C$77</f>
        <v>56.377</v>
      </c>
      <c r="D42" s="19" t="n">
        <f aca="false">02_Pairing!$E42</f>
        <v>244</v>
      </c>
      <c r="E42" s="20" t="n">
        <f aca="false">INDEX(01_Inputs!$C$41:$C$84,MATCH($D42,01_Inputs!$B$41:$B$84,0))</f>
        <v>57.23</v>
      </c>
      <c r="F42" s="19" t="n">
        <f aca="false">02_Pairing!$F42</f>
        <v>8</v>
      </c>
      <c r="G42" s="17" t="n">
        <f aca="false">LN($E42/$C42)</f>
        <v>0.0150169625090487</v>
      </c>
      <c r="H42" s="17" t="n">
        <f aca="false">SQRT(01_Inputs!$C$20/$F42)*$G42</f>
        <v>0.0167894744928994</v>
      </c>
    </row>
    <row r="43" customFormat="false" ht="15" hidden="false" customHeight="false" outlineLevel="0" collapsed="false">
      <c r="A43" s="9" t="n">
        <v>38</v>
      </c>
      <c r="B43" s="19" t="n">
        <f aca="false">02_Pairing!$B43</f>
        <v>242</v>
      </c>
      <c r="C43" s="20" t="n">
        <f aca="false">01_Inputs!$C$78</f>
        <v>57.223</v>
      </c>
      <c r="D43" s="19" t="n">
        <f aca="false">02_Pairing!$E43</f>
        <v>254</v>
      </c>
      <c r="E43" s="20" t="n">
        <f aca="false">INDEX(01_Inputs!$C$41:$C$84,MATCH($D43,01_Inputs!$B$41:$B$84,0))</f>
        <v>60.872</v>
      </c>
      <c r="F43" s="19" t="n">
        <f aca="false">02_Pairing!$F43</f>
        <v>12</v>
      </c>
      <c r="G43" s="17" t="n">
        <f aca="false">LN($E43/$C43)</f>
        <v>0.0618173834060687</v>
      </c>
      <c r="H43" s="17" t="n">
        <f aca="false">SQRT(01_Inputs!$C$20/$F43)*$G43</f>
        <v>0.0564312922290823</v>
      </c>
    </row>
    <row r="44" customFormat="false" ht="15" hidden="false" customHeight="false" outlineLevel="0" collapsed="false">
      <c r="A44" s="9" t="n">
        <v>39</v>
      </c>
      <c r="B44" s="19" t="n">
        <f aca="false">02_Pairing!$B44</f>
        <v>244</v>
      </c>
      <c r="C44" s="20" t="n">
        <f aca="false">01_Inputs!$C$79</f>
        <v>57.23</v>
      </c>
      <c r="D44" s="19" t="n">
        <f aca="false">02_Pairing!$E44</f>
        <v>254</v>
      </c>
      <c r="E44" s="20" t="n">
        <f aca="false">INDEX(01_Inputs!$C$41:$C$84,MATCH($D44,01_Inputs!$B$41:$B$84,0))</f>
        <v>60.872</v>
      </c>
      <c r="F44" s="19" t="n">
        <f aca="false">02_Pairing!$F44</f>
        <v>10</v>
      </c>
      <c r="G44" s="17" t="n">
        <f aca="false">LN($E44/$C44)</f>
        <v>0.0616950624532107</v>
      </c>
      <c r="H44" s="17" t="n">
        <f aca="false">SQRT(01_Inputs!$C$20/$F44)*$G44</f>
        <v>0.0616950624532107</v>
      </c>
    </row>
    <row r="45" customFormat="false" ht="15" hidden="false" customHeight="false" outlineLevel="0" collapsed="false">
      <c r="A45" s="9" t="n">
        <v>40</v>
      </c>
      <c r="B45" s="19" t="n">
        <f aca="false">02_Pairing!$B45</f>
        <v>250</v>
      </c>
      <c r="C45" s="20" t="n">
        <f aca="false">01_Inputs!$C$80</f>
        <v>61.061</v>
      </c>
      <c r="D45" s="19" t="n">
        <f aca="false">02_Pairing!$E45</f>
        <v>259</v>
      </c>
      <c r="E45" s="20" t="n">
        <f aca="false">INDEX(01_Inputs!$C$41:$C$84,MATCH($D45,01_Inputs!$B$41:$B$84,0))</f>
        <v>56.642</v>
      </c>
      <c r="F45" s="19" t="n">
        <f aca="false">02_Pairing!$F45</f>
        <v>9</v>
      </c>
      <c r="G45" s="17" t="n">
        <f aca="false">LN($E45/$C45)</f>
        <v>-0.0751226050098764</v>
      </c>
      <c r="H45" s="17" t="n">
        <f aca="false">SQRT(01_Inputs!$C$20/$F45)*$G45</f>
        <v>-0.0791861785321285</v>
      </c>
    </row>
    <row r="47" customFormat="false" ht="15" hidden="false" customHeight="false" outlineLevel="0" collapsed="false">
      <c r="A47" s="4" t="s">
        <v>171</v>
      </c>
      <c r="B47" s="21" t="n">
        <f aca="false">COUNT(H6:H45)</f>
        <v>40</v>
      </c>
    </row>
    <row r="48" customFormat="false" ht="15" hidden="false" customHeight="false" outlineLevel="0" collapsed="false">
      <c r="A48" s="4" t="s">
        <v>172</v>
      </c>
      <c r="B48" s="3" t="str">
        <f aca="false">IF(B47&gt;=01_Inputs!$C$7,"Historical method",IF(B47&gt;=01_Inputs!$C$8,"Asigma method","Fallback (insufficient data)"))</f>
        <v>Asigma method</v>
      </c>
    </row>
    <row r="49" customFormat="false" ht="15" hidden="false" customHeight="false" outlineLevel="0" collapsed="false">
      <c r="A49" s="4" t="s">
        <v>173</v>
      </c>
      <c r="B49" s="22" t="n">
        <f aca="false">STDEV(H6:H45)</f>
        <v>0.0962709003590181</v>
      </c>
    </row>
    <row r="50" customFormat="false" ht="15" hidden="false" customHeight="false" outlineLevel="0" collapsed="false">
      <c r="A50" s="4" t="s">
        <v>174</v>
      </c>
      <c r="B50" s="22" t="n">
        <f aca="false">MAX(H6:H45)</f>
        <v>0.193885979035681</v>
      </c>
      <c r="C50" s="22" t="n">
        <f aca="false">MIN(H6:H45)</f>
        <v>-0.19503831626238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0"/>
    <col collapsed="false" customWidth="true" hidden="false" outlineLevel="0" max="4" min="3" style="0" width="16"/>
    <col collapsed="false" customWidth="true" hidden="false" outlineLevel="0" max="5" min="5" style="0" width="92"/>
  </cols>
  <sheetData>
    <row r="1" customFormat="false" ht="17.35" hidden="false" customHeight="false" outlineLevel="0" collapsed="false">
      <c r="A1" s="1" t="s">
        <v>175</v>
      </c>
    </row>
    <row r="2" customFormat="false" ht="15" hidden="false" customHeight="false" outlineLevel="0" collapsed="false">
      <c r="A2" s="2" t="s">
        <v>176</v>
      </c>
    </row>
    <row r="4" customFormat="false" ht="15" hidden="false" customHeight="false" outlineLevel="0" collapsed="false">
      <c r="A4" s="6" t="s">
        <v>177</v>
      </c>
      <c r="B4" s="7"/>
      <c r="C4" s="7"/>
      <c r="D4" s="7"/>
      <c r="E4" s="7"/>
      <c r="F4" s="7"/>
    </row>
    <row r="5" customFormat="false" ht="22.35" hidden="false" customHeight="false" outlineLevel="0" collapsed="false">
      <c r="A5" s="8" t="s">
        <v>178</v>
      </c>
      <c r="B5" s="8" t="s">
        <v>179</v>
      </c>
      <c r="C5" s="8" t="s">
        <v>180</v>
      </c>
      <c r="D5" s="8" t="s">
        <v>181</v>
      </c>
      <c r="E5" s="8" t="s">
        <v>182</v>
      </c>
    </row>
    <row r="6" customFormat="false" ht="15" hidden="false" customHeight="false" outlineLevel="0" collapsed="false">
      <c r="A6" s="9" t="s">
        <v>183</v>
      </c>
      <c r="B6" s="10" t="s">
        <v>184</v>
      </c>
      <c r="C6" s="23" t="n">
        <f aca="false">MEDIAN(03_Returns!$H$6:$H$45)</f>
        <v>0.00621748421230542</v>
      </c>
      <c r="D6" s="24"/>
      <c r="E6" s="10" t="s">
        <v>185</v>
      </c>
    </row>
    <row r="7" customFormat="false" ht="15" hidden="false" customHeight="false" outlineLevel="0" collapsed="false">
      <c r="A7" s="9" t="s">
        <v>186</v>
      </c>
      <c r="B7" s="10" t="s">
        <v>187</v>
      </c>
      <c r="C7" s="19" t="n">
        <f aca="false">COUNTIF(03_Returns!$H$6:$H$45,"&lt;="&amp;$C$6)</f>
        <v>20</v>
      </c>
      <c r="D7" s="19" t="n">
        <f aca="false">COUNTIF(03_Returns!$H$6:$H$45,"&gt;"&amp;$C$6)</f>
        <v>20</v>
      </c>
      <c r="E7" s="10" t="s">
        <v>188</v>
      </c>
    </row>
    <row r="8" customFormat="false" ht="15" hidden="false" customHeight="false" outlineLevel="0" collapsed="false">
      <c r="A8" s="9" t="s">
        <v>189</v>
      </c>
      <c r="B8" s="10" t="s">
        <v>190</v>
      </c>
      <c r="C8" s="23" t="n">
        <f aca="false">AVERAGEIF(03_Returns!$H$6:$H$45,"&lt;="&amp;$C$6)</f>
        <v>-0.0737157751299333</v>
      </c>
      <c r="D8" s="23" t="n">
        <f aca="false">AVERAGEIF(03_Returns!$H$6:$H$45,"&gt;"&amp;$C$6)</f>
        <v>0.0744937496840414</v>
      </c>
      <c r="E8" s="10" t="s">
        <v>191</v>
      </c>
    </row>
    <row r="9" customFormat="false" ht="15" hidden="false" customHeight="false" outlineLevel="0" collapsed="false">
      <c r="A9" s="9" t="s">
        <v>192</v>
      </c>
      <c r="B9" s="10" t="s">
        <v>193</v>
      </c>
      <c r="C9" s="23" t="n">
        <f aca="false">SUMPRODUCT((03_Returns!$H$6:$H$45&lt;=$C$6)*(03_Returns!$H$6:$H$45-$C$8)^2)</f>
        <v>0.0648910085944379</v>
      </c>
      <c r="D9" s="23" t="n">
        <f aca="false">SUMPRODUCT((03_Returns!$H$6:$H$45&gt;$C$6)*(03_Returns!$H$6:$H$45-$D$8)^2)</f>
        <v>0.0769037229312238</v>
      </c>
      <c r="E9" s="10" t="s">
        <v>194</v>
      </c>
    </row>
    <row r="10" customFormat="false" ht="15" hidden="false" customHeight="false" outlineLevel="0" collapsed="false">
      <c r="A10" s="9" t="s">
        <v>195</v>
      </c>
      <c r="B10" s="10" t="s">
        <v>196</v>
      </c>
      <c r="C10" s="25" t="n">
        <f aca="false">SQRT($C$9/($C$7-01_Inputs!$C$13))</f>
        <v>0.059225181183225</v>
      </c>
      <c r="D10" s="25" t="n">
        <f aca="false">SQRT($D$9/($D$7-01_Inputs!$C$13))</f>
        <v>0.064474475540964</v>
      </c>
      <c r="E10" s="10" t="s">
        <v>197</v>
      </c>
    </row>
    <row r="12" customFormat="false" ht="15" hidden="false" customHeight="false" outlineLevel="0" collapsed="false">
      <c r="A12" s="6" t="s">
        <v>198</v>
      </c>
      <c r="B12" s="7"/>
      <c r="C12" s="7"/>
      <c r="D12" s="7"/>
      <c r="E12" s="7"/>
      <c r="F12" s="7"/>
    </row>
    <row r="13" customFormat="false" ht="15" hidden="false" customHeight="false" outlineLevel="0" collapsed="false">
      <c r="A13" s="8" t="s">
        <v>178</v>
      </c>
      <c r="B13" s="8" t="s">
        <v>179</v>
      </c>
      <c r="C13" s="8" t="s">
        <v>199</v>
      </c>
      <c r="D13" s="8" t="s">
        <v>200</v>
      </c>
      <c r="E13" s="8" t="s">
        <v>182</v>
      </c>
    </row>
    <row r="14" customFormat="false" ht="15" hidden="false" customHeight="false" outlineLevel="0" collapsed="false">
      <c r="A14" s="9" t="s">
        <v>201</v>
      </c>
      <c r="B14" s="10" t="s">
        <v>202</v>
      </c>
      <c r="C14" s="25" t="n">
        <f aca="false">-$C$8+01_Inputs!$C$9*$C$10</f>
        <v>0.251391318679608</v>
      </c>
      <c r="D14" s="25" t="n">
        <f aca="false">$D$8+01_Inputs!$C$9*$D$10</f>
        <v>0.267917176306933</v>
      </c>
      <c r="E14" s="10" t="s">
        <v>203</v>
      </c>
    </row>
    <row r="15" customFormat="false" ht="15" hidden="false" customHeight="false" outlineLevel="0" collapsed="false">
      <c r="A15" s="9" t="s">
        <v>204</v>
      </c>
      <c r="B15" s="10" t="s">
        <v>205</v>
      </c>
      <c r="C15" s="24" t="n">
        <f aca="false">$C$7</f>
        <v>20</v>
      </c>
      <c r="D15" s="24" t="n">
        <f aca="false">$D$7</f>
        <v>20</v>
      </c>
      <c r="E15" s="10" t="s">
        <v>206</v>
      </c>
    </row>
    <row r="16" customFormat="false" ht="15" hidden="false" customHeight="false" outlineLevel="0" collapsed="false">
      <c r="A16" s="9" t="s">
        <v>207</v>
      </c>
      <c r="B16" s="10" t="s">
        <v>208</v>
      </c>
      <c r="C16" s="26" t="n">
        <f aca="false">01_Inputs!$C$11+01_Inputs!$C$12/SQRT($C$15-01_Inputs!$C$13)</f>
        <v>1.18249527748764</v>
      </c>
      <c r="D16" s="26" t="n">
        <f aca="false">01_Inputs!$C$11+01_Inputs!$C$12/SQRT($D$15-01_Inputs!$C$13)</f>
        <v>1.18249527748764</v>
      </c>
      <c r="E16" s="10" t="s">
        <v>209</v>
      </c>
    </row>
    <row r="17" customFormat="false" ht="15" hidden="false" customHeight="false" outlineLevel="0" collapsed="false">
      <c r="A17" s="27" t="s">
        <v>210</v>
      </c>
      <c r="B17" s="10" t="s">
        <v>211</v>
      </c>
      <c r="C17" s="28" t="n">
        <f aca="false">$C$14*$C$16</f>
        <v>0.297269047140027</v>
      </c>
      <c r="D17" s="28" t="n">
        <f aca="false">$D$14*$D$16</f>
        <v>0.316810795740772</v>
      </c>
      <c r="E17" s="10" t="s">
        <v>212</v>
      </c>
    </row>
    <row r="19" customFormat="false" ht="15" hidden="false" customHeight="false" outlineLevel="0" collapsed="false">
      <c r="A19" s="4" t="s">
        <v>213</v>
      </c>
      <c r="C19" s="29" t="n">
        <f aca="false">-$C$17</f>
        <v>-0.297269047140027</v>
      </c>
      <c r="D19" s="29" t="n">
        <f aca="false">$D$17</f>
        <v>0.316810795740772</v>
      </c>
    </row>
    <row r="20" customFormat="false" ht="15" hidden="false" customHeight="false" outlineLevel="0" collapsed="false">
      <c r="A20" s="4" t="s">
        <v>214</v>
      </c>
      <c r="C20" s="30" t="n">
        <f aca="false">$D$17/03_Returns!$B$50</f>
        <v>1.63400570436539</v>
      </c>
    </row>
    <row r="21" customFormat="false" ht="15" hidden="false" customHeight="false" outlineLevel="0" collapsed="false">
      <c r="A21" s="2" t="s">
        <v>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2"/>
    <col collapsed="false" customWidth="true" hidden="false" outlineLevel="0" max="3" min="3" style="0" width="15"/>
    <col collapsed="false" customWidth="true" hidden="false" outlineLevel="0" max="4" min="4" style="0" width="22"/>
    <col collapsed="false" customWidth="true" hidden="false" outlineLevel="0" max="6" min="5" style="0" width="18"/>
    <col collapsed="false" customWidth="true" hidden="false" outlineLevel="0" max="7" min="7" style="0" width="10"/>
  </cols>
  <sheetData>
    <row r="1" customFormat="false" ht="17.35" hidden="false" customHeight="false" outlineLevel="0" collapsed="false">
      <c r="A1" s="1" t="s">
        <v>216</v>
      </c>
    </row>
    <row r="2" customFormat="false" ht="15" hidden="false" customHeight="false" outlineLevel="0" collapsed="false">
      <c r="A2" s="2" t="s">
        <v>217</v>
      </c>
    </row>
    <row r="5" customFormat="false" ht="15" hidden="false" customHeight="false" outlineLevel="0" collapsed="false">
      <c r="A5" s="8" t="s">
        <v>218</v>
      </c>
      <c r="B5" s="8" t="s">
        <v>219</v>
      </c>
      <c r="C5" s="8" t="s">
        <v>220</v>
      </c>
      <c r="D5" s="8" t="s">
        <v>221</v>
      </c>
      <c r="E5" s="8" t="s">
        <v>222</v>
      </c>
      <c r="F5" s="8" t="s">
        <v>223</v>
      </c>
      <c r="G5" s="8" t="s">
        <v>224</v>
      </c>
    </row>
    <row r="6" customFormat="false" ht="15" hidden="false" customHeight="false" outlineLevel="0" collapsed="false">
      <c r="A6" s="9" t="s">
        <v>225</v>
      </c>
      <c r="B6" s="10" t="s">
        <v>226</v>
      </c>
      <c r="C6" s="23" t="n">
        <f aca="false">-04_Shocks!$C$17</f>
        <v>-0.297269047140027</v>
      </c>
      <c r="D6" s="31" t="n">
        <f aca="false">01_Inputs!$C$29*EXP($C6)</f>
        <v>46.0563357739453</v>
      </c>
      <c r="E6" s="31" t="n">
        <f aca="false">$D6-01_Inputs!$C$29</f>
        <v>-15.9436642260547</v>
      </c>
      <c r="F6" s="32" t="n">
        <f aca="false">01_Inputs!$C$31*$E6+0.5*01_Inputs!$C$32*$E6^2+(1/6)*01_Inputs!$C$33*$E6^3</f>
        <v>-2338437.45839868</v>
      </c>
      <c r="G6" s="27" t="str">
        <f aca="false">IF($F6=MAX($F$6:$F$9),"&lt;== FS","")</f>
        <v/>
      </c>
    </row>
    <row r="7" customFormat="false" ht="15" hidden="false" customHeight="false" outlineLevel="0" collapsed="false">
      <c r="A7" s="9" t="s">
        <v>227</v>
      </c>
      <c r="B7" s="10" t="s">
        <v>228</v>
      </c>
      <c r="C7" s="23" t="n">
        <f aca="false">-01_Inputs!$C$14*04_Shocks!$C$17</f>
        <v>-0.237815237712022</v>
      </c>
      <c r="D7" s="31" t="n">
        <f aca="false">01_Inputs!$C$29*EXP($C7)</f>
        <v>48.8775967502018</v>
      </c>
      <c r="E7" s="31" t="n">
        <f aca="false">$D7-01_Inputs!$C$29</f>
        <v>-13.1224032497982</v>
      </c>
      <c r="F7" s="32" t="n">
        <f aca="false">01_Inputs!$C$31*$E7+0.5*01_Inputs!$C$32*$E7^2+(1/6)*01_Inputs!$C$33*$E7^3</f>
        <v>-1997184.73011275</v>
      </c>
      <c r="G7" s="27" t="str">
        <f aca="false">IF($F7=MAX($F$6:$F$9),"&lt;== FS","")</f>
        <v/>
      </c>
    </row>
    <row r="8" customFormat="false" ht="15" hidden="false" customHeight="false" outlineLevel="0" collapsed="false">
      <c r="A8" s="9" t="s">
        <v>229</v>
      </c>
      <c r="B8" s="10" t="s">
        <v>228</v>
      </c>
      <c r="C8" s="23" t="n">
        <f aca="false">01_Inputs!$C$14*04_Shocks!$D$17</f>
        <v>0.253448636592617</v>
      </c>
      <c r="D8" s="31" t="n">
        <f aca="false">01_Inputs!$C$29*EXP($C8)</f>
        <v>79.884594277751</v>
      </c>
      <c r="E8" s="31" t="n">
        <f aca="false">$D8-01_Inputs!$C$29</f>
        <v>17.884594277751</v>
      </c>
      <c r="F8" s="32" t="n">
        <f aca="false">01_Inputs!$C$31*$E8+0.5*01_Inputs!$C$32*$E8^2+(1/6)*01_Inputs!$C$33*$E8^3</f>
        <v>3996114.5060637</v>
      </c>
      <c r="G8" s="27" t="str">
        <f aca="false">IF($F8=MAX($F$6:$F$9),"&lt;== FS","")</f>
        <v/>
      </c>
    </row>
    <row r="9" customFormat="false" ht="15" hidden="false" customHeight="false" outlineLevel="0" collapsed="false">
      <c r="A9" s="9" t="s">
        <v>230</v>
      </c>
      <c r="B9" s="10" t="s">
        <v>226</v>
      </c>
      <c r="C9" s="23" t="n">
        <f aca="false">04_Shocks!$D$17</f>
        <v>0.316810795740772</v>
      </c>
      <c r="D9" s="31" t="n">
        <f aca="false">01_Inputs!$C$29*EXP($C9)</f>
        <v>85.1100547510247</v>
      </c>
      <c r="E9" s="31" t="n">
        <f aca="false">$D9-01_Inputs!$C$29</f>
        <v>23.1100547510247</v>
      </c>
      <c r="F9" s="32" t="n">
        <f aca="false">01_Inputs!$C$31*$E9+0.5*01_Inputs!$C$32*$E9^2+(1/6)*01_Inputs!$C$33*$E9^3</f>
        <v>5484902.71356594</v>
      </c>
      <c r="G9" s="27" t="str">
        <f aca="false">IF($F9=MAX($F$6:$F$9),"&lt;== FS","")</f>
        <v>&lt;== FS</v>
      </c>
    </row>
    <row r="11" customFormat="false" ht="15" hidden="false" customHeight="false" outlineLevel="0" collapsed="false">
      <c r="A11" s="6" t="s">
        <v>231</v>
      </c>
      <c r="B11" s="7"/>
      <c r="C11" s="7"/>
      <c r="D11" s="7"/>
      <c r="E11" s="7"/>
      <c r="F11" s="7"/>
      <c r="G11" s="7"/>
    </row>
    <row r="12" customFormat="false" ht="15" hidden="false" customHeight="false" outlineLevel="0" collapsed="false">
      <c r="A12" s="27" t="s">
        <v>232</v>
      </c>
      <c r="B12" s="24"/>
      <c r="C12" s="32" t="n">
        <f aca="false">MAX($F$6:$F$9)</f>
        <v>5484902.71356594</v>
      </c>
    </row>
    <row r="13" customFormat="false" ht="15" hidden="false" customHeight="false" outlineLevel="0" collapsed="false">
      <c r="A13" s="27" t="s">
        <v>233</v>
      </c>
      <c r="B13" s="24"/>
      <c r="C13" s="33" t="n">
        <f aca="false">INDEX($C$6:$C$9,MATCH(MAX($F$6:$F$9),$F$6:$F$9,0))</f>
        <v>0.316810795740772</v>
      </c>
    </row>
    <row r="14" customFormat="false" ht="15" hidden="false" customHeight="false" outlineLevel="0" collapsed="false">
      <c r="A14" s="27" t="s">
        <v>234</v>
      </c>
      <c r="B14" s="24"/>
      <c r="C14" s="9" t="str">
        <f aca="false">INDEX($B$6:$B$9,MATCH(MAX($F$6:$F$9),$F$6:$F$9,0))</f>
        <v>Boundary</v>
      </c>
    </row>
    <row r="15" customFormat="false" ht="15" hidden="false" customHeight="false" outlineLevel="0" collapsed="false">
      <c r="A15" s="27" t="s">
        <v>235</v>
      </c>
      <c r="B15" s="24"/>
      <c r="C15" s="32" t="n">
        <f aca="false">MAX($F$6:$F$9)</f>
        <v>5484902.71356594</v>
      </c>
    </row>
    <row r="16" customFormat="false" ht="15" hidden="false" customHeight="false" outlineLevel="0" collapsed="false">
      <c r="A16" s="27" t="s">
        <v>236</v>
      </c>
      <c r="B16" s="24"/>
      <c r="C16" s="9" t="str">
        <f aca="false">IF($C$14="Boundary","Yes — apply K (Eq. 24/26)","No — SS10d = l(FS) directly (Eq. 28)")</f>
        <v>Yes — apply K (Eq. 24/26)</v>
      </c>
    </row>
    <row r="17" customFormat="false" ht="15" hidden="false" customHeight="false" outlineLevel="0" collapsed="false">
      <c r="A17" s="27" t="s">
        <v>237</v>
      </c>
      <c r="B17" s="24"/>
      <c r="C17" s="9" t="str">
        <f aca="false">IF(MAX($F$6:$F$9)&lt;=0,"Yes — SS10d = 0","No")</f>
        <v>No</v>
      </c>
    </row>
    <row r="19" customFormat="false" ht="15" hidden="false" customHeight="false" outlineLevel="0" collapsed="false">
      <c r="A19" s="2" t="s">
        <v>238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4"/>
    <col collapsed="false" customWidth="true" hidden="false" outlineLevel="0" max="3" min="3" style="0" width="18"/>
    <col collapsed="false" customWidth="true" hidden="false" outlineLevel="0" max="4" min="4" style="0" width="70"/>
    <col collapsed="false" customWidth="true" hidden="false" outlineLevel="0" max="5" min="5" style="0" width="14"/>
    <col collapsed="false" customWidth="true" hidden="false" outlineLevel="0" max="6" min="6" style="0" width="18"/>
  </cols>
  <sheetData>
    <row r="1" customFormat="false" ht="17.35" hidden="false" customHeight="false" outlineLevel="0" collapsed="false">
      <c r="A1" s="1" t="s">
        <v>239</v>
      </c>
    </row>
    <row r="2" customFormat="false" ht="15" hidden="false" customHeight="false" outlineLevel="0" collapsed="false">
      <c r="A2" s="2" t="s">
        <v>240</v>
      </c>
    </row>
    <row r="4" customFormat="false" ht="15" hidden="false" customHeight="false" outlineLevel="0" collapsed="false">
      <c r="A4" s="6" t="s">
        <v>241</v>
      </c>
      <c r="B4" s="7"/>
      <c r="C4" s="7"/>
      <c r="D4" s="7"/>
      <c r="E4" s="7"/>
      <c r="F4" s="7"/>
    </row>
    <row r="5" customFormat="false" ht="15" hidden="false" customHeight="false" outlineLevel="0" collapsed="false">
      <c r="A5" s="8" t="s">
        <v>242</v>
      </c>
      <c r="B5" s="8" t="s">
        <v>243</v>
      </c>
      <c r="C5" s="8" t="s">
        <v>220</v>
      </c>
      <c r="D5" s="8" t="s">
        <v>244</v>
      </c>
      <c r="E5" s="8" t="s">
        <v>245</v>
      </c>
      <c r="F5" s="8" t="s">
        <v>223</v>
      </c>
    </row>
    <row r="6" customFormat="false" ht="15" hidden="false" customHeight="false" outlineLevel="0" collapsed="false">
      <c r="A6" s="9" t="s">
        <v>246</v>
      </c>
      <c r="B6" s="34" t="n">
        <f aca="false">01_Inputs!$C$14</f>
        <v>0.8</v>
      </c>
      <c r="C6" s="23" t="n">
        <f aca="false">$B6*05_LossProfile!$C$13</f>
        <v>0.253448636592617</v>
      </c>
      <c r="D6" s="31" t="n">
        <f aca="false">01_Inputs!$C$29*EXP($C6)</f>
        <v>79.884594277751</v>
      </c>
      <c r="E6" s="31" t="n">
        <f aca="false">$D6-01_Inputs!$C$29</f>
        <v>17.884594277751</v>
      </c>
      <c r="F6" s="32" t="n">
        <f aca="false">01_Inputs!$C$31*$E6+0.5*01_Inputs!$C$32*$E6^2+(1/6)*01_Inputs!$C$33*$E6^3</f>
        <v>3996114.5060637</v>
      </c>
    </row>
    <row r="7" customFormat="false" ht="15" hidden="false" customHeight="false" outlineLevel="0" collapsed="false">
      <c r="A7" s="9" t="s">
        <v>247</v>
      </c>
      <c r="B7" s="34" t="n">
        <f aca="false">1</f>
        <v>1</v>
      </c>
      <c r="C7" s="23" t="n">
        <f aca="false">$B7*05_LossProfile!$C$13</f>
        <v>0.316810795740772</v>
      </c>
      <c r="D7" s="31" t="n">
        <f aca="false">01_Inputs!$C$29*EXP($C7)</f>
        <v>85.1100547510247</v>
      </c>
      <c r="E7" s="31" t="n">
        <f aca="false">$D7-01_Inputs!$C$29</f>
        <v>23.1100547510247</v>
      </c>
      <c r="F7" s="32" t="n">
        <f aca="false">01_Inputs!$C$31*$E7+0.5*01_Inputs!$C$32*$E7^2+(1/6)*01_Inputs!$C$33*$E7^3</f>
        <v>5484902.71356594</v>
      </c>
    </row>
    <row r="8" customFormat="false" ht="15" hidden="false" customHeight="false" outlineLevel="0" collapsed="false">
      <c r="A8" s="9" t="s">
        <v>248</v>
      </c>
      <c r="B8" s="34" t="n">
        <f aca="false">01_Inputs!$C$15</f>
        <v>1.2</v>
      </c>
      <c r="C8" s="23" t="n">
        <f aca="false">$B8*05_LossProfile!$C$13</f>
        <v>0.380172954888926</v>
      </c>
      <c r="D8" s="31" t="n">
        <f aca="false">01_Inputs!$C$29*EXP($C8)</f>
        <v>90.677326275661</v>
      </c>
      <c r="E8" s="31" t="n">
        <f aca="false">$D8-01_Inputs!$C$29</f>
        <v>28.677326275661</v>
      </c>
      <c r="F8" s="32" t="n">
        <f aca="false">01_Inputs!$C$31*$E8+0.5*01_Inputs!$C$32*$E8^2+(1/6)*01_Inputs!$C$33*$E8^3</f>
        <v>7248133.26376218</v>
      </c>
    </row>
    <row r="10" customFormat="false" ht="15" hidden="false" customHeight="false" outlineLevel="0" collapsed="false">
      <c r="A10" s="6" t="s">
        <v>249</v>
      </c>
      <c r="B10" s="7"/>
      <c r="C10" s="7"/>
      <c r="D10" s="7"/>
      <c r="E10" s="7"/>
      <c r="F10" s="7"/>
    </row>
    <row r="11" customFormat="false" ht="15" hidden="false" customHeight="false" outlineLevel="0" collapsed="false">
      <c r="A11" s="9" t="s">
        <v>250</v>
      </c>
      <c r="B11" s="24"/>
      <c r="C11" s="32" t="n">
        <f aca="false">$F$6-2*$F$7+$F$8</f>
        <v>274442.342694007</v>
      </c>
    </row>
    <row r="12" customFormat="false" ht="15" hidden="false" customHeight="false" outlineLevel="0" collapsed="false">
      <c r="A12" s="9" t="s">
        <v>251</v>
      </c>
      <c r="B12" s="24"/>
      <c r="C12" s="35" t="n">
        <f aca="false">IF(03_Returns!$B$47&gt;=01_Inputs!$C$7,"estimate from data",01_Inputs!$C$10)</f>
        <v>1.04</v>
      </c>
      <c r="D12" s="2" t="s">
        <v>252</v>
      </c>
    </row>
    <row r="13" customFormat="false" ht="15" hidden="false" customHeight="false" outlineLevel="0" collapsed="false">
      <c r="A13" s="9" t="s">
        <v>253</v>
      </c>
      <c r="B13" s="24"/>
      <c r="C13" s="31" t="n">
        <f aca="false">12.5*(01_Inputs!$C$10-1)</f>
        <v>0.5</v>
      </c>
      <c r="D13" s="2" t="s">
        <v>254</v>
      </c>
    </row>
    <row r="14" customFormat="false" ht="15" hidden="false" customHeight="false" outlineLevel="0" collapsed="false">
      <c r="A14" s="9" t="s">
        <v>255</v>
      </c>
      <c r="B14" s="24"/>
      <c r="C14" s="36" t="n">
        <f aca="false">1+$C$13*$C$11/$F$7</f>
        <v>1.02501797725739</v>
      </c>
      <c r="D14" s="2" t="s">
        <v>256</v>
      </c>
    </row>
    <row r="15" customFormat="false" ht="15" hidden="false" customHeight="false" outlineLevel="0" collapsed="false">
      <c r="A15" s="9" t="s">
        <v>257</v>
      </c>
      <c r="B15" s="24"/>
      <c r="C15" s="36" t="n">
        <f aca="false">MAX(01_Inputs!$C$16,MIN($C$14,01_Inputs!$C$17))</f>
        <v>1.02501797725739</v>
      </c>
      <c r="D15" s="2" t="s">
        <v>258</v>
      </c>
    </row>
    <row r="16" customFormat="false" ht="15" hidden="false" customHeight="false" outlineLevel="0" collapsed="false">
      <c r="A16" s="9" t="s">
        <v>259</v>
      </c>
      <c r="B16" s="24"/>
      <c r="C16" s="9" t="str">
        <f aca="false">IF($C$14&lt;01_Inputs!$C$16,"FLOOR binding",IF($C$14&gt;01_Inputs!$C$17,"CAP binding","Neither"))</f>
        <v>Neither</v>
      </c>
    </row>
    <row r="18" customFormat="false" ht="15" hidden="false" customHeight="false" outlineLevel="0" collapsed="false">
      <c r="A18" s="6" t="s">
        <v>260</v>
      </c>
      <c r="B18" s="7"/>
      <c r="C18" s="7"/>
      <c r="D18" s="7"/>
      <c r="E18" s="7"/>
      <c r="F18" s="7"/>
    </row>
    <row r="19" customFormat="false" ht="15" hidden="false" customHeight="false" outlineLevel="0" collapsed="false">
      <c r="A19" s="9" t="s">
        <v>261</v>
      </c>
      <c r="B19" s="24"/>
      <c r="C19" s="32" t="n">
        <f aca="false">05_LossProfile!$C$15</f>
        <v>5484902.71356594</v>
      </c>
    </row>
    <row r="20" customFormat="false" ht="15" hidden="false" customHeight="false" outlineLevel="0" collapsed="false">
      <c r="A20" s="9" t="s">
        <v>262</v>
      </c>
      <c r="B20" s="24"/>
      <c r="C20" s="32" t="n">
        <f aca="false">IF(05_LossProfile!$C$14="Boundary",$C$15*$C$19,$C$19)</f>
        <v>5622123.88491294</v>
      </c>
      <c r="D20" s="2" t="s">
        <v>263</v>
      </c>
    </row>
    <row r="21" customFormat="false" ht="15" hidden="false" customHeight="false" outlineLevel="0" collapsed="false">
      <c r="A21" s="9" t="s">
        <v>128</v>
      </c>
      <c r="B21" s="24"/>
      <c r="C21" s="37" t="n">
        <f aca="false">01_Inputs!$C$30</f>
        <v>60</v>
      </c>
      <c r="D21" s="2" t="s">
        <v>264</v>
      </c>
    </row>
    <row r="22" customFormat="false" ht="15" hidden="false" customHeight="false" outlineLevel="0" collapsed="false">
      <c r="A22" s="9" t="s">
        <v>265</v>
      </c>
      <c r="B22" s="24"/>
      <c r="C22" s="37" t="n">
        <f aca="false">MAX($C$21,01_Inputs!$C$19)</f>
        <v>60</v>
      </c>
      <c r="D22" s="2" t="s">
        <v>266</v>
      </c>
    </row>
    <row r="23" customFormat="false" ht="15" hidden="false" customHeight="false" outlineLevel="0" collapsed="false">
      <c r="A23" s="9" t="s">
        <v>267</v>
      </c>
      <c r="B23" s="24"/>
      <c r="C23" s="36" t="n">
        <f aca="false">SQRT($C$22/01_Inputs!$C$20)</f>
        <v>2.44948974278318</v>
      </c>
      <c r="D23" s="2" t="s">
        <v>268</v>
      </c>
    </row>
    <row r="24" customFormat="false" ht="15" hidden="false" customHeight="false" outlineLevel="0" collapsed="false">
      <c r="A24" s="27" t="s">
        <v>269</v>
      </c>
      <c r="B24" s="24"/>
      <c r="C24" s="38" t="n">
        <f aca="false">$C$20*$C$23</f>
        <v>13771334.7887506</v>
      </c>
      <c r="D24" s="2" t="s">
        <v>270</v>
      </c>
    </row>
    <row r="26" customFormat="false" ht="15" hidden="false" customHeight="false" outlineLevel="0" collapsed="false">
      <c r="A26" s="2" t="s">
        <v>271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4"/>
    <col collapsed="false" customWidth="true" hidden="false" outlineLevel="0" max="3" min="3" style="0" width="26"/>
    <col collapsed="false" customWidth="true" hidden="false" outlineLevel="0" max="4" min="4" style="0" width="14"/>
    <col collapsed="false" customWidth="true" hidden="false" outlineLevel="0" max="5" min="5" style="0" width="10"/>
    <col collapsed="false" customWidth="true" hidden="false" outlineLevel="0" max="6" min="6" style="0" width="16"/>
    <col collapsed="false" customWidth="true" hidden="false" outlineLevel="0" max="7" min="7" style="0" width="22"/>
  </cols>
  <sheetData>
    <row r="1" customFormat="false" ht="17.35" hidden="false" customHeight="false" outlineLevel="0" collapsed="false">
      <c r="A1" s="1" t="s">
        <v>272</v>
      </c>
    </row>
    <row r="2" customFormat="false" ht="15" hidden="false" customHeight="false" outlineLevel="0" collapsed="false">
      <c r="A2" s="2" t="s">
        <v>273</v>
      </c>
    </row>
    <row r="5" customFormat="false" ht="15" hidden="false" customHeight="false" outlineLevel="0" collapsed="false">
      <c r="A5" s="8" t="s">
        <v>274</v>
      </c>
      <c r="B5" s="8" t="s">
        <v>275</v>
      </c>
      <c r="C5" s="8" t="s">
        <v>276</v>
      </c>
      <c r="D5" s="8" t="s">
        <v>277</v>
      </c>
      <c r="E5" s="8" t="s">
        <v>278</v>
      </c>
      <c r="F5" s="8" t="s">
        <v>279</v>
      </c>
      <c r="G5" s="8" t="s">
        <v>280</v>
      </c>
    </row>
    <row r="6" customFormat="false" ht="15" hidden="false" customHeight="false" outlineLevel="0" collapsed="false">
      <c r="A6" s="9" t="n">
        <v>1</v>
      </c>
      <c r="B6" s="9" t="s">
        <v>117</v>
      </c>
      <c r="C6" s="9" t="s">
        <v>281</v>
      </c>
      <c r="D6" s="9" t="s">
        <v>282</v>
      </c>
      <c r="E6" s="12" t="n">
        <v>60</v>
      </c>
      <c r="F6" s="39" t="n">
        <f aca="false">06_SS_LH!$C$24</f>
        <v>13771334.7887506</v>
      </c>
      <c r="G6" s="10" t="s">
        <v>283</v>
      </c>
    </row>
    <row r="7" customFormat="false" ht="15" hidden="false" customHeight="false" outlineLevel="0" collapsed="false">
      <c r="A7" s="9" t="n">
        <v>2</v>
      </c>
      <c r="B7" s="9" t="s">
        <v>284</v>
      </c>
      <c r="C7" s="9" t="s">
        <v>285</v>
      </c>
      <c r="D7" s="9" t="s">
        <v>282</v>
      </c>
      <c r="E7" s="12" t="n">
        <v>40</v>
      </c>
      <c r="F7" s="40" t="n">
        <v>4100000</v>
      </c>
      <c r="G7" s="10" t="s">
        <v>286</v>
      </c>
    </row>
    <row r="8" customFormat="false" ht="15" hidden="false" customHeight="false" outlineLevel="0" collapsed="false">
      <c r="A8" s="9" t="n">
        <v>3</v>
      </c>
      <c r="B8" s="9" t="s">
        <v>287</v>
      </c>
      <c r="C8" s="9" t="s">
        <v>288</v>
      </c>
      <c r="D8" s="9" t="s">
        <v>282</v>
      </c>
      <c r="E8" s="12" t="n">
        <v>60</v>
      </c>
      <c r="F8" s="40" t="n">
        <v>2600000</v>
      </c>
      <c r="G8" s="10" t="s">
        <v>286</v>
      </c>
    </row>
    <row r="9" customFormat="false" ht="15" hidden="false" customHeight="false" outlineLevel="0" collapsed="false">
      <c r="A9" s="9" t="n">
        <v>4</v>
      </c>
      <c r="B9" s="9" t="s">
        <v>289</v>
      </c>
      <c r="C9" s="9" t="s">
        <v>290</v>
      </c>
      <c r="D9" s="9" t="s">
        <v>291</v>
      </c>
      <c r="E9" s="12" t="n">
        <v>40</v>
      </c>
      <c r="F9" s="40" t="n">
        <v>3300000</v>
      </c>
      <c r="G9" s="10" t="s">
        <v>286</v>
      </c>
    </row>
    <row r="10" customFormat="false" ht="15" hidden="false" customHeight="false" outlineLevel="0" collapsed="false">
      <c r="A10" s="9" t="n">
        <v>5</v>
      </c>
      <c r="B10" s="9" t="s">
        <v>292</v>
      </c>
      <c r="C10" s="9" t="s">
        <v>290</v>
      </c>
      <c r="D10" s="9" t="s">
        <v>291</v>
      </c>
      <c r="E10" s="12" t="n">
        <v>40</v>
      </c>
      <c r="F10" s="40" t="n">
        <v>1900000</v>
      </c>
      <c r="G10" s="10" t="s">
        <v>286</v>
      </c>
    </row>
    <row r="11" customFormat="false" ht="15" hidden="false" customHeight="false" outlineLevel="0" collapsed="false">
      <c r="A11" s="9" t="n">
        <v>6</v>
      </c>
      <c r="B11" s="9" t="s">
        <v>293</v>
      </c>
      <c r="C11" s="9" t="s">
        <v>294</v>
      </c>
      <c r="D11" s="9" t="s">
        <v>295</v>
      </c>
      <c r="E11" s="12" t="n">
        <v>20</v>
      </c>
      <c r="F11" s="40" t="n">
        <v>2200000</v>
      </c>
      <c r="G11" s="10" t="s">
        <v>286</v>
      </c>
    </row>
    <row r="13" customFormat="false" ht="15" hidden="false" customHeight="false" outlineLevel="0" collapsed="false">
      <c r="A13" s="6" t="s">
        <v>296</v>
      </c>
      <c r="B13" s="7"/>
      <c r="C13" s="7"/>
      <c r="D13" s="7"/>
      <c r="E13" s="7"/>
      <c r="F13" s="7"/>
      <c r="G13" s="7"/>
    </row>
    <row r="14" customFormat="false" ht="15" hidden="false" customHeight="false" outlineLevel="0" collapsed="false">
      <c r="A14" s="9" t="s">
        <v>297</v>
      </c>
      <c r="B14" s="24"/>
      <c r="C14" s="37" t="n">
        <f aca="false">SUMPRODUCT(($D$6:$D$11="CSR idio")*($F$6:$F$11)^2)</f>
        <v>14500000000000</v>
      </c>
    </row>
    <row r="15" customFormat="false" ht="15" hidden="false" customHeight="false" outlineLevel="0" collapsed="false">
      <c r="A15" s="9" t="s">
        <v>298</v>
      </c>
      <c r="B15" s="24"/>
      <c r="C15" s="37" t="n">
        <f aca="false">SUMPRODUCT(($D$6:$D$11="EQ idio")*($F$6:$F$11)^2)</f>
        <v>4840000000000</v>
      </c>
    </row>
    <row r="16" customFormat="false" ht="15" hidden="false" customHeight="false" outlineLevel="0" collapsed="false">
      <c r="A16" s="9" t="s">
        <v>299</v>
      </c>
      <c r="B16" s="24"/>
      <c r="C16" s="32" t="n">
        <f aca="false">SUMPRODUCT(($D$6:$D$11="Other")*($F$6:$F$11))</f>
        <v>20471334.7887506</v>
      </c>
    </row>
    <row r="17" customFormat="false" ht="15" hidden="false" customHeight="false" outlineLevel="0" collapsed="false">
      <c r="A17" s="9" t="s">
        <v>300</v>
      </c>
      <c r="B17" s="24"/>
      <c r="C17" s="37" t="n">
        <f aca="false">SUMPRODUCT(($D$6:$D$11="Other")*($F$6:$F$11)^2)</f>
        <v>213219661863851</v>
      </c>
    </row>
    <row r="18" customFormat="false" ht="15" hidden="false" customHeight="false" outlineLevel="0" collapsed="false">
      <c r="A18" s="9" t="s">
        <v>301</v>
      </c>
      <c r="B18" s="24"/>
      <c r="C18" s="32" t="n">
        <f aca="false">SQRT($C$14)</f>
        <v>3807886.55293195</v>
      </c>
    </row>
    <row r="19" customFormat="false" ht="15" hidden="false" customHeight="false" outlineLevel="0" collapsed="false">
      <c r="A19" s="9" t="s">
        <v>302</v>
      </c>
      <c r="B19" s="24"/>
      <c r="C19" s="32" t="n">
        <f aca="false">SQRT($C$15)</f>
        <v>2200000</v>
      </c>
    </row>
    <row r="20" customFormat="false" ht="15" hidden="false" customHeight="false" outlineLevel="0" collapsed="false">
      <c r="A20" s="9" t="s">
        <v>303</v>
      </c>
      <c r="B20" s="24"/>
      <c r="C20" s="32" t="n">
        <f aca="false">SQRT((01_Inputs!$C$18*$C$16)^2+(1-01_Inputs!$C$18^2)*$C$17)</f>
        <v>16950745.7324091</v>
      </c>
    </row>
    <row r="21" customFormat="false" ht="15" hidden="false" customHeight="false" outlineLevel="0" collapsed="false">
      <c r="A21" s="27" t="s">
        <v>304</v>
      </c>
      <c r="B21" s="24"/>
      <c r="C21" s="38" t="n">
        <f aca="false">$C$18+$C$19+$C$20</f>
        <v>22958632.285341</v>
      </c>
    </row>
    <row r="22" customFormat="false" ht="15" hidden="false" customHeight="false" outlineLevel="0" collapsed="false">
      <c r="A22" s="9" t="s">
        <v>305</v>
      </c>
      <c r="B22" s="24"/>
      <c r="C22" s="32" t="n">
        <f aca="false">SUM($F$6:$F$11)</f>
        <v>27871334.7887506</v>
      </c>
    </row>
    <row r="23" customFormat="false" ht="15" hidden="false" customHeight="false" outlineLevel="0" collapsed="false">
      <c r="A23" s="9" t="s">
        <v>306</v>
      </c>
      <c r="B23" s="24"/>
      <c r="C23" s="41" t="n">
        <f aca="false">1-$C$21/$C$22</f>
        <v>0.176263624998413</v>
      </c>
    </row>
    <row r="25" customFormat="false" ht="15" hidden="false" customHeight="false" outlineLevel="0" collapsed="false">
      <c r="A25" s="2"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4" min="3" style="0" width="16"/>
    <col collapsed="false" customWidth="true" hidden="false" outlineLevel="0" max="5" min="5" style="0" width="4"/>
    <col collapsed="false" customWidth="true" hidden="false" outlineLevel="0" max="6" min="6" style="0" width="14"/>
    <col collapsed="false" customWidth="true" hidden="false" outlineLevel="0" max="7" min="7" style="0" width="18"/>
  </cols>
  <sheetData>
    <row r="1" customFormat="false" ht="17.35" hidden="false" customHeight="false" outlineLevel="0" collapsed="false">
      <c r="A1" s="1" t="s">
        <v>308</v>
      </c>
    </row>
    <row r="2" customFormat="false" ht="15" hidden="false" customHeight="false" outlineLevel="0" collapsed="false">
      <c r="A2" s="2" t="s">
        <v>309</v>
      </c>
    </row>
    <row r="4" customFormat="false" ht="15" hidden="false" customHeight="false" outlineLevel="0" collapsed="false">
      <c r="F4" s="4" t="s">
        <v>310</v>
      </c>
    </row>
    <row r="5" customFormat="false" ht="15" hidden="false" customHeight="false" outlineLevel="0" collapsed="false">
      <c r="A5" s="8" t="s">
        <v>311</v>
      </c>
      <c r="B5" s="8" t="s">
        <v>312</v>
      </c>
      <c r="C5" s="8" t="s">
        <v>313</v>
      </c>
      <c r="D5" s="8" t="s">
        <v>314</v>
      </c>
      <c r="E5" s="8"/>
      <c r="F5" s="8" t="s">
        <v>315</v>
      </c>
      <c r="G5" s="8" t="s">
        <v>316</v>
      </c>
    </row>
    <row r="6" customFormat="false" ht="15" hidden="false" customHeight="false" outlineLevel="0" collapsed="false">
      <c r="A6" s="9" t="n">
        <v>1</v>
      </c>
      <c r="B6" s="32" t="n">
        <f aca="false">LARGE($G$6:$G$45,$A6)</f>
        <v>2807046.48876837</v>
      </c>
      <c r="C6" s="31" t="n">
        <f aca="false">IF($A6&lt;=$C$50,1,IF($A6=$C$50+1,$C$49-$C$50,0))</f>
        <v>1</v>
      </c>
      <c r="D6" s="32" t="n">
        <f aca="false">$B6*$C6</f>
        <v>2807046.48876837</v>
      </c>
      <c r="F6" s="23" t="n">
        <f aca="false">03_Returns!$H6</f>
        <v>-0.115149851258848</v>
      </c>
      <c r="G6" s="32" t="n">
        <f aca="false">01_Inputs!$C$31*(01_Inputs!$C$29*EXP($F6)-01_Inputs!$C$29)+0.5*01_Inputs!$C$32*(01_Inputs!$C$29*EXP($F6)-01_Inputs!$C$29)^2+(1/6)*01_Inputs!$C$33*(01_Inputs!$C$29*EXP($F6)-01_Inputs!$C$29)^3</f>
        <v>-1114590.3828078</v>
      </c>
    </row>
    <row r="7" customFormat="false" ht="15" hidden="false" customHeight="false" outlineLevel="0" collapsed="false">
      <c r="A7" s="9" t="n">
        <v>2</v>
      </c>
      <c r="B7" s="32" t="n">
        <f aca="false">LARGE($G$6:$G$45,$A7)</f>
        <v>2650834.40973456</v>
      </c>
      <c r="C7" s="31" t="n">
        <f aca="false">IF($A7&lt;=$C$50,1,IF($A7=$C$50+1,$C$49-$C$50,0))</f>
        <v>0</v>
      </c>
      <c r="D7" s="32" t="n">
        <f aca="false">$B7*$C7</f>
        <v>0</v>
      </c>
      <c r="F7" s="23" t="n">
        <f aca="false">03_Returns!$H7</f>
        <v>-0.160920244110039</v>
      </c>
      <c r="G7" s="32" t="n">
        <f aca="false">01_Inputs!$C$31*(01_Inputs!$C$29*EXP($F7)-01_Inputs!$C$29)+0.5*01_Inputs!$C$32*(01_Inputs!$C$29*EXP($F7)-01_Inputs!$C$29)^2+(1/6)*01_Inputs!$C$33*(01_Inputs!$C$29*EXP($F7)-01_Inputs!$C$29)^3</f>
        <v>-1475559.72526326</v>
      </c>
    </row>
    <row r="8" customFormat="false" ht="15" hidden="false" customHeight="false" outlineLevel="0" collapsed="false">
      <c r="A8" s="9" t="n">
        <v>3</v>
      </c>
      <c r="B8" s="32" t="n">
        <f aca="false">LARGE($G$6:$G$45,$A8)</f>
        <v>2515486.61584567</v>
      </c>
      <c r="C8" s="31" t="n">
        <f aca="false">IF($A8&lt;=$C$50,1,IF($A8=$C$50+1,$C$49-$C$50,0))</f>
        <v>0</v>
      </c>
      <c r="D8" s="32" t="n">
        <f aca="false">$B8*$C8</f>
        <v>0</v>
      </c>
      <c r="F8" s="23" t="n">
        <f aca="false">03_Returns!$H8</f>
        <v>-0.0571207160630217</v>
      </c>
      <c r="G8" s="32" t="n">
        <f aca="false">01_Inputs!$C$31*(01_Inputs!$C$29*EXP($F8)-01_Inputs!$C$29)+0.5*01_Inputs!$C$32*(01_Inputs!$C$29*EXP($F8)-01_Inputs!$C$29)^2+(1/6)*01_Inputs!$C$33*(01_Inputs!$C$29*EXP($F8)-01_Inputs!$C$29)^3</f>
        <v>-593350.288604896</v>
      </c>
    </row>
    <row r="9" customFormat="false" ht="15" hidden="false" customHeight="false" outlineLevel="0" collapsed="false">
      <c r="A9" s="9" t="n">
        <v>4</v>
      </c>
      <c r="B9" s="32" t="n">
        <f aca="false">LARGE($G$6:$G$45,$A9)</f>
        <v>2290810.56186334</v>
      </c>
      <c r="C9" s="31" t="n">
        <f aca="false">IF($A9&lt;=$C$50,1,IF($A9=$C$50+1,$C$49-$C$50,0))</f>
        <v>0</v>
      </c>
      <c r="D9" s="32" t="n">
        <f aca="false">$B9*$C9</f>
        <v>0</v>
      </c>
      <c r="F9" s="23" t="n">
        <f aca="false">03_Returns!$H9</f>
        <v>0.177735419941264</v>
      </c>
      <c r="G9" s="32" t="n">
        <f aca="false">01_Inputs!$C$31*(01_Inputs!$C$29*EXP($F9)-01_Inputs!$C$29)+0.5*01_Inputs!$C$32*(01_Inputs!$C$29*EXP($F9)-01_Inputs!$C$29)^2+(1/6)*01_Inputs!$C$33*(01_Inputs!$C$29*EXP($F9)-01_Inputs!$C$29)^3</f>
        <v>2515486.61584567</v>
      </c>
    </row>
    <row r="10" customFormat="false" ht="15" hidden="false" customHeight="false" outlineLevel="0" collapsed="false">
      <c r="A10" s="9" t="n">
        <v>5</v>
      </c>
      <c r="B10" s="32" t="n">
        <f aca="false">LARGE($G$6:$G$45,$A10)</f>
        <v>2171291.72220438</v>
      </c>
      <c r="C10" s="31" t="n">
        <f aca="false">IF($A10&lt;=$C$50,1,IF($A10=$C$50+1,$C$49-$C$50,0))</f>
        <v>0</v>
      </c>
      <c r="D10" s="32" t="n">
        <f aca="false">$B10*$C10</f>
        <v>0</v>
      </c>
      <c r="F10" s="23" t="n">
        <f aca="false">03_Returns!$H10</f>
        <v>0.157745378291154</v>
      </c>
      <c r="G10" s="32" t="n">
        <f aca="false">01_Inputs!$C$31*(01_Inputs!$C$29*EXP($F10)-01_Inputs!$C$29)+0.5*01_Inputs!$C$32*(01_Inputs!$C$29*EXP($F10)-01_Inputs!$C$29)^2+(1/6)*01_Inputs!$C$33*(01_Inputs!$C$29*EXP($F10)-01_Inputs!$C$29)^3</f>
        <v>2171291.72220438</v>
      </c>
    </row>
    <row r="11" customFormat="false" ht="15" hidden="false" customHeight="false" outlineLevel="0" collapsed="false">
      <c r="A11" s="9" t="n">
        <v>6</v>
      </c>
      <c r="B11" s="32" t="n">
        <f aca="false">LARGE($G$6:$G$45,$A11)</f>
        <v>1079890.63463407</v>
      </c>
      <c r="C11" s="31" t="n">
        <f aca="false">IF($A11&lt;=$C$50,1,IF($A11=$C$50+1,$C$49-$C$50,0))</f>
        <v>0</v>
      </c>
      <c r="D11" s="32" t="n">
        <f aca="false">$B11*$C11</f>
        <v>0</v>
      </c>
      <c r="F11" s="23" t="n">
        <f aca="false">03_Returns!$H11</f>
        <v>0.0617917636380039</v>
      </c>
      <c r="G11" s="32" t="n">
        <f aca="false">01_Inputs!$C$31*(01_Inputs!$C$29*EXP($F11)-01_Inputs!$C$29)+0.5*01_Inputs!$C$32*(01_Inputs!$C$29*EXP($F11)-01_Inputs!$C$29)^2+(1/6)*01_Inputs!$C$33*(01_Inputs!$C$29*EXP($F11)-01_Inputs!$C$29)^3</f>
        <v>747104.611705958</v>
      </c>
    </row>
    <row r="12" customFormat="false" ht="15" hidden="false" customHeight="false" outlineLevel="0" collapsed="false">
      <c r="A12" s="9" t="n">
        <v>7</v>
      </c>
      <c r="B12" s="32" t="n">
        <f aca="false">LARGE($G$6:$G$45,$A12)</f>
        <v>856043.135890004</v>
      </c>
      <c r="C12" s="31" t="n">
        <f aca="false">IF($A12&lt;=$C$50,1,IF($A12=$C$50+1,$C$49-$C$50,0))</f>
        <v>0</v>
      </c>
      <c r="D12" s="32" t="n">
        <f aca="false">$B12*$C12</f>
        <v>0</v>
      </c>
      <c r="F12" s="23" t="n">
        <f aca="false">03_Returns!$H12</f>
        <v>0.0176604875085612</v>
      </c>
      <c r="G12" s="32" t="n">
        <f aca="false">01_Inputs!$C$31*(01_Inputs!$C$29*EXP($F12)-01_Inputs!$C$29)+0.5*01_Inputs!$C$32*(01_Inputs!$C$29*EXP($F12)-01_Inputs!$C$29)^2+(1/6)*01_Inputs!$C$33*(01_Inputs!$C$29*EXP($F12)-01_Inputs!$C$29)^3</f>
        <v>201600.869356205</v>
      </c>
    </row>
    <row r="13" customFormat="false" ht="15" hidden="false" customHeight="false" outlineLevel="0" collapsed="false">
      <c r="A13" s="9" t="n">
        <v>8</v>
      </c>
      <c r="B13" s="32" t="n">
        <f aca="false">LARGE($G$6:$G$45,$A13)</f>
        <v>747104.611705958</v>
      </c>
      <c r="C13" s="31" t="n">
        <f aca="false">IF($A13&lt;=$C$50,1,IF($A13=$C$50+1,$C$49-$C$50,0))</f>
        <v>0</v>
      </c>
      <c r="D13" s="32" t="n">
        <f aca="false">$B13*$C13</f>
        <v>0</v>
      </c>
      <c r="F13" s="23" t="n">
        <f aca="false">03_Returns!$H13</f>
        <v>-0.0135293967981542</v>
      </c>
      <c r="G13" s="32" t="n">
        <f aca="false">01_Inputs!$C$31*(01_Inputs!$C$29*EXP($F13)-01_Inputs!$C$29)+0.5*01_Inputs!$C$32*(01_Inputs!$C$29*EXP($F13)-01_Inputs!$C$29)^2+(1/6)*01_Inputs!$C$33*(01_Inputs!$C$29*EXP($F13)-01_Inputs!$C$29)^3</f>
        <v>-148415.152435411</v>
      </c>
    </row>
    <row r="14" customFormat="false" ht="15" hidden="false" customHeight="false" outlineLevel="0" collapsed="false">
      <c r="A14" s="9" t="n">
        <v>9</v>
      </c>
      <c r="B14" s="32" t="n">
        <f aca="false">LARGE($G$6:$G$45,$A14)</f>
        <v>745840.389902722</v>
      </c>
      <c r="C14" s="31" t="n">
        <f aca="false">IF($A14&lt;=$C$50,1,IF($A14=$C$50+1,$C$49-$C$50,0))</f>
        <v>0</v>
      </c>
      <c r="D14" s="32" t="n">
        <f aca="false">$B14*$C14</f>
        <v>0</v>
      </c>
      <c r="F14" s="23" t="n">
        <f aca="false">03_Returns!$H14</f>
        <v>0.021687961252715</v>
      </c>
      <c r="G14" s="32" t="n">
        <f aca="false">01_Inputs!$C$31*(01_Inputs!$C$29*EXP($F14)-01_Inputs!$C$29)+0.5*01_Inputs!$C$32*(01_Inputs!$C$29*EXP($F14)-01_Inputs!$C$29)^2+(1/6)*01_Inputs!$C$33*(01_Inputs!$C$29*EXP($F14)-01_Inputs!$C$29)^3</f>
        <v>248864.062718258</v>
      </c>
    </row>
    <row r="15" customFormat="false" ht="15" hidden="false" customHeight="false" outlineLevel="0" collapsed="false">
      <c r="A15" s="9" t="n">
        <v>10</v>
      </c>
      <c r="B15" s="32" t="n">
        <f aca="false">LARGE($G$6:$G$45,$A15)</f>
        <v>677497.358564711</v>
      </c>
      <c r="C15" s="31" t="n">
        <f aca="false">IF($A15&lt;=$C$50,1,IF($A15=$C$50+1,$C$49-$C$50,0))</f>
        <v>0</v>
      </c>
      <c r="D15" s="32" t="n">
        <f aca="false">$B15*$C15</f>
        <v>0</v>
      </c>
      <c r="F15" s="23" t="n">
        <f aca="false">03_Returns!$H15</f>
        <v>0.0700353224992904</v>
      </c>
      <c r="G15" s="32" t="n">
        <f aca="false">01_Inputs!$C$31*(01_Inputs!$C$29*EXP($F15)-01_Inputs!$C$29)+0.5*01_Inputs!$C$32*(01_Inputs!$C$29*EXP($F15)-01_Inputs!$C$29)^2+(1/6)*01_Inputs!$C$33*(01_Inputs!$C$29*EXP($F15)-01_Inputs!$C$29)^3</f>
        <v>856043.135890004</v>
      </c>
    </row>
    <row r="16" customFormat="false" ht="15" hidden="false" customHeight="false" outlineLevel="0" collapsed="false">
      <c r="A16" s="9" t="n">
        <v>11</v>
      </c>
      <c r="B16" s="32" t="n">
        <f aca="false">LARGE($G$6:$G$45,$A16)</f>
        <v>608067.910375308</v>
      </c>
      <c r="C16" s="31" t="n">
        <f aca="false">IF($A16&lt;=$C$50,1,IF($A16=$C$50+1,$C$49-$C$50,0))</f>
        <v>0</v>
      </c>
      <c r="D16" s="32" t="n">
        <f aca="false">$B16*$C16</f>
        <v>0</v>
      </c>
      <c r="F16" s="23" t="n">
        <f aca="false">03_Returns!$H16</f>
        <v>0.0510098129722219</v>
      </c>
      <c r="G16" s="32" t="n">
        <f aca="false">01_Inputs!$C$31*(01_Inputs!$C$29*EXP($F16)-01_Inputs!$C$29)+0.5*01_Inputs!$C$32*(01_Inputs!$C$29*EXP($F16)-01_Inputs!$C$29)^2+(1/6)*01_Inputs!$C$33*(01_Inputs!$C$29*EXP($F16)-01_Inputs!$C$29)^3</f>
        <v>608067.910375308</v>
      </c>
    </row>
    <row r="17" customFormat="false" ht="15" hidden="false" customHeight="false" outlineLevel="0" collapsed="false">
      <c r="A17" s="9" t="n">
        <v>12</v>
      </c>
      <c r="B17" s="32" t="n">
        <f aca="false">LARGE($G$6:$G$45,$A17)</f>
        <v>603842.053445298</v>
      </c>
      <c r="C17" s="31" t="n">
        <f aca="false">IF($A17&lt;=$C$50,1,IF($A17=$C$50+1,$C$49-$C$50,0))</f>
        <v>0</v>
      </c>
      <c r="D17" s="32" t="n">
        <f aca="false">$B17*$C17</f>
        <v>0</v>
      </c>
      <c r="F17" s="23" t="n">
        <f aca="false">03_Returns!$H17</f>
        <v>-0.0603221249755831</v>
      </c>
      <c r="G17" s="32" t="n">
        <f aca="false">01_Inputs!$C$31*(01_Inputs!$C$29*EXP($F17)-01_Inputs!$C$29)+0.5*01_Inputs!$C$32*(01_Inputs!$C$29*EXP($F17)-01_Inputs!$C$29)^2+(1/6)*01_Inputs!$C$33*(01_Inputs!$C$29*EXP($F17)-01_Inputs!$C$29)^3</f>
        <v>-624132.609795204</v>
      </c>
    </row>
    <row r="18" customFormat="false" ht="15" hidden="false" customHeight="false" outlineLevel="0" collapsed="false">
      <c r="A18" s="9" t="n">
        <v>13</v>
      </c>
      <c r="B18" s="32" t="n">
        <f aca="false">LARGE($G$6:$G$45,$A18)</f>
        <v>396619.406245654</v>
      </c>
      <c r="C18" s="31" t="n">
        <f aca="false">IF($A18&lt;=$C$50,1,IF($A18=$C$50+1,$C$49-$C$50,0))</f>
        <v>0</v>
      </c>
      <c r="D18" s="32" t="n">
        <f aca="false">$B18*$C18</f>
        <v>0</v>
      </c>
      <c r="F18" s="23" t="n">
        <f aca="false">03_Returns!$H18</f>
        <v>-0.031707454920326</v>
      </c>
      <c r="G18" s="32" t="n">
        <f aca="false">01_Inputs!$C$31*(01_Inputs!$C$29*EXP($F18)-01_Inputs!$C$29)+0.5*01_Inputs!$C$32*(01_Inputs!$C$29*EXP($F18)-01_Inputs!$C$29)^2+(1/6)*01_Inputs!$C$33*(01_Inputs!$C$29*EXP($F18)-01_Inputs!$C$29)^3</f>
        <v>-339951.846970271</v>
      </c>
    </row>
    <row r="19" customFormat="false" ht="15" hidden="false" customHeight="false" outlineLevel="0" collapsed="false">
      <c r="A19" s="9" t="n">
        <v>14</v>
      </c>
      <c r="B19" s="32" t="n">
        <f aca="false">LARGE($G$6:$G$45,$A19)</f>
        <v>297390.54588089</v>
      </c>
      <c r="C19" s="31" t="n">
        <f aca="false">IF($A19&lt;=$C$50,1,IF($A19=$C$50+1,$C$49-$C$50,0))</f>
        <v>0</v>
      </c>
      <c r="D19" s="32" t="n">
        <f aca="false">$B19*$C19</f>
        <v>0</v>
      </c>
      <c r="F19" s="23" t="n">
        <f aca="false">03_Returns!$H19</f>
        <v>0.0167347380963897</v>
      </c>
      <c r="G19" s="32" t="n">
        <f aca="false">01_Inputs!$C$31*(01_Inputs!$C$29*EXP($F19)-01_Inputs!$C$29)+0.5*01_Inputs!$C$32*(01_Inputs!$C$29*EXP($F19)-01_Inputs!$C$29)^2+(1/6)*01_Inputs!$C$33*(01_Inputs!$C$29*EXP($F19)-01_Inputs!$C$29)^3</f>
        <v>190805.669636</v>
      </c>
    </row>
    <row r="20" customFormat="false" ht="15" hidden="false" customHeight="false" outlineLevel="0" collapsed="false">
      <c r="A20" s="9" t="n">
        <v>15</v>
      </c>
      <c r="B20" s="32" t="n">
        <f aca="false">LARGE($G$6:$G$45,$A20)</f>
        <v>257155.519585843</v>
      </c>
      <c r="C20" s="31" t="n">
        <f aca="false">IF($A20&lt;=$C$50,1,IF($A20=$C$50+1,$C$49-$C$50,0))</f>
        <v>0</v>
      </c>
      <c r="D20" s="32" t="n">
        <f aca="false">$B20*$C20</f>
        <v>0</v>
      </c>
      <c r="F20" s="23" t="n">
        <f aca="false">03_Returns!$H20</f>
        <v>0.0257803413098611</v>
      </c>
      <c r="G20" s="32" t="n">
        <f aca="false">01_Inputs!$C$31*(01_Inputs!$C$29*EXP($F20)-01_Inputs!$C$29)+0.5*01_Inputs!$C$32*(01_Inputs!$C$29*EXP($F20)-01_Inputs!$C$29)^2+(1/6)*01_Inputs!$C$33*(01_Inputs!$C$29*EXP($F20)-01_Inputs!$C$29)^3</f>
        <v>297390.54588089</v>
      </c>
    </row>
    <row r="21" customFormat="false" ht="15" hidden="false" customHeight="false" outlineLevel="0" collapsed="false">
      <c r="A21" s="9" t="n">
        <v>16</v>
      </c>
      <c r="B21" s="32" t="n">
        <f aca="false">LARGE($G$6:$G$45,$A21)</f>
        <v>248864.062718258</v>
      </c>
      <c r="C21" s="31" t="n">
        <f aca="false">IF($A21&lt;=$C$50,1,IF($A21=$C$50+1,$C$49-$C$50,0))</f>
        <v>0</v>
      </c>
      <c r="D21" s="32" t="n">
        <f aca="false">$B21*$C21</f>
        <v>0</v>
      </c>
      <c r="F21" s="23" t="n">
        <f aca="false">03_Returns!$H21</f>
        <v>0.0340173797525021</v>
      </c>
      <c r="G21" s="32" t="n">
        <f aca="false">01_Inputs!$C$31*(01_Inputs!$C$29*EXP($F21)-01_Inputs!$C$29)+0.5*01_Inputs!$C$32*(01_Inputs!$C$29*EXP($F21)-01_Inputs!$C$29)^2+(1/6)*01_Inputs!$C$33*(01_Inputs!$C$29*EXP($F21)-01_Inputs!$C$29)^3</f>
        <v>396619.406245654</v>
      </c>
    </row>
    <row r="22" customFormat="false" ht="15" hidden="false" customHeight="false" outlineLevel="0" collapsed="false">
      <c r="A22" s="9" t="n">
        <v>17</v>
      </c>
      <c r="B22" s="32" t="n">
        <f aca="false">LARGE($G$6:$G$45,$A22)</f>
        <v>201600.869356205</v>
      </c>
      <c r="C22" s="31" t="n">
        <f aca="false">IF($A22&lt;=$C$50,1,IF($A22=$C$50+1,$C$49-$C$50,0))</f>
        <v>0</v>
      </c>
      <c r="D22" s="32" t="n">
        <f aca="false">$B22*$C22</f>
        <v>0</v>
      </c>
      <c r="F22" s="23" t="n">
        <f aca="false">03_Returns!$H22</f>
        <v>0.0506773784248522</v>
      </c>
      <c r="G22" s="32" t="n">
        <f aca="false">01_Inputs!$C$31*(01_Inputs!$C$29*EXP($F22)-01_Inputs!$C$29)+0.5*01_Inputs!$C$32*(01_Inputs!$C$29*EXP($F22)-01_Inputs!$C$29)^2+(1/6)*01_Inputs!$C$33*(01_Inputs!$C$29*EXP($F22)-01_Inputs!$C$29)^3</f>
        <v>603842.053445298</v>
      </c>
    </row>
    <row r="23" customFormat="false" ht="15" hidden="false" customHeight="false" outlineLevel="0" collapsed="false">
      <c r="A23" s="9" t="n">
        <v>18</v>
      </c>
      <c r="B23" s="32" t="n">
        <f aca="false">LARGE($G$6:$G$45,$A23)</f>
        <v>196694.0356018</v>
      </c>
      <c r="C23" s="31" t="n">
        <f aca="false">IF($A23&lt;=$C$50,1,IF($A23=$C$50+1,$C$49-$C$50,0))</f>
        <v>0</v>
      </c>
      <c r="D23" s="32" t="n">
        <f aca="false">$B23*$C23</f>
        <v>0</v>
      </c>
      <c r="F23" s="23" t="n">
        <f aca="false">03_Returns!$H23</f>
        <v>0.0864430606115581</v>
      </c>
      <c r="G23" s="32" t="n">
        <f aca="false">01_Inputs!$C$31*(01_Inputs!$C$29*EXP($F23)-01_Inputs!$C$29)+0.5*01_Inputs!$C$32*(01_Inputs!$C$29*EXP($F23)-01_Inputs!$C$29)^2+(1/6)*01_Inputs!$C$33*(01_Inputs!$C$29*EXP($F23)-01_Inputs!$C$29)^3</f>
        <v>1079890.63463407</v>
      </c>
    </row>
    <row r="24" customFormat="false" ht="15" hidden="false" customHeight="false" outlineLevel="0" collapsed="false">
      <c r="A24" s="9" t="n">
        <v>19</v>
      </c>
      <c r="B24" s="32" t="n">
        <f aca="false">LARGE($G$6:$G$45,$A24)</f>
        <v>191443.24226041</v>
      </c>
      <c r="C24" s="31" t="n">
        <f aca="false">IF($A24&lt;=$C$50,1,IF($A24=$C$50+1,$C$49-$C$50,0))</f>
        <v>0</v>
      </c>
      <c r="D24" s="32" t="n">
        <f aca="false">$B24*$C24</f>
        <v>0</v>
      </c>
      <c r="F24" s="23" t="n">
        <f aca="false">03_Returns!$H24</f>
        <v>-0.047948728967553</v>
      </c>
      <c r="G24" s="32" t="n">
        <f aca="false">01_Inputs!$C$31*(01_Inputs!$C$29*EXP($F24)-01_Inputs!$C$29)+0.5*01_Inputs!$C$32*(01_Inputs!$C$29*EXP($F24)-01_Inputs!$C$29)^2+(1/6)*01_Inputs!$C$33*(01_Inputs!$C$29*EXP($F24)-01_Inputs!$C$29)^3</f>
        <v>-503768.690500616</v>
      </c>
    </row>
    <row r="25" customFormat="false" ht="15" hidden="false" customHeight="false" outlineLevel="0" collapsed="false">
      <c r="A25" s="9" t="n">
        <v>20</v>
      </c>
      <c r="B25" s="32" t="n">
        <f aca="false">LARGE($G$6:$G$45,$A25)</f>
        <v>190805.669636</v>
      </c>
      <c r="C25" s="31" t="n">
        <f aca="false">IF($A25&lt;=$C$50,1,IF($A25=$C$50+1,$C$49-$C$50,0))</f>
        <v>0</v>
      </c>
      <c r="D25" s="32" t="n">
        <f aca="false">$B25*$C25</f>
        <v>0</v>
      </c>
      <c r="F25" s="23" t="n">
        <f aca="false">03_Returns!$H25</f>
        <v>0.017239970444595</v>
      </c>
      <c r="G25" s="32" t="n">
        <f aca="false">01_Inputs!$C$31*(01_Inputs!$C$29*EXP($F25)-01_Inputs!$C$29)+0.5*01_Inputs!$C$32*(01_Inputs!$C$29*EXP($F25)-01_Inputs!$C$29)^2+(1/6)*01_Inputs!$C$33*(01_Inputs!$C$29*EXP($F25)-01_Inputs!$C$29)^3</f>
        <v>196694.0356018</v>
      </c>
    </row>
    <row r="26" customFormat="false" ht="15" hidden="false" customHeight="false" outlineLevel="0" collapsed="false">
      <c r="A26" s="9" t="n">
        <v>21</v>
      </c>
      <c r="B26" s="32" t="n">
        <f aca="false">LARGE($G$6:$G$45,$A26)</f>
        <v>-47723.3852755265</v>
      </c>
      <c r="C26" s="31" t="n">
        <f aca="false">IF($A26&lt;=$C$50,1,IF($A26=$C$50+1,$C$49-$C$50,0))</f>
        <v>0</v>
      </c>
      <c r="D26" s="32" t="n">
        <f aca="false">$B26*$C26</f>
        <v>-0</v>
      </c>
      <c r="F26" s="23" t="n">
        <f aca="false">03_Returns!$H26</f>
        <v>-0.00599963550050566</v>
      </c>
      <c r="G26" s="32" t="n">
        <f aca="false">01_Inputs!$C$31*(01_Inputs!$C$29*EXP($F26)-01_Inputs!$C$29)+0.5*01_Inputs!$C$32*(01_Inputs!$C$29*EXP($F26)-01_Inputs!$C$29)^2+(1/6)*01_Inputs!$C$33*(01_Inputs!$C$29*EXP($F26)-01_Inputs!$C$29)^3</f>
        <v>-66446.5229153592</v>
      </c>
    </row>
    <row r="27" customFormat="false" ht="15" hidden="false" customHeight="false" outlineLevel="0" collapsed="false">
      <c r="A27" s="9" t="n">
        <v>22</v>
      </c>
      <c r="B27" s="32" t="n">
        <f aca="false">LARGE($G$6:$G$45,$A27)</f>
        <v>-66446.5229153592</v>
      </c>
      <c r="C27" s="31" t="n">
        <f aca="false">IF($A27&lt;=$C$50,1,IF($A27=$C$50+1,$C$49-$C$50,0))</f>
        <v>0</v>
      </c>
      <c r="D27" s="32" t="n">
        <f aca="false">$B27*$C27</f>
        <v>-0</v>
      </c>
      <c r="F27" s="23" t="n">
        <f aca="false">03_Returns!$H27</f>
        <v>-0.0322385351067274</v>
      </c>
      <c r="G27" s="32" t="n">
        <f aca="false">01_Inputs!$C$31*(01_Inputs!$C$29*EXP($F27)-01_Inputs!$C$29)+0.5*01_Inputs!$C$32*(01_Inputs!$C$29*EXP($F27)-01_Inputs!$C$29)^2+(1/6)*01_Inputs!$C$33*(01_Inputs!$C$29*EXP($F27)-01_Inputs!$C$29)^3</f>
        <v>-345415.860504417</v>
      </c>
    </row>
    <row r="28" customFormat="false" ht="15" hidden="false" customHeight="false" outlineLevel="0" collapsed="false">
      <c r="A28" s="9" t="n">
        <v>23</v>
      </c>
      <c r="B28" s="32" t="n">
        <f aca="false">LARGE($G$6:$G$45,$A28)</f>
        <v>-133151.003068911</v>
      </c>
      <c r="C28" s="31" t="n">
        <f aca="false">IF($A28&lt;=$C$50,1,IF($A28=$C$50+1,$C$49-$C$50,0))</f>
        <v>0</v>
      </c>
      <c r="D28" s="32" t="n">
        <f aca="false">$B28*$C28</f>
        <v>-0</v>
      </c>
      <c r="F28" s="23" t="n">
        <f aca="false">03_Returns!$H28</f>
        <v>-0.0329718221377552</v>
      </c>
      <c r="G28" s="32" t="n">
        <f aca="false">01_Inputs!$C$31*(01_Inputs!$C$29*EXP($F28)-01_Inputs!$C$29)+0.5*01_Inputs!$C$32*(01_Inputs!$C$29*EXP($F28)-01_Inputs!$C$29)^2+(1/6)*01_Inputs!$C$33*(01_Inputs!$C$29*EXP($F28)-01_Inputs!$C$29)^3</f>
        <v>-352948.192243669</v>
      </c>
    </row>
    <row r="29" customFormat="false" ht="15" hidden="false" customHeight="false" outlineLevel="0" collapsed="false">
      <c r="A29" s="9" t="n">
        <v>24</v>
      </c>
      <c r="B29" s="32" t="n">
        <f aca="false">LARGE($G$6:$G$45,$A29)</f>
        <v>-148415.152435411</v>
      </c>
      <c r="C29" s="31" t="n">
        <f aca="false">IF($A29&lt;=$C$50,1,IF($A29=$C$50+1,$C$49-$C$50,0))</f>
        <v>0</v>
      </c>
      <c r="D29" s="32" t="n">
        <f aca="false">$B29*$C29</f>
        <v>-0</v>
      </c>
      <c r="F29" s="23" t="n">
        <f aca="false">03_Returns!$H29</f>
        <v>-0.127681643698752</v>
      </c>
      <c r="G29" s="32" t="n">
        <f aca="false">01_Inputs!$C$31*(01_Inputs!$C$29*EXP($F29)-01_Inputs!$C$29)+0.5*01_Inputs!$C$32*(01_Inputs!$C$29*EXP($F29)-01_Inputs!$C$29)^2+(1/6)*01_Inputs!$C$33*(01_Inputs!$C$29*EXP($F29)-01_Inputs!$C$29)^3</f>
        <v>-1217545.79686256</v>
      </c>
    </row>
    <row r="30" customFormat="false" ht="15" hidden="false" customHeight="false" outlineLevel="0" collapsed="false">
      <c r="A30" s="9" t="n">
        <v>25</v>
      </c>
      <c r="B30" s="32" t="n">
        <f aca="false">LARGE($G$6:$G$45,$A30)</f>
        <v>-230685.77236207</v>
      </c>
      <c r="C30" s="31" t="n">
        <f aca="false">IF($A30&lt;=$C$50,1,IF($A30=$C$50+1,$C$49-$C$50,0))</f>
        <v>0</v>
      </c>
      <c r="D30" s="32" t="n">
        <f aca="false">$B30*$C30</f>
        <v>-0</v>
      </c>
      <c r="F30" s="23" t="n">
        <f aca="false">03_Returns!$H30</f>
        <v>-0.19503831626238</v>
      </c>
      <c r="G30" s="32" t="n">
        <f aca="false">01_Inputs!$C$31*(01_Inputs!$C$29*EXP($F30)-01_Inputs!$C$29)+0.5*01_Inputs!$C$32*(01_Inputs!$C$29*EXP($F30)-01_Inputs!$C$29)^2+(1/6)*01_Inputs!$C$33*(01_Inputs!$C$29*EXP($F30)-01_Inputs!$C$29)^3</f>
        <v>-1719209.4314577</v>
      </c>
    </row>
    <row r="31" customFormat="false" ht="15" hidden="false" customHeight="false" outlineLevel="0" collapsed="false">
      <c r="A31" s="9" t="n">
        <v>26</v>
      </c>
      <c r="B31" s="32" t="n">
        <f aca="false">LARGE($G$6:$G$45,$A31)</f>
        <v>-339951.846970271</v>
      </c>
      <c r="C31" s="31" t="n">
        <f aca="false">IF($A31&lt;=$C$50,1,IF($A31=$C$50+1,$C$49-$C$50,0))</f>
        <v>0</v>
      </c>
      <c r="D31" s="32" t="n">
        <f aca="false">$B31*$C31</f>
        <v>-0</v>
      </c>
      <c r="F31" s="23" t="n">
        <f aca="false">03_Returns!$H31</f>
        <v>0.185318025297754</v>
      </c>
      <c r="G31" s="32" t="n">
        <f aca="false">01_Inputs!$C$31*(01_Inputs!$C$29*EXP($F31)-01_Inputs!$C$29)+0.5*01_Inputs!$C$32*(01_Inputs!$C$29*EXP($F31)-01_Inputs!$C$29)^2+(1/6)*01_Inputs!$C$33*(01_Inputs!$C$29*EXP($F31)-01_Inputs!$C$29)^3</f>
        <v>2650834.40973456</v>
      </c>
    </row>
    <row r="32" customFormat="false" ht="15" hidden="false" customHeight="false" outlineLevel="0" collapsed="false">
      <c r="A32" s="9" t="n">
        <v>27</v>
      </c>
      <c r="B32" s="32" t="n">
        <f aca="false">LARGE($G$6:$G$45,$A32)</f>
        <v>-345415.860504417</v>
      </c>
      <c r="C32" s="31" t="n">
        <f aca="false">IF($A32&lt;=$C$50,1,IF($A32=$C$50+1,$C$49-$C$50,0))</f>
        <v>0</v>
      </c>
      <c r="D32" s="32" t="n">
        <f aca="false">$B32*$C32</f>
        <v>-0</v>
      </c>
      <c r="F32" s="23" t="n">
        <f aca="false">03_Returns!$H32</f>
        <v>0.164805897575262</v>
      </c>
      <c r="G32" s="32" t="n">
        <f aca="false">01_Inputs!$C$31*(01_Inputs!$C$29*EXP($F32)-01_Inputs!$C$29)+0.5*01_Inputs!$C$32*(01_Inputs!$C$29*EXP($F32)-01_Inputs!$C$29)^2+(1/6)*01_Inputs!$C$33*(01_Inputs!$C$29*EXP($F32)-01_Inputs!$C$29)^3</f>
        <v>2290810.56186334</v>
      </c>
    </row>
    <row r="33" customFormat="false" ht="15" hidden="false" customHeight="false" outlineLevel="0" collapsed="false">
      <c r="A33" s="9" t="n">
        <v>28</v>
      </c>
      <c r="B33" s="32" t="n">
        <f aca="false">LARGE($G$6:$G$45,$A33)</f>
        <v>-352948.192243669</v>
      </c>
      <c r="C33" s="31" t="n">
        <f aca="false">IF($A33&lt;=$C$50,1,IF($A33=$C$50+1,$C$49-$C$50,0))</f>
        <v>0</v>
      </c>
      <c r="D33" s="32" t="n">
        <f aca="false">$B33*$C33</f>
        <v>-0</v>
      </c>
      <c r="F33" s="23" t="n">
        <f aca="false">03_Returns!$H33</f>
        <v>-0.00429976967177884</v>
      </c>
      <c r="G33" s="32" t="n">
        <f aca="false">01_Inputs!$C$31*(01_Inputs!$C$29*EXP($F33)-01_Inputs!$C$29)+0.5*01_Inputs!$C$32*(01_Inputs!$C$29*EXP($F33)-01_Inputs!$C$29)^2+(1/6)*01_Inputs!$C$33*(01_Inputs!$C$29*EXP($F33)-01_Inputs!$C$29)^3</f>
        <v>-47723.3852755265</v>
      </c>
    </row>
    <row r="34" customFormat="false" ht="15" hidden="false" customHeight="false" outlineLevel="0" collapsed="false">
      <c r="A34" s="9" t="n">
        <v>29</v>
      </c>
      <c r="B34" s="32" t="n">
        <f aca="false">LARGE($G$6:$G$45,$A34)</f>
        <v>-503768.690500616</v>
      </c>
      <c r="C34" s="31" t="n">
        <f aca="false">IF($A34&lt;=$C$50,1,IF($A34=$C$50+1,$C$49-$C$50,0))</f>
        <v>0</v>
      </c>
      <c r="D34" s="32" t="n">
        <f aca="false">$B34*$C34</f>
        <v>-0</v>
      </c>
      <c r="F34" s="23" t="n">
        <f aca="false">03_Returns!$H34</f>
        <v>0.193885979035681</v>
      </c>
      <c r="G34" s="32" t="n">
        <f aca="false">01_Inputs!$C$31*(01_Inputs!$C$29*EXP($F34)-01_Inputs!$C$29)+0.5*01_Inputs!$C$32*(01_Inputs!$C$29*EXP($F34)-01_Inputs!$C$29)^2+(1/6)*01_Inputs!$C$33*(01_Inputs!$C$29*EXP($F34)-01_Inputs!$C$29)^3</f>
        <v>2807046.48876837</v>
      </c>
    </row>
    <row r="35" customFormat="false" ht="15" hidden="false" customHeight="false" outlineLevel="0" collapsed="false">
      <c r="A35" s="9" t="n">
        <v>30</v>
      </c>
      <c r="B35" s="32" t="n">
        <f aca="false">LARGE($G$6:$G$45,$A35)</f>
        <v>-593350.288604896</v>
      </c>
      <c r="C35" s="31" t="n">
        <f aca="false">IF($A35&lt;=$C$50,1,IF($A35=$C$50+1,$C$49-$C$50,0))</f>
        <v>0</v>
      </c>
      <c r="D35" s="32" t="n">
        <f aca="false">$B35*$C35</f>
        <v>-0</v>
      </c>
      <c r="F35" s="23" t="n">
        <f aca="false">03_Returns!$H35</f>
        <v>-0.167351606611453</v>
      </c>
      <c r="G35" s="32" t="n">
        <f aca="false">01_Inputs!$C$31*(01_Inputs!$C$29*EXP($F35)-01_Inputs!$C$29)+0.5*01_Inputs!$C$32*(01_Inputs!$C$29*EXP($F35)-01_Inputs!$C$29)^2+(1/6)*01_Inputs!$C$33*(01_Inputs!$C$29*EXP($F35)-01_Inputs!$C$29)^3</f>
        <v>-1523072.68401853</v>
      </c>
    </row>
    <row r="36" customFormat="false" ht="15" hidden="false" customHeight="false" outlineLevel="0" collapsed="false">
      <c r="A36" s="9" t="n">
        <v>31</v>
      </c>
      <c r="B36" s="32" t="n">
        <f aca="false">LARGE($G$6:$G$45,$A36)</f>
        <v>-624132.609795204</v>
      </c>
      <c r="C36" s="31" t="n">
        <f aca="false">IF($A36&lt;=$C$50,1,IF($A36=$C$50+1,$C$49-$C$50,0))</f>
        <v>0</v>
      </c>
      <c r="D36" s="32" t="n">
        <f aca="false">$B36*$C36</f>
        <v>-0</v>
      </c>
      <c r="F36" s="23" t="n">
        <f aca="false">03_Returns!$H36</f>
        <v>-0.115522601760598</v>
      </c>
      <c r="G36" s="32" t="n">
        <f aca="false">01_Inputs!$C$31*(01_Inputs!$C$29*EXP($F36)-01_Inputs!$C$29)+0.5*01_Inputs!$C$32*(01_Inputs!$C$29*EXP($F36)-01_Inputs!$C$29)^2+(1/6)*01_Inputs!$C$33*(01_Inputs!$C$29*EXP($F36)-01_Inputs!$C$29)^3</f>
        <v>-1117699.43465063</v>
      </c>
    </row>
    <row r="37" customFormat="false" ht="15" hidden="false" customHeight="false" outlineLevel="0" collapsed="false">
      <c r="A37" s="9" t="n">
        <v>32</v>
      </c>
      <c r="B37" s="32" t="n">
        <f aca="false">LARGE($G$6:$G$45,$A37)</f>
        <v>-800555.423524677</v>
      </c>
      <c r="C37" s="31" t="n">
        <f aca="false">IF($A37&lt;=$C$50,1,IF($A37=$C$50+1,$C$49-$C$50,0))</f>
        <v>0</v>
      </c>
      <c r="D37" s="32" t="n">
        <f aca="false">$B37*$C37</f>
        <v>-0</v>
      </c>
      <c r="F37" s="23" t="n">
        <f aca="false">03_Returns!$H37</f>
        <v>-0.112325288592299</v>
      </c>
      <c r="G37" s="32" t="n">
        <f aca="false">01_Inputs!$C$31*(01_Inputs!$C$29*EXP($F37)-01_Inputs!$C$29)+0.5*01_Inputs!$C$32*(01_Inputs!$C$29*EXP($F37)-01_Inputs!$C$29)^2+(1/6)*01_Inputs!$C$33*(01_Inputs!$C$29*EXP($F37)-01_Inputs!$C$29)^3</f>
        <v>-1090936.80996054</v>
      </c>
    </row>
    <row r="38" customFormat="false" ht="15" hidden="false" customHeight="false" outlineLevel="0" collapsed="false">
      <c r="A38" s="9" t="n">
        <v>33</v>
      </c>
      <c r="B38" s="32" t="n">
        <f aca="false">LARGE($G$6:$G$45,$A38)</f>
        <v>-822990.601215794</v>
      </c>
      <c r="C38" s="31" t="n">
        <f aca="false">IF($A38&lt;=$C$50,1,IF($A38=$C$50+1,$C$49-$C$50,0))</f>
        <v>0</v>
      </c>
      <c r="D38" s="32" t="n">
        <f aca="false">$B38*$C38</f>
        <v>-0</v>
      </c>
      <c r="F38" s="23" t="n">
        <f aca="false">03_Returns!$H38</f>
        <v>-0.0816505691953205</v>
      </c>
      <c r="G38" s="32" t="n">
        <f aca="false">01_Inputs!$C$31*(01_Inputs!$C$29*EXP($F38)-01_Inputs!$C$29)+0.5*01_Inputs!$C$32*(01_Inputs!$C$29*EXP($F38)-01_Inputs!$C$29)^2+(1/6)*01_Inputs!$C$33*(01_Inputs!$C$29*EXP($F38)-01_Inputs!$C$29)^3</f>
        <v>-822990.601215794</v>
      </c>
    </row>
    <row r="39" customFormat="false" ht="15" hidden="false" customHeight="false" outlineLevel="0" collapsed="false">
      <c r="A39" s="9" t="n">
        <v>34</v>
      </c>
      <c r="B39" s="32" t="n">
        <f aca="false">LARGE($G$6:$G$45,$A39)</f>
        <v>-1090936.80996054</v>
      </c>
      <c r="C39" s="31" t="n">
        <f aca="false">IF($A39&lt;=$C$50,1,IF($A39=$C$50+1,$C$49-$C$50,0))</f>
        <v>0</v>
      </c>
      <c r="D39" s="32" t="n">
        <f aca="false">$B39*$C39</f>
        <v>-0</v>
      </c>
      <c r="F39" s="23" t="n">
        <f aca="false">03_Returns!$H39</f>
        <v>-0.0212347884795852</v>
      </c>
      <c r="G39" s="32" t="n">
        <f aca="false">01_Inputs!$C$31*(01_Inputs!$C$29*EXP($F39)-01_Inputs!$C$29)+0.5*01_Inputs!$C$32*(01_Inputs!$C$29*EXP($F39)-01_Inputs!$C$29)^2+(1/6)*01_Inputs!$C$33*(01_Inputs!$C$29*EXP($F39)-01_Inputs!$C$29)^3</f>
        <v>-230685.77236207</v>
      </c>
    </row>
    <row r="40" customFormat="false" ht="15" hidden="false" customHeight="false" outlineLevel="0" collapsed="false">
      <c r="A40" s="9" t="n">
        <v>35</v>
      </c>
      <c r="B40" s="32" t="n">
        <f aca="false">LARGE($G$6:$G$45,$A40)</f>
        <v>-1114590.3828078</v>
      </c>
      <c r="C40" s="31" t="n">
        <f aca="false">IF($A40&lt;=$C$50,1,IF($A40=$C$50+1,$C$49-$C$50,0))</f>
        <v>0</v>
      </c>
      <c r="D40" s="32" t="n">
        <f aca="false">$B40*$C40</f>
        <v>-0</v>
      </c>
      <c r="F40" s="23" t="n">
        <f aca="false">03_Returns!$H40</f>
        <v>-0.0121162299558557</v>
      </c>
      <c r="G40" s="32" t="n">
        <f aca="false">01_Inputs!$C$31*(01_Inputs!$C$29*EXP($F40)-01_Inputs!$C$29)+0.5*01_Inputs!$C$32*(01_Inputs!$C$29*EXP($F40)-01_Inputs!$C$29)^2+(1/6)*01_Inputs!$C$33*(01_Inputs!$C$29*EXP($F40)-01_Inputs!$C$29)^3</f>
        <v>-133151.003068911</v>
      </c>
    </row>
    <row r="41" customFormat="false" ht="15" hidden="false" customHeight="false" outlineLevel="0" collapsed="false">
      <c r="A41" s="9" t="n">
        <v>36</v>
      </c>
      <c r="B41" s="32" t="n">
        <f aca="false">LARGE($G$6:$G$45,$A41)</f>
        <v>-1117699.43465063</v>
      </c>
      <c r="C41" s="31" t="n">
        <f aca="false">IF($A41&lt;=$C$50,1,IF($A41=$C$50+1,$C$49-$C$50,0))</f>
        <v>0</v>
      </c>
      <c r="D41" s="32" t="n">
        <f aca="false">$B41*$C41</f>
        <v>-0</v>
      </c>
      <c r="F41" s="23" t="n">
        <f aca="false">03_Returns!$H41</f>
        <v>0.0223902478539687</v>
      </c>
      <c r="G41" s="32" t="n">
        <f aca="false">01_Inputs!$C$31*(01_Inputs!$C$29*EXP($F41)-01_Inputs!$C$29)+0.5*01_Inputs!$C$32*(01_Inputs!$C$29*EXP($F41)-01_Inputs!$C$29)^2+(1/6)*01_Inputs!$C$33*(01_Inputs!$C$29*EXP($F41)-01_Inputs!$C$29)^3</f>
        <v>257155.519585843</v>
      </c>
    </row>
    <row r="42" customFormat="false" ht="15" hidden="false" customHeight="false" outlineLevel="0" collapsed="false">
      <c r="A42" s="9" t="n">
        <v>37</v>
      </c>
      <c r="B42" s="32" t="n">
        <f aca="false">LARGE($G$6:$G$45,$A42)</f>
        <v>-1217545.79686256</v>
      </c>
      <c r="C42" s="31" t="n">
        <f aca="false">IF($A42&lt;=$C$50,1,IF($A42=$C$50+1,$C$49-$C$50,0))</f>
        <v>0</v>
      </c>
      <c r="D42" s="32" t="n">
        <f aca="false">$B42*$C42</f>
        <v>-0</v>
      </c>
      <c r="F42" s="23" t="n">
        <f aca="false">03_Returns!$H42</f>
        <v>0.0167894744928994</v>
      </c>
      <c r="G42" s="32" t="n">
        <f aca="false">01_Inputs!$C$31*(01_Inputs!$C$29*EXP($F42)-01_Inputs!$C$29)+0.5*01_Inputs!$C$32*(01_Inputs!$C$29*EXP($F42)-01_Inputs!$C$29)^2+(1/6)*01_Inputs!$C$33*(01_Inputs!$C$29*EXP($F42)-01_Inputs!$C$29)^3</f>
        <v>191443.24226041</v>
      </c>
    </row>
    <row r="43" customFormat="false" ht="15" hidden="false" customHeight="false" outlineLevel="0" collapsed="false">
      <c r="A43" s="9" t="n">
        <v>38</v>
      </c>
      <c r="B43" s="32" t="n">
        <f aca="false">LARGE($G$6:$G$45,$A43)</f>
        <v>-1475559.72526326</v>
      </c>
      <c r="C43" s="31" t="n">
        <f aca="false">IF($A43&lt;=$C$50,1,IF($A43=$C$50+1,$C$49-$C$50,0))</f>
        <v>0</v>
      </c>
      <c r="D43" s="32" t="n">
        <f aca="false">$B43*$C43</f>
        <v>-0</v>
      </c>
      <c r="F43" s="23" t="n">
        <f aca="false">03_Returns!$H43</f>
        <v>0.0564312922290823</v>
      </c>
      <c r="G43" s="32" t="n">
        <f aca="false">01_Inputs!$C$31*(01_Inputs!$C$29*EXP($F43)-01_Inputs!$C$29)+0.5*01_Inputs!$C$32*(01_Inputs!$C$29*EXP($F43)-01_Inputs!$C$29)^2+(1/6)*01_Inputs!$C$33*(01_Inputs!$C$29*EXP($F43)-01_Inputs!$C$29)^3</f>
        <v>677497.358564711</v>
      </c>
    </row>
    <row r="44" customFormat="false" ht="15" hidden="false" customHeight="false" outlineLevel="0" collapsed="false">
      <c r="A44" s="9" t="n">
        <v>39</v>
      </c>
      <c r="B44" s="32" t="n">
        <f aca="false">LARGE($G$6:$G$45,$A44)</f>
        <v>-1523072.68401853</v>
      </c>
      <c r="C44" s="31" t="n">
        <f aca="false">IF($A44&lt;=$C$50,1,IF($A44=$C$50+1,$C$49-$C$50,0))</f>
        <v>0</v>
      </c>
      <c r="D44" s="32" t="n">
        <f aca="false">$B44*$C44</f>
        <v>-0</v>
      </c>
      <c r="F44" s="23" t="n">
        <f aca="false">03_Returns!$H44</f>
        <v>0.0616950624532107</v>
      </c>
      <c r="G44" s="32" t="n">
        <f aca="false">01_Inputs!$C$31*(01_Inputs!$C$29*EXP($F44)-01_Inputs!$C$29)+0.5*01_Inputs!$C$32*(01_Inputs!$C$29*EXP($F44)-01_Inputs!$C$29)^2+(1/6)*01_Inputs!$C$33*(01_Inputs!$C$29*EXP($F44)-01_Inputs!$C$29)^3</f>
        <v>745840.389902722</v>
      </c>
    </row>
    <row r="45" customFormat="false" ht="15" hidden="false" customHeight="false" outlineLevel="0" collapsed="false">
      <c r="A45" s="9" t="n">
        <v>40</v>
      </c>
      <c r="B45" s="32" t="n">
        <f aca="false">LARGE($G$6:$G$45,$A45)</f>
        <v>-1719209.4314577</v>
      </c>
      <c r="C45" s="31" t="n">
        <f aca="false">IF($A45&lt;=$C$50,1,IF($A45=$C$50+1,$C$49-$C$50,0))</f>
        <v>0</v>
      </c>
      <c r="D45" s="32" t="n">
        <f aca="false">$B45*$C45</f>
        <v>-0</v>
      </c>
      <c r="F45" s="23" t="n">
        <f aca="false">03_Returns!$H45</f>
        <v>-0.0791861785321285</v>
      </c>
      <c r="G45" s="32" t="n">
        <f aca="false">01_Inputs!$C$31*(01_Inputs!$C$29*EXP($F45)-01_Inputs!$C$29)+0.5*01_Inputs!$C$32*(01_Inputs!$C$29*EXP($F45)-01_Inputs!$C$29)^2+(1/6)*01_Inputs!$C$33*(01_Inputs!$C$29*EXP($F45)-01_Inputs!$C$29)^3</f>
        <v>-800555.423524677</v>
      </c>
    </row>
    <row r="48" customFormat="false" ht="15" hidden="false" customHeight="false" outlineLevel="0" collapsed="false">
      <c r="A48" s="42" t="s">
        <v>317</v>
      </c>
      <c r="B48" s="42"/>
      <c r="C48" s="43" t="n">
        <f aca="false">03_Returns!$B$47</f>
        <v>40</v>
      </c>
      <c r="D48" s="7"/>
      <c r="E48" s="7"/>
      <c r="F48" s="7"/>
      <c r="G48" s="7"/>
    </row>
    <row r="49" customFormat="false" ht="15" hidden="false" customHeight="false" outlineLevel="0" collapsed="false">
      <c r="A49" s="9" t="s">
        <v>318</v>
      </c>
      <c r="B49" s="24"/>
      <c r="C49" s="44" t="n">
        <f aca="false">01_Inputs!$C$6*$C$48</f>
        <v>1</v>
      </c>
    </row>
    <row r="50" customFormat="false" ht="15" hidden="false" customHeight="false" outlineLevel="0" collapsed="false">
      <c r="A50" s="9" t="s">
        <v>319</v>
      </c>
      <c r="B50" s="24"/>
      <c r="C50" s="37" t="n">
        <f aca="false">INT($C$49)</f>
        <v>1</v>
      </c>
    </row>
    <row r="51" customFormat="false" ht="15" hidden="false" customHeight="false" outlineLevel="0" collapsed="false">
      <c r="A51" s="9" t="s">
        <v>320</v>
      </c>
      <c r="B51" s="24"/>
      <c r="C51" s="32" t="n">
        <f aca="false">SUM($D$6:$D$45)/$C$49</f>
        <v>2807046.48876837</v>
      </c>
    </row>
    <row r="52" customFormat="false" ht="15" hidden="false" customHeight="false" outlineLevel="0" collapsed="false">
      <c r="A52" s="9" t="s">
        <v>321</v>
      </c>
      <c r="B52" s="24"/>
      <c r="C52" s="36" t="n">
        <f aca="false">01_Inputs!$C$11+01_Inputs!$C$12/SQRT($C$48-01_Inputs!$C$13)</f>
        <v>1.11116459280508</v>
      </c>
    </row>
    <row r="53" customFormat="false" ht="15" hidden="false" customHeight="false" outlineLevel="0" collapsed="false">
      <c r="A53" s="9" t="s">
        <v>322</v>
      </c>
      <c r="B53" s="24"/>
      <c r="C53" s="32" t="n">
        <f aca="false">$C$51*$C$52</f>
        <v>3119090.66867723</v>
      </c>
    </row>
    <row r="54" customFormat="false" ht="15" hidden="false" customHeight="false" outlineLevel="0" collapsed="false">
      <c r="A54" s="9" t="s">
        <v>323</v>
      </c>
      <c r="B54" s="24"/>
      <c r="C54" s="32" t="n">
        <f aca="false">06_SS_LH!$C$20</f>
        <v>5622123.88491294</v>
      </c>
    </row>
    <row r="55" customFormat="false" ht="15" hidden="false" customHeight="false" outlineLevel="0" collapsed="false">
      <c r="A55" s="9" t="s">
        <v>324</v>
      </c>
      <c r="B55" s="24"/>
      <c r="C55" s="45" t="n">
        <f aca="false">$C$54/$C$53</f>
        <v>1.80248812301991</v>
      </c>
    </row>
    <row r="57" customFormat="false" ht="15" hidden="false" customHeight="false" outlineLevel="0" collapsed="false">
      <c r="A57" s="2" t="s">
        <v>325</v>
      </c>
    </row>
    <row r="58" customFormat="false" ht="15" hidden="false" customHeight="false" outlineLevel="0" collapsed="false">
      <c r="A58" s="2" t="s">
        <v>326</v>
      </c>
    </row>
    <row r="59" customFormat="false" ht="15" hidden="false" customHeight="false" outlineLevel="0" collapsed="false">
      <c r="A59" s="2" t="s">
        <v>327</v>
      </c>
    </row>
    <row r="60" customFormat="false" ht="15" hidden="false" customHeight="false" outlineLevel="0" collapsed="false">
      <c r="A60" s="2" t="s">
        <v>328</v>
      </c>
    </row>
    <row r="61" customFormat="false" ht="15" hidden="false" customHeight="false" outlineLevel="0" collapsed="false">
      <c r="A61" s="2" t="s">
        <v>329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4"/>
    <col collapsed="false" customWidth="true" hidden="false" outlineLevel="0" max="3" min="3" style="0" width="12"/>
    <col collapsed="false" customWidth="true" hidden="false" outlineLevel="0" max="4" min="4" style="0" width="14"/>
    <col collapsed="false" customWidth="true" hidden="false" outlineLevel="0" max="5" min="5" style="0" width="18"/>
    <col collapsed="false" customWidth="true" hidden="false" outlineLevel="0" max="6" min="6" style="0" width="22"/>
    <col collapsed="false" customWidth="true" hidden="false" outlineLevel="0" max="8" min="7" style="0" width="18"/>
  </cols>
  <sheetData>
    <row r="1" customFormat="false" ht="17.35" hidden="false" customHeight="false" outlineLevel="0" collapsed="false">
      <c r="A1" s="1" t="s">
        <v>330</v>
      </c>
    </row>
    <row r="2" customFormat="false" ht="15" hidden="false" customHeight="false" outlineLevel="0" collapsed="false">
      <c r="A2" s="2" t="s">
        <v>331</v>
      </c>
    </row>
    <row r="5" customFormat="false" ht="15" hidden="false" customHeight="false" outlineLevel="0" collapsed="false">
      <c r="A5" s="8" t="s">
        <v>332</v>
      </c>
      <c r="B5" s="8" t="s">
        <v>333</v>
      </c>
      <c r="C5" s="8" t="s">
        <v>208</v>
      </c>
      <c r="D5" s="8" t="s">
        <v>334</v>
      </c>
      <c r="E5" s="8" t="s">
        <v>335</v>
      </c>
      <c r="F5" s="8" t="s">
        <v>262</v>
      </c>
      <c r="G5" s="8" t="s">
        <v>336</v>
      </c>
      <c r="H5" s="8" t="s">
        <v>337</v>
      </c>
    </row>
    <row r="6" customFormat="false" ht="15" hidden="false" customHeight="false" outlineLevel="0" collapsed="false">
      <c r="A6" s="12" t="n">
        <v>12</v>
      </c>
      <c r="B6" s="34" t="n">
        <f aca="false">$A6/2</f>
        <v>6</v>
      </c>
      <c r="C6" s="36" t="n">
        <f aca="false">01_Inputs!$C$11+01_Inputs!$C$12/SQRT($B6-01_Inputs!$C$13)</f>
        <v>1.42140452079103</v>
      </c>
      <c r="D6" s="17" t="n">
        <f aca="false">04_Shocks!$D$14*$C6</f>
        <v>0.380818685600243</v>
      </c>
      <c r="E6" s="32" t="n">
        <f aca="false">01_Inputs!$C$31*(01_Inputs!$C$29*EXP($D6)-01_Inputs!$C$29)+0.5*01_Inputs!$C$32*(01_Inputs!$C$29*EXP($D6)-01_Inputs!$C$29)^2+(1/6)*01_Inputs!$C$33*(01_Inputs!$C$29*EXP($D6)-01_Inputs!$C$29)^3</f>
        <v>7267690.57745368</v>
      </c>
      <c r="F6" s="32" t="n">
        <f aca="false">$E6*06_SS_LH!$C$15</f>
        <v>7449513.49503418</v>
      </c>
      <c r="G6" s="38" t="n">
        <f aca="false">$F6*06_SS_LH!$C$23</f>
        <v>18247506.8948111</v>
      </c>
      <c r="H6" s="45" t="n">
        <f aca="false">$G6/$G$17</f>
        <v>1.59645354746978</v>
      </c>
    </row>
    <row r="7" customFormat="false" ht="15" hidden="false" customHeight="false" outlineLevel="0" collapsed="false">
      <c r="A7" s="12" t="n">
        <v>16</v>
      </c>
      <c r="B7" s="34" t="n">
        <f aca="false">$A7/2</f>
        <v>8</v>
      </c>
      <c r="C7" s="36" t="n">
        <f aca="false">01_Inputs!$C$11+01_Inputs!$C$12/SQRT($B7-01_Inputs!$C$13)</f>
        <v>1.34223227027637</v>
      </c>
      <c r="D7" s="17" t="n">
        <f aca="false">04_Shocks!$D$14*$C7</f>
        <v>0.359607079800489</v>
      </c>
      <c r="E7" s="32" t="n">
        <f aca="false">01_Inputs!$C$31*(01_Inputs!$C$29*EXP($D7)-01_Inputs!$C$29)+0.5*01_Inputs!$C$32*(01_Inputs!$C$29*EXP($D7)-01_Inputs!$C$29)^2+(1/6)*01_Inputs!$C$33*(01_Inputs!$C$29*EXP($D7)-01_Inputs!$C$29)^3</f>
        <v>6642683.22582073</v>
      </c>
      <c r="F7" s="32" t="n">
        <f aca="false">$E7*06_SS_LH!$C$15</f>
        <v>6808869.72369238</v>
      </c>
      <c r="G7" s="32" t="n">
        <f aca="false">$F7*06_SS_LH!$C$23</f>
        <v>16678256.5481314</v>
      </c>
      <c r="H7" s="45" t="n">
        <f aca="false">$G7/$G$17</f>
        <v>1.45916162604366</v>
      </c>
    </row>
    <row r="8" customFormat="false" ht="15" hidden="false" customHeight="false" outlineLevel="0" collapsed="false">
      <c r="A8" s="12" t="n">
        <v>20</v>
      </c>
      <c r="B8" s="34" t="n">
        <f aca="false">$A8/2</f>
        <v>10</v>
      </c>
      <c r="C8" s="36" t="n">
        <f aca="false">01_Inputs!$C$11+01_Inputs!$C$12/SQRT($B8-01_Inputs!$C$13)</f>
        <v>1.29299717028502</v>
      </c>
      <c r="D8" s="17" t="n">
        <f aca="false">04_Shocks!$D$14*$C8</f>
        <v>0.346416150835617</v>
      </c>
      <c r="E8" s="32" t="n">
        <f aca="false">01_Inputs!$C$31*(01_Inputs!$C$29*EXP($D8)-01_Inputs!$C$29)+0.5*01_Inputs!$C$32*(01_Inputs!$C$29*EXP($D8)-01_Inputs!$C$29)^2+(1/6)*01_Inputs!$C$33*(01_Inputs!$C$29*EXP($D8)-01_Inputs!$C$29)^3</f>
        <v>6271579.3034623</v>
      </c>
      <c r="F8" s="32" t="n">
        <f aca="false">$E8*06_SS_LH!$C$15</f>
        <v>6428481.53184426</v>
      </c>
      <c r="G8" s="32" t="n">
        <f aca="false">$F8*06_SS_LH!$C$23</f>
        <v>15746499.5739236</v>
      </c>
      <c r="H8" s="45" t="n">
        <f aca="false">$G8/$G$17</f>
        <v>1.37764327203351</v>
      </c>
    </row>
    <row r="9" customFormat="false" ht="15" hidden="false" customHeight="false" outlineLevel="0" collapsed="false">
      <c r="A9" s="12" t="n">
        <v>24</v>
      </c>
      <c r="B9" s="34" t="n">
        <f aca="false">$A9/2</f>
        <v>12</v>
      </c>
      <c r="C9" s="36" t="n">
        <f aca="false">01_Inputs!$C$11+01_Inputs!$C$12/SQRT($B9-01_Inputs!$C$13)</f>
        <v>1.25860669992418</v>
      </c>
      <c r="D9" s="17" t="n">
        <f aca="false">04_Shocks!$D$14*$C9</f>
        <v>0.337202353124675</v>
      </c>
      <c r="E9" s="32" t="n">
        <f aca="false">01_Inputs!$C$31*(01_Inputs!$C$29*EXP($D9)-01_Inputs!$C$29)+0.5*01_Inputs!$C$32*(01_Inputs!$C$29*EXP($D9)-01_Inputs!$C$29)^2+(1/6)*01_Inputs!$C$33*(01_Inputs!$C$29*EXP($D9)-01_Inputs!$C$29)^3</f>
        <v>6020038.35055355</v>
      </c>
      <c r="F9" s="32" t="n">
        <f aca="false">$E9*06_SS_LH!$C$15</f>
        <v>6170647.53309633</v>
      </c>
      <c r="G9" s="32" t="n">
        <f aca="false">$F9*06_SS_LH!$C$23</f>
        <v>15114937.8386498</v>
      </c>
      <c r="H9" s="45" t="n">
        <f aca="false">$G9/$G$17</f>
        <v>1.32238865678464</v>
      </c>
    </row>
    <row r="10" customFormat="false" ht="15" hidden="false" customHeight="false" outlineLevel="0" collapsed="false">
      <c r="A10" s="12" t="n">
        <v>30</v>
      </c>
      <c r="B10" s="34" t="n">
        <f aca="false">$A10/2</f>
        <v>15</v>
      </c>
      <c r="C10" s="36" t="n">
        <f aca="false">01_Inputs!$C$11+01_Inputs!$C$12/SQRT($B10-01_Inputs!$C$13)</f>
        <v>1.22216552697591</v>
      </c>
      <c r="D10" s="17" t="n">
        <f aca="false">04_Shocks!$D$14*$C10</f>
        <v>0.327439136967061</v>
      </c>
      <c r="E10" s="32" t="n">
        <f aca="false">01_Inputs!$C$31*(01_Inputs!$C$29*EXP($D10)-01_Inputs!$C$29)+0.5*01_Inputs!$C$32*(01_Inputs!$C$29*EXP($D10)-01_Inputs!$C$29)^2+(1/6)*01_Inputs!$C$33*(01_Inputs!$C$29*EXP($D10)-01_Inputs!$C$29)^3</f>
        <v>5760181.14554523</v>
      </c>
      <c r="F10" s="32" t="n">
        <f aca="false">$E10*06_SS_LH!$C$15</f>
        <v>5904289.22644294</v>
      </c>
      <c r="G10" s="32" t="n">
        <f aca="false">$F10*06_SS_LH!$C$23</f>
        <v>14462495.8985972</v>
      </c>
      <c r="H10" s="45" t="n">
        <f aca="false">$G10/$G$17</f>
        <v>1.26530725625582</v>
      </c>
    </row>
    <row r="11" customFormat="false" ht="15" hidden="false" customHeight="false" outlineLevel="0" collapsed="false">
      <c r="A11" s="12" t="n">
        <v>40</v>
      </c>
      <c r="B11" s="34" t="n">
        <f aca="false">$A11/2</f>
        <v>20</v>
      </c>
      <c r="C11" s="36" t="n">
        <f aca="false">01_Inputs!$C$11+01_Inputs!$C$12/SQRT($B11-01_Inputs!$C$13)</f>
        <v>1.18249527748764</v>
      </c>
      <c r="D11" s="17" t="n">
        <f aca="false">04_Shocks!$D$14*$C11</f>
        <v>0.316810795740772</v>
      </c>
      <c r="E11" s="32" t="n">
        <f aca="false">01_Inputs!$C$31*(01_Inputs!$C$29*EXP($D11)-01_Inputs!$C$29)+0.5*01_Inputs!$C$32*(01_Inputs!$C$29*EXP($D11)-01_Inputs!$C$29)^2+(1/6)*01_Inputs!$C$33*(01_Inputs!$C$29*EXP($D11)-01_Inputs!$C$29)^3</f>
        <v>5484902.71356594</v>
      </c>
      <c r="F11" s="32" t="n">
        <f aca="false">$E11*06_SS_LH!$C$15</f>
        <v>5622123.88491294</v>
      </c>
      <c r="G11" s="32" t="n">
        <f aca="false">$F11*06_SS_LH!$C$23</f>
        <v>13771334.7887506</v>
      </c>
      <c r="H11" s="45" t="n">
        <f aca="false">$G11/$G$17</f>
        <v>1.20483835976226</v>
      </c>
    </row>
    <row r="12" customFormat="false" ht="15" hidden="false" customHeight="false" outlineLevel="0" collapsed="false">
      <c r="A12" s="12" t="n">
        <v>60</v>
      </c>
      <c r="B12" s="34" t="n">
        <f aca="false">$A12/2</f>
        <v>30</v>
      </c>
      <c r="C12" s="36" t="n">
        <f aca="false">01_Inputs!$C$11+01_Inputs!$C$12/SQRT($B12-01_Inputs!$C$13)</f>
        <v>1.13731716231634</v>
      </c>
      <c r="D12" s="17" t="n">
        <f aca="false">04_Shocks!$D$14*$C12</f>
        <v>0.304706802693208</v>
      </c>
      <c r="E12" s="32" t="n">
        <f aca="false">01_Inputs!$C$31*(01_Inputs!$C$29*EXP($D12)-01_Inputs!$C$29)+0.5*01_Inputs!$C$32*(01_Inputs!$C$29*EXP($D12)-01_Inputs!$C$29)^2+(1/6)*01_Inputs!$C$33*(01_Inputs!$C$29*EXP($D12)-01_Inputs!$C$29)^3</f>
        <v>5180771.52089877</v>
      </c>
      <c r="F12" s="32" t="n">
        <f aca="false">$E12*06_SS_LH!$C$15</f>
        <v>5310383.94498437</v>
      </c>
      <c r="G12" s="32" t="n">
        <f aca="false">$F12*06_SS_LH!$C$23</f>
        <v>13007731.0034797</v>
      </c>
      <c r="H12" s="45" t="n">
        <f aca="false">$G12/$G$17</f>
        <v>1.13803153629403</v>
      </c>
    </row>
    <row r="13" customFormat="false" ht="15" hidden="false" customHeight="false" outlineLevel="0" collapsed="false">
      <c r="A13" s="12" t="n">
        <v>80</v>
      </c>
      <c r="B13" s="34" t="n">
        <f aca="false">$A13/2</f>
        <v>40</v>
      </c>
      <c r="C13" s="36" t="n">
        <f aca="false">01_Inputs!$C$11+01_Inputs!$C$12/SQRT($B13-01_Inputs!$C$13)</f>
        <v>1.11116459280508</v>
      </c>
      <c r="D13" s="17" t="n">
        <f aca="false">04_Shocks!$D$14*$C13</f>
        <v>0.297700080116579</v>
      </c>
      <c r="E13" s="32" t="n">
        <f aca="false">01_Inputs!$C$31*(01_Inputs!$C$29*EXP($D13)-01_Inputs!$C$29)+0.5*01_Inputs!$C$32*(01_Inputs!$C$29*EXP($D13)-01_Inputs!$C$29)^2+(1/6)*01_Inputs!$C$33*(01_Inputs!$C$29*EXP($D13)-01_Inputs!$C$29)^3</f>
        <v>5009151.01093113</v>
      </c>
      <c r="F13" s="32" t="n">
        <f aca="false">$E13*06_SS_LH!$C$15</f>
        <v>5134469.83700145</v>
      </c>
      <c r="G13" s="32" t="n">
        <f aca="false">$F13*06_SS_LH!$C$23</f>
        <v>12576831.2003647</v>
      </c>
      <c r="H13" s="45" t="n">
        <f aca="false">$G13/$G$17</f>
        <v>1.10033260442062</v>
      </c>
    </row>
    <row r="14" customFormat="false" ht="15" hidden="false" customHeight="false" outlineLevel="0" collapsed="false">
      <c r="A14" s="12" t="n">
        <v>100</v>
      </c>
      <c r="B14" s="34" t="n">
        <f aca="false">$A14/2</f>
        <v>50</v>
      </c>
      <c r="C14" s="36" t="n">
        <f aca="false">01_Inputs!$C$11+01_Inputs!$C$12/SQRT($B14-01_Inputs!$C$13)</f>
        <v>1.09359163172355</v>
      </c>
      <c r="D14" s="17" t="n">
        <f aca="false">04_Shocks!$D$14*$C14</f>
        <v>0.292991982004265</v>
      </c>
      <c r="E14" s="32" t="n">
        <f aca="false">01_Inputs!$C$31*(01_Inputs!$C$29*EXP($D14)-01_Inputs!$C$29)+0.5*01_Inputs!$C$32*(01_Inputs!$C$29*EXP($D14)-01_Inputs!$C$29)^2+(1/6)*01_Inputs!$C$33*(01_Inputs!$C$29*EXP($D14)-01_Inputs!$C$29)^3</f>
        <v>4895618.57796126</v>
      </c>
      <c r="F14" s="32" t="n">
        <f aca="false">$E14*06_SS_LH!$C$15</f>
        <v>5018097.05220557</v>
      </c>
      <c r="G14" s="32" t="n">
        <f aca="false">$F14*06_SS_LH!$C$23</f>
        <v>12291777.257668</v>
      </c>
      <c r="H14" s="45" t="n">
        <f aca="false">$G14/$G$17</f>
        <v>1.07539356038236</v>
      </c>
    </row>
    <row r="15" customFormat="false" ht="15" hidden="false" customHeight="false" outlineLevel="0" collapsed="false">
      <c r="A15" s="12" t="n">
        <v>150</v>
      </c>
      <c r="B15" s="34" t="n">
        <f aca="false">$A15/2</f>
        <v>75</v>
      </c>
      <c r="C15" s="36" t="n">
        <f aca="false">01_Inputs!$C$11+01_Inputs!$C$12/SQRT($B15-01_Inputs!$C$13)</f>
        <v>1.06664236870396</v>
      </c>
      <c r="D15" s="17" t="n">
        <f aca="false">04_Shocks!$D$14*$C15</f>
        <v>0.285771811552504</v>
      </c>
      <c r="E15" s="32" t="n">
        <f aca="false">01_Inputs!$C$31*(01_Inputs!$C$29*EXP($D15)-01_Inputs!$C$29)+0.5*01_Inputs!$C$32*(01_Inputs!$C$29*EXP($D15)-01_Inputs!$C$29)^2+(1/6)*01_Inputs!$C$33*(01_Inputs!$C$29*EXP($D15)-01_Inputs!$C$29)^3</f>
        <v>4724249.92067861</v>
      </c>
      <c r="F15" s="32" t="n">
        <f aca="false">$E15*06_SS_LH!$C$15</f>
        <v>4842441.09775239</v>
      </c>
      <c r="G15" s="32" t="n">
        <f aca="false">$F15*06_SS_LH!$C$23</f>
        <v>11861509.7989762</v>
      </c>
      <c r="H15" s="45" t="n">
        <f aca="false">$G15/$G$17</f>
        <v>1.03774995160067</v>
      </c>
    </row>
    <row r="16" customFormat="false" ht="15" hidden="false" customHeight="false" outlineLevel="0" collapsed="false">
      <c r="A16" s="12" t="n">
        <v>200</v>
      </c>
      <c r="B16" s="34" t="n">
        <f aca="false">$A16/2</f>
        <v>100</v>
      </c>
      <c r="C16" s="36" t="n">
        <f aca="false">01_Inputs!$C$11+01_Inputs!$C$12/SQRT($B16-01_Inputs!$C$13)</f>
        <v>1.05075854437198</v>
      </c>
      <c r="D16" s="17" t="n">
        <f aca="false">04_Shocks!$D$14*$C16</f>
        <v>0.281516262188523</v>
      </c>
      <c r="E16" s="32" t="n">
        <f aca="false">01_Inputs!$C$31*(01_Inputs!$C$29*EXP($D16)-01_Inputs!$C$29)+0.5*01_Inputs!$C$32*(01_Inputs!$C$29*EXP($D16)-01_Inputs!$C$29)^2+(1/6)*01_Inputs!$C$33*(01_Inputs!$C$29*EXP($D16)-01_Inputs!$C$29)^3</f>
        <v>4624776.51387323</v>
      </c>
      <c r="F16" s="32" t="n">
        <f aca="false">$E16*06_SS_LH!$C$15</f>
        <v>4740479.06751783</v>
      </c>
      <c r="G16" s="32" t="n">
        <f aca="false">$F16*06_SS_LH!$C$23</f>
        <v>11611754.8517633</v>
      </c>
      <c r="H16" s="45" t="n">
        <f aca="false">$G16/$G$17</f>
        <v>1.01589917638109</v>
      </c>
    </row>
    <row r="17" customFormat="false" ht="15" hidden="false" customHeight="false" outlineLevel="0" collapsed="false">
      <c r="A17" s="12" t="n">
        <v>255</v>
      </c>
      <c r="B17" s="34" t="n">
        <f aca="false">$A17/2</f>
        <v>127.5</v>
      </c>
      <c r="C17" s="36" t="n">
        <f aca="false">01_Inputs!$C$11+01_Inputs!$C$12/SQRT($B17-01_Inputs!$C$13)</f>
        <v>1.03908708063747</v>
      </c>
      <c r="D17" s="17" t="n">
        <f aca="false">04_Shocks!$D$14*$C17</f>
        <v>0.278389276581407</v>
      </c>
      <c r="E17" s="32" t="n">
        <f aca="false">01_Inputs!$C$31*(01_Inputs!$C$29*EXP($D17)-01_Inputs!$C$29)+0.5*01_Inputs!$C$32*(01_Inputs!$C$29*EXP($D17)-01_Inputs!$C$29)^2+(1/6)*01_Inputs!$C$33*(01_Inputs!$C$29*EXP($D17)-01_Inputs!$C$29)^3</f>
        <v>4552397.14865005</v>
      </c>
      <c r="F17" s="32" t="n">
        <f aca="false">$E17*06_SS_LH!$C$15</f>
        <v>4666288.9169816</v>
      </c>
      <c r="G17" s="38" t="n">
        <f aca="false">$F17*06_SS_LH!$C$23</f>
        <v>11430026.8390093</v>
      </c>
      <c r="H17" s="45" t="n">
        <f aca="false">$G17/$G$17</f>
        <v>1</v>
      </c>
    </row>
    <row r="20" customFormat="false" ht="15" hidden="false" customHeight="false" outlineLevel="0" collapsed="false">
      <c r="A20" s="2" t="s">
        <v>338</v>
      </c>
    </row>
    <row r="21" customFormat="false" ht="15" hidden="false" customHeight="false" outlineLevel="0" collapsed="false">
      <c r="A21" s="2"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2026-08-04T11:43:26Z</dcterms:created>
  <dc:creator>openpyxl</dc:creator>
  <dc:description/>
  <dc:language>en-US</dc:language>
  <cp:lastModifiedBy/>
  <dcterms:modified xsi:type="dcterms:W3CDTF">2026-08-04T11:43:26Z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