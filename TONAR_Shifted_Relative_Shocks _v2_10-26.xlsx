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b46584a777bbbf/Python/AI/FRTB_IMA/scnario genereation/Scnearios_Generation_Macro_IMA_All_12_Pages/"/>
    </mc:Choice>
  </mc:AlternateContent>
  <xr:revisionPtr revIDLastSave="2" documentId="11_DE24C3798F18356C93A30FAFEDECCC01D6B5C9E8" xr6:coauthVersionLast="47" xr6:coauthVersionMax="47" xr10:uidLastSave="{820A603C-C8A5-494A-97D2-4DA5E13D302A}"/>
  <bookViews>
    <workbookView xWindow="28680" yWindow="-120" windowWidth="29040" windowHeight="15840" tabRatio="500" activeTab="2" xr2:uid="{00000000-000D-0000-FFFF-FFFF00000000}"/>
  </bookViews>
  <sheets>
    <sheet name="Inputs" sheetId="1" r:id="rId1"/>
    <sheet name="Two_Histories_S0_4pct" sheetId="2" r:id="rId2"/>
    <sheet name="Sheet2" sheetId="10" r:id="rId3"/>
    <sheet name="Eq14_x_gt_1_Issue" sheetId="3" r:id="rId4"/>
    <sheet name="Scenario_Grid" sheetId="4" r:id="rId5"/>
    <sheet name="Step_by_Step" sheetId="5" r:id="rId6"/>
    <sheet name="Eta_vs_Theta" sheetId="6" r:id="rId7"/>
    <sheet name="Rescaling_272bp" sheetId="7" r:id="rId8"/>
    <sheet name="Eq14_Cap_and_Floor" sheetId="8" r:id="rId9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8" l="1"/>
  <c r="E29" i="8"/>
  <c r="D29" i="8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D26" i="8"/>
  <c r="E26" i="8" s="1"/>
  <c r="C26" i="8"/>
  <c r="B26" i="8"/>
  <c r="F25" i="8"/>
  <c r="D25" i="8"/>
  <c r="C25" i="8"/>
  <c r="E25" i="8" s="1"/>
  <c r="B25" i="8"/>
  <c r="F24" i="8"/>
  <c r="D24" i="8"/>
  <c r="B24" i="8"/>
  <c r="C24" i="8" s="1"/>
  <c r="E24" i="8" s="1"/>
  <c r="F23" i="8"/>
  <c r="E23" i="8"/>
  <c r="D23" i="8"/>
  <c r="C23" i="8"/>
  <c r="B23" i="8"/>
  <c r="F22" i="8"/>
  <c r="D22" i="8"/>
  <c r="C22" i="8"/>
  <c r="E22" i="8" s="1"/>
  <c r="B22" i="8"/>
  <c r="F21" i="8"/>
  <c r="E21" i="8"/>
  <c r="D21" i="8"/>
  <c r="C21" i="8"/>
  <c r="B21" i="8"/>
  <c r="F20" i="8"/>
  <c r="E20" i="8"/>
  <c r="D20" i="8"/>
  <c r="C20" i="8"/>
  <c r="B20" i="8"/>
  <c r="F19" i="8"/>
  <c r="D19" i="8"/>
  <c r="C19" i="8"/>
  <c r="E19" i="8" s="1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D15" i="8"/>
  <c r="C15" i="8"/>
  <c r="B15" i="8"/>
  <c r="F14" i="8"/>
  <c r="D14" i="8"/>
  <c r="E14" i="8" s="1"/>
  <c r="C14" i="8"/>
  <c r="B14" i="8"/>
  <c r="F13" i="8"/>
  <c r="D13" i="8"/>
  <c r="C13" i="8"/>
  <c r="E13" i="8" s="1"/>
  <c r="B13" i="8"/>
  <c r="F12" i="8"/>
  <c r="D12" i="8"/>
  <c r="B12" i="8"/>
  <c r="C12" i="8" s="1"/>
  <c r="E12" i="8" s="1"/>
  <c r="F11" i="8"/>
  <c r="E11" i="8"/>
  <c r="D11" i="8"/>
  <c r="C11" i="8"/>
  <c r="B11" i="8"/>
  <c r="F10" i="8"/>
  <c r="D10" i="8"/>
  <c r="C10" i="8"/>
  <c r="E10" i="8" s="1"/>
  <c r="B10" i="8"/>
  <c r="F9" i="8"/>
  <c r="E9" i="8"/>
  <c r="D9" i="8"/>
  <c r="C9" i="8"/>
  <c r="B9" i="8"/>
  <c r="F8" i="8"/>
  <c r="E8" i="8"/>
  <c r="D8" i="8"/>
  <c r="C8" i="8"/>
  <c r="B8" i="8"/>
  <c r="F7" i="8"/>
  <c r="D7" i="8"/>
  <c r="C7" i="8"/>
  <c r="E7" i="8" s="1"/>
  <c r="B7" i="8"/>
  <c r="F6" i="8"/>
  <c r="E6" i="8"/>
  <c r="D6" i="8"/>
  <c r="C6" i="8"/>
  <c r="B6" i="8"/>
  <c r="F5" i="8"/>
  <c r="E5" i="8"/>
  <c r="D5" i="8"/>
  <c r="C5" i="8"/>
  <c r="B5" i="8"/>
  <c r="E59" i="7"/>
  <c r="D59" i="7"/>
  <c r="C59" i="7"/>
  <c r="B59" i="7"/>
  <c r="E58" i="7"/>
  <c r="D58" i="7"/>
  <c r="C58" i="7"/>
  <c r="B58" i="7"/>
  <c r="E57" i="7"/>
  <c r="D57" i="7"/>
  <c r="C57" i="7"/>
  <c r="B57" i="7"/>
  <c r="E56" i="7"/>
  <c r="D56" i="7"/>
  <c r="C56" i="7"/>
  <c r="B56" i="7"/>
  <c r="E55" i="7"/>
  <c r="D55" i="7"/>
  <c r="C55" i="7"/>
  <c r="B55" i="7"/>
  <c r="E54" i="7"/>
  <c r="D54" i="7"/>
  <c r="C54" i="7"/>
  <c r="B54" i="7"/>
  <c r="E53" i="7"/>
  <c r="D53" i="7"/>
  <c r="C53" i="7"/>
  <c r="B53" i="7"/>
  <c r="L48" i="7"/>
  <c r="E48" i="7"/>
  <c r="D48" i="7"/>
  <c r="M47" i="7"/>
  <c r="L47" i="7"/>
  <c r="K47" i="7"/>
  <c r="F47" i="7"/>
  <c r="G47" i="7" s="1"/>
  <c r="H47" i="7" s="1"/>
  <c r="I47" i="7" s="1"/>
  <c r="J47" i="7" s="1"/>
  <c r="E47" i="7"/>
  <c r="D47" i="7"/>
  <c r="M46" i="7"/>
  <c r="L46" i="7"/>
  <c r="K46" i="7"/>
  <c r="H46" i="7"/>
  <c r="I46" i="7" s="1"/>
  <c r="J46" i="7" s="1"/>
  <c r="G46" i="7"/>
  <c r="F46" i="7"/>
  <c r="E46" i="7"/>
  <c r="D46" i="7"/>
  <c r="L45" i="7"/>
  <c r="K45" i="7"/>
  <c r="F45" i="7"/>
  <c r="M45" i="7" s="1"/>
  <c r="E45" i="7"/>
  <c r="D45" i="7"/>
  <c r="M44" i="7"/>
  <c r="L44" i="7"/>
  <c r="K44" i="7"/>
  <c r="G44" i="7"/>
  <c r="H44" i="7" s="1"/>
  <c r="I44" i="7" s="1"/>
  <c r="J44" i="7" s="1"/>
  <c r="F44" i="7"/>
  <c r="E44" i="7"/>
  <c r="D44" i="7"/>
  <c r="M43" i="7"/>
  <c r="L43" i="7"/>
  <c r="K43" i="7"/>
  <c r="G43" i="7"/>
  <c r="H43" i="7" s="1"/>
  <c r="I43" i="7" s="1"/>
  <c r="J43" i="7" s="1"/>
  <c r="F43" i="7"/>
  <c r="E43" i="7"/>
  <c r="D43" i="7"/>
  <c r="L42" i="7"/>
  <c r="K42" i="7"/>
  <c r="E42" i="7"/>
  <c r="D42" i="7"/>
  <c r="B37" i="7"/>
  <c r="B36" i="7"/>
  <c r="B35" i="7"/>
  <c r="B34" i="7"/>
  <c r="C27" i="7"/>
  <c r="B27" i="7"/>
  <c r="C26" i="7"/>
  <c r="B26" i="7"/>
  <c r="D16" i="7"/>
  <c r="D15" i="7"/>
  <c r="D14" i="7"/>
  <c r="D13" i="7"/>
  <c r="D12" i="7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B14" i="6"/>
  <c r="B15" i="6" s="1"/>
  <c r="B16" i="6" s="1"/>
  <c r="B17" i="6" s="1"/>
  <c r="B18" i="6" s="1"/>
  <c r="B13" i="6"/>
  <c r="B12" i="6"/>
  <c r="B11" i="6"/>
  <c r="E9" i="5"/>
  <c r="E11" i="5" s="1"/>
  <c r="E8" i="5"/>
  <c r="E7" i="5"/>
  <c r="E15" i="5" s="1"/>
  <c r="A47" i="4"/>
  <c r="A46" i="4"/>
  <c r="A45" i="4"/>
  <c r="A41" i="4"/>
  <c r="A40" i="4"/>
  <c r="A39" i="4"/>
  <c r="A35" i="4"/>
  <c r="A34" i="4"/>
  <c r="A33" i="4"/>
  <c r="A29" i="4"/>
  <c r="A28" i="4"/>
  <c r="A27" i="4"/>
  <c r="H24" i="4"/>
  <c r="H23" i="4"/>
  <c r="A23" i="4"/>
  <c r="H22" i="4"/>
  <c r="A22" i="4"/>
  <c r="H21" i="4"/>
  <c r="A21" i="4"/>
  <c r="K16" i="4"/>
  <c r="J16" i="4"/>
  <c r="D16" i="4"/>
  <c r="E16" i="4" s="1"/>
  <c r="C16" i="4"/>
  <c r="K15" i="4"/>
  <c r="J15" i="4"/>
  <c r="D15" i="4"/>
  <c r="E15" i="4" s="1"/>
  <c r="C15" i="4"/>
  <c r="K14" i="4"/>
  <c r="J14" i="4"/>
  <c r="D14" i="4"/>
  <c r="E14" i="4" s="1"/>
  <c r="C14" i="4"/>
  <c r="K13" i="4"/>
  <c r="J13" i="4"/>
  <c r="D13" i="4"/>
  <c r="E13" i="4" s="1"/>
  <c r="C13" i="4"/>
  <c r="K12" i="4"/>
  <c r="J12" i="4"/>
  <c r="D12" i="4"/>
  <c r="E12" i="4" s="1"/>
  <c r="C12" i="4"/>
  <c r="K11" i="4"/>
  <c r="J11" i="4"/>
  <c r="D11" i="4"/>
  <c r="E11" i="4" s="1"/>
  <c r="C11" i="4"/>
  <c r="K10" i="4"/>
  <c r="J10" i="4"/>
  <c r="D10" i="4"/>
  <c r="E10" i="4" s="1"/>
  <c r="C10" i="4"/>
  <c r="K9" i="4"/>
  <c r="J9" i="4"/>
  <c r="D9" i="4"/>
  <c r="E9" i="4" s="1"/>
  <c r="C9" i="4"/>
  <c r="K8" i="4"/>
  <c r="J8" i="4"/>
  <c r="D8" i="4"/>
  <c r="E8" i="4" s="1"/>
  <c r="C8" i="4"/>
  <c r="K7" i="4"/>
  <c r="J7" i="4"/>
  <c r="D7" i="4"/>
  <c r="E7" i="4" s="1"/>
  <c r="C7" i="4"/>
  <c r="K6" i="4"/>
  <c r="J6" i="4"/>
  <c r="D6" i="4"/>
  <c r="E6" i="4" s="1"/>
  <c r="C6" i="4"/>
  <c r="K5" i="4"/>
  <c r="J5" i="4"/>
  <c r="D5" i="4"/>
  <c r="E5" i="4" s="1"/>
  <c r="C5" i="4"/>
  <c r="G47" i="3"/>
  <c r="E47" i="3"/>
  <c r="F47" i="3" s="1"/>
  <c r="H47" i="3" s="1"/>
  <c r="D47" i="3"/>
  <c r="C47" i="3"/>
  <c r="B47" i="3"/>
  <c r="C46" i="3"/>
  <c r="B46" i="3"/>
  <c r="G46" i="3" s="1"/>
  <c r="G45" i="3"/>
  <c r="E45" i="3"/>
  <c r="F45" i="3" s="1"/>
  <c r="H45" i="3" s="1"/>
  <c r="D45" i="3"/>
  <c r="C45" i="3"/>
  <c r="B45" i="3"/>
  <c r="G44" i="3"/>
  <c r="B44" i="3"/>
  <c r="C44" i="3" s="1"/>
  <c r="G43" i="3"/>
  <c r="B43" i="3"/>
  <c r="C43" i="3" s="1"/>
  <c r="H42" i="3"/>
  <c r="G42" i="3"/>
  <c r="D42" i="3"/>
  <c r="E42" i="3" s="1"/>
  <c r="F42" i="3" s="1"/>
  <c r="C42" i="3"/>
  <c r="B42" i="3"/>
  <c r="B41" i="3"/>
  <c r="G41" i="3" s="1"/>
  <c r="G40" i="3"/>
  <c r="D40" i="3"/>
  <c r="E40" i="3" s="1"/>
  <c r="F40" i="3" s="1"/>
  <c r="C40" i="3"/>
  <c r="H40" i="3" s="1"/>
  <c r="B40" i="3"/>
  <c r="B37" i="3"/>
  <c r="H26" i="3"/>
  <c r="C26" i="3"/>
  <c r="D26" i="3" s="1"/>
  <c r="B26" i="3"/>
  <c r="H25" i="3"/>
  <c r="D25" i="3"/>
  <c r="E25" i="3" s="1"/>
  <c r="F25" i="3" s="1"/>
  <c r="G25" i="3" s="1"/>
  <c r="I25" i="3" s="1"/>
  <c r="C25" i="3"/>
  <c r="B25" i="3"/>
  <c r="H24" i="3"/>
  <c r="E24" i="3"/>
  <c r="F24" i="3" s="1"/>
  <c r="G24" i="3" s="1"/>
  <c r="D24" i="3"/>
  <c r="I24" i="3" s="1"/>
  <c r="C24" i="3"/>
  <c r="B24" i="3"/>
  <c r="H23" i="3"/>
  <c r="C23" i="3"/>
  <c r="D23" i="3" s="1"/>
  <c r="B23" i="3"/>
  <c r="H22" i="3"/>
  <c r="D22" i="3"/>
  <c r="E22" i="3" s="1"/>
  <c r="F22" i="3" s="1"/>
  <c r="G22" i="3" s="1"/>
  <c r="I22" i="3" s="1"/>
  <c r="C22" i="3"/>
  <c r="B22" i="3"/>
  <c r="H21" i="3"/>
  <c r="E21" i="3"/>
  <c r="F21" i="3" s="1"/>
  <c r="G21" i="3" s="1"/>
  <c r="D21" i="3"/>
  <c r="I21" i="3" s="1"/>
  <c r="C21" i="3"/>
  <c r="B21" i="3"/>
  <c r="H20" i="3"/>
  <c r="C20" i="3"/>
  <c r="D20" i="3" s="1"/>
  <c r="B20" i="3"/>
  <c r="H19" i="3"/>
  <c r="D19" i="3"/>
  <c r="E19" i="3" s="1"/>
  <c r="F19" i="3" s="1"/>
  <c r="G19" i="3" s="1"/>
  <c r="I19" i="3" s="1"/>
  <c r="C19" i="3"/>
  <c r="B19" i="3"/>
  <c r="H18" i="3"/>
  <c r="E18" i="3"/>
  <c r="F18" i="3" s="1"/>
  <c r="G18" i="3" s="1"/>
  <c r="D18" i="3"/>
  <c r="I18" i="3" s="1"/>
  <c r="C18" i="3"/>
  <c r="B18" i="3"/>
  <c r="H17" i="3"/>
  <c r="C17" i="3"/>
  <c r="D17" i="3" s="1"/>
  <c r="B17" i="3"/>
  <c r="I16" i="3"/>
  <c r="H16" i="3"/>
  <c r="D16" i="3"/>
  <c r="E16" i="3" s="1"/>
  <c r="F16" i="3" s="1"/>
  <c r="G16" i="3" s="1"/>
  <c r="C16" i="3"/>
  <c r="B16" i="3"/>
  <c r="H15" i="3"/>
  <c r="E15" i="3"/>
  <c r="F15" i="3" s="1"/>
  <c r="G15" i="3" s="1"/>
  <c r="D15" i="3"/>
  <c r="I15" i="3" s="1"/>
  <c r="C15" i="3"/>
  <c r="B15" i="3"/>
  <c r="B11" i="3"/>
  <c r="B12" i="3" s="1"/>
  <c r="B10" i="3"/>
  <c r="H29" i="2"/>
  <c r="G29" i="2"/>
  <c r="F29" i="2"/>
  <c r="E29" i="2"/>
  <c r="D29" i="2"/>
  <c r="G28" i="2"/>
  <c r="H28" i="2" s="1"/>
  <c r="F28" i="2"/>
  <c r="E28" i="2"/>
  <c r="D28" i="2"/>
  <c r="E27" i="2"/>
  <c r="D27" i="2"/>
  <c r="G27" i="2" s="1"/>
  <c r="H26" i="2"/>
  <c r="G26" i="2"/>
  <c r="F26" i="2"/>
  <c r="E26" i="2"/>
  <c r="D26" i="2"/>
  <c r="C26" i="2"/>
  <c r="I26" i="2" s="1"/>
  <c r="I25" i="2"/>
  <c r="G25" i="2"/>
  <c r="H25" i="2" s="1"/>
  <c r="F25" i="2"/>
  <c r="E25" i="2"/>
  <c r="D25" i="2"/>
  <c r="C25" i="2"/>
  <c r="I24" i="2"/>
  <c r="E24" i="2"/>
  <c r="D24" i="2"/>
  <c r="G24" i="2" s="1"/>
  <c r="C24" i="2"/>
  <c r="H23" i="2"/>
  <c r="G23" i="2"/>
  <c r="F23" i="2"/>
  <c r="E23" i="2"/>
  <c r="D23" i="2"/>
  <c r="G22" i="2"/>
  <c r="H22" i="2" s="1"/>
  <c r="F22" i="2"/>
  <c r="E22" i="2"/>
  <c r="D22" i="2"/>
  <c r="E21" i="2"/>
  <c r="D21" i="2"/>
  <c r="G21" i="2" s="1"/>
  <c r="H20" i="2"/>
  <c r="G20" i="2"/>
  <c r="F20" i="2"/>
  <c r="E20" i="2"/>
  <c r="D20" i="2"/>
  <c r="C20" i="2"/>
  <c r="I20" i="2" s="1"/>
  <c r="I19" i="2"/>
  <c r="G19" i="2"/>
  <c r="H19" i="2" s="1"/>
  <c r="F19" i="2"/>
  <c r="E19" i="2"/>
  <c r="D19" i="2"/>
  <c r="C19" i="2"/>
  <c r="I18" i="2"/>
  <c r="E18" i="2"/>
  <c r="D18" i="2"/>
  <c r="G18" i="2" s="1"/>
  <c r="C18" i="2"/>
  <c r="B10" i="2"/>
  <c r="C28" i="2" s="1"/>
  <c r="I28" i="2" s="1"/>
  <c r="B8" i="2"/>
  <c r="B12" i="1"/>
  <c r="F16" i="4" s="1"/>
  <c r="B9" i="1"/>
  <c r="B8" i="1"/>
  <c r="D44" i="3" l="1"/>
  <c r="E44" i="3" s="1"/>
  <c r="F44" i="3" s="1"/>
  <c r="H44" i="3" s="1"/>
  <c r="J20" i="2"/>
  <c r="P20" i="2"/>
  <c r="Y15" i="4"/>
  <c r="U15" i="4"/>
  <c r="P24" i="2"/>
  <c r="I17" i="3"/>
  <c r="E17" i="3"/>
  <c r="F17" i="3" s="1"/>
  <c r="G17" i="3" s="1"/>
  <c r="E20" i="3"/>
  <c r="F20" i="3" s="1"/>
  <c r="G20" i="3" s="1"/>
  <c r="I20" i="3" s="1"/>
  <c r="E23" i="3"/>
  <c r="F23" i="3" s="1"/>
  <c r="G23" i="3" s="1"/>
  <c r="I23" i="3" s="1"/>
  <c r="E26" i="3"/>
  <c r="F26" i="3" s="1"/>
  <c r="G26" i="3" s="1"/>
  <c r="I26" i="3" s="1"/>
  <c r="E16" i="5"/>
  <c r="E27" i="5"/>
  <c r="Y12" i="4"/>
  <c r="U12" i="4"/>
  <c r="J19" i="2"/>
  <c r="P19" i="2"/>
  <c r="D43" i="3"/>
  <c r="E43" i="3" s="1"/>
  <c r="F43" i="3" s="1"/>
  <c r="H43" i="3"/>
  <c r="G13" i="4"/>
  <c r="H13" i="4" s="1"/>
  <c r="I13" i="4" s="1"/>
  <c r="B47" i="4" s="1"/>
  <c r="G16" i="4"/>
  <c r="H16" i="4" s="1"/>
  <c r="Y9" i="4"/>
  <c r="U9" i="4"/>
  <c r="Y7" i="4"/>
  <c r="U7" i="4"/>
  <c r="L23" i="4" s="1"/>
  <c r="Y10" i="4"/>
  <c r="U10" i="4"/>
  <c r="Y13" i="4"/>
  <c r="U13" i="4"/>
  <c r="Y16" i="4"/>
  <c r="I16" i="4"/>
  <c r="E47" i="4" s="1"/>
  <c r="U16" i="4"/>
  <c r="J28" i="2"/>
  <c r="P28" i="2"/>
  <c r="J25" i="2"/>
  <c r="P25" i="2"/>
  <c r="G11" i="4"/>
  <c r="H11" i="4" s="1"/>
  <c r="I11" i="4" s="1"/>
  <c r="D46" i="4" s="1"/>
  <c r="G14" i="4"/>
  <c r="H14" i="4" s="1"/>
  <c r="I14" i="4" s="1"/>
  <c r="C47" i="4" s="1"/>
  <c r="Y6" i="4"/>
  <c r="U6" i="4"/>
  <c r="L22" i="4" s="1"/>
  <c r="J26" i="2"/>
  <c r="P26" i="2"/>
  <c r="U5" i="4"/>
  <c r="L21" i="4" s="1"/>
  <c r="Y5" i="4"/>
  <c r="Y8" i="4"/>
  <c r="U8" i="4"/>
  <c r="L24" i="4" s="1"/>
  <c r="Y11" i="4"/>
  <c r="U11" i="4"/>
  <c r="Y14" i="4"/>
  <c r="U14" i="4"/>
  <c r="H18" i="2"/>
  <c r="P18" i="2" s="1"/>
  <c r="H21" i="2"/>
  <c r="H24" i="2"/>
  <c r="H27" i="2"/>
  <c r="K48" i="7"/>
  <c r="J18" i="2"/>
  <c r="J24" i="2"/>
  <c r="D17" i="7"/>
  <c r="D18" i="7" s="1"/>
  <c r="D19" i="7" s="1"/>
  <c r="D20" i="7" s="1"/>
  <c r="G45" i="7"/>
  <c r="H45" i="7" s="1"/>
  <c r="I45" i="7" s="1"/>
  <c r="J45" i="7" s="1"/>
  <c r="C23" i="2"/>
  <c r="I23" i="2" s="1"/>
  <c r="C29" i="2"/>
  <c r="I29" i="2" s="1"/>
  <c r="B13" i="1"/>
  <c r="L5" i="4"/>
  <c r="L6" i="4"/>
  <c r="L7" i="4"/>
  <c r="L8" i="4"/>
  <c r="L9" i="4"/>
  <c r="L10" i="4"/>
  <c r="L11" i="4"/>
  <c r="L12" i="4"/>
  <c r="L13" i="4"/>
  <c r="L14" i="4"/>
  <c r="L15" i="4"/>
  <c r="L16" i="4"/>
  <c r="W16" i="4" s="1"/>
  <c r="M5" i="4"/>
  <c r="M6" i="4"/>
  <c r="M7" i="4"/>
  <c r="M8" i="4"/>
  <c r="M9" i="4"/>
  <c r="M10" i="4"/>
  <c r="M11" i="4"/>
  <c r="M12" i="4"/>
  <c r="M13" i="4"/>
  <c r="M14" i="4"/>
  <c r="M15" i="4"/>
  <c r="M16" i="4"/>
  <c r="N16" i="4" s="1"/>
  <c r="C21" i="2"/>
  <c r="I21" i="2" s="1"/>
  <c r="C27" i="2"/>
  <c r="I27" i="2" s="1"/>
  <c r="C41" i="3"/>
  <c r="D46" i="3"/>
  <c r="E46" i="3" s="1"/>
  <c r="F46" i="3" s="1"/>
  <c r="H46" i="3" s="1"/>
  <c r="F42" i="7"/>
  <c r="F48" i="7"/>
  <c r="E10" i="5"/>
  <c r="E12" i="5" s="1"/>
  <c r="E13" i="5" s="1"/>
  <c r="E14" i="5" s="1"/>
  <c r="E25" i="5" s="1"/>
  <c r="F18" i="2"/>
  <c r="F21" i="2"/>
  <c r="F24" i="2"/>
  <c r="F27" i="2"/>
  <c r="F5" i="4"/>
  <c r="G5" i="4" s="1"/>
  <c r="H5" i="4" s="1"/>
  <c r="I5" i="4" s="1"/>
  <c r="B45" i="4" s="1"/>
  <c r="F6" i="4"/>
  <c r="G6" i="4" s="1"/>
  <c r="H6" i="4" s="1"/>
  <c r="I6" i="4" s="1"/>
  <c r="C45" i="4" s="1"/>
  <c r="F7" i="4"/>
  <c r="G7" i="4" s="1"/>
  <c r="H7" i="4" s="1"/>
  <c r="I7" i="4" s="1"/>
  <c r="D45" i="4" s="1"/>
  <c r="F8" i="4"/>
  <c r="G8" i="4" s="1"/>
  <c r="H8" i="4" s="1"/>
  <c r="I8" i="4" s="1"/>
  <c r="E45" i="4" s="1"/>
  <c r="F9" i="4"/>
  <c r="G9" i="4" s="1"/>
  <c r="H9" i="4" s="1"/>
  <c r="I9" i="4" s="1"/>
  <c r="B46" i="4" s="1"/>
  <c r="F10" i="4"/>
  <c r="G10" i="4" s="1"/>
  <c r="H10" i="4" s="1"/>
  <c r="I10" i="4" s="1"/>
  <c r="C46" i="4" s="1"/>
  <c r="F11" i="4"/>
  <c r="F12" i="4"/>
  <c r="G12" i="4" s="1"/>
  <c r="H12" i="4" s="1"/>
  <c r="I12" i="4" s="1"/>
  <c r="E46" i="4" s="1"/>
  <c r="F13" i="4"/>
  <c r="F14" i="4"/>
  <c r="F15" i="4"/>
  <c r="G15" i="4" s="1"/>
  <c r="H15" i="4" s="1"/>
  <c r="I15" i="4" s="1"/>
  <c r="D47" i="4" s="1"/>
  <c r="C22" i="2"/>
  <c r="I22" i="2" s="1"/>
  <c r="B28" i="7" l="1"/>
  <c r="C28" i="7" s="1"/>
  <c r="D21" i="7"/>
  <c r="N8" i="4"/>
  <c r="N11" i="4"/>
  <c r="W13" i="4"/>
  <c r="E17" i="5"/>
  <c r="G48" i="7"/>
  <c r="H48" i="7" s="1"/>
  <c r="I48" i="7" s="1"/>
  <c r="J48" i="7" s="1"/>
  <c r="M48" i="7"/>
  <c r="N10" i="4"/>
  <c r="W12" i="4"/>
  <c r="K25" i="2"/>
  <c r="L25" i="2" s="1"/>
  <c r="M25" i="2" s="1"/>
  <c r="R25" i="2"/>
  <c r="W9" i="4"/>
  <c r="G42" i="7"/>
  <c r="H42" i="7" s="1"/>
  <c r="I42" i="7" s="1"/>
  <c r="J42" i="7" s="1"/>
  <c r="M42" i="7"/>
  <c r="N9" i="4"/>
  <c r="W11" i="4"/>
  <c r="R24" i="2"/>
  <c r="K24" i="2"/>
  <c r="L24" i="2" s="1"/>
  <c r="M24" i="2" s="1"/>
  <c r="R18" i="2"/>
  <c r="K18" i="2"/>
  <c r="L18" i="2" s="1"/>
  <c r="M18" i="2" s="1"/>
  <c r="P27" i="2"/>
  <c r="J27" i="2"/>
  <c r="N6" i="4"/>
  <c r="W8" i="4"/>
  <c r="K28" i="2"/>
  <c r="L28" i="2" s="1"/>
  <c r="M28" i="2" s="1"/>
  <c r="R28" i="2"/>
  <c r="D41" i="3"/>
  <c r="E41" i="3" s="1"/>
  <c r="F41" i="3" s="1"/>
  <c r="H41" i="3"/>
  <c r="P21" i="2"/>
  <c r="J21" i="2"/>
  <c r="N5" i="4"/>
  <c r="W7" i="4"/>
  <c r="L19" i="2"/>
  <c r="M19" i="2" s="1"/>
  <c r="K19" i="2"/>
  <c r="R19" i="2"/>
  <c r="O16" i="4"/>
  <c r="P16" i="4" s="1"/>
  <c r="Q16" i="4" s="1"/>
  <c r="Z16" i="4"/>
  <c r="W6" i="4"/>
  <c r="K20" i="2"/>
  <c r="L20" i="2"/>
  <c r="M20" i="2" s="1"/>
  <c r="R20" i="2"/>
  <c r="J22" i="2"/>
  <c r="P22" i="2"/>
  <c r="N15" i="4"/>
  <c r="W5" i="4"/>
  <c r="N7" i="4"/>
  <c r="N14" i="4"/>
  <c r="W10" i="4"/>
  <c r="N13" i="4"/>
  <c r="W15" i="4"/>
  <c r="J29" i="2"/>
  <c r="P29" i="2"/>
  <c r="N12" i="4"/>
  <c r="W14" i="4"/>
  <c r="J23" i="2"/>
  <c r="P23" i="2"/>
  <c r="K26" i="2"/>
  <c r="L26" i="2"/>
  <c r="M26" i="2" s="1"/>
  <c r="R26" i="2"/>
  <c r="N25" i="2" l="1"/>
  <c r="C36" i="2"/>
  <c r="N18" i="2"/>
  <c r="B34" i="2"/>
  <c r="N24" i="2"/>
  <c r="B36" i="2"/>
  <c r="N28" i="2"/>
  <c r="C37" i="2"/>
  <c r="E41" i="4"/>
  <c r="R16" i="4"/>
  <c r="S16" i="4" s="1"/>
  <c r="O13" i="4"/>
  <c r="P13" i="4" s="1"/>
  <c r="Q13" i="4" s="1"/>
  <c r="Z13" i="4"/>
  <c r="E18" i="5"/>
  <c r="E19" i="5" s="1"/>
  <c r="E20" i="5" s="1"/>
  <c r="E21" i="5" s="1"/>
  <c r="E22" i="5" s="1"/>
  <c r="E23" i="5" s="1"/>
  <c r="K23" i="2"/>
  <c r="R23" i="2"/>
  <c r="L23" i="2"/>
  <c r="M23" i="2" s="1"/>
  <c r="O15" i="4"/>
  <c r="P15" i="4" s="1"/>
  <c r="Q15" i="4" s="1"/>
  <c r="Z15" i="4"/>
  <c r="O9" i="4"/>
  <c r="P9" i="4" s="1"/>
  <c r="Q9" i="4" s="1"/>
  <c r="Z9" i="4"/>
  <c r="D36" i="2"/>
  <c r="N26" i="2"/>
  <c r="N19" i="2"/>
  <c r="C34" i="2"/>
  <c r="O6" i="4"/>
  <c r="P6" i="4" s="1"/>
  <c r="Q6" i="4" s="1"/>
  <c r="Z6" i="4"/>
  <c r="O11" i="4"/>
  <c r="P11" i="4" s="1"/>
  <c r="Q11" i="4" s="1"/>
  <c r="Z11" i="4"/>
  <c r="O12" i="4"/>
  <c r="P12" i="4" s="1"/>
  <c r="Q12" i="4" s="1"/>
  <c r="Z12" i="4"/>
  <c r="R27" i="2"/>
  <c r="L27" i="2"/>
  <c r="M27" i="2" s="1"/>
  <c r="K27" i="2"/>
  <c r="O8" i="4"/>
  <c r="P8" i="4" s="1"/>
  <c r="Q8" i="4" s="1"/>
  <c r="Z8" i="4"/>
  <c r="D34" i="2"/>
  <c r="N20" i="2"/>
  <c r="P7" i="4"/>
  <c r="Q7" i="4" s="1"/>
  <c r="O7" i="4"/>
  <c r="Z7" i="4"/>
  <c r="K22" i="2"/>
  <c r="L22" i="2" s="1"/>
  <c r="M22" i="2" s="1"/>
  <c r="R22" i="2"/>
  <c r="O5" i="4"/>
  <c r="P5" i="4" s="1"/>
  <c r="Q5" i="4" s="1"/>
  <c r="Z5" i="4"/>
  <c r="K29" i="2"/>
  <c r="R29" i="2"/>
  <c r="L29" i="2"/>
  <c r="M29" i="2" s="1"/>
  <c r="P10" i="4"/>
  <c r="Q10" i="4" s="1"/>
  <c r="O10" i="4"/>
  <c r="Z10" i="4"/>
  <c r="O14" i="4"/>
  <c r="P14" i="4" s="1"/>
  <c r="Q14" i="4" s="1"/>
  <c r="Z14" i="4"/>
  <c r="R21" i="2"/>
  <c r="K21" i="2"/>
  <c r="L21" i="2" s="1"/>
  <c r="M21" i="2" s="1"/>
  <c r="B41" i="4" l="1"/>
  <c r="R13" i="4"/>
  <c r="S13" i="4" s="1"/>
  <c r="E39" i="4"/>
  <c r="R8" i="4"/>
  <c r="S8" i="4" s="1"/>
  <c r="B39" i="4"/>
  <c r="R5" i="4"/>
  <c r="S5" i="4" s="1"/>
  <c r="B40" i="4"/>
  <c r="R9" i="4"/>
  <c r="S9" i="4" s="1"/>
  <c r="B35" i="2"/>
  <c r="N21" i="2"/>
  <c r="C35" i="2"/>
  <c r="N22" i="2"/>
  <c r="E40" i="4"/>
  <c r="R12" i="4"/>
  <c r="S12" i="4" s="1"/>
  <c r="D41" i="4"/>
  <c r="R15" i="4"/>
  <c r="S15" i="4" s="1"/>
  <c r="C41" i="4"/>
  <c r="R14" i="4"/>
  <c r="S14" i="4" s="1"/>
  <c r="D40" i="4"/>
  <c r="R11" i="4"/>
  <c r="S11" i="4" s="1"/>
  <c r="C39" i="4"/>
  <c r="R6" i="4"/>
  <c r="S6" i="4" s="1"/>
  <c r="E24" i="5"/>
  <c r="E26" i="5"/>
  <c r="D37" i="2"/>
  <c r="N29" i="2"/>
  <c r="C40" i="4"/>
  <c r="R10" i="4"/>
  <c r="S10" i="4" s="1"/>
  <c r="D39" i="4"/>
  <c r="R7" i="4"/>
  <c r="S7" i="4" s="1"/>
  <c r="E23" i="4"/>
  <c r="T16" i="4"/>
  <c r="O28" i="2"/>
  <c r="C53" i="2" s="1"/>
  <c r="Q28" i="2"/>
  <c r="C45" i="2"/>
  <c r="N23" i="2"/>
  <c r="D35" i="2"/>
  <c r="Q24" i="2"/>
  <c r="O24" i="2"/>
  <c r="B52" i="2" s="1"/>
  <c r="B44" i="2"/>
  <c r="N27" i="2"/>
  <c r="B37" i="2"/>
  <c r="O19" i="2"/>
  <c r="C50" i="2" s="1"/>
  <c r="C42" i="2"/>
  <c r="Q19" i="2"/>
  <c r="Q18" i="2"/>
  <c r="B42" i="2"/>
  <c r="O18" i="2"/>
  <c r="B50" i="2" s="1"/>
  <c r="D42" i="2"/>
  <c r="Q20" i="2"/>
  <c r="O20" i="2"/>
  <c r="D50" i="2" s="1"/>
  <c r="Q26" i="2"/>
  <c r="D44" i="2"/>
  <c r="O26" i="2"/>
  <c r="D52" i="2" s="1"/>
  <c r="O25" i="2"/>
  <c r="C52" i="2" s="1"/>
  <c r="Q25" i="2"/>
  <c r="C44" i="2"/>
  <c r="Q23" i="2" l="1"/>
  <c r="O23" i="2"/>
  <c r="D51" i="2" s="1"/>
  <c r="D43" i="2"/>
  <c r="C43" i="2"/>
  <c r="O22" i="2"/>
  <c r="C51" i="2" s="1"/>
  <c r="Q22" i="2"/>
  <c r="C21" i="4"/>
  <c r="T6" i="4"/>
  <c r="B43" i="2"/>
  <c r="Q21" i="2"/>
  <c r="O21" i="2"/>
  <c r="B51" i="2" s="1"/>
  <c r="E29" i="4"/>
  <c r="K24" i="4"/>
  <c r="X16" i="4"/>
  <c r="V16" i="4"/>
  <c r="E35" i="4" s="1"/>
  <c r="D22" i="4"/>
  <c r="T11" i="4"/>
  <c r="B22" i="4"/>
  <c r="T9" i="4"/>
  <c r="D21" i="4"/>
  <c r="T7" i="4"/>
  <c r="C23" i="4"/>
  <c r="T14" i="4"/>
  <c r="B21" i="4"/>
  <c r="T5" i="4"/>
  <c r="C22" i="4"/>
  <c r="T10" i="4"/>
  <c r="D23" i="4"/>
  <c r="T15" i="4"/>
  <c r="E21" i="4"/>
  <c r="T8" i="4"/>
  <c r="D45" i="2"/>
  <c r="Q29" i="2"/>
  <c r="O29" i="2"/>
  <c r="D53" i="2" s="1"/>
  <c r="E22" i="4"/>
  <c r="T12" i="4"/>
  <c r="B23" i="4"/>
  <c r="T13" i="4"/>
  <c r="Q27" i="2"/>
  <c r="O27" i="2"/>
  <c r="B53" i="2" s="1"/>
  <c r="B45" i="2"/>
  <c r="I22" i="4" l="1"/>
  <c r="C27" i="4"/>
  <c r="X6" i="4"/>
  <c r="V6" i="4"/>
  <c r="C33" i="4" s="1"/>
  <c r="E27" i="4"/>
  <c r="X8" i="4"/>
  <c r="I24" i="4"/>
  <c r="V8" i="4"/>
  <c r="E33" i="4" s="1"/>
  <c r="X9" i="4"/>
  <c r="J21" i="4"/>
  <c r="V9" i="4"/>
  <c r="B34" i="4" s="1"/>
  <c r="B28" i="4"/>
  <c r="C29" i="4"/>
  <c r="X14" i="4"/>
  <c r="V14" i="4"/>
  <c r="C35" i="4" s="1"/>
  <c r="K22" i="4"/>
  <c r="D27" i="4"/>
  <c r="I23" i="4"/>
  <c r="X7" i="4"/>
  <c r="V7" i="4"/>
  <c r="D33" i="4" s="1"/>
  <c r="K23" i="4"/>
  <c r="D29" i="4"/>
  <c r="X15" i="4"/>
  <c r="V15" i="4"/>
  <c r="D35" i="4" s="1"/>
  <c r="X10" i="4"/>
  <c r="C28" i="4"/>
  <c r="V10" i="4"/>
  <c r="C34" i="4" s="1"/>
  <c r="J22" i="4"/>
  <c r="X12" i="4"/>
  <c r="E28" i="4"/>
  <c r="J24" i="4"/>
  <c r="V12" i="4"/>
  <c r="E34" i="4" s="1"/>
  <c r="J23" i="4"/>
  <c r="X11" i="4"/>
  <c r="D28" i="4"/>
  <c r="V11" i="4"/>
  <c r="D34" i="4" s="1"/>
  <c r="B29" i="4"/>
  <c r="X13" i="4"/>
  <c r="K21" i="4"/>
  <c r="V13" i="4"/>
  <c r="B35" i="4" s="1"/>
  <c r="B27" i="4"/>
  <c r="I21" i="4"/>
  <c r="X5" i="4"/>
  <c r="V5" i="4"/>
  <c r="B33" i="4" s="1"/>
</calcChain>
</file>

<file path=xl/sharedStrings.xml><?xml version="1.0" encoding="utf-8"?>
<sst xmlns="http://schemas.openxmlformats.org/spreadsheetml/2006/main" count="574" uniqueCount="355">
  <si>
    <t>Shifted relative shocks with historical shift - JPY TONAR illustration</t>
  </si>
  <si>
    <t>Blue = input (edit), black = formula, green = link from another sheet. Yellow = key assumption. All rates stored as decimals (0.5% = 0.005).</t>
  </si>
  <si>
    <t>Parameter</t>
  </si>
  <si>
    <t>Value</t>
  </si>
  <si>
    <t>Symbol / Eq.</t>
  </si>
  <si>
    <t>Comment</t>
  </si>
  <si>
    <t>Desk SABR shift</t>
  </si>
  <si>
    <t>θ</t>
  </si>
  <si>
    <t>User assumption: θ = 0.50%. Taken from desk, never changed by scenario generation.</t>
  </si>
  <si>
    <t>Historical window start rate</t>
  </si>
  <si>
    <t>S(t_h)</t>
  </si>
  <si>
    <t>User assumption: 0.50%</t>
  </si>
  <si>
    <t>Historical window end rate</t>
  </si>
  <si>
    <t>S(t_h+Δ)</t>
  </si>
  <si>
    <t>User assumption: 0.25%</t>
  </si>
  <si>
    <t>Historical absolute move</t>
  </si>
  <si>
    <t>ΔS</t>
  </si>
  <si>
    <t>= S(t_h+Δ) - S(t_h)  → -25bp</t>
  </si>
  <si>
    <t>Historical move (bp)</t>
  </si>
  <si>
    <t>Minimum historical TONAR</t>
  </si>
  <si>
    <t>min S(t_h)</t>
  </si>
  <si>
    <t>User: JPY TONAR low ≈ -0.49%</t>
  </si>
  <si>
    <t>Buffer b</t>
  </si>
  <si>
    <t>b</t>
  </si>
  <si>
    <t>Assumption: 11bp buffer chosen so η = 0.60% (≠ θ, to show rescaling). Set to 0.0001 to get η = θ = 0.50%.</t>
  </si>
  <si>
    <t>Historical shift η</t>
  </si>
  <si>
    <t>η  (Eq. 15)</t>
  </si>
  <si>
    <t>η = max{-S(t_h)} + b</t>
  </si>
  <si>
    <t>Check: S(t_h)+η &gt; 0 for history</t>
  </si>
  <si>
    <t>Required for z_h to be defined</t>
  </si>
  <si>
    <t>Horizon</t>
  </si>
  <si>
    <t>Δ (days)</t>
  </si>
  <si>
    <t>Informational only - the shock is the window move</t>
  </si>
  <si>
    <t>Key equations used</t>
  </si>
  <si>
    <t>Eq. 12 - shock (measured with η)</t>
  </si>
  <si>
    <t>z_h = [S(t_h+Δ) - S(t_h)] / (S(t_h) + η)^β</t>
  </si>
  <si>
    <t>Scaling term</t>
  </si>
  <si>
    <t>x_h = (S0 + θ)^(β-1) · z_h</t>
  </si>
  <si>
    <t>Eq. 14 - shocked rate (applied with θ)</t>
  </si>
  <si>
    <t>S(Δ) = (S0 + θ) · exp{ x_h - ½ x_h² } - θ</t>
  </si>
  <si>
    <t>Multiplier F</t>
  </si>
  <si>
    <t>F = exp{ x_h - ½ x_h² }  → shifted rate today is multiplied by F; F &gt; 0 so S(Δ) &gt; -θ always</t>
  </si>
  <si>
    <t>Eq. 6 (linear, for comparison)</t>
  </si>
  <si>
    <t>S(Δ) ≈ S0 + (S0 + θ)^β · z_h   (Eq. 14 equals this to 2nd order)</t>
  </si>
  <si>
    <t>Scaling factor</t>
  </si>
  <si>
    <t>Applied shock today / historical absolute shock</t>
  </si>
  <si>
    <t>Eq. 15 - historical shift</t>
  </si>
  <si>
    <t>Shocked rate at S0 = 4% for two historical moves, β ∈ {0, 0.5, 1}, θ ∈ {1%, η}</t>
  </si>
  <si>
    <t>Blue cells are inputs. η = max{-S(t_h)} + b (Eq.15). θ = η removes the shift mismatch; the level effect remains.</t>
  </si>
  <si>
    <t>Input</t>
  </si>
  <si>
    <t>Today's rate S0</t>
  </si>
  <si>
    <t>User assumption</t>
  </si>
  <si>
    <t>Lowest historical rate</t>
  </si>
  <si>
    <t>User: -0.49%</t>
  </si>
  <si>
    <t>Chosen so η = 0.60%</t>
  </si>
  <si>
    <t>η (Eq.15)</t>
  </si>
  <si>
    <t>= 0.49% + 0.11%</t>
  </si>
  <si>
    <t>θ case 1</t>
  </si>
  <si>
    <t>Desk-style shift 1%</t>
  </si>
  <si>
    <t>θ case 2 (= η)</t>
  </si>
  <si>
    <t>Shift equal to η</t>
  </si>
  <si>
    <t>History A start</t>
  </si>
  <si>
    <t>0.50%</t>
  </si>
  <si>
    <t>History A end</t>
  </si>
  <si>
    <t>0.25%  (-25bp)</t>
  </si>
  <si>
    <t>History B start</t>
  </si>
  <si>
    <t>0.01%</t>
  </si>
  <si>
    <t>History B end</t>
  </si>
  <si>
    <t>0.50%  (+49bp)</t>
  </si>
  <si>
    <t>History</t>
  </si>
  <si>
    <t>β</t>
  </si>
  <si>
    <t>ΔS (bp)</t>
  </si>
  <si>
    <t>S(t_h)+η</t>
  </si>
  <si>
    <t>z_h (Eq.12)</t>
  </si>
  <si>
    <t>R0 = S0+θ</t>
  </si>
  <si>
    <t>x_h</t>
  </si>
  <si>
    <t>½x²</t>
  </si>
  <si>
    <t>F = exp(x-½x²)</t>
  </si>
  <si>
    <t>Shocked rate (Eq.14)</t>
  </si>
  <si>
    <t>Applied shock (bp)</t>
  </si>
  <si>
    <t>Linear Eq.6 (bp)</t>
  </si>
  <si>
    <t>Eq.14 - Eq.6 (bp)</t>
  </si>
  <si>
    <t>x ≤ 1?</t>
  </si>
  <si>
    <t>A: 0.50% → 0.25%</t>
  </si>
  <si>
    <t>B: 0.01% → 0.50%</t>
  </si>
  <si>
    <t>Summary 1 - Shocked rate</t>
  </si>
  <si>
    <t>History / θ</t>
  </si>
  <si>
    <t>β = 0</t>
  </si>
  <si>
    <t>β = 0.5</t>
  </si>
  <si>
    <t>β = 1</t>
  </si>
  <si>
    <t>A, θ = 1%</t>
  </si>
  <si>
    <t>A, θ = η</t>
  </si>
  <si>
    <t>B, θ = 1%</t>
  </si>
  <si>
    <t>B, θ = η</t>
  </si>
  <si>
    <t>Summary 2 - Applied shock (bp)   [A = -25bp, B = +49bp historical]</t>
  </si>
  <si>
    <t>Summary 3 - Scaling factor</t>
  </si>
  <si>
    <t>Eq.14 issue: past x = 1, a LARGER historical rise gives a SMALLER (then negative) shock today</t>
  </si>
  <si>
    <t>F(x) = exp(x - ½x²) has dF/dx = (1 - x)·F, so F rises until x = 1 (F = e^0.5 = 1.6487) and then falls back to 0. The shocked rate can therefore never exceed (S0+θ)·1.6487 - θ, and bigger up-moves are pushed back down.</t>
  </si>
  <si>
    <t>Case 1 input</t>
  </si>
  <si>
    <t>Shifted lognormal</t>
  </si>
  <si>
    <t>S0 today</t>
  </si>
  <si>
    <t>4%</t>
  </si>
  <si>
    <t>Desk shift</t>
  </si>
  <si>
    <t>η</t>
  </si>
  <si>
    <t>0.49% + 11bp</t>
  </si>
  <si>
    <t>S(t_h) window start</t>
  </si>
  <si>
    <t>0.01% - near zero</t>
  </si>
  <si>
    <t>Rise giving x = 1 (bp)</t>
  </si>
  <si>
    <t>ΔS* = (S_h+η)^β·(S0+θ)^(1-β)</t>
  </si>
  <si>
    <t>Max possible shocked rate</t>
  </si>
  <si>
    <t>(S0+θ)·e^0.5 - θ</t>
  </si>
  <si>
    <t>Max possible up-shock (bp)</t>
  </si>
  <si>
    <t>Hard ceiling, whatever the history</t>
  </si>
  <si>
    <t>Historical end S(t_h+Δ)</t>
  </si>
  <si>
    <t>Historical rise (bp)</t>
  </si>
  <si>
    <t>z_h</t>
  </si>
  <si>
    <t>Zone</t>
  </si>
  <si>
    <t>Sign flip happens when x &gt; 2 (then x - ½x² &lt; 0, so F &lt; 1): a historical RISE becomes a FALL today.</t>
  </si>
  <si>
    <t>Case 2 input</t>
  </si>
  <si>
    <t>Normal-like - still affected near the floor</t>
  </si>
  <si>
    <t>-0.40%: 10bp above the floor</t>
  </si>
  <si>
    <t>Desk shift 0.50% → floor -0.50%</t>
  </si>
  <si>
    <t>Irrelevant for β = 0 (z = ΔS)</t>
  </si>
  <si>
    <t>Only enters z when β &gt; 0</t>
  </si>
  <si>
    <t>Only 10bp!</t>
  </si>
  <si>
    <t>z_h = ΔS</t>
  </si>
  <si>
    <t>x_h = z/(S0+θ)</t>
  </si>
  <si>
    <t>Near the floor even β = 0 breaks: S0+θ = 0.10%, so any rise above 20bp (x &gt; 2) produces a FALL. JPY/EUR/CHF at negative rates are exposed.</t>
  </si>
  <si>
    <t>Scenario grid: β ∈ {0, 0.5, 1} × S0 ∈ {0%, 2%, 3%, 4%}  -  historical move 0.50% → 0.25% (-25bp)</t>
  </si>
  <si>
    <t>β and S0 (blue) are editable. Everything else is formula-driven from the Inputs sheet.</t>
  </si>
  <si>
    <t>Today S0</t>
  </si>
  <si>
    <t>ΔS hist</t>
  </si>
  <si>
    <t>(S(t_h)+η)^β</t>
  </si>
  <si>
    <t>R0^β</t>
  </si>
  <si>
    <t>R0^(β-1)</t>
  </si>
  <si>
    <t>x_h = R0^(β-1)·z</t>
  </si>
  <si>
    <t>½ x_h²</t>
  </si>
  <si>
    <t>x - ½x²</t>
  </si>
  <si>
    <t>Multiplier F = exp(x-½x²)</t>
  </si>
  <si>
    <t>Shocked R = R0·F</t>
  </si>
  <si>
    <t>Shocked S(Δ) (Eq.14)</t>
  </si>
  <si>
    <t>Historical shock (bp)</t>
  </si>
  <si>
    <t>Linear Eq.6 shock (bp)</t>
  </si>
  <si>
    <t>Plain absolute shock S0+ΔS</t>
  </si>
  <si>
    <t>x ≤ 1 check</t>
  </si>
  <si>
    <t>Summary 1 - Shocked TONAR S(Δ) (Eq. 14)</t>
  </si>
  <si>
    <t>Chart data - applied shock (bp) vs today's rate</t>
  </si>
  <si>
    <t>β \ S0</t>
  </si>
  <si>
    <t>0%</t>
  </si>
  <si>
    <t>2%</t>
  </si>
  <si>
    <t>3%</t>
  </si>
  <si>
    <t>S0</t>
  </si>
  <si>
    <t>Plain absolute</t>
  </si>
  <si>
    <t>Summary 2 - Applied shock today (bp)   [historical = -25bp]</t>
  </si>
  <si>
    <t>Summary 3 - Scaling factor (applied / historical)</t>
  </si>
  <si>
    <t>Summary 4 - Multiplier F = exp(x - ½x²) on the shifted rate</t>
  </si>
  <si>
    <t>Summary 5 - z_h (Eq. 12)   [same across S0: depends on history + η + β only]</t>
  </si>
  <si>
    <t>Worked example - one scenario, every equation in order</t>
  </si>
  <si>
    <t>Change β and S0 (blue) to walk through any case. Default: β = 0.5, S0 = 2%.</t>
  </si>
  <si>
    <t>Step</t>
  </si>
  <si>
    <t>Eq.</t>
  </si>
  <si>
    <t>What</t>
  </si>
  <si>
    <t>Formula</t>
  </si>
  <si>
    <t>Inputs</t>
  </si>
  <si>
    <t>β (desk SABR backbone)</t>
  </si>
  <si>
    <t>input</t>
  </si>
  <si>
    <t>Desk parameter, not calibrated by risk</t>
  </si>
  <si>
    <t>Today's TONAR S0</t>
  </si>
  <si>
    <t>θ (desk shift)</t>
  </si>
  <si>
    <t>= Inputs!B5</t>
  </si>
  <si>
    <t>= Inputs!B6</t>
  </si>
  <si>
    <t>S(t_h+Δ) window end</t>
  </si>
  <si>
    <t>= Inputs!B7</t>
  </si>
  <si>
    <t>1. Historical shift</t>
  </si>
  <si>
    <t>15</t>
  </si>
  <si>
    <t>= Inputs!B12</t>
  </si>
  <si>
    <t>0.49% + 0.11% = 0.60%</t>
  </si>
  <si>
    <t>2. Historical move</t>
  </si>
  <si>
    <t>ΔS = S(t_h+Δ) - S(t_h)</t>
  </si>
  <si>
    <t>= E9 - E8</t>
  </si>
  <si>
    <t>-25bp</t>
  </si>
  <si>
    <t>3. Shifted hist. level</t>
  </si>
  <si>
    <t>12</t>
  </si>
  <si>
    <t>S(t_h) + η</t>
  </si>
  <si>
    <t>= E8 + E10</t>
  </si>
  <si>
    <t>Must be &gt; 0</t>
  </si>
  <si>
    <t>4. Denominator</t>
  </si>
  <si>
    <t>(S(t_h) + η)^β</t>
  </si>
  <si>
    <t>= E12 ^ E5</t>
  </si>
  <si>
    <t>Local SABR vol scale in history</t>
  </si>
  <si>
    <t>5. Shock z_h</t>
  </si>
  <si>
    <t>z_h = ΔS / (S(t_h)+η)^β</t>
  </si>
  <si>
    <t>= E11 / E13</t>
  </si>
  <si>
    <t>Realisation of σ·ΔW. Units: rate^(1-β)</t>
  </si>
  <si>
    <t>6. Shifted rate today</t>
  </si>
  <si>
    <t>3</t>
  </si>
  <si>
    <t>R0 = S0 + θ</t>
  </si>
  <si>
    <t>= E6 + E7</t>
  </si>
  <si>
    <t>7. Re-scaling term</t>
  </si>
  <si>
    <t>13/14</t>
  </si>
  <si>
    <t>= E15 ^ (E5 - 1)</t>
  </si>
  <si>
    <t>Converts σ·ΔW into a relative move of the shifted rate today</t>
  </si>
  <si>
    <t>8. Scaled shock x_h</t>
  </si>
  <si>
    <t>x_h = R0^(β-1) · z_h</t>
  </si>
  <si>
    <t>= E16 * E14</t>
  </si>
  <si>
    <t>Relative (log) move of S+θ, 1st order</t>
  </si>
  <si>
    <t>9. Itô correction</t>
  </si>
  <si>
    <t>13</t>
  </si>
  <si>
    <t>= 0.5 * E17^2</t>
  </si>
  <si>
    <t>z_h² used as realisation of σ²Δ</t>
  </si>
  <si>
    <t>10. Log move</t>
  </si>
  <si>
    <t>Δ ln(S+θ) = x_h - ½ x_h²</t>
  </si>
  <si>
    <t>= E17 - E18</t>
  </si>
  <si>
    <t>11. Multiplier F</t>
  </si>
  <si>
    <t>14</t>
  </si>
  <si>
    <t>F = exp(x_h - ½ x_h²)</t>
  </si>
  <si>
    <t>= EXP(E19)</t>
  </si>
  <si>
    <t>Always &gt; 0; max e^0.5 = 1.6487 at x = 1</t>
  </si>
  <si>
    <t>12. Shocked shifted rate</t>
  </si>
  <si>
    <t>R(Δ) = R0 · F</t>
  </si>
  <si>
    <t>= E15 * E20</t>
  </si>
  <si>
    <t>13. Shocked rate</t>
  </si>
  <si>
    <t>S(Δ) = R0 · F - θ</t>
  </si>
  <si>
    <t>= E21 - E7</t>
  </si>
  <si>
    <t>Guaranteed &gt; -θ</t>
  </si>
  <si>
    <t>14. Applied shock</t>
  </si>
  <si>
    <t>S(Δ) - S0 (bp)</t>
  </si>
  <si>
    <t>= (E22 - E6) * 10000</t>
  </si>
  <si>
    <t>15. Scaling factor</t>
  </si>
  <si>
    <t>Applied / historical</t>
  </si>
  <si>
    <t>= E23 / (E11*10000)</t>
  </si>
  <si>
    <t>Check A</t>
  </si>
  <si>
    <t>6</t>
  </si>
  <si>
    <t>Linear Eq.6: R0^β · z_h (bp)</t>
  </si>
  <si>
    <t>= E15^E5 * E14 * 10000</t>
  </si>
  <si>
    <t>1st-order equivalent</t>
  </si>
  <si>
    <t>Check B</t>
  </si>
  <si>
    <t>= E23 - E25</t>
  </si>
  <si>
    <t>Small: 3rd-order term only</t>
  </si>
  <si>
    <t>Check C</t>
  </si>
  <si>
    <t>4/6</t>
  </si>
  <si>
    <t>Desk-θ martingale shock (η=θ) (bp)</t>
  </si>
  <si>
    <t>= (E15^E5)*E11/(E8+E7)^E5*10000</t>
  </si>
  <si>
    <t>What you get if θ were used to measure history (Eq.4→6)</t>
  </si>
  <si>
    <t>Point 3 - when η ≠ θ (or simply when levels differ), shock sizes get rescaled</t>
  </si>
  <si>
    <t>Case from the note: β = 1, η = 1%, θ = 1%, history 0.10% → 0.80% (+70bp), applied at S0 = 4%.</t>
  </si>
  <si>
    <t>Item</t>
  </si>
  <si>
    <t>Formula / comment</t>
  </si>
  <si>
    <t>η (historical shift)</t>
  </si>
  <si>
    <t>input 0.10%</t>
  </si>
  <si>
    <t>input 0.80%</t>
  </si>
  <si>
    <t>input 4%</t>
  </si>
  <si>
    <t>ΔS hist (bp)</t>
  </si>
  <si>
    <t>+70bp</t>
  </si>
  <si>
    <t>z_h  (Eq.12)</t>
  </si>
  <si>
    <t>= 0.70% / 1.10% ≈ 0.636</t>
  </si>
  <si>
    <t>β=1 → x = z</t>
  </si>
  <si>
    <t>≈ +272bp</t>
  </si>
  <si>
    <t>≈ 3.9x the historical move</t>
  </si>
  <si>
    <t>Why</t>
  </si>
  <si>
    <t>Relative move 63.6% measured on a 1.10% shifted base, re-applied to a 5.00% shifted base</t>
  </si>
  <si>
    <t>Table A - Applied shock (bp) for the +70bp history, θ = 1%, S0 = 4%: sensitivity to η and β</t>
  </si>
  <si>
    <t>Each cell: S0 → (S0+θ)·exp(x-½x²) - θ with x = (S0+θ)^(β-1)·ΔS/(S(t_h)+η)^β. β = 0 is immune to η; β = 1 is most sensitive.</t>
  </si>
  <si>
    <t>η \ β</t>
  </si>
  <si>
    <t>Note η = 0.20%, β = 1: x = 0.70%/0.30% = 2.33 &gt; 1, so exp(x-½x²) &lt; 1 and a +70bp historical RISE becomes a FALL today (Eq.14 cap - see Eq14_Cap_and_Floor).</t>
  </si>
  <si>
    <t>Table B - JPY case (0.50% → 0.25%, -25bp), θ = Inputs!B5: applied shock (bp) by η and S0, for β = 1</t>
  </si>
  <si>
    <t>η must exceed 0.49% (min TONAR). Larger η → smaller |z| → smaller shocks today for β &gt; 0. η = θ = 0.50% is the 'no rescaling' reference.</t>
  </si>
  <si>
    <t>η \ S0</t>
  </si>
  <si>
    <t>Table C - same as Table B for β = 0.5</t>
  </si>
  <si>
    <t>Why +70bp of history becomes +272bp today - rescaling decomposition</t>
  </si>
  <si>
    <t>Case: β = 1, η = 1%, θ = 1%, history 0.10% → 0.80% (+70bp), applied at S0 = 4%. Blue cells are editable.</t>
  </si>
  <si>
    <t>Reading</t>
  </si>
  <si>
    <t>Desk backbone</t>
  </si>
  <si>
    <t>η historical shift</t>
  </si>
  <si>
    <t>Used ONLY to measure history</t>
  </si>
  <si>
    <t>θ desk shift</t>
  </si>
  <si>
    <t>1</t>
  </si>
  <si>
    <t>Used ONLY to apply today</t>
  </si>
  <si>
    <t>0.10%</t>
  </si>
  <si>
    <t>0.80%</t>
  </si>
  <si>
    <t>4.00%</t>
  </si>
  <si>
    <t>ΔS historical (bp)</t>
  </si>
  <si>
    <t>(D10-D9)·10000</t>
  </si>
  <si>
    <t>Historical shifted base</t>
  </si>
  <si>
    <t>1.10% - a LOW base</t>
  </si>
  <si>
    <t>ΔS / (S(t_h)+η)^β</t>
  </si>
  <si>
    <t>β=1 → relative move of +63.6%</t>
  </si>
  <si>
    <t>Today's shifted base R0</t>
  </si>
  <si>
    <t>S0+θ</t>
  </si>
  <si>
    <t>5.00% - a HIGH base</t>
  </si>
  <si>
    <t>R0^(β-1)·z_h</t>
  </si>
  <si>
    <t>Relative move applied to R0</t>
  </si>
  <si>
    <t>Itô term</t>
  </si>
  <si>
    <t>½x_h²</t>
  </si>
  <si>
    <t>Large because x is large</t>
  </si>
  <si>
    <t>exp(x - ½x²)</t>
  </si>
  <si>
    <t>R0 is multiplied by 1.543</t>
  </si>
  <si>
    <t>Shocked S(Δ)</t>
  </si>
  <si>
    <t>R0·F - θ</t>
  </si>
  <si>
    <t>6.72%</t>
  </si>
  <si>
    <t>(S(Δ)-S0)·10000</t>
  </si>
  <si>
    <t>applied / historical</t>
  </si>
  <si>
    <t>≈ 3.9x</t>
  </si>
  <si>
    <t>Decomposition A - from +70bp to +272bp (bp)</t>
  </si>
  <si>
    <t>Layer</t>
  </si>
  <si>
    <t>Shock (bp)</t>
  </si>
  <si>
    <t>Increment (bp)</t>
  </si>
  <si>
    <t>Explanation</t>
  </si>
  <si>
    <t>1. Plain absolute shock</t>
  </si>
  <si>
    <t>What an absolute-shock HS would apply</t>
  </si>
  <si>
    <t>2. Linear relative shock (Eq.6 with η)</t>
  </si>
  <si>
    <t>= R0^β · z_h. Base ratio (R0/(S_h+η))^β inflates the move</t>
  </si>
  <si>
    <t>3. Eq.14 exponential (final)</t>
  </si>
  <si>
    <t>Itô / convexity correction e^(x-½x²) vs 1+x pulls it back</t>
  </si>
  <si>
    <t>Decomposition B - the rescaling ratio (S0+θ)^β / (S(t_h)+η)^β split into two drivers</t>
  </si>
  <si>
    <t>Linear shock = ΔS × [level effect] × [shift-mismatch effect]. In this case η = θ, so ALL the rescaling comes from the level change; set η ≠ θ above to see the 2nd driver.</t>
  </si>
  <si>
    <t>Driver</t>
  </si>
  <si>
    <t>Factor</t>
  </si>
  <si>
    <t>Level effect</t>
  </si>
  <si>
    <t>((S0+θ)/(S(t_h)+θ))^β</t>
  </si>
  <si>
    <t>Rates moved from 0.10% to 4% - relative moves get re-applied to a bigger base</t>
  </si>
  <si>
    <t>Shift-mismatch effect</t>
  </si>
  <si>
    <t>((S(t_h)+θ)/(S(t_h)+η))^β</t>
  </si>
  <si>
    <t>= 1 when η = θ. &gt;1 if η &lt; θ (history measured on smaller base → bigger z)</t>
  </si>
  <si>
    <t>Total rescaling ratio</t>
  </si>
  <si>
    <t>(S0+θ)^β/(S(t_h)+η)^β</t>
  </si>
  <si>
    <t>Multiplies ΔS to give the linear shock</t>
  </si>
  <si>
    <t>Check: ΔS × ratio (bp)</t>
  </si>
  <si>
    <t>Should equal layer 2 above</t>
  </si>
  <si>
    <t>Table C - η ≠ θ combinations (same +70bp history, S0 and β from above)</t>
  </si>
  <si>
    <t>Case</t>
  </si>
  <si>
    <t>F</t>
  </si>
  <si>
    <t>Applied (bp)</t>
  </si>
  <si>
    <t>Scaling</t>
  </si>
  <si>
    <t>Level eff.</t>
  </si>
  <si>
    <t>Shift-mismatch eff.</t>
  </si>
  <si>
    <t>Base: η = θ = 1%</t>
  </si>
  <si>
    <t>η &lt; θ</t>
  </si>
  <si>
    <t>η &gt; θ</t>
  </si>
  <si>
    <t>η much &gt; θ</t>
  </si>
  <si>
    <t>θ &lt; η</t>
  </si>
  <si>
    <t>θ &gt; η</t>
  </si>
  <si>
    <t>η small (flip zone)</t>
  </si>
  <si>
    <t>Table D - same +70bp history (η, θ from above): applied shock (bp) as today's rate S0 rises</t>
  </si>
  <si>
    <t>Shape of the Eq.14 multiplier F(x) = exp(x - ½x²) vs linear 1 + x (Eq.6)</t>
  </si>
  <si>
    <t>Floor: F &gt; 0 always (linear 1+x goes negative for x &lt; -1 → rate below -θ). Cap: F peaks at x = 1 (F = e^0.5 ≈ 1.649); for x &gt; 1 a larger up-move gives a SMALLER shocked rate.</t>
  </si>
  <si>
    <t>Linear 1 + x</t>
  </si>
  <si>
    <t>F - (1+x)</t>
  </si>
  <si>
    <t>Monotone?</t>
  </si>
  <si>
    <t>History rates</t>
  </si>
  <si>
    <t>Today's rate</t>
  </si>
  <si>
    <t>Yes</t>
  </si>
  <si>
    <t xml:space="preserve">η Calibrated (eq 15) </t>
  </si>
  <si>
    <t>Lowest negative rate =- 0.49% + 0.11 buffer</t>
  </si>
  <si>
    <t>C: -0.49% → 0.01%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</si>
</sst>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%"/>
    <numFmt numFmtId="165" formatCode="0.0;\-0.0;0.0"/>
    <numFmt numFmtId="166" formatCode="0.0"/>
    <numFmt numFmtId="167" formatCode="0.000000"/>
    <numFmt numFmtId="168" formatCode="0.0000"/>
    <numFmt numFmtId="169" formatCode="0.00\x"/>
    <numFmt numFmtId="170" formatCode="0.000"/>
    <numFmt numFmtId="171" formatCode="0.0000%"/>
    <numFmt numFmtId="172" formatCode="0.0%"/>
    <numFmt numFmtId="173" formatCode="0.000\x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sz val="9"/>
      <color rgb="FFC00000"/>
      <name val="Arial"/>
      <charset val="1"/>
    </font>
    <font>
      <sz val="11"/>
      <color rgb="FF008000"/>
      <name val="Arial"/>
      <charset val="1"/>
    </font>
    <font>
      <b/>
      <sz val="11"/>
      <color rgb="FFED0000"/>
      <name val="Calibri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  <fill>
      <patternFill patternType="solid">
        <fgColor rgb="FF388600"/>
        <bgColor rgb="FF33333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3" borderId="1" xfId="0" applyNumberFormat="1" applyFont="1" applyFill="1" applyBorder="1"/>
    <xf numFmtId="0" fontId="2" fillId="0" borderId="1" xfId="0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4" fontId="4" fillId="4" borderId="1" xfId="0" applyNumberFormat="1" applyFont="1" applyFill="1" applyBorder="1"/>
    <xf numFmtId="1" fontId="5" fillId="0" borderId="1" xfId="0" applyNumberFormat="1" applyFont="1" applyBorder="1"/>
    <xf numFmtId="0" fontId="6" fillId="0" borderId="0" xfId="0" applyFont="1"/>
    <xf numFmtId="0" fontId="6" fillId="0" borderId="1" xfId="0" applyFont="1" applyBorder="1"/>
    <xf numFmtId="166" fontId="5" fillId="0" borderId="1" xfId="0" applyNumberFormat="1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169" fontId="4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5" fillId="3" borderId="1" xfId="0" applyNumberFormat="1" applyFont="1" applyFill="1" applyBorder="1"/>
    <xf numFmtId="165" fontId="4" fillId="4" borderId="1" xfId="0" applyNumberFormat="1" applyFont="1" applyFill="1" applyBorder="1"/>
    <xf numFmtId="170" fontId="6" fillId="4" borderId="1" xfId="0" applyNumberFormat="1" applyFont="1" applyFill="1" applyBorder="1"/>
    <xf numFmtId="0" fontId="7" fillId="0" borderId="0" xfId="0" applyFont="1"/>
    <xf numFmtId="171" fontId="4" fillId="0" borderId="1" xfId="0" applyNumberFormat="1" applyFont="1" applyBorder="1"/>
    <xf numFmtId="164" fontId="8" fillId="0" borderId="1" xfId="0" applyNumberFormat="1" applyFont="1" applyBorder="1"/>
    <xf numFmtId="167" fontId="4" fillId="4" borderId="1" xfId="0" applyNumberFormat="1" applyFont="1" applyFill="1" applyBorder="1"/>
    <xf numFmtId="168" fontId="4" fillId="4" borderId="1" xfId="0" applyNumberFormat="1" applyFont="1" applyFill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72" fontId="4" fillId="0" borderId="1" xfId="0" applyNumberFormat="1" applyFont="1" applyBorder="1"/>
    <xf numFmtId="2" fontId="5" fillId="0" borderId="1" xfId="0" applyNumberFormat="1" applyFont="1" applyBorder="1"/>
    <xf numFmtId="167" fontId="6" fillId="4" borderId="1" xfId="0" applyNumberFormat="1" applyFont="1" applyFill="1" applyBorder="1"/>
    <xf numFmtId="168" fontId="6" fillId="4" borderId="1" xfId="0" applyNumberFormat="1" applyFont="1" applyFill="1" applyBorder="1"/>
    <xf numFmtId="170" fontId="4" fillId="0" borderId="1" xfId="0" applyNumberFormat="1" applyFont="1" applyBorder="1"/>
    <xf numFmtId="166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69" fontId="6" fillId="4" borderId="1" xfId="0" applyNumberFormat="1" applyFont="1" applyFill="1" applyBorder="1"/>
    <xf numFmtId="173" fontId="4" fillId="0" borderId="1" xfId="0" applyNumberFormat="1" applyFont="1" applyBorder="1"/>
    <xf numFmtId="173" fontId="6" fillId="0" borderId="1" xfId="0" applyNumberFormat="1" applyFont="1" applyBorder="1"/>
    <xf numFmtId="172" fontId="5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164" fontId="4" fillId="6" borderId="1" xfId="0" applyNumberFormat="1" applyFont="1" applyFill="1" applyBorder="1"/>
    <xf numFmtId="164" fontId="6" fillId="7" borderId="1" xfId="0" applyNumberFormat="1" applyFont="1" applyFill="1" applyBorder="1"/>
    <xf numFmtId="165" fontId="6" fillId="7" borderId="1" xfId="0" applyNumberFormat="1" applyFont="1" applyFill="1" applyBorder="1"/>
    <xf numFmtId="165" fontId="4" fillId="6" borderId="1" xfId="0" applyNumberFormat="1" applyFont="1" applyFill="1" applyBorder="1"/>
    <xf numFmtId="167" fontId="4" fillId="6" borderId="1" xfId="0" applyNumberFormat="1" applyFont="1" applyFill="1" applyBorder="1"/>
    <xf numFmtId="168" fontId="4" fillId="6" borderId="1" xfId="0" applyNumberFormat="1" applyFont="1" applyFill="1" applyBorder="1"/>
    <xf numFmtId="169" fontId="4" fillId="6" borderId="1" xfId="0" applyNumberFormat="1" applyFont="1" applyFill="1" applyBorder="1"/>
  </cellXfs>
  <cellStyles count="1">
    <cellStyle name="Normal" xfId="0" builtinId="0"/>
  </cellStyles>
  <dxfs count="15"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E73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9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1: applied shock vs historical rise 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β = 1,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S0 = 4%)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Eq14_x_gt_1_Issue!$G$14</c:f>
              <c:strCache>
                <c:ptCount val="1"/>
                <c:pt idx="0">
                  <c:v>Applied shock (bp)</c:v>
                </c:pt>
              </c:strCache>
            </c:strRef>
          </c:tx>
          <c:spPr>
            <a:ln w="21960">
              <a:solidFill>
                <a:srgbClr val="0072B2"/>
              </a:solidFill>
              <a:round/>
            </a:ln>
          </c:spPr>
          <c:marker>
            <c:symbol val="circle"/>
            <c:size val="6"/>
            <c:spPr>
              <a:solidFill>
                <a:srgbClr val="0072B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Eq14_x_gt_1_Issue!$B$15:$B$26</c:f>
              <c:numCache>
                <c:formatCode>0.0;\-0.0;0.0</c:formatCode>
                <c:ptCount val="12"/>
                <c:pt idx="0">
                  <c:v>9</c:v>
                </c:pt>
                <c:pt idx="1">
                  <c:v>24.000000000000004</c:v>
                </c:pt>
                <c:pt idx="2">
                  <c:v>39</c:v>
                </c:pt>
                <c:pt idx="3">
                  <c:v>60.999999999999993</c:v>
                </c:pt>
                <c:pt idx="4">
                  <c:v>79.000000000000014</c:v>
                </c:pt>
                <c:pt idx="5">
                  <c:v>99.000000000000014</c:v>
                </c:pt>
                <c:pt idx="6">
                  <c:v>124.00000000000001</c:v>
                </c:pt>
                <c:pt idx="7">
                  <c:v>149</c:v>
                </c:pt>
                <c:pt idx="8">
                  <c:v>199</c:v>
                </c:pt>
                <c:pt idx="9">
                  <c:v>249.00000000000003</c:v>
                </c:pt>
                <c:pt idx="10">
                  <c:v>299</c:v>
                </c:pt>
                <c:pt idx="11">
                  <c:v>399</c:v>
                </c:pt>
              </c:numCache>
            </c:numRef>
          </c:cat>
          <c:val>
            <c:numRef>
              <c:f>Eq14_x_gt_1_Issue!$G$15:$G$26</c:f>
              <c:numCache>
                <c:formatCode>0.0;\-0.0;0.0</c:formatCode>
                <c:ptCount val="12"/>
                <c:pt idx="0">
                  <c:v>73.217319587319253</c:v>
                </c:pt>
                <c:pt idx="1">
                  <c:v>185.84535521414745</c:v>
                </c:pt>
                <c:pt idx="2">
                  <c:v>272.45350391406151</c:v>
                </c:pt>
                <c:pt idx="3">
                  <c:v>324.36063535006423</c:v>
                </c:pt>
                <c:pt idx="4">
                  <c:v>289.24075580322346</c:v>
                </c:pt>
                <c:pt idx="5">
                  <c:v>178.96816175638679</c:v>
                </c:pt>
                <c:pt idx="6">
                  <c:v>-16.387617498705293</c:v>
                </c:pt>
                <c:pt idx="7">
                  <c:v>-208.79496423956658</c:v>
                </c:pt>
                <c:pt idx="8">
                  <c:v>-436.20858759582472</c:v>
                </c:pt>
                <c:pt idx="9">
                  <c:v>-492.86261011590886</c:v>
                </c:pt>
                <c:pt idx="10">
                  <c:v>-499.59212180382059</c:v>
                </c:pt>
                <c:pt idx="11">
                  <c:v>-499.99982251803607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0-4956-BD3D-56FC73B3A153}"/>
            </c:ext>
          </c:extLst>
        </c:ser>
        <c:ser>
          <c:idx val="1"/>
          <c:order val="1"/>
          <c:tx>
            <c:strRef>
              <c:f>Eq14_x_gt_1_Issue!$H$14</c:f>
              <c:strCache>
                <c:ptCount val="1"/>
                <c:pt idx="0">
                  <c:v>Linear Eq.6 (bp)</c:v>
                </c:pt>
              </c:strCache>
            </c:strRef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Eq14_x_gt_1_Issue!$B$15:$B$26</c:f>
              <c:numCache>
                <c:formatCode>0.0;\-0.0;0.0</c:formatCode>
                <c:ptCount val="12"/>
                <c:pt idx="0">
                  <c:v>9</c:v>
                </c:pt>
                <c:pt idx="1">
                  <c:v>24.000000000000004</c:v>
                </c:pt>
                <c:pt idx="2">
                  <c:v>39</c:v>
                </c:pt>
                <c:pt idx="3">
                  <c:v>60.999999999999993</c:v>
                </c:pt>
                <c:pt idx="4">
                  <c:v>79.000000000000014</c:v>
                </c:pt>
                <c:pt idx="5">
                  <c:v>99.000000000000014</c:v>
                </c:pt>
                <c:pt idx="6">
                  <c:v>124.00000000000001</c:v>
                </c:pt>
                <c:pt idx="7">
                  <c:v>149</c:v>
                </c:pt>
                <c:pt idx="8">
                  <c:v>199</c:v>
                </c:pt>
                <c:pt idx="9">
                  <c:v>249.00000000000003</c:v>
                </c:pt>
                <c:pt idx="10">
                  <c:v>299</c:v>
                </c:pt>
                <c:pt idx="11">
                  <c:v>399</c:v>
                </c:pt>
              </c:numCache>
            </c:numRef>
          </c:cat>
          <c:val>
            <c:numRef>
              <c:f>Eq14_x_gt_1_Issue!$H$15:$H$26</c:f>
              <c:numCache>
                <c:formatCode>0.0;\-0.0;0.0</c:formatCode>
                <c:ptCount val="12"/>
                <c:pt idx="0">
                  <c:v>73.770491803278688</c:v>
                </c:pt>
                <c:pt idx="1">
                  <c:v>196.72131147540986</c:v>
                </c:pt>
                <c:pt idx="2">
                  <c:v>319.67213114754105</c:v>
                </c:pt>
                <c:pt idx="3">
                  <c:v>499.99999999999994</c:v>
                </c:pt>
                <c:pt idx="4">
                  <c:v>647.54098360655746</c:v>
                </c:pt>
                <c:pt idx="5">
                  <c:v>811.47540983606564</c:v>
                </c:pt>
                <c:pt idx="6">
                  <c:v>1016.3934426229509</c:v>
                </c:pt>
                <c:pt idx="7">
                  <c:v>1221.311475409836</c:v>
                </c:pt>
                <c:pt idx="8">
                  <c:v>1631.1475409836066</c:v>
                </c:pt>
                <c:pt idx="9">
                  <c:v>2040.9836065573772</c:v>
                </c:pt>
                <c:pt idx="10">
                  <c:v>2450.8196721311474</c:v>
                </c:pt>
                <c:pt idx="11">
                  <c:v>3270.4918032786882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0-4956-BD3D-56FC73B3A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563385"/>
        <c:axId val="40602109"/>
      </c:lineChart>
      <c:catAx>
        <c:axId val="59563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Historical rise (bp)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02109"/>
        <c:crosses val="autoZero"/>
        <c:auto val="1"/>
        <c:lblAlgn val="ctr"/>
        <c:lblOffset val="100"/>
        <c:noMultiLvlLbl val="0"/>
      </c:catAx>
      <c:valAx>
        <c:axId val="40602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Applied shock today (bp)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63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Applied shock today vs S0 (historical move = -25bp)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Scenario_Grid!$I$20</c:f>
              <c:strCache>
                <c:ptCount val="1"/>
                <c:pt idx="0">
                  <c:v>β = 0</c:v>
                </c:pt>
              </c:strCache>
            </c:strRef>
          </c:tx>
          <c:spPr>
            <a:ln w="2196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Scenario_Grid!$H$21:$H$24</c:f>
              <c:numCache>
                <c:formatCode>0.0%</c:formatCode>
                <c:ptCount val="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cat>
          <c:val>
            <c:numRef>
              <c:f>Scenario_Grid!$I$21:$I$24</c:f>
              <c:numCache>
                <c:formatCode>0.0;\-0.0;0.0</c:formatCode>
                <c:ptCount val="4"/>
                <c:pt idx="0">
                  <c:v>-23.236928574050484</c:v>
                </c:pt>
                <c:pt idx="1">
                  <c:v>-24.918869353433607</c:v>
                </c:pt>
                <c:pt idx="2">
                  <c:v>-24.958273718619882</c:v>
                </c:pt>
                <c:pt idx="3">
                  <c:v>-24.974648670588113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5-4866-9AE0-A353E29F9CC5}"/>
            </c:ext>
          </c:extLst>
        </c:ser>
        <c:ser>
          <c:idx val="1"/>
          <c:order val="1"/>
          <c:tx>
            <c:strRef>
              <c:f>Scenario_Grid!$J$20</c:f>
              <c:strCache>
                <c:ptCount val="1"/>
                <c:pt idx="0">
                  <c:v>β = 0.5</c:v>
                </c:pt>
              </c:strCache>
            </c:strRef>
          </c:tx>
          <c:spPr>
            <a:ln w="21960">
              <a:solidFill>
                <a:srgbClr val="E69F00"/>
              </a:solidFill>
              <a:round/>
            </a:ln>
          </c:spPr>
          <c:marker>
            <c:symbol val="circle"/>
            <c:size val="7"/>
            <c:spPr>
              <a:solidFill>
                <a:srgbClr val="E69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Scenario_Grid!$H$21:$H$24</c:f>
              <c:numCache>
                <c:formatCode>0.0%</c:formatCode>
                <c:ptCount val="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cat>
          <c:val>
            <c:numRef>
              <c:f>Scenario_Grid!$J$21:$J$24</c:f>
              <c:numCache>
                <c:formatCode>0.0;\-0.0;0.0</c:formatCode>
                <c:ptCount val="4"/>
                <c:pt idx="0">
                  <c:v>-16.279536035077211</c:v>
                </c:pt>
                <c:pt idx="1">
                  <c:v>-37.415063600335365</c:v>
                </c:pt>
                <c:pt idx="2">
                  <c:v>-44.361059123958938</c:v>
                </c:pt>
                <c:pt idx="3">
                  <c:v>-50.358534980000996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5-4866-9AE0-A353E29F9CC5}"/>
            </c:ext>
          </c:extLst>
        </c:ser>
        <c:ser>
          <c:idx val="2"/>
          <c:order val="2"/>
          <c:tx>
            <c:strRef>
              <c:f>Scenario_Grid!$K$20</c:f>
              <c:strCache>
                <c:ptCount val="1"/>
                <c:pt idx="0">
                  <c:v>β = 1</c:v>
                </c:pt>
              </c:strCache>
            </c:strRef>
          </c:tx>
          <c:spPr>
            <a:ln w="21960">
              <a:solidFill>
                <a:srgbClr val="009E73"/>
              </a:solidFill>
              <a:round/>
            </a:ln>
          </c:spPr>
          <c:marker>
            <c:symbol val="circle"/>
            <c:size val="7"/>
            <c:spPr>
              <a:solidFill>
                <a:srgbClr val="009E7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Scenario_Grid!$H$21:$H$24</c:f>
              <c:numCache>
                <c:formatCode>0.0%</c:formatCode>
                <c:ptCount val="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cat>
          <c:val>
            <c:numRef>
              <c:f>Scenario_Grid!$K$21:$K$24</c:f>
              <c:numCache>
                <c:formatCode>0.0;\-0.0;0.0</c:formatCode>
                <c:ptCount val="4"/>
                <c:pt idx="0">
                  <c:v>-11.180455971857196</c:v>
                </c:pt>
                <c:pt idx="1">
                  <c:v>-55.90227985928599</c:v>
                </c:pt>
                <c:pt idx="2">
                  <c:v>-78.26319180300041</c:v>
                </c:pt>
                <c:pt idx="3">
                  <c:v>-100.62410374671478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5-4866-9AE0-A353E29F9CC5}"/>
            </c:ext>
          </c:extLst>
        </c:ser>
        <c:ser>
          <c:idx val="3"/>
          <c:order val="3"/>
          <c:tx>
            <c:strRef>
              <c:f>Scenario_Grid!$L$20</c:f>
              <c:strCache>
                <c:ptCount val="1"/>
                <c:pt idx="0">
                  <c:v>Plain absolute</c:v>
                </c:pt>
              </c:strCache>
            </c:strRef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Scenario_Grid!$H$21:$H$24</c:f>
              <c:numCache>
                <c:formatCode>0.0%</c:formatCode>
                <c:ptCount val="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cat>
          <c:val>
            <c:numRef>
              <c:f>Scenario_Grid!$L$21:$L$24</c:f>
              <c:numCache>
                <c:formatCode>0.0;\-0.0;0.0</c:formatCode>
                <c:ptCount val="4"/>
                <c:pt idx="0">
                  <c:v>-25</c:v>
                </c:pt>
                <c:pt idx="1">
                  <c:v>-25</c:v>
                </c:pt>
                <c:pt idx="2">
                  <c:v>-25</c:v>
                </c:pt>
                <c:pt idx="3">
                  <c:v>-25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15-4866-9AE0-A353E29F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031922"/>
        <c:axId val="2484350"/>
      </c:lineChart>
      <c:catAx>
        <c:axId val="830319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Today's TONAR S0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4350"/>
        <c:crosses val="autoZero"/>
        <c:auto val="1"/>
        <c:lblAlgn val="ctr"/>
        <c:lblOffset val="100"/>
        <c:noMultiLvlLbl val="0"/>
      </c:catAx>
      <c:valAx>
        <c:axId val="2484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Applied shock (bp)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0319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+70bp history re-applied at different S0 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η = θ = 1%)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Rescaling_272bp!$B$52</c:f>
              <c:strCache>
                <c:ptCount val="1"/>
                <c:pt idx="0">
                  <c:v>β = 0</c:v>
                </c:pt>
              </c:strCache>
            </c:strRef>
          </c:tx>
          <c:spPr>
            <a:ln w="2196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Rescaling_272bp!$A$53:$A$59</c:f>
              <c:numCache>
                <c:formatCode>0.0%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</c:numCache>
            </c:numRef>
          </c:cat>
          <c:val>
            <c:numRef>
              <c:f>Rescaling_272bp!$B$53:$B$59</c:f>
              <c:numCache>
                <c:formatCode>0.0;\-0.0;0.0</c:formatCode>
                <c:ptCount val="7"/>
                <c:pt idx="0">
                  <c:v>57.617338303399109</c:v>
                </c:pt>
                <c:pt idx="1">
                  <c:v>66.951599462903246</c:v>
                </c:pt>
                <c:pt idx="2">
                  <c:v>68.666921914279953</c:v>
                </c:pt>
                <c:pt idx="3">
                  <c:v>69.257682455597035</c:v>
                </c:pt>
                <c:pt idx="4">
                  <c:v>69.528085889686494</c:v>
                </c:pt>
                <c:pt idx="5">
                  <c:v>69.673825562428036</c:v>
                </c:pt>
                <c:pt idx="6">
                  <c:v>69.761198588271924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8-4585-BABE-2004D8303CC8}"/>
            </c:ext>
          </c:extLst>
        </c:ser>
        <c:ser>
          <c:idx val="1"/>
          <c:order val="1"/>
          <c:tx>
            <c:strRef>
              <c:f>Rescaling_272bp!$C$52</c:f>
              <c:strCache>
                <c:ptCount val="1"/>
                <c:pt idx="0">
                  <c:v>β = 0.5</c:v>
                </c:pt>
              </c:strCache>
            </c:strRef>
          </c:tx>
          <c:spPr>
            <a:ln w="21960">
              <a:solidFill>
                <a:srgbClr val="E69F00"/>
              </a:solidFill>
              <a:round/>
            </a:ln>
          </c:spPr>
          <c:marker>
            <c:symbol val="circle"/>
            <c:size val="7"/>
            <c:spPr>
              <a:solidFill>
                <a:srgbClr val="E69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Rescaling_272bp!$A$53:$A$59</c:f>
              <c:numCache>
                <c:formatCode>0.0%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</c:numCache>
            </c:numRef>
          </c:cat>
          <c:val>
            <c:numRef>
              <c:f>Rescaling_272bp!$C$53:$C$59</c:f>
              <c:numCache>
                <c:formatCode>0.0;\-0.0;0.0</c:formatCode>
                <c:ptCount val="7"/>
                <c:pt idx="0">
                  <c:v>56.001672092339753</c:v>
                </c:pt>
                <c:pt idx="1">
                  <c:v>86.831126711528498</c:v>
                </c:pt>
                <c:pt idx="2">
                  <c:v>109.47562110834977</c:v>
                </c:pt>
                <c:pt idx="3">
                  <c:v>128.21037146680209</c:v>
                </c:pt>
                <c:pt idx="4">
                  <c:v>144.54435884927091</c:v>
                </c:pt>
                <c:pt idx="5">
                  <c:v>159.21353381399314</c:v>
                </c:pt>
                <c:pt idx="6">
                  <c:v>172.64134659168053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8-4585-BABE-2004D8303CC8}"/>
            </c:ext>
          </c:extLst>
        </c:ser>
        <c:ser>
          <c:idx val="2"/>
          <c:order val="2"/>
          <c:tx>
            <c:strRef>
              <c:f>Rescaling_272bp!$D$52</c:f>
              <c:strCache>
                <c:ptCount val="1"/>
                <c:pt idx="0">
                  <c:v>β = 1</c:v>
                </c:pt>
              </c:strCache>
            </c:strRef>
          </c:tx>
          <c:spPr>
            <a:ln w="21960">
              <a:solidFill>
                <a:srgbClr val="009E73"/>
              </a:solidFill>
              <a:round/>
            </a:ln>
          </c:spPr>
          <c:marker>
            <c:symbol val="circle"/>
            <c:size val="7"/>
            <c:spPr>
              <a:solidFill>
                <a:srgbClr val="009E7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Rescaling_272bp!$A$53:$A$59</c:f>
              <c:numCache>
                <c:formatCode>0.0%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</c:numCache>
            </c:numRef>
          </c:cat>
          <c:val>
            <c:numRef>
              <c:f>Rescaling_272bp!$D$53:$D$59</c:f>
              <c:numCache>
                <c:formatCode>0.0;\-0.0;0.0</c:formatCode>
                <c:ptCount val="7"/>
                <c:pt idx="0">
                  <c:v>54.324030105731261</c:v>
                </c:pt>
                <c:pt idx="1">
                  <c:v>108.64806021146251</c:v>
                </c:pt>
                <c:pt idx="2">
                  <c:v>162.97209031719373</c:v>
                </c:pt>
                <c:pt idx="3">
                  <c:v>217.29612042292504</c:v>
                </c:pt>
                <c:pt idx="4">
                  <c:v>271.62015052865632</c:v>
                </c:pt>
                <c:pt idx="5">
                  <c:v>325.94418063438769</c:v>
                </c:pt>
                <c:pt idx="6">
                  <c:v>380.26821074011883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8-4585-BABE-2004D8303CC8}"/>
            </c:ext>
          </c:extLst>
        </c:ser>
        <c:ser>
          <c:idx val="3"/>
          <c:order val="3"/>
          <c:tx>
            <c:strRef>
              <c:f>Rescaling_272bp!$E$52</c:f>
              <c:strCache>
                <c:ptCount val="1"/>
                <c:pt idx="0">
                  <c:v>Plain absolute</c:v>
                </c:pt>
              </c:strCache>
            </c:strRef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Rescaling_272bp!$A$53:$A$59</c:f>
              <c:numCache>
                <c:formatCode>0.0%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</c:numCache>
            </c:numRef>
          </c:cat>
          <c:val>
            <c:numRef>
              <c:f>Rescaling_272bp!$E$53:$E$59</c:f>
              <c:numCache>
                <c:formatCode>0.0;\-0.0;0.0</c:formatCode>
                <c:ptCount val="7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B8-4585-BABE-2004D8303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688869"/>
        <c:axId val="17939496"/>
      </c:lineChart>
      <c:catAx>
        <c:axId val="89688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Today's rate S0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39496"/>
        <c:crosses val="autoZero"/>
        <c:auto val="1"/>
        <c:lblAlgn val="ctr"/>
        <c:lblOffset val="100"/>
        <c:noMultiLvlLbl val="0"/>
      </c:catAx>
      <c:valAx>
        <c:axId val="17939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Applied shock (bp)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888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From +70bp to +272bp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Rescaling_272bp!$B$25</c:f>
              <c:strCache>
                <c:ptCount val="1"/>
                <c:pt idx="0">
                  <c:v>Shock (bp)</c:v>
                </c:pt>
              </c:strCache>
            </c:strRef>
          </c:tx>
          <c:spPr>
            <a:solidFill>
              <a:srgbClr val="0072B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Rescaling_272bp!$A$26:$A$28</c:f>
              <c:strCache>
                <c:ptCount val="3"/>
                <c:pt idx="0">
                  <c:v>1. Plain absolute shock</c:v>
                </c:pt>
                <c:pt idx="1">
                  <c:v>2. Linear relative shock (Eq.6 with η)</c:v>
                </c:pt>
                <c:pt idx="2">
                  <c:v>3. Eq.14 exponential (final)</c:v>
                </c:pt>
              </c:strCache>
            </c:strRef>
          </c:cat>
          <c:val>
            <c:numRef>
              <c:f>Rescaling_272bp!$B$26:$B$28</c:f>
              <c:numCache>
                <c:formatCode>0.0;\-0.0;0.0</c:formatCode>
                <c:ptCount val="3"/>
                <c:pt idx="0">
                  <c:v>70</c:v>
                </c:pt>
                <c:pt idx="1">
                  <c:v>318.18181818181824</c:v>
                </c:pt>
                <c:pt idx="2">
                  <c:v>271.62015052865632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7-400A-BC7F-6A91FF5B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970231"/>
        <c:axId val="37677092"/>
      </c:barChart>
      <c:catAx>
        <c:axId val="72970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677092"/>
        <c:crosses val="autoZero"/>
        <c:auto val="1"/>
        <c:lblAlgn val="ctr"/>
        <c:lblOffset val="100"/>
        <c:noMultiLvlLbl val="0"/>
      </c:catAx>
      <c:valAx>
        <c:axId val="37677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702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Multiplier on shifted rate: Eq.14 vs linear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Eq14_Cap_and_Floor!$C$4</c:f>
              <c:strCache>
                <c:ptCount val="1"/>
                <c:pt idx="0">
                  <c:v>F = exp(x-½x²)</c:v>
                </c:pt>
              </c:strCache>
            </c:strRef>
          </c:tx>
          <c:spPr>
            <a:ln w="2196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Eq14_Cap_and_Floor!$A$5:$A$29</c:f>
              <c:numCache>
                <c:formatCode>0.00</c:formatCode>
                <c:ptCount val="25"/>
                <c:pt idx="0">
                  <c:v>-3</c:v>
                </c:pt>
                <c:pt idx="1">
                  <c:v>-2.75</c:v>
                </c:pt>
                <c:pt idx="2">
                  <c:v>-2.5</c:v>
                </c:pt>
                <c:pt idx="3">
                  <c:v>-2.25</c:v>
                </c:pt>
                <c:pt idx="4">
                  <c:v>-2</c:v>
                </c:pt>
                <c:pt idx="5">
                  <c:v>-1.75</c:v>
                </c:pt>
                <c:pt idx="6">
                  <c:v>-1.5</c:v>
                </c:pt>
                <c:pt idx="7">
                  <c:v>-1.25</c:v>
                </c:pt>
                <c:pt idx="8">
                  <c:v>-1</c:v>
                </c:pt>
                <c:pt idx="9">
                  <c:v>-0.75</c:v>
                </c:pt>
                <c:pt idx="10">
                  <c:v>-0.5</c:v>
                </c:pt>
                <c:pt idx="11">
                  <c:v>-0.25</c:v>
                </c:pt>
                <c:pt idx="12">
                  <c:v>0</c:v>
                </c:pt>
                <c:pt idx="13">
                  <c:v>0.25</c:v>
                </c:pt>
                <c:pt idx="14">
                  <c:v>0.5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1.5</c:v>
                </c:pt>
                <c:pt idx="19">
                  <c:v>1.75</c:v>
                </c:pt>
                <c:pt idx="20">
                  <c:v>2</c:v>
                </c:pt>
                <c:pt idx="21">
                  <c:v>2.25</c:v>
                </c:pt>
                <c:pt idx="22">
                  <c:v>2.5</c:v>
                </c:pt>
                <c:pt idx="23">
                  <c:v>2.75</c:v>
                </c:pt>
                <c:pt idx="24">
                  <c:v>3</c:v>
                </c:pt>
              </c:numCache>
            </c:numRef>
          </c:xVal>
          <c:yVal>
            <c:numRef>
              <c:f>Eq14_Cap_and_Floor!$C$5:$C$29</c:f>
              <c:numCache>
                <c:formatCode>0.0000</c:formatCode>
                <c:ptCount val="25"/>
                <c:pt idx="0">
                  <c:v>5.5308437014783363E-4</c:v>
                </c:pt>
                <c:pt idx="1">
                  <c:v>1.4571832318481569E-3</c:v>
                </c:pt>
                <c:pt idx="2">
                  <c:v>3.6065631360157305E-3</c:v>
                </c:pt>
                <c:pt idx="3">
                  <c:v>8.3855105254240832E-3</c:v>
                </c:pt>
                <c:pt idx="4">
                  <c:v>1.8315638888734179E-2</c:v>
                </c:pt>
                <c:pt idx="5">
                  <c:v>3.7581250870997916E-2</c:v>
                </c:pt>
                <c:pt idx="6">
                  <c:v>7.2439757034251456E-2</c:v>
                </c:pt>
                <c:pt idx="7">
                  <c:v>0.13117145431019428</c:v>
                </c:pt>
                <c:pt idx="8">
                  <c:v>0.22313016014842982</c:v>
                </c:pt>
                <c:pt idx="9">
                  <c:v>0.35656098066394698</c:v>
                </c:pt>
                <c:pt idx="10">
                  <c:v>0.53526142851899028</c:v>
                </c:pt>
                <c:pt idx="11">
                  <c:v>0.75483960198900735</c:v>
                </c:pt>
                <c:pt idx="12">
                  <c:v>1</c:v>
                </c:pt>
                <c:pt idx="13">
                  <c:v>1.2445201077660952</c:v>
                </c:pt>
                <c:pt idx="14">
                  <c:v>1.4549914146182013</c:v>
                </c:pt>
                <c:pt idx="15">
                  <c:v>1.5979954499506333</c:v>
                </c:pt>
                <c:pt idx="16">
                  <c:v>1.6487212707001282</c:v>
                </c:pt>
                <c:pt idx="17">
                  <c:v>1.5979954499506333</c:v>
                </c:pt>
                <c:pt idx="18">
                  <c:v>1.4549914146182013</c:v>
                </c:pt>
                <c:pt idx="19">
                  <c:v>1.2445201077660952</c:v>
                </c:pt>
                <c:pt idx="20">
                  <c:v>1</c:v>
                </c:pt>
                <c:pt idx="21">
                  <c:v>0.75483960198900735</c:v>
                </c:pt>
                <c:pt idx="22">
                  <c:v>0.53526142851899028</c:v>
                </c:pt>
                <c:pt idx="23">
                  <c:v>0.35656098066394698</c:v>
                </c:pt>
                <c:pt idx="24">
                  <c:v>0.22313016014842982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D5-4648-A82F-7E0723E75116}"/>
            </c:ext>
          </c:extLst>
        </c:ser>
        <c:ser>
          <c:idx val="1"/>
          <c:order val="1"/>
          <c:tx>
            <c:strRef>
              <c:f>Eq14_Cap_and_Floor!$D$4</c:f>
              <c:strCache>
                <c:ptCount val="1"/>
                <c:pt idx="0">
                  <c:v>Linear 1 + x</c:v>
                </c:pt>
              </c:strCache>
            </c:strRef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Eq14_Cap_and_Floor!$A$5:$A$29</c:f>
              <c:numCache>
                <c:formatCode>0.00</c:formatCode>
                <c:ptCount val="25"/>
                <c:pt idx="0">
                  <c:v>-3</c:v>
                </c:pt>
                <c:pt idx="1">
                  <c:v>-2.75</c:v>
                </c:pt>
                <c:pt idx="2">
                  <c:v>-2.5</c:v>
                </c:pt>
                <c:pt idx="3">
                  <c:v>-2.25</c:v>
                </c:pt>
                <c:pt idx="4">
                  <c:v>-2</c:v>
                </c:pt>
                <c:pt idx="5">
                  <c:v>-1.75</c:v>
                </c:pt>
                <c:pt idx="6">
                  <c:v>-1.5</c:v>
                </c:pt>
                <c:pt idx="7">
                  <c:v>-1.25</c:v>
                </c:pt>
                <c:pt idx="8">
                  <c:v>-1</c:v>
                </c:pt>
                <c:pt idx="9">
                  <c:v>-0.75</c:v>
                </c:pt>
                <c:pt idx="10">
                  <c:v>-0.5</c:v>
                </c:pt>
                <c:pt idx="11">
                  <c:v>-0.25</c:v>
                </c:pt>
                <c:pt idx="12">
                  <c:v>0</c:v>
                </c:pt>
                <c:pt idx="13">
                  <c:v>0.25</c:v>
                </c:pt>
                <c:pt idx="14">
                  <c:v>0.5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1.5</c:v>
                </c:pt>
                <c:pt idx="19">
                  <c:v>1.75</c:v>
                </c:pt>
                <c:pt idx="20">
                  <c:v>2</c:v>
                </c:pt>
                <c:pt idx="21">
                  <c:v>2.25</c:v>
                </c:pt>
                <c:pt idx="22">
                  <c:v>2.5</c:v>
                </c:pt>
                <c:pt idx="23">
                  <c:v>2.75</c:v>
                </c:pt>
                <c:pt idx="24">
                  <c:v>3</c:v>
                </c:pt>
              </c:numCache>
            </c:numRef>
          </c:xVal>
          <c:yVal>
            <c:numRef>
              <c:f>Eq14_Cap_and_Floor!$D$5:$D$29</c:f>
              <c:numCache>
                <c:formatCode>0.0000</c:formatCode>
                <c:ptCount val="25"/>
                <c:pt idx="0">
                  <c:v>-2</c:v>
                </c:pt>
                <c:pt idx="1">
                  <c:v>-1.75</c:v>
                </c:pt>
                <c:pt idx="2">
                  <c:v>-1.5</c:v>
                </c:pt>
                <c:pt idx="3">
                  <c:v>-1.25</c:v>
                </c:pt>
                <c:pt idx="4">
                  <c:v>-1</c:v>
                </c:pt>
                <c:pt idx="5">
                  <c:v>-0.75</c:v>
                </c:pt>
                <c:pt idx="6">
                  <c:v>-0.5</c:v>
                </c:pt>
                <c:pt idx="7">
                  <c:v>-0.25</c:v>
                </c:pt>
                <c:pt idx="8">
                  <c:v>0</c:v>
                </c:pt>
                <c:pt idx="9">
                  <c:v>0.25</c:v>
                </c:pt>
                <c:pt idx="10">
                  <c:v>0.5</c:v>
                </c:pt>
                <c:pt idx="11">
                  <c:v>0.75</c:v>
                </c:pt>
                <c:pt idx="12">
                  <c:v>1</c:v>
                </c:pt>
                <c:pt idx="13">
                  <c:v>1.25</c:v>
                </c:pt>
                <c:pt idx="14">
                  <c:v>1.5</c:v>
                </c:pt>
                <c:pt idx="15">
                  <c:v>1.75</c:v>
                </c:pt>
                <c:pt idx="16">
                  <c:v>2</c:v>
                </c:pt>
                <c:pt idx="17">
                  <c:v>2.25</c:v>
                </c:pt>
                <c:pt idx="18">
                  <c:v>2.5</c:v>
                </c:pt>
                <c:pt idx="19">
                  <c:v>2.75</c:v>
                </c:pt>
                <c:pt idx="20">
                  <c:v>3</c:v>
                </c:pt>
                <c:pt idx="21">
                  <c:v>3.25</c:v>
                </c:pt>
                <c:pt idx="22">
                  <c:v>3.5</c:v>
                </c:pt>
                <c:pt idx="23">
                  <c:v>3.75</c:v>
                </c:pt>
                <c:pt idx="2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D5-4648-A82F-7E0723E75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7017"/>
        <c:axId val="31112256"/>
      </c:scatterChart>
      <c:valAx>
        <c:axId val="41117017"/>
        <c:scaling>
          <c:orientation val="minMax"/>
          <c:max val="3"/>
          <c:min val="-3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x_h = (S0+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θ)^(β-1) · 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112256"/>
        <c:crosses val="autoZero"/>
        <c:crossBetween val="midCat"/>
      </c:valAx>
      <c:valAx>
        <c:axId val="31112256"/>
        <c:scaling>
          <c:orientation val="minMax"/>
          <c:max val="4"/>
          <c:min val="-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Multiplier on (S0+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θ)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170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160920</xdr:rowOff>
    </xdr:from>
    <xdr:to>
      <xdr:col>20</xdr:col>
      <xdr:colOff>364680</xdr:colOff>
      <xdr:row>18</xdr:row>
      <xdr:rowOff>38160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25</xdr:row>
      <xdr:rowOff>10440</xdr:rowOff>
    </xdr:from>
    <xdr:to>
      <xdr:col>15</xdr:col>
      <xdr:colOff>276840</xdr:colOff>
      <xdr:row>39</xdr:row>
      <xdr:rowOff>131400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49</xdr:row>
      <xdr:rowOff>10080</xdr:rowOff>
    </xdr:from>
    <xdr:to>
      <xdr:col>13</xdr:col>
      <xdr:colOff>488160</xdr:colOff>
      <xdr:row>66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160920</xdr:rowOff>
    </xdr:from>
    <xdr:to>
      <xdr:col>12</xdr:col>
      <xdr:colOff>35280</xdr:colOff>
      <xdr:row>17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17</xdr:col>
      <xdr:colOff>364320</xdr:colOff>
      <xdr:row>19</xdr:row>
      <xdr:rowOff>162000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selection activeCell="B19" sqref="B19:D19"/>
    </sheetView>
  </sheetViews>
  <sheetFormatPr defaultColWidth="8.7109375" defaultRowHeight="15" x14ac:dyDescent="0.25"/>
  <cols>
    <col min="1" max="1" width="34" customWidth="1"/>
    <col min="2" max="2" width="14" customWidth="1"/>
    <col min="3" max="3" width="16" customWidth="1"/>
    <col min="4" max="4" width="95" customWidth="1"/>
  </cols>
  <sheetData>
    <row r="1" spans="1:4" ht="18" x14ac:dyDescent="0.25">
      <c r="A1" s="2" t="s">
        <v>0</v>
      </c>
    </row>
    <row r="2" spans="1:4" x14ac:dyDescent="0.25">
      <c r="A2" s="3" t="s">
        <v>1</v>
      </c>
    </row>
    <row r="4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5" t="s">
        <v>6</v>
      </c>
      <c r="B5" s="6">
        <v>5.0000000000000001E-3</v>
      </c>
      <c r="C5" s="5" t="s">
        <v>7</v>
      </c>
      <c r="D5" s="7" t="s">
        <v>8</v>
      </c>
    </row>
    <row r="6" spans="1:4" x14ac:dyDescent="0.25">
      <c r="A6" s="5" t="s">
        <v>9</v>
      </c>
      <c r="B6" s="8">
        <v>5.0000000000000001E-3</v>
      </c>
      <c r="C6" s="5" t="s">
        <v>10</v>
      </c>
      <c r="D6" s="7" t="s">
        <v>11</v>
      </c>
    </row>
    <row r="7" spans="1:4" x14ac:dyDescent="0.25">
      <c r="A7" s="5" t="s">
        <v>12</v>
      </c>
      <c r="B7" s="8">
        <v>2.5000000000000001E-3</v>
      </c>
      <c r="C7" s="5" t="s">
        <v>13</v>
      </c>
      <c r="D7" s="7" t="s">
        <v>14</v>
      </c>
    </row>
    <row r="8" spans="1:4" x14ac:dyDescent="0.25">
      <c r="A8" s="5" t="s">
        <v>15</v>
      </c>
      <c r="B8" s="9">
        <f>B7-B6</f>
        <v>-2.5000000000000001E-3</v>
      </c>
      <c r="C8" s="5" t="s">
        <v>16</v>
      </c>
      <c r="D8" s="7" t="s">
        <v>17</v>
      </c>
    </row>
    <row r="9" spans="1:4" x14ac:dyDescent="0.25">
      <c r="A9" s="5" t="s">
        <v>18</v>
      </c>
      <c r="B9" s="10">
        <f>B8*10000</f>
        <v>-25</v>
      </c>
      <c r="C9" s="5"/>
      <c r="D9" s="7"/>
    </row>
    <row r="10" spans="1:4" x14ac:dyDescent="0.25">
      <c r="A10" s="5" t="s">
        <v>19</v>
      </c>
      <c r="B10" s="8">
        <v>-4.8999999999999998E-3</v>
      </c>
      <c r="C10" s="5" t="s">
        <v>20</v>
      </c>
      <c r="D10" s="7" t="s">
        <v>21</v>
      </c>
    </row>
    <row r="11" spans="1:4" x14ac:dyDescent="0.25">
      <c r="A11" s="5" t="s">
        <v>22</v>
      </c>
      <c r="B11" s="6">
        <v>1.1000000000000001E-3</v>
      </c>
      <c r="C11" s="5" t="s">
        <v>23</v>
      </c>
      <c r="D11" s="7" t="s">
        <v>24</v>
      </c>
    </row>
    <row r="12" spans="1:4" x14ac:dyDescent="0.25">
      <c r="A12" s="5" t="s">
        <v>25</v>
      </c>
      <c r="B12" s="11">
        <f>-B10+B11</f>
        <v>6.0000000000000001E-3</v>
      </c>
      <c r="C12" s="5" t="s">
        <v>26</v>
      </c>
      <c r="D12" s="7" t="s">
        <v>27</v>
      </c>
    </row>
    <row r="13" spans="1:4" x14ac:dyDescent="0.25">
      <c r="A13" s="5" t="s">
        <v>28</v>
      </c>
      <c r="B13" s="5" t="str">
        <f>IF(B10+B12&gt;0,"OK","FAIL")</f>
        <v>OK</v>
      </c>
      <c r="C13" s="5"/>
      <c r="D13" s="7" t="s">
        <v>29</v>
      </c>
    </row>
    <row r="14" spans="1:4" x14ac:dyDescent="0.25">
      <c r="A14" s="5" t="s">
        <v>30</v>
      </c>
      <c r="B14" s="12">
        <v>10</v>
      </c>
      <c r="C14" s="5" t="s">
        <v>31</v>
      </c>
      <c r="D14" s="7" t="s">
        <v>32</v>
      </c>
    </row>
    <row r="17" spans="1:4" x14ac:dyDescent="0.25">
      <c r="A17" s="13" t="s">
        <v>33</v>
      </c>
    </row>
    <row r="18" spans="1:4" x14ac:dyDescent="0.25">
      <c r="A18" s="14" t="s">
        <v>34</v>
      </c>
      <c r="B18" s="1" t="s">
        <v>35</v>
      </c>
      <c r="C18" s="1"/>
      <c r="D18" s="1"/>
    </row>
    <row r="19" spans="1:4" x14ac:dyDescent="0.25">
      <c r="A19" s="14" t="s">
        <v>36</v>
      </c>
      <c r="B19" s="1" t="s">
        <v>37</v>
      </c>
      <c r="C19" s="1"/>
      <c r="D19" s="1"/>
    </row>
    <row r="20" spans="1:4" x14ac:dyDescent="0.25">
      <c r="A20" s="14" t="s">
        <v>38</v>
      </c>
      <c r="B20" s="1" t="s">
        <v>39</v>
      </c>
      <c r="C20" s="1"/>
      <c r="D20" s="1"/>
    </row>
    <row r="21" spans="1:4" x14ac:dyDescent="0.25">
      <c r="A21" s="14" t="s">
        <v>40</v>
      </c>
      <c r="B21" s="1" t="s">
        <v>41</v>
      </c>
      <c r="C21" s="1"/>
      <c r="D21" s="1"/>
    </row>
    <row r="22" spans="1:4" x14ac:dyDescent="0.25">
      <c r="A22" s="14" t="s">
        <v>42</v>
      </c>
      <c r="B22" s="1" t="s">
        <v>43</v>
      </c>
      <c r="C22" s="1"/>
      <c r="D22" s="1"/>
    </row>
    <row r="23" spans="1:4" x14ac:dyDescent="0.25">
      <c r="A23" s="14" t="s">
        <v>44</v>
      </c>
      <c r="B23" s="1" t="s">
        <v>45</v>
      </c>
      <c r="C23" s="1"/>
      <c r="D23" s="1"/>
    </row>
    <row r="24" spans="1:4" x14ac:dyDescent="0.25">
      <c r="A24" s="14" t="s">
        <v>46</v>
      </c>
      <c r="B24" s="1" t="s">
        <v>27</v>
      </c>
      <c r="C24" s="1"/>
      <c r="D24" s="1"/>
    </row>
  </sheetData>
  <mergeCells count="7">
    <mergeCell ref="B23:D23"/>
    <mergeCell ref="B24:D24"/>
    <mergeCell ref="B18:D18"/>
    <mergeCell ref="B19:D19"/>
    <mergeCell ref="B20:D20"/>
    <mergeCell ref="B21:D21"/>
    <mergeCell ref="B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3"/>
  <sheetViews>
    <sheetView zoomScaleNormal="100" workbookViewId="0">
      <pane xSplit="1" ySplit="17" topLeftCell="B18" activePane="bottomRight" state="frozen"/>
      <selection pane="topRight" activeCell="B1" sqref="B1"/>
      <selection pane="bottomLeft" activeCell="A18" sqref="A18"/>
      <selection pane="bottomRight" activeCell="A18" sqref="A18:A25"/>
    </sheetView>
  </sheetViews>
  <sheetFormatPr defaultColWidth="8.7109375" defaultRowHeight="15" x14ac:dyDescent="0.25"/>
  <cols>
    <col min="1" max="1" width="22" customWidth="1"/>
    <col min="2" max="2" width="6" customWidth="1"/>
    <col min="3" max="3" width="10" customWidth="1"/>
    <col min="4" max="4" width="10.5703125" customWidth="1"/>
    <col min="5" max="5" width="11.140625" customWidth="1"/>
    <col min="6" max="6" width="10.28515625" customWidth="1"/>
    <col min="7" max="7" width="13" customWidth="1"/>
    <col min="8" max="8" width="12.7109375" customWidth="1"/>
    <col min="9" max="9" width="13.85546875" customWidth="1"/>
    <col min="10" max="10" width="9" customWidth="1"/>
    <col min="11" max="11" width="8" customWidth="1"/>
    <col min="12" max="12" width="17.28515625" customWidth="1"/>
    <col min="13" max="13" width="20.5703125" customWidth="1"/>
    <col min="14" max="14" width="17.5703125" customWidth="1"/>
    <col min="15" max="15" width="14.28515625" customWidth="1"/>
    <col min="16" max="17" width="12" customWidth="1"/>
    <col min="18" max="18" width="8" customWidth="1"/>
  </cols>
  <sheetData>
    <row r="1" spans="1:3" ht="18" x14ac:dyDescent="0.25">
      <c r="A1" s="2" t="s">
        <v>47</v>
      </c>
    </row>
    <row r="2" spans="1:3" x14ac:dyDescent="0.25">
      <c r="A2" s="3" t="s">
        <v>48</v>
      </c>
    </row>
    <row r="4" spans="1:3" ht="30" x14ac:dyDescent="0.25">
      <c r="A4" s="4" t="s">
        <v>49</v>
      </c>
      <c r="B4" s="4" t="s">
        <v>3</v>
      </c>
      <c r="C4" s="4" t="s">
        <v>5</v>
      </c>
    </row>
    <row r="5" spans="1:3" x14ac:dyDescent="0.25">
      <c r="A5" s="5" t="s">
        <v>50</v>
      </c>
      <c r="B5" s="6">
        <v>0.04</v>
      </c>
      <c r="C5" s="7" t="s">
        <v>51</v>
      </c>
    </row>
    <row r="6" spans="1:3" x14ac:dyDescent="0.25">
      <c r="A6" s="5" t="s">
        <v>52</v>
      </c>
      <c r="B6" s="6">
        <v>-4.8999999999999998E-3</v>
      </c>
      <c r="C6" s="7" t="s">
        <v>53</v>
      </c>
    </row>
    <row r="7" spans="1:3" x14ac:dyDescent="0.25">
      <c r="A7" s="5" t="s">
        <v>22</v>
      </c>
      <c r="B7" s="6">
        <v>1.1000000000000001E-3</v>
      </c>
      <c r="C7" s="7" t="s">
        <v>54</v>
      </c>
    </row>
    <row r="8" spans="1:3" x14ac:dyDescent="0.25">
      <c r="A8" s="5" t="s">
        <v>55</v>
      </c>
      <c r="B8" s="9">
        <f>-B6+B7</f>
        <v>6.0000000000000001E-3</v>
      </c>
      <c r="C8" s="7" t="s">
        <v>56</v>
      </c>
    </row>
    <row r="9" spans="1:3" x14ac:dyDescent="0.25">
      <c r="A9" s="5" t="s">
        <v>57</v>
      </c>
      <c r="B9" s="6">
        <v>0.01</v>
      </c>
      <c r="C9" s="7" t="s">
        <v>58</v>
      </c>
    </row>
    <row r="10" spans="1:3" x14ac:dyDescent="0.25">
      <c r="A10" s="5" t="s">
        <v>59</v>
      </c>
      <c r="B10" s="9">
        <f>B8</f>
        <v>6.0000000000000001E-3</v>
      </c>
      <c r="C10" s="7" t="s">
        <v>60</v>
      </c>
    </row>
    <row r="11" spans="1:3" x14ac:dyDescent="0.25">
      <c r="A11" s="5" t="s">
        <v>61</v>
      </c>
      <c r="B11" s="6">
        <v>5.0000000000000001E-3</v>
      </c>
      <c r="C11" s="7" t="s">
        <v>62</v>
      </c>
    </row>
    <row r="12" spans="1:3" x14ac:dyDescent="0.25">
      <c r="A12" s="5" t="s">
        <v>63</v>
      </c>
      <c r="B12" s="6">
        <v>2.5000000000000001E-3</v>
      </c>
      <c r="C12" s="7" t="s">
        <v>64</v>
      </c>
    </row>
    <row r="13" spans="1:3" x14ac:dyDescent="0.25">
      <c r="A13" s="5" t="s">
        <v>65</v>
      </c>
      <c r="B13" s="6">
        <v>1E-4</v>
      </c>
      <c r="C13" s="7" t="s">
        <v>66</v>
      </c>
    </row>
    <row r="14" spans="1:3" x14ac:dyDescent="0.25">
      <c r="A14" s="5" t="s">
        <v>67</v>
      </c>
      <c r="B14" s="6">
        <v>5.0000000000000001E-3</v>
      </c>
      <c r="C14" s="7" t="s">
        <v>68</v>
      </c>
    </row>
    <row r="17" spans="1:18" ht="39.75" customHeight="1" x14ac:dyDescent="0.25">
      <c r="A17" s="4" t="s">
        <v>69</v>
      </c>
      <c r="B17" s="4" t="s">
        <v>70</v>
      </c>
      <c r="C17" s="4" t="s">
        <v>7</v>
      </c>
      <c r="D17" s="4" t="s">
        <v>10</v>
      </c>
      <c r="E17" s="4" t="s">
        <v>13</v>
      </c>
      <c r="F17" s="4" t="s">
        <v>71</v>
      </c>
      <c r="G17" s="4" t="s">
        <v>72</v>
      </c>
      <c r="H17" s="4" t="s">
        <v>73</v>
      </c>
      <c r="I17" s="4" t="s">
        <v>74</v>
      </c>
      <c r="J17" s="4" t="s">
        <v>75</v>
      </c>
      <c r="K17" s="4" t="s">
        <v>76</v>
      </c>
      <c r="L17" s="4" t="s">
        <v>77</v>
      </c>
      <c r="M17" s="4" t="s">
        <v>78</v>
      </c>
      <c r="N17" s="4" t="s">
        <v>79</v>
      </c>
      <c r="O17" s="4" t="s">
        <v>44</v>
      </c>
      <c r="P17" s="4" t="s">
        <v>80</v>
      </c>
      <c r="Q17" s="4" t="s">
        <v>81</v>
      </c>
      <c r="R17" s="4" t="s">
        <v>82</v>
      </c>
    </row>
    <row r="18" spans="1:18" x14ac:dyDescent="0.25">
      <c r="A18" s="5" t="s">
        <v>83</v>
      </c>
      <c r="B18" s="15">
        <v>0</v>
      </c>
      <c r="C18" s="9">
        <f>$B$9</f>
        <v>0.01</v>
      </c>
      <c r="D18" s="9">
        <f t="shared" ref="D18:D23" si="0">$B$11</f>
        <v>5.0000000000000001E-3</v>
      </c>
      <c r="E18" s="9">
        <f t="shared" ref="E18:E23" si="1">$B$12</f>
        <v>2.5000000000000001E-3</v>
      </c>
      <c r="F18" s="10">
        <f t="shared" ref="F18:F29" si="2">(E18-D18)*10000</f>
        <v>-25</v>
      </c>
      <c r="G18" s="9">
        <f t="shared" ref="G18:G29" si="3">D18+$B$8</f>
        <v>1.0999999999999999E-2</v>
      </c>
      <c r="H18" s="16">
        <f t="shared" ref="H18:H29" si="4">(E18-D18)/G18^B18</f>
        <v>-2.5000000000000001E-3</v>
      </c>
      <c r="I18" s="9">
        <f t="shared" ref="I18:I29" si="5">$B$5+C18</f>
        <v>0.05</v>
      </c>
      <c r="J18" s="17">
        <f t="shared" ref="J18:J29" si="6">I18^(B18-1)*H18</f>
        <v>-0.05</v>
      </c>
      <c r="K18" s="17">
        <f t="shared" ref="K18:K29" si="7">0.5*J18^2</f>
        <v>1.2500000000000002E-3</v>
      </c>
      <c r="L18" s="17">
        <f t="shared" ref="L18:L29" si="8">EXP(J18-K18)</f>
        <v>0.95004113055852779</v>
      </c>
      <c r="M18" s="18">
        <f t="shared" ref="M18:M29" si="9">I18*L18-C18</f>
        <v>3.7502056527926389E-2</v>
      </c>
      <c r="N18" s="19">
        <f t="shared" ref="N18:N29" si="10">(M18-$B$5)*10000</f>
        <v>-24.979434720736119</v>
      </c>
      <c r="O18" s="20">
        <f t="shared" ref="O18:O29" si="11">N18/F18</f>
        <v>0.99917738882944473</v>
      </c>
      <c r="P18" s="10">
        <f t="shared" ref="P18:P29" si="12">I18^B18*H18*10000</f>
        <v>-25</v>
      </c>
      <c r="Q18" s="10">
        <f t="shared" ref="Q18:Q29" si="13">N18-P18</f>
        <v>2.0565279263880853E-2</v>
      </c>
      <c r="R18" s="5" t="str">
        <f t="shared" ref="R18:R29" si="14">IF(J18&lt;=1,"OK","x&gt;1")</f>
        <v>OK</v>
      </c>
    </row>
    <row r="19" spans="1:18" x14ac:dyDescent="0.25">
      <c r="A19" s="5" t="s">
        <v>83</v>
      </c>
      <c r="B19" s="15">
        <v>0.5</v>
      </c>
      <c r="C19" s="9">
        <f>$B$9</f>
        <v>0.01</v>
      </c>
      <c r="D19" s="9">
        <f t="shared" si="0"/>
        <v>5.0000000000000001E-3</v>
      </c>
      <c r="E19" s="9">
        <f t="shared" si="1"/>
        <v>2.5000000000000001E-3</v>
      </c>
      <c r="F19" s="10">
        <f t="shared" si="2"/>
        <v>-25</v>
      </c>
      <c r="G19" s="9">
        <f t="shared" si="3"/>
        <v>1.0999999999999999E-2</v>
      </c>
      <c r="H19" s="16">
        <f t="shared" si="4"/>
        <v>-2.3836564731139806E-2</v>
      </c>
      <c r="I19" s="9">
        <f t="shared" si="5"/>
        <v>0.05</v>
      </c>
      <c r="J19" s="17">
        <f t="shared" si="6"/>
        <v>-0.10660035817780521</v>
      </c>
      <c r="K19" s="17">
        <f t="shared" si="7"/>
        <v>5.6818181818181811E-3</v>
      </c>
      <c r="L19" s="17">
        <f t="shared" si="8"/>
        <v>0.89379201493655147</v>
      </c>
      <c r="M19" s="18">
        <f t="shared" si="9"/>
        <v>3.4689600746827573E-2</v>
      </c>
      <c r="N19" s="19">
        <f t="shared" si="10"/>
        <v>-53.10399253172428</v>
      </c>
      <c r="O19" s="20">
        <f t="shared" si="11"/>
        <v>2.124159701268971</v>
      </c>
      <c r="P19" s="10">
        <f t="shared" si="12"/>
        <v>-53.300179088902603</v>
      </c>
      <c r="Q19" s="10">
        <f t="shared" si="13"/>
        <v>0.19618655717832212</v>
      </c>
      <c r="R19" s="5" t="str">
        <f t="shared" si="14"/>
        <v>OK</v>
      </c>
    </row>
    <row r="20" spans="1:18" x14ac:dyDescent="0.25">
      <c r="A20" s="5" t="s">
        <v>83</v>
      </c>
      <c r="B20" s="15">
        <v>1</v>
      </c>
      <c r="C20" s="9">
        <f>$B$9</f>
        <v>0.01</v>
      </c>
      <c r="D20" s="9">
        <f t="shared" si="0"/>
        <v>5.0000000000000001E-3</v>
      </c>
      <c r="E20" s="9">
        <f t="shared" si="1"/>
        <v>2.5000000000000001E-3</v>
      </c>
      <c r="F20" s="10">
        <f t="shared" si="2"/>
        <v>-25</v>
      </c>
      <c r="G20" s="9">
        <f t="shared" si="3"/>
        <v>1.0999999999999999E-2</v>
      </c>
      <c r="H20" s="16">
        <f t="shared" si="4"/>
        <v>-0.22727272727272729</v>
      </c>
      <c r="I20" s="9">
        <f t="shared" si="5"/>
        <v>0.05</v>
      </c>
      <c r="J20" s="17">
        <f t="shared" si="6"/>
        <v>-0.22727272727272729</v>
      </c>
      <c r="K20" s="17">
        <f t="shared" si="7"/>
        <v>2.582644628099174E-2</v>
      </c>
      <c r="L20" s="17">
        <f t="shared" si="8"/>
        <v>0.7763908805628561</v>
      </c>
      <c r="M20" s="18">
        <f t="shared" si="9"/>
        <v>2.8819544028142803E-2</v>
      </c>
      <c r="N20" s="19">
        <f t="shared" si="10"/>
        <v>-111.80455971857198</v>
      </c>
      <c r="O20" s="20">
        <f t="shared" si="11"/>
        <v>4.4721823887428789</v>
      </c>
      <c r="P20" s="10">
        <f t="shared" si="12"/>
        <v>-113.63636363636365</v>
      </c>
      <c r="Q20" s="10">
        <f t="shared" si="13"/>
        <v>1.8318039177916745</v>
      </c>
      <c r="R20" s="5" t="str">
        <f t="shared" si="14"/>
        <v>OK</v>
      </c>
    </row>
    <row r="21" spans="1:18" x14ac:dyDescent="0.25">
      <c r="A21" s="5" t="s">
        <v>83</v>
      </c>
      <c r="B21" s="15">
        <v>0</v>
      </c>
      <c r="C21" s="9">
        <f>$B$10</f>
        <v>6.0000000000000001E-3</v>
      </c>
      <c r="D21" s="9">
        <f t="shared" si="0"/>
        <v>5.0000000000000001E-3</v>
      </c>
      <c r="E21" s="9">
        <f t="shared" si="1"/>
        <v>2.5000000000000001E-3</v>
      </c>
      <c r="F21" s="10">
        <f t="shared" si="2"/>
        <v>-25</v>
      </c>
      <c r="G21" s="9">
        <f t="shared" si="3"/>
        <v>1.0999999999999999E-2</v>
      </c>
      <c r="H21" s="16">
        <f t="shared" si="4"/>
        <v>-2.5000000000000001E-3</v>
      </c>
      <c r="I21" s="9">
        <f t="shared" si="5"/>
        <v>4.5999999999999999E-2</v>
      </c>
      <c r="J21" s="17">
        <f t="shared" si="6"/>
        <v>-5.4347826086956527E-2</v>
      </c>
      <c r="K21" s="17">
        <f t="shared" si="7"/>
        <v>1.4768431001890361E-3</v>
      </c>
      <c r="L21" s="17">
        <f t="shared" si="8"/>
        <v>0.94570493256988619</v>
      </c>
      <c r="M21" s="18">
        <f t="shared" si="9"/>
        <v>3.7502426898214765E-2</v>
      </c>
      <c r="N21" s="19">
        <f t="shared" si="10"/>
        <v>-24.975731017852361</v>
      </c>
      <c r="O21" s="20">
        <f t="shared" si="11"/>
        <v>0.99902924071409449</v>
      </c>
      <c r="P21" s="10">
        <f t="shared" si="12"/>
        <v>-25</v>
      </c>
      <c r="Q21" s="10">
        <f t="shared" si="13"/>
        <v>2.4268982147638951E-2</v>
      </c>
      <c r="R21" s="5" t="str">
        <f t="shared" si="14"/>
        <v>OK</v>
      </c>
    </row>
    <row r="22" spans="1:18" x14ac:dyDescent="0.25">
      <c r="A22" s="5" t="s">
        <v>83</v>
      </c>
      <c r="B22" s="15">
        <v>0.5</v>
      </c>
      <c r="C22" s="9">
        <f>$B$10</f>
        <v>6.0000000000000001E-3</v>
      </c>
      <c r="D22" s="9">
        <f t="shared" si="0"/>
        <v>5.0000000000000001E-3</v>
      </c>
      <c r="E22" s="9">
        <f t="shared" si="1"/>
        <v>2.5000000000000001E-3</v>
      </c>
      <c r="F22" s="10">
        <f t="shared" si="2"/>
        <v>-25</v>
      </c>
      <c r="G22" s="9">
        <f t="shared" si="3"/>
        <v>1.0999999999999999E-2</v>
      </c>
      <c r="H22" s="16">
        <f t="shared" si="4"/>
        <v>-2.3836564731139806E-2</v>
      </c>
      <c r="I22" s="9">
        <f t="shared" si="5"/>
        <v>4.5999999999999999E-2</v>
      </c>
      <c r="J22" s="17">
        <f t="shared" si="6"/>
        <v>-0.11113855611859676</v>
      </c>
      <c r="K22" s="17">
        <f t="shared" si="7"/>
        <v>6.1758893280632401E-3</v>
      </c>
      <c r="L22" s="17">
        <f t="shared" si="8"/>
        <v>0.88930551112468126</v>
      </c>
      <c r="M22" s="18">
        <f t="shared" si="9"/>
        <v>3.4908053511735336E-2</v>
      </c>
      <c r="N22" s="19">
        <f t="shared" si="10"/>
        <v>-50.91946488264665</v>
      </c>
      <c r="O22" s="20">
        <f t="shared" si="11"/>
        <v>2.0367785953058659</v>
      </c>
      <c r="P22" s="10">
        <f t="shared" si="12"/>
        <v>-51.123735814554507</v>
      </c>
      <c r="Q22" s="10">
        <f t="shared" si="13"/>
        <v>0.20427093190785683</v>
      </c>
      <c r="R22" s="5" t="str">
        <f t="shared" si="14"/>
        <v>OK</v>
      </c>
    </row>
    <row r="23" spans="1:18" x14ac:dyDescent="0.25">
      <c r="A23" s="5" t="s">
        <v>83</v>
      </c>
      <c r="B23" s="15">
        <v>1</v>
      </c>
      <c r="C23" s="9">
        <f>$B$10</f>
        <v>6.0000000000000001E-3</v>
      </c>
      <c r="D23" s="9">
        <f t="shared" si="0"/>
        <v>5.0000000000000001E-3</v>
      </c>
      <c r="E23" s="9">
        <f t="shared" si="1"/>
        <v>2.5000000000000001E-3</v>
      </c>
      <c r="F23" s="10">
        <f t="shared" si="2"/>
        <v>-25</v>
      </c>
      <c r="G23" s="9">
        <f t="shared" si="3"/>
        <v>1.0999999999999999E-2</v>
      </c>
      <c r="H23" s="16">
        <f t="shared" si="4"/>
        <v>-0.22727272727272729</v>
      </c>
      <c r="I23" s="9">
        <f t="shared" si="5"/>
        <v>4.5999999999999999E-2</v>
      </c>
      <c r="J23" s="17">
        <f t="shared" si="6"/>
        <v>-0.22727272727272729</v>
      </c>
      <c r="K23" s="17">
        <f t="shared" si="7"/>
        <v>2.582644628099174E-2</v>
      </c>
      <c r="L23" s="17">
        <f t="shared" si="8"/>
        <v>0.7763908805628561</v>
      </c>
      <c r="M23" s="18">
        <f t="shared" si="9"/>
        <v>2.9713980505891378E-2</v>
      </c>
      <c r="N23" s="19">
        <f t="shared" si="10"/>
        <v>-102.86019494108622</v>
      </c>
      <c r="O23" s="20">
        <f t="shared" si="11"/>
        <v>4.114407797643449</v>
      </c>
      <c r="P23" s="10">
        <f t="shared" si="12"/>
        <v>-104.54545454545456</v>
      </c>
      <c r="Q23" s="10">
        <f t="shared" si="13"/>
        <v>1.6852596043683405</v>
      </c>
      <c r="R23" s="5" t="str">
        <f t="shared" si="14"/>
        <v>OK</v>
      </c>
    </row>
    <row r="24" spans="1:18" x14ac:dyDescent="0.25">
      <c r="A24" s="5" t="s">
        <v>84</v>
      </c>
      <c r="B24" s="15">
        <v>0</v>
      </c>
      <c r="C24" s="9">
        <f>$B$9</f>
        <v>0.01</v>
      </c>
      <c r="D24" s="9">
        <f t="shared" ref="D24:D29" si="15">$B$13</f>
        <v>1E-4</v>
      </c>
      <c r="E24" s="9">
        <f t="shared" ref="E24:E29" si="16">$B$14</f>
        <v>5.0000000000000001E-3</v>
      </c>
      <c r="F24" s="10">
        <f t="shared" si="2"/>
        <v>49</v>
      </c>
      <c r="G24" s="9">
        <f t="shared" si="3"/>
        <v>6.1000000000000004E-3</v>
      </c>
      <c r="H24" s="16">
        <f t="shared" si="4"/>
        <v>4.8999999999999998E-3</v>
      </c>
      <c r="I24" s="9">
        <f t="shared" si="5"/>
        <v>0.05</v>
      </c>
      <c r="J24" s="17">
        <f t="shared" si="6"/>
        <v>9.8000000000000004E-2</v>
      </c>
      <c r="K24" s="17">
        <f t="shared" si="7"/>
        <v>4.8020000000000007E-3</v>
      </c>
      <c r="L24" s="17">
        <f t="shared" si="8"/>
        <v>1.0976790542055299</v>
      </c>
      <c r="M24" s="18">
        <f t="shared" si="9"/>
        <v>4.4883952710276495E-2</v>
      </c>
      <c r="N24" s="19">
        <f t="shared" si="10"/>
        <v>48.83952710276494</v>
      </c>
      <c r="O24" s="20">
        <f t="shared" si="11"/>
        <v>0.99672504291357022</v>
      </c>
      <c r="P24" s="10">
        <f t="shared" si="12"/>
        <v>49</v>
      </c>
      <c r="Q24" s="10">
        <f t="shared" si="13"/>
        <v>-0.16047289723505997</v>
      </c>
      <c r="R24" s="5" t="str">
        <f t="shared" si="14"/>
        <v>OK</v>
      </c>
    </row>
    <row r="25" spans="1:18" x14ac:dyDescent="0.25">
      <c r="A25" s="5" t="s">
        <v>84</v>
      </c>
      <c r="B25" s="15">
        <v>0.5</v>
      </c>
      <c r="C25" s="9">
        <f>$B$9</f>
        <v>0.01</v>
      </c>
      <c r="D25" s="9">
        <f t="shared" si="15"/>
        <v>1E-4</v>
      </c>
      <c r="E25" s="9">
        <f t="shared" si="16"/>
        <v>5.0000000000000001E-3</v>
      </c>
      <c r="F25" s="10">
        <f t="shared" si="2"/>
        <v>49</v>
      </c>
      <c r="G25" s="9">
        <f t="shared" si="3"/>
        <v>6.1000000000000004E-3</v>
      </c>
      <c r="H25" s="16">
        <f t="shared" si="4"/>
        <v>6.2738071167119019E-2</v>
      </c>
      <c r="I25" s="9">
        <f t="shared" si="5"/>
        <v>0.05</v>
      </c>
      <c r="J25" s="17">
        <f t="shared" si="6"/>
        <v>0.28057318381379542</v>
      </c>
      <c r="K25" s="17">
        <f t="shared" si="7"/>
        <v>3.9360655737704919E-2</v>
      </c>
      <c r="L25" s="17">
        <f t="shared" si="8"/>
        <v>1.2727915104964154</v>
      </c>
      <c r="M25" s="18">
        <f t="shared" si="9"/>
        <v>5.3639575524820772E-2</v>
      </c>
      <c r="N25" s="19">
        <f t="shared" si="10"/>
        <v>136.39575524820771</v>
      </c>
      <c r="O25" s="20">
        <f t="shared" si="11"/>
        <v>2.7835868418001573</v>
      </c>
      <c r="P25" s="10">
        <f t="shared" si="12"/>
        <v>140.28659190689768</v>
      </c>
      <c r="Q25" s="10">
        <f t="shared" si="13"/>
        <v>-3.8908366586899774</v>
      </c>
      <c r="R25" s="5" t="str">
        <f t="shared" si="14"/>
        <v>OK</v>
      </c>
    </row>
    <row r="26" spans="1:18" x14ac:dyDescent="0.25">
      <c r="A26" s="5" t="s">
        <v>84</v>
      </c>
      <c r="B26" s="15">
        <v>1</v>
      </c>
      <c r="C26" s="9">
        <f>$B$9</f>
        <v>0.01</v>
      </c>
      <c r="D26" s="9">
        <f t="shared" si="15"/>
        <v>1E-4</v>
      </c>
      <c r="E26" s="9">
        <f t="shared" si="16"/>
        <v>5.0000000000000001E-3</v>
      </c>
      <c r="F26" s="10">
        <f t="shared" si="2"/>
        <v>49</v>
      </c>
      <c r="G26" s="9">
        <f t="shared" si="3"/>
        <v>6.1000000000000004E-3</v>
      </c>
      <c r="H26" s="16">
        <f t="shared" si="4"/>
        <v>0.80327868852459006</v>
      </c>
      <c r="I26" s="9">
        <f t="shared" si="5"/>
        <v>0.05</v>
      </c>
      <c r="J26" s="17">
        <f t="shared" si="6"/>
        <v>0.80327868852459006</v>
      </c>
      <c r="K26" s="17">
        <f t="shared" si="7"/>
        <v>0.32262832571889266</v>
      </c>
      <c r="L26" s="17">
        <f t="shared" si="8"/>
        <v>1.6171257787263569</v>
      </c>
      <c r="M26" s="18">
        <f t="shared" si="9"/>
        <v>7.085628893631786E-2</v>
      </c>
      <c r="N26" s="19">
        <f t="shared" si="10"/>
        <v>308.56288936317861</v>
      </c>
      <c r="O26" s="20">
        <f t="shared" si="11"/>
        <v>6.2972018237383391</v>
      </c>
      <c r="P26" s="10">
        <f t="shared" si="12"/>
        <v>401.63934426229508</v>
      </c>
      <c r="Q26" s="10">
        <f t="shared" si="13"/>
        <v>-93.07645489911647</v>
      </c>
      <c r="R26" s="5" t="str">
        <f t="shared" si="14"/>
        <v>OK</v>
      </c>
    </row>
    <row r="27" spans="1:18" x14ac:dyDescent="0.25">
      <c r="A27" s="5" t="s">
        <v>84</v>
      </c>
      <c r="B27" s="15">
        <v>0</v>
      </c>
      <c r="C27" s="9">
        <f>$B$10</f>
        <v>6.0000000000000001E-3</v>
      </c>
      <c r="D27" s="9">
        <f t="shared" si="15"/>
        <v>1E-4</v>
      </c>
      <c r="E27" s="9">
        <f t="shared" si="16"/>
        <v>5.0000000000000001E-3</v>
      </c>
      <c r="F27" s="10">
        <f t="shared" si="2"/>
        <v>49</v>
      </c>
      <c r="G27" s="9">
        <f t="shared" si="3"/>
        <v>6.1000000000000004E-3</v>
      </c>
      <c r="H27" s="16">
        <f t="shared" si="4"/>
        <v>4.8999999999999998E-3</v>
      </c>
      <c r="I27" s="9">
        <f t="shared" si="5"/>
        <v>4.5999999999999999E-2</v>
      </c>
      <c r="J27" s="17">
        <f t="shared" si="6"/>
        <v>0.10652173913043478</v>
      </c>
      <c r="K27" s="17">
        <f t="shared" si="7"/>
        <v>5.6734404536861998E-3</v>
      </c>
      <c r="L27" s="17">
        <f t="shared" si="8"/>
        <v>1.1061088308618756</v>
      </c>
      <c r="M27" s="18">
        <f t="shared" si="9"/>
        <v>4.4881006219646281E-2</v>
      </c>
      <c r="N27" s="19">
        <f t="shared" si="10"/>
        <v>48.810062196462809</v>
      </c>
      <c r="O27" s="20">
        <f t="shared" si="11"/>
        <v>0.99612371829515933</v>
      </c>
      <c r="P27" s="10">
        <f t="shared" si="12"/>
        <v>49</v>
      </c>
      <c r="Q27" s="10">
        <f t="shared" si="13"/>
        <v>-0.18993780353719103</v>
      </c>
      <c r="R27" s="5" t="str">
        <f t="shared" si="14"/>
        <v>OK</v>
      </c>
    </row>
    <row r="28" spans="1:18" x14ac:dyDescent="0.25">
      <c r="A28" s="5" t="s">
        <v>84</v>
      </c>
      <c r="B28" s="15">
        <v>0.5</v>
      </c>
      <c r="C28" s="9">
        <f>$B$10</f>
        <v>6.0000000000000001E-3</v>
      </c>
      <c r="D28" s="9">
        <f t="shared" si="15"/>
        <v>1E-4</v>
      </c>
      <c r="E28" s="9">
        <f t="shared" si="16"/>
        <v>5.0000000000000001E-3</v>
      </c>
      <c r="F28" s="10">
        <f t="shared" si="2"/>
        <v>49</v>
      </c>
      <c r="G28" s="9">
        <f t="shared" si="3"/>
        <v>6.1000000000000004E-3</v>
      </c>
      <c r="H28" s="16">
        <f t="shared" si="4"/>
        <v>6.2738071167119019E-2</v>
      </c>
      <c r="I28" s="9">
        <f t="shared" si="5"/>
        <v>4.5999999999999999E-2</v>
      </c>
      <c r="J28" s="17">
        <f t="shared" si="6"/>
        <v>0.29251776511530742</v>
      </c>
      <c r="K28" s="17">
        <f t="shared" si="7"/>
        <v>4.2783321454027079E-2</v>
      </c>
      <c r="L28" s="17">
        <f t="shared" si="8"/>
        <v>1.2836844808701002</v>
      </c>
      <c r="M28" s="18">
        <f t="shared" si="9"/>
        <v>5.3049486120024608E-2</v>
      </c>
      <c r="N28" s="19">
        <f t="shared" si="10"/>
        <v>130.49486120024608</v>
      </c>
      <c r="O28" s="20">
        <f t="shared" si="11"/>
        <v>2.6631604326580831</v>
      </c>
      <c r="P28" s="10">
        <f t="shared" si="12"/>
        <v>134.55817195304138</v>
      </c>
      <c r="Q28" s="10">
        <f t="shared" si="13"/>
        <v>-4.063310752795303</v>
      </c>
      <c r="R28" s="5" t="str">
        <f t="shared" si="14"/>
        <v>OK</v>
      </c>
    </row>
    <row r="29" spans="1:18" x14ac:dyDescent="0.25">
      <c r="A29" s="5" t="s">
        <v>84</v>
      </c>
      <c r="B29" s="15">
        <v>1</v>
      </c>
      <c r="C29" s="9">
        <f>$B$10</f>
        <v>6.0000000000000001E-3</v>
      </c>
      <c r="D29" s="9">
        <f t="shared" si="15"/>
        <v>1E-4</v>
      </c>
      <c r="E29" s="9">
        <f t="shared" si="16"/>
        <v>5.0000000000000001E-3</v>
      </c>
      <c r="F29" s="10">
        <f t="shared" si="2"/>
        <v>49</v>
      </c>
      <c r="G29" s="9">
        <f t="shared" si="3"/>
        <v>6.1000000000000004E-3</v>
      </c>
      <c r="H29" s="16">
        <f t="shared" si="4"/>
        <v>0.80327868852459006</v>
      </c>
      <c r="I29" s="9">
        <f t="shared" si="5"/>
        <v>4.5999999999999999E-2</v>
      </c>
      <c r="J29" s="17">
        <f t="shared" si="6"/>
        <v>0.80327868852459006</v>
      </c>
      <c r="K29" s="17">
        <f t="shared" si="7"/>
        <v>0.32262832571889266</v>
      </c>
      <c r="L29" s="17">
        <f t="shared" si="8"/>
        <v>1.6171257787263569</v>
      </c>
      <c r="M29" s="18">
        <f t="shared" si="9"/>
        <v>6.8387785821412403E-2</v>
      </c>
      <c r="N29" s="19">
        <f t="shared" si="10"/>
        <v>283.87785821412405</v>
      </c>
      <c r="O29" s="20">
        <f t="shared" si="11"/>
        <v>5.7934256778392665</v>
      </c>
      <c r="P29" s="10">
        <f t="shared" si="12"/>
        <v>369.50819672131144</v>
      </c>
      <c r="Q29" s="10">
        <f t="shared" si="13"/>
        <v>-85.630338507187389</v>
      </c>
      <c r="R29" s="5" t="str">
        <f t="shared" si="14"/>
        <v>OK</v>
      </c>
    </row>
    <row r="32" spans="1:18" x14ac:dyDescent="0.25">
      <c r="A32" s="13" t="s">
        <v>85</v>
      </c>
    </row>
    <row r="33" spans="1:4" x14ac:dyDescent="0.25">
      <c r="A33" s="4" t="s">
        <v>86</v>
      </c>
      <c r="B33" s="4" t="s">
        <v>87</v>
      </c>
      <c r="C33" s="4" t="s">
        <v>88</v>
      </c>
      <c r="D33" s="4" t="s">
        <v>89</v>
      </c>
    </row>
    <row r="34" spans="1:4" x14ac:dyDescent="0.25">
      <c r="A34" s="5" t="s">
        <v>90</v>
      </c>
      <c r="B34" s="21">
        <f>M18</f>
        <v>3.7502056527926389E-2</v>
      </c>
      <c r="C34" s="21">
        <f>M19</f>
        <v>3.4689600746827573E-2</v>
      </c>
      <c r="D34" s="21">
        <f>M20</f>
        <v>2.8819544028142803E-2</v>
      </c>
    </row>
    <row r="35" spans="1:4" x14ac:dyDescent="0.25">
      <c r="A35" s="5" t="s">
        <v>91</v>
      </c>
      <c r="B35" s="21">
        <f>M21</f>
        <v>3.7502426898214765E-2</v>
      </c>
      <c r="C35" s="21">
        <f>M22</f>
        <v>3.4908053511735336E-2</v>
      </c>
      <c r="D35" s="21">
        <f>M23</f>
        <v>2.9713980505891378E-2</v>
      </c>
    </row>
    <row r="36" spans="1:4" x14ac:dyDescent="0.25">
      <c r="A36" s="5" t="s">
        <v>92</v>
      </c>
      <c r="B36" s="21">
        <f>M24</f>
        <v>4.4883952710276495E-2</v>
      </c>
      <c r="C36" s="21">
        <f>M25</f>
        <v>5.3639575524820772E-2</v>
      </c>
      <c r="D36" s="21">
        <f>M26</f>
        <v>7.085628893631786E-2</v>
      </c>
    </row>
    <row r="37" spans="1:4" x14ac:dyDescent="0.25">
      <c r="A37" s="5" t="s">
        <v>93</v>
      </c>
      <c r="B37" s="21">
        <f>M27</f>
        <v>4.4881006219646281E-2</v>
      </c>
      <c r="C37" s="21">
        <f>M28</f>
        <v>5.3049486120024608E-2</v>
      </c>
      <c r="D37" s="21">
        <f>M29</f>
        <v>6.8387785821412403E-2</v>
      </c>
    </row>
    <row r="40" spans="1:4" x14ac:dyDescent="0.25">
      <c r="A40" s="13" t="s">
        <v>94</v>
      </c>
    </row>
    <row r="41" spans="1:4" x14ac:dyDescent="0.25">
      <c r="A41" s="4" t="s">
        <v>86</v>
      </c>
      <c r="B41" s="4" t="s">
        <v>87</v>
      </c>
      <c r="C41" s="4" t="s">
        <v>88</v>
      </c>
      <c r="D41" s="4" t="s">
        <v>89</v>
      </c>
    </row>
    <row r="42" spans="1:4" x14ac:dyDescent="0.25">
      <c r="A42" s="5" t="s">
        <v>90</v>
      </c>
      <c r="B42" s="22">
        <f>N18</f>
        <v>-24.979434720736119</v>
      </c>
      <c r="C42" s="22">
        <f>N19</f>
        <v>-53.10399253172428</v>
      </c>
      <c r="D42" s="22">
        <f>N20</f>
        <v>-111.80455971857198</v>
      </c>
    </row>
    <row r="43" spans="1:4" x14ac:dyDescent="0.25">
      <c r="A43" s="5" t="s">
        <v>91</v>
      </c>
      <c r="B43" s="22">
        <f>N21</f>
        <v>-24.975731017852361</v>
      </c>
      <c r="C43" s="22">
        <f>N22</f>
        <v>-50.91946488264665</v>
      </c>
      <c r="D43" s="22">
        <f>N23</f>
        <v>-102.86019494108622</v>
      </c>
    </row>
    <row r="44" spans="1:4" x14ac:dyDescent="0.25">
      <c r="A44" s="5" t="s">
        <v>92</v>
      </c>
      <c r="B44" s="22">
        <f>N24</f>
        <v>48.83952710276494</v>
      </c>
      <c r="C44" s="22">
        <f>N25</f>
        <v>136.39575524820771</v>
      </c>
      <c r="D44" s="22">
        <f>N26</f>
        <v>308.56288936317861</v>
      </c>
    </row>
    <row r="45" spans="1:4" x14ac:dyDescent="0.25">
      <c r="A45" s="5" t="s">
        <v>93</v>
      </c>
      <c r="B45" s="22">
        <f>N27</f>
        <v>48.810062196462809</v>
      </c>
      <c r="C45" s="22">
        <f>N28</f>
        <v>130.49486120024608</v>
      </c>
      <c r="D45" s="22">
        <f>N29</f>
        <v>283.87785821412405</v>
      </c>
    </row>
    <row r="48" spans="1:4" x14ac:dyDescent="0.25">
      <c r="A48" s="13" t="s">
        <v>95</v>
      </c>
    </row>
    <row r="49" spans="1:4" x14ac:dyDescent="0.25">
      <c r="A49" s="4" t="s">
        <v>86</v>
      </c>
      <c r="B49" s="4" t="s">
        <v>87</v>
      </c>
      <c r="C49" s="4" t="s">
        <v>88</v>
      </c>
      <c r="D49" s="4" t="s">
        <v>89</v>
      </c>
    </row>
    <row r="50" spans="1:4" x14ac:dyDescent="0.25">
      <c r="A50" s="5" t="s">
        <v>90</v>
      </c>
      <c r="B50" s="20">
        <f>O18</f>
        <v>0.99917738882944473</v>
      </c>
      <c r="C50" s="20">
        <f>O19</f>
        <v>2.124159701268971</v>
      </c>
      <c r="D50" s="20">
        <f>O20</f>
        <v>4.4721823887428789</v>
      </c>
    </row>
    <row r="51" spans="1:4" x14ac:dyDescent="0.25">
      <c r="A51" s="5" t="s">
        <v>91</v>
      </c>
      <c r="B51" s="20">
        <f>O21</f>
        <v>0.99902924071409449</v>
      </c>
      <c r="C51" s="20">
        <f>O22</f>
        <v>2.0367785953058659</v>
      </c>
      <c r="D51" s="20">
        <f>O23</f>
        <v>4.114407797643449</v>
      </c>
    </row>
    <row r="52" spans="1:4" x14ac:dyDescent="0.25">
      <c r="A52" s="5" t="s">
        <v>92</v>
      </c>
      <c r="B52" s="20">
        <f>O24</f>
        <v>0.99672504291357022</v>
      </c>
      <c r="C52" s="20">
        <f>O25</f>
        <v>2.7835868418001573</v>
      </c>
      <c r="D52" s="20">
        <f>O26</f>
        <v>6.2972018237383391</v>
      </c>
    </row>
    <row r="53" spans="1:4" x14ac:dyDescent="0.25">
      <c r="A53" s="5" t="s">
        <v>93</v>
      </c>
      <c r="B53" s="20">
        <f>O27</f>
        <v>0.99612371829515933</v>
      </c>
      <c r="C53" s="20">
        <f>O28</f>
        <v>2.6631604326580831</v>
      </c>
      <c r="D53" s="20">
        <f>O29</f>
        <v>5.7934256778392665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6B44-9419-4EAE-ACA0-0BEADEB2C243}">
  <dimension ref="A2:T24"/>
  <sheetViews>
    <sheetView tabSelected="1" workbookViewId="0">
      <selection activeCell="E28" sqref="E28"/>
    </sheetView>
  </sheetViews>
  <sheetFormatPr defaultColWidth="7.85546875" defaultRowHeight="15" x14ac:dyDescent="0.25"/>
  <cols>
    <col min="1" max="1" width="15.28515625" customWidth="1"/>
    <col min="2" max="2" width="20.42578125" customWidth="1"/>
    <col min="4" max="4" width="8.28515625" customWidth="1"/>
    <col min="5" max="5" width="26.28515625" customWidth="1"/>
    <col min="6" max="7" width="12.85546875" customWidth="1"/>
    <col min="8" max="8" width="9.140625" customWidth="1"/>
    <col min="9" max="9" width="11.42578125" customWidth="1"/>
    <col min="10" max="10" width="9" customWidth="1"/>
    <col min="11" max="11" width="9.28515625" customWidth="1"/>
    <col min="12" max="12" width="11.85546875" customWidth="1"/>
    <col min="13" max="13" width="11" customWidth="1"/>
    <col min="15" max="15" width="9.42578125" customWidth="1"/>
    <col min="16" max="16" width="21" customWidth="1"/>
    <col min="17" max="17" width="9.85546875" customWidth="1"/>
    <col min="19" max="19" width="14.85546875" customWidth="1"/>
    <col min="20" max="20" width="9.42578125" customWidth="1"/>
  </cols>
  <sheetData>
    <row r="2" spans="1:20" ht="30" x14ac:dyDescent="0.25">
      <c r="E2" s="46" t="s">
        <v>353</v>
      </c>
    </row>
    <row r="3" spans="1:20" ht="45" x14ac:dyDescent="0.25">
      <c r="A3" s="4" t="s">
        <v>350</v>
      </c>
      <c r="B3" s="4" t="s">
        <v>349</v>
      </c>
      <c r="C3" s="45" t="s">
        <v>70</v>
      </c>
      <c r="D3" s="45" t="s">
        <v>7</v>
      </c>
      <c r="E3" s="48" t="s">
        <v>352</v>
      </c>
      <c r="F3" s="4" t="s">
        <v>78</v>
      </c>
      <c r="G3" s="4" t="s">
        <v>79</v>
      </c>
      <c r="H3" s="4" t="s">
        <v>10</v>
      </c>
      <c r="I3" s="4" t="s">
        <v>13</v>
      </c>
      <c r="J3" s="4" t="s">
        <v>71</v>
      </c>
      <c r="K3" s="4" t="s">
        <v>72</v>
      </c>
      <c r="L3" s="4" t="s">
        <v>73</v>
      </c>
      <c r="M3" s="4" t="s">
        <v>74</v>
      </c>
      <c r="N3" s="4" t="s">
        <v>75</v>
      </c>
      <c r="O3" s="4" t="s">
        <v>76</v>
      </c>
      <c r="P3" s="4" t="s">
        <v>77</v>
      </c>
      <c r="Q3" s="4" t="s">
        <v>44</v>
      </c>
      <c r="R3" s="4" t="s">
        <v>80</v>
      </c>
      <c r="S3" s="4" t="s">
        <v>81</v>
      </c>
      <c r="T3" s="47" t="s">
        <v>82</v>
      </c>
    </row>
    <row r="4" spans="1:20" x14ac:dyDescent="0.25">
      <c r="A4" s="44">
        <v>0.04</v>
      </c>
      <c r="B4" s="5" t="s">
        <v>83</v>
      </c>
      <c r="C4" s="15">
        <v>0</v>
      </c>
      <c r="D4" s="9">
        <v>0.01</v>
      </c>
      <c r="E4" s="44">
        <v>6.0000000000000001E-3</v>
      </c>
      <c r="F4" s="18">
        <v>3.7502056527926389E-2</v>
      </c>
      <c r="G4" s="19">
        <v>-24.979434720736119</v>
      </c>
      <c r="H4" s="9">
        <v>5.0000000000000001E-3</v>
      </c>
      <c r="I4" s="9">
        <v>2.5000000000000001E-3</v>
      </c>
      <c r="J4" s="10">
        <v>-25</v>
      </c>
      <c r="K4" s="9">
        <v>1.0999999999999999E-2</v>
      </c>
      <c r="L4" s="16">
        <v>-2.5000000000000001E-3</v>
      </c>
      <c r="M4" s="9">
        <v>0.05</v>
      </c>
      <c r="N4" s="17">
        <v>-0.05</v>
      </c>
      <c r="O4" s="17">
        <v>1.2500000000000002E-3</v>
      </c>
      <c r="P4" s="17">
        <v>0.95004113055852779</v>
      </c>
      <c r="Q4" s="20">
        <v>0.99917738882944473</v>
      </c>
      <c r="R4" s="10">
        <v>-25</v>
      </c>
      <c r="S4" s="10">
        <v>2.0565279263880853E-2</v>
      </c>
      <c r="T4" t="s">
        <v>351</v>
      </c>
    </row>
    <row r="5" spans="1:20" x14ac:dyDescent="0.25">
      <c r="A5" s="44">
        <v>0.04</v>
      </c>
      <c r="B5" s="5" t="s">
        <v>83</v>
      </c>
      <c r="C5" s="15">
        <v>0.5</v>
      </c>
      <c r="D5" s="9">
        <v>0.01</v>
      </c>
      <c r="E5" s="44">
        <v>6.0000000000000001E-3</v>
      </c>
      <c r="F5" s="18">
        <v>3.4689600746827573E-2</v>
      </c>
      <c r="G5" s="19">
        <v>-53.10399253172428</v>
      </c>
      <c r="H5" s="9">
        <v>5.0000000000000001E-3</v>
      </c>
      <c r="I5" s="9">
        <v>2.5000000000000001E-3</v>
      </c>
      <c r="J5" s="10">
        <v>-25</v>
      </c>
      <c r="K5" s="9">
        <v>1.0999999999999999E-2</v>
      </c>
      <c r="L5" s="16">
        <v>-2.3836564731139806E-2</v>
      </c>
      <c r="M5" s="9">
        <v>0.05</v>
      </c>
      <c r="N5" s="17">
        <v>-0.10660035817780521</v>
      </c>
      <c r="O5" s="17">
        <v>5.6818181818181811E-3</v>
      </c>
      <c r="P5" s="17">
        <v>0.89379201493655147</v>
      </c>
      <c r="Q5" s="20">
        <v>2.124159701268971</v>
      </c>
      <c r="R5" s="10">
        <v>-53.300179088902603</v>
      </c>
      <c r="S5" s="10">
        <v>0.19618655717832212</v>
      </c>
      <c r="T5" t="s">
        <v>351</v>
      </c>
    </row>
    <row r="6" spans="1:20" x14ac:dyDescent="0.25">
      <c r="A6" s="44">
        <v>0.04</v>
      </c>
      <c r="B6" s="5" t="s">
        <v>83</v>
      </c>
      <c r="C6" s="15">
        <v>1</v>
      </c>
      <c r="D6" s="9">
        <v>0.01</v>
      </c>
      <c r="E6" s="44">
        <v>6.0000000000000001E-3</v>
      </c>
      <c r="F6" s="18">
        <v>2.8819544028142803E-2</v>
      </c>
      <c r="G6" s="19">
        <v>-111.80455971857198</v>
      </c>
      <c r="H6" s="9">
        <v>5.0000000000000001E-3</v>
      </c>
      <c r="I6" s="9">
        <v>2.5000000000000001E-3</v>
      </c>
      <c r="J6" s="10">
        <v>-25</v>
      </c>
      <c r="K6" s="9">
        <v>1.0999999999999999E-2</v>
      </c>
      <c r="L6" s="16">
        <v>-0.22727272727272729</v>
      </c>
      <c r="M6" s="9">
        <v>0.05</v>
      </c>
      <c r="N6" s="17">
        <v>-0.22727272727272729</v>
      </c>
      <c r="O6" s="17">
        <v>2.582644628099174E-2</v>
      </c>
      <c r="P6" s="17">
        <v>0.7763908805628561</v>
      </c>
      <c r="Q6" s="20">
        <v>4.4721823887428789</v>
      </c>
      <c r="R6" s="10">
        <v>-113.63636363636365</v>
      </c>
      <c r="S6" s="10">
        <v>1.8318039177916745</v>
      </c>
      <c r="T6" t="s">
        <v>351</v>
      </c>
    </row>
    <row r="7" spans="1:20" x14ac:dyDescent="0.25">
      <c r="A7" s="44">
        <v>0.04</v>
      </c>
      <c r="B7" s="5" t="s">
        <v>83</v>
      </c>
      <c r="C7" s="15">
        <v>0</v>
      </c>
      <c r="D7" s="9">
        <v>6.0000000000000001E-3</v>
      </c>
      <c r="E7" s="44">
        <v>6.0000000000000001E-3</v>
      </c>
      <c r="F7" s="18">
        <v>3.7502426898214765E-2</v>
      </c>
      <c r="G7" s="19">
        <v>-24.975731017852361</v>
      </c>
      <c r="H7" s="9">
        <v>5.0000000000000001E-3</v>
      </c>
      <c r="I7" s="9">
        <v>2.5000000000000001E-3</v>
      </c>
      <c r="J7" s="10">
        <v>-25</v>
      </c>
      <c r="K7" s="9">
        <v>1.0999999999999999E-2</v>
      </c>
      <c r="L7" s="16">
        <v>-2.5000000000000001E-3</v>
      </c>
      <c r="M7" s="9">
        <v>4.5999999999999999E-2</v>
      </c>
      <c r="N7" s="17">
        <v>-5.4347826086956527E-2</v>
      </c>
      <c r="O7" s="17">
        <v>1.4768431001890361E-3</v>
      </c>
      <c r="P7" s="17">
        <v>0.94570493256988619</v>
      </c>
      <c r="Q7" s="20">
        <v>0.99902924071409449</v>
      </c>
      <c r="R7" s="10">
        <v>-25</v>
      </c>
      <c r="S7" s="10">
        <v>2.4268982147638951E-2</v>
      </c>
      <c r="T7" t="s">
        <v>351</v>
      </c>
    </row>
    <row r="8" spans="1:20" x14ac:dyDescent="0.25">
      <c r="A8" s="44">
        <v>0.04</v>
      </c>
      <c r="B8" s="5" t="s">
        <v>83</v>
      </c>
      <c r="C8" s="15">
        <v>0.5</v>
      </c>
      <c r="D8" s="9">
        <v>6.0000000000000001E-3</v>
      </c>
      <c r="E8" s="44">
        <v>6.0000000000000001E-3</v>
      </c>
      <c r="F8" s="18">
        <v>3.4908053511735336E-2</v>
      </c>
      <c r="G8" s="19">
        <v>-50.91946488264665</v>
      </c>
      <c r="H8" s="9">
        <v>5.0000000000000001E-3</v>
      </c>
      <c r="I8" s="9">
        <v>2.5000000000000001E-3</v>
      </c>
      <c r="J8" s="10">
        <v>-25</v>
      </c>
      <c r="K8" s="9">
        <v>1.0999999999999999E-2</v>
      </c>
      <c r="L8" s="16">
        <v>-2.3836564731139806E-2</v>
      </c>
      <c r="M8" s="9">
        <v>4.5999999999999999E-2</v>
      </c>
      <c r="N8" s="17">
        <v>-0.11113855611859676</v>
      </c>
      <c r="O8" s="17">
        <v>6.1758893280632401E-3</v>
      </c>
      <c r="P8" s="17">
        <v>0.88930551112468126</v>
      </c>
      <c r="Q8" s="20">
        <v>2.0367785953058659</v>
      </c>
      <c r="R8" s="10">
        <v>-51.123735814554507</v>
      </c>
      <c r="S8" s="10">
        <v>0.20427093190785683</v>
      </c>
      <c r="T8" t="s">
        <v>351</v>
      </c>
    </row>
    <row r="9" spans="1:20" x14ac:dyDescent="0.25">
      <c r="A9" s="44">
        <v>0.04</v>
      </c>
      <c r="B9" s="5" t="s">
        <v>83</v>
      </c>
      <c r="C9" s="15">
        <v>1</v>
      </c>
      <c r="D9" s="9">
        <v>6.0000000000000001E-3</v>
      </c>
      <c r="E9" s="44">
        <v>6.0000000000000001E-3</v>
      </c>
      <c r="F9" s="18">
        <v>2.9713980505891378E-2</v>
      </c>
      <c r="G9" s="19">
        <v>-102.86019494108622</v>
      </c>
      <c r="H9" s="9">
        <v>5.0000000000000001E-3</v>
      </c>
      <c r="I9" s="9">
        <v>2.5000000000000001E-3</v>
      </c>
      <c r="J9" s="10">
        <v>-25</v>
      </c>
      <c r="K9" s="9">
        <v>1.0999999999999999E-2</v>
      </c>
      <c r="L9" s="16">
        <v>-0.22727272727272729</v>
      </c>
      <c r="M9" s="9">
        <v>4.5999999999999999E-2</v>
      </c>
      <c r="N9" s="17">
        <v>-0.22727272727272729</v>
      </c>
      <c r="O9" s="17">
        <v>2.582644628099174E-2</v>
      </c>
      <c r="P9" s="17">
        <v>0.7763908805628561</v>
      </c>
      <c r="Q9" s="20">
        <v>4.114407797643449</v>
      </c>
      <c r="R9" s="10">
        <v>-104.54545454545456</v>
      </c>
      <c r="S9" s="10">
        <v>1.6852596043683405</v>
      </c>
      <c r="T9" t="s">
        <v>351</v>
      </c>
    </row>
    <row r="10" spans="1:20" x14ac:dyDescent="0.25">
      <c r="A10" s="44">
        <v>0.04</v>
      </c>
      <c r="B10" s="5" t="s">
        <v>84</v>
      </c>
      <c r="C10" s="15">
        <v>0</v>
      </c>
      <c r="D10" s="9">
        <v>0.01</v>
      </c>
      <c r="E10" s="44">
        <v>6.0000000000000001E-3</v>
      </c>
      <c r="F10" s="18">
        <v>4.4883952710276495E-2</v>
      </c>
      <c r="G10" s="19">
        <v>48.83952710276494</v>
      </c>
      <c r="H10" s="9">
        <v>1E-4</v>
      </c>
      <c r="I10" s="9">
        <v>5.0000000000000001E-3</v>
      </c>
      <c r="J10" s="10">
        <v>49</v>
      </c>
      <c r="K10" s="9">
        <v>6.1000000000000004E-3</v>
      </c>
      <c r="L10" s="16">
        <v>4.8999999999999998E-3</v>
      </c>
      <c r="M10" s="9">
        <v>0.05</v>
      </c>
      <c r="N10" s="17">
        <v>9.8000000000000004E-2</v>
      </c>
      <c r="O10" s="17">
        <v>4.8020000000000007E-3</v>
      </c>
      <c r="P10" s="17">
        <v>1.0976790542055299</v>
      </c>
      <c r="Q10" s="20">
        <v>0.99672504291357022</v>
      </c>
      <c r="R10" s="10">
        <v>49</v>
      </c>
      <c r="S10" s="10">
        <v>-0.16047289723505997</v>
      </c>
      <c r="T10" t="s">
        <v>351</v>
      </c>
    </row>
    <row r="11" spans="1:20" x14ac:dyDescent="0.25">
      <c r="A11" s="44">
        <v>0.04</v>
      </c>
      <c r="B11" s="5" t="s">
        <v>84</v>
      </c>
      <c r="C11" s="15">
        <v>0.5</v>
      </c>
      <c r="D11" s="9">
        <v>0.01</v>
      </c>
      <c r="E11" s="44">
        <v>6.0000000000000001E-3</v>
      </c>
      <c r="F11" s="18">
        <v>5.3639575524820772E-2</v>
      </c>
      <c r="G11" s="19">
        <v>136.39575524820771</v>
      </c>
      <c r="H11" s="9">
        <v>1E-4</v>
      </c>
      <c r="I11" s="9">
        <v>5.0000000000000001E-3</v>
      </c>
      <c r="J11" s="10">
        <v>49</v>
      </c>
      <c r="K11" s="9">
        <v>6.1000000000000004E-3</v>
      </c>
      <c r="L11" s="16">
        <v>6.2738071167119019E-2</v>
      </c>
      <c r="M11" s="9">
        <v>0.05</v>
      </c>
      <c r="N11" s="17">
        <v>0.28057318381379542</v>
      </c>
      <c r="O11" s="17">
        <v>3.9360655737704919E-2</v>
      </c>
      <c r="P11" s="17">
        <v>1.2727915104964154</v>
      </c>
      <c r="Q11" s="20">
        <v>2.7835868418001573</v>
      </c>
      <c r="R11" s="10">
        <v>140.28659190689768</v>
      </c>
      <c r="S11" s="10">
        <v>-3.8908366586899774</v>
      </c>
      <c r="T11" t="s">
        <v>351</v>
      </c>
    </row>
    <row r="12" spans="1:20" x14ac:dyDescent="0.25">
      <c r="A12" s="44">
        <v>0.04</v>
      </c>
      <c r="B12" s="5" t="s">
        <v>84</v>
      </c>
      <c r="C12" s="15">
        <v>1</v>
      </c>
      <c r="D12" s="9">
        <v>0.01</v>
      </c>
      <c r="E12" s="44">
        <v>6.0000000000000001E-3</v>
      </c>
      <c r="F12" s="18">
        <v>7.085628893631786E-2</v>
      </c>
      <c r="G12" s="19">
        <v>308.56288936317861</v>
      </c>
      <c r="H12" s="9">
        <v>1E-4</v>
      </c>
      <c r="I12" s="9">
        <v>5.0000000000000001E-3</v>
      </c>
      <c r="J12" s="10">
        <v>49</v>
      </c>
      <c r="K12" s="9">
        <v>6.1000000000000004E-3</v>
      </c>
      <c r="L12" s="16">
        <v>0.80327868852459006</v>
      </c>
      <c r="M12" s="9">
        <v>0.05</v>
      </c>
      <c r="N12" s="17">
        <v>0.80327868852459006</v>
      </c>
      <c r="O12" s="17">
        <v>0.32262832571889266</v>
      </c>
      <c r="P12" s="17">
        <v>1.6171257787263569</v>
      </c>
      <c r="Q12" s="20">
        <v>6.2972018237383391</v>
      </c>
      <c r="R12" s="10">
        <v>401.63934426229508</v>
      </c>
      <c r="S12" s="10">
        <v>-93.07645489911647</v>
      </c>
      <c r="T12" t="s">
        <v>351</v>
      </c>
    </row>
    <row r="13" spans="1:20" x14ac:dyDescent="0.25">
      <c r="A13" s="44">
        <v>0.04</v>
      </c>
      <c r="B13" s="5" t="s">
        <v>84</v>
      </c>
      <c r="C13" s="15">
        <v>0</v>
      </c>
      <c r="D13" s="9">
        <v>6.0000000000000001E-3</v>
      </c>
      <c r="E13" s="44">
        <v>6.0000000000000001E-3</v>
      </c>
      <c r="F13" s="18">
        <v>4.4881006219646281E-2</v>
      </c>
      <c r="G13" s="19">
        <v>48.810062196462809</v>
      </c>
      <c r="H13" s="9">
        <v>1E-4</v>
      </c>
      <c r="I13" s="9">
        <v>5.0000000000000001E-3</v>
      </c>
      <c r="J13" s="10">
        <v>49</v>
      </c>
      <c r="K13" s="9">
        <v>6.1000000000000004E-3</v>
      </c>
      <c r="L13" s="16">
        <v>4.8999999999999998E-3</v>
      </c>
      <c r="M13" s="9">
        <v>4.5999999999999999E-2</v>
      </c>
      <c r="N13" s="17">
        <v>0.10652173913043478</v>
      </c>
      <c r="O13" s="17">
        <v>5.6734404536861998E-3</v>
      </c>
      <c r="P13" s="17">
        <v>1.1061088308618756</v>
      </c>
      <c r="Q13" s="20">
        <v>0.99612371829515933</v>
      </c>
      <c r="R13" s="10">
        <v>49</v>
      </c>
      <c r="S13" s="10">
        <v>-0.18993780353719103</v>
      </c>
      <c r="T13" t="s">
        <v>351</v>
      </c>
    </row>
    <row r="14" spans="1:20" x14ac:dyDescent="0.25">
      <c r="A14" s="44">
        <v>0.04</v>
      </c>
      <c r="B14" s="5" t="s">
        <v>84</v>
      </c>
      <c r="C14" s="15">
        <v>0.5</v>
      </c>
      <c r="D14" s="9">
        <v>6.0000000000000001E-3</v>
      </c>
      <c r="E14" s="44">
        <v>6.0000000000000001E-3</v>
      </c>
      <c r="F14" s="18">
        <v>5.3049486120024608E-2</v>
      </c>
      <c r="G14" s="19">
        <v>130.49486120024608</v>
      </c>
      <c r="H14" s="9">
        <v>1E-4</v>
      </c>
      <c r="I14" s="9">
        <v>5.0000000000000001E-3</v>
      </c>
      <c r="J14" s="10">
        <v>49</v>
      </c>
      <c r="K14" s="9">
        <v>6.1000000000000004E-3</v>
      </c>
      <c r="L14" s="16">
        <v>6.2738071167119019E-2</v>
      </c>
      <c r="M14" s="9">
        <v>4.5999999999999999E-2</v>
      </c>
      <c r="N14" s="17">
        <v>0.29251776511530742</v>
      </c>
      <c r="O14" s="17">
        <v>4.2783321454027079E-2</v>
      </c>
      <c r="P14" s="17">
        <v>1.2836844808701002</v>
      </c>
      <c r="Q14" s="20">
        <v>2.6631604326580831</v>
      </c>
      <c r="R14" s="10">
        <v>134.55817195304138</v>
      </c>
      <c r="S14" s="10">
        <v>-4.063310752795303</v>
      </c>
      <c r="T14" t="s">
        <v>351</v>
      </c>
    </row>
    <row r="15" spans="1:20" x14ac:dyDescent="0.25">
      <c r="A15" s="44">
        <v>0.04</v>
      </c>
      <c r="B15" s="5" t="s">
        <v>84</v>
      </c>
      <c r="C15" s="15">
        <v>1</v>
      </c>
      <c r="D15" s="9">
        <v>6.0000000000000001E-3</v>
      </c>
      <c r="E15" s="44">
        <v>6.0000000000000001E-3</v>
      </c>
      <c r="F15" s="18">
        <v>6.8387785821412403E-2</v>
      </c>
      <c r="G15" s="19">
        <v>283.87785821412405</v>
      </c>
      <c r="H15" s="9">
        <v>1E-4</v>
      </c>
      <c r="I15" s="9">
        <v>5.0000000000000001E-3</v>
      </c>
      <c r="J15" s="10">
        <v>49</v>
      </c>
      <c r="K15" s="9">
        <v>6.1000000000000004E-3</v>
      </c>
      <c r="L15" s="16">
        <v>0.80327868852459006</v>
      </c>
      <c r="M15" s="9">
        <v>4.5999999999999999E-2</v>
      </c>
      <c r="N15" s="17">
        <v>0.80327868852459006</v>
      </c>
      <c r="O15" s="17">
        <v>0.32262832571889266</v>
      </c>
      <c r="P15" s="17">
        <v>1.6171257787263569</v>
      </c>
      <c r="Q15" s="20">
        <v>5.7934256778392665</v>
      </c>
      <c r="R15" s="10">
        <v>369.50819672131144</v>
      </c>
      <c r="S15" s="10">
        <v>-85.630338507187389</v>
      </c>
      <c r="T15" t="s">
        <v>351</v>
      </c>
    </row>
    <row r="17" spans="1:19" x14ac:dyDescent="0.25">
      <c r="A17" s="44">
        <v>0.04</v>
      </c>
      <c r="B17" s="5" t="s">
        <v>354</v>
      </c>
      <c r="C17" s="15">
        <v>0</v>
      </c>
      <c r="D17" s="9">
        <v>0.01</v>
      </c>
      <c r="E17" s="44">
        <v>6.0000000000000001E-3</v>
      </c>
      <c r="F17" s="18">
        <v>4.4982942756305141E-2</v>
      </c>
      <c r="G17" s="19">
        <v>49.829427563051404</v>
      </c>
      <c r="H17" s="9">
        <v>-4.8999999999999998E-3</v>
      </c>
      <c r="I17" s="9">
        <v>1E-4</v>
      </c>
      <c r="J17" s="10">
        <v>50</v>
      </c>
      <c r="K17" s="9">
        <v>1.1000000000000003E-3</v>
      </c>
      <c r="L17" s="16">
        <v>5.0000000000000001E-3</v>
      </c>
      <c r="M17" s="9">
        <v>0.05</v>
      </c>
      <c r="N17" s="17">
        <v>0.1</v>
      </c>
      <c r="O17" s="17">
        <v>5.000000000000001E-3</v>
      </c>
      <c r="P17" s="17">
        <v>1.0996588551261028</v>
      </c>
      <c r="Q17" s="20">
        <v>0.99658855126102808</v>
      </c>
      <c r="R17" s="10">
        <v>50</v>
      </c>
      <c r="S17" s="10">
        <v>-0.17057243694859636</v>
      </c>
    </row>
    <row r="18" spans="1:19" x14ac:dyDescent="0.25">
      <c r="A18" s="44">
        <v>0.04</v>
      </c>
      <c r="B18" s="5" t="s">
        <v>354</v>
      </c>
      <c r="C18" s="15">
        <v>0.5</v>
      </c>
      <c r="D18" s="9">
        <v>0.01</v>
      </c>
      <c r="E18" s="44">
        <v>6.0000000000000001E-3</v>
      </c>
      <c r="F18" s="18">
        <v>6.8175018548956259E-2</v>
      </c>
      <c r="G18" s="19">
        <v>281.75018548956257</v>
      </c>
      <c r="H18" s="9">
        <v>-4.8999999999999998E-3</v>
      </c>
      <c r="I18" s="9">
        <v>1E-4</v>
      </c>
      <c r="J18" s="10">
        <v>50</v>
      </c>
      <c r="K18" s="9">
        <v>1.1000000000000003E-3</v>
      </c>
      <c r="L18" s="16">
        <v>0.15075567228888179</v>
      </c>
      <c r="M18" s="9">
        <v>0.05</v>
      </c>
      <c r="N18" s="17">
        <v>0.67419986246324204</v>
      </c>
      <c r="O18" s="17">
        <v>0.22727272727272724</v>
      </c>
      <c r="P18" s="17">
        <v>1.5635003709791249</v>
      </c>
      <c r="Q18" s="20">
        <v>5.6350037097912518</v>
      </c>
      <c r="R18" s="10">
        <v>337.09993123162099</v>
      </c>
      <c r="S18" s="10">
        <v>-55.349745742058417</v>
      </c>
    </row>
    <row r="19" spans="1:19" x14ac:dyDescent="0.25">
      <c r="A19" s="49">
        <v>0.04</v>
      </c>
      <c r="B19" s="50" t="s">
        <v>354</v>
      </c>
      <c r="C19" s="15">
        <v>1</v>
      </c>
      <c r="D19" s="51">
        <v>0.01</v>
      </c>
      <c r="E19" s="49">
        <v>6.0000000000000001E-3</v>
      </c>
      <c r="F19" s="52">
        <v>-9.8463535294702614E-3</v>
      </c>
      <c r="G19" s="53">
        <v>-498.46353529470264</v>
      </c>
      <c r="H19" s="51">
        <v>-4.8999999999999998E-3</v>
      </c>
      <c r="I19" s="51">
        <v>1E-4</v>
      </c>
      <c r="J19" s="54">
        <v>50</v>
      </c>
      <c r="K19" s="51">
        <v>1.1000000000000003E-3</v>
      </c>
      <c r="L19" s="55">
        <v>4.5454545454545441</v>
      </c>
      <c r="M19" s="51">
        <v>0.05</v>
      </c>
      <c r="N19" s="56">
        <v>4.5454545454545441</v>
      </c>
      <c r="O19" s="56">
        <v>10.330578512396688</v>
      </c>
      <c r="P19" s="56">
        <v>3.0729294105947889E-3</v>
      </c>
      <c r="Q19" s="57">
        <v>-9.9692707058940524</v>
      </c>
      <c r="R19" s="10">
        <v>2272.7272727272721</v>
      </c>
      <c r="S19" s="10">
        <v>-2771.1908080219746</v>
      </c>
    </row>
    <row r="20" spans="1:19" x14ac:dyDescent="0.25">
      <c r="A20" s="44">
        <v>0.04</v>
      </c>
      <c r="B20" s="5" t="s">
        <v>354</v>
      </c>
      <c r="C20" s="15">
        <v>0</v>
      </c>
      <c r="D20" s="9">
        <v>6.0000000000000001E-3</v>
      </c>
      <c r="E20" s="44">
        <v>6.0000000000000001E-3</v>
      </c>
      <c r="F20" s="18">
        <v>4.497981021783537E-2</v>
      </c>
      <c r="G20" s="19">
        <v>49.798102178353687</v>
      </c>
      <c r="H20" s="9">
        <v>-4.8999999999999998E-3</v>
      </c>
      <c r="I20" s="9">
        <v>1E-4</v>
      </c>
      <c r="J20" s="10">
        <v>50</v>
      </c>
      <c r="K20" s="9">
        <v>1.1000000000000003E-3</v>
      </c>
      <c r="L20" s="16">
        <v>5.0000000000000001E-3</v>
      </c>
      <c r="M20" s="9">
        <v>4.5999999999999999E-2</v>
      </c>
      <c r="N20" s="17">
        <v>0.10869565217391305</v>
      </c>
      <c r="O20" s="17">
        <v>5.9073724007561446E-3</v>
      </c>
      <c r="P20" s="17">
        <v>1.1082567438659863</v>
      </c>
      <c r="Q20" s="20">
        <v>0.99596204356707374</v>
      </c>
      <c r="R20" s="10">
        <v>50</v>
      </c>
      <c r="S20" s="10">
        <v>-0.20189782164631254</v>
      </c>
    </row>
    <row r="21" spans="1:19" x14ac:dyDescent="0.25">
      <c r="A21" s="44">
        <v>0.04</v>
      </c>
      <c r="B21" s="5" t="s">
        <v>354</v>
      </c>
      <c r="C21" s="15">
        <v>0.5</v>
      </c>
      <c r="D21" s="9">
        <v>6.0000000000000001E-3</v>
      </c>
      <c r="E21" s="44">
        <v>6.0000000000000001E-3</v>
      </c>
      <c r="F21" s="18">
        <v>6.6566818344843848E-2</v>
      </c>
      <c r="G21" s="19">
        <v>265.66818344843847</v>
      </c>
      <c r="H21" s="9">
        <v>-4.8999999999999998E-3</v>
      </c>
      <c r="I21" s="9">
        <v>1E-4</v>
      </c>
      <c r="J21" s="10">
        <v>50</v>
      </c>
      <c r="K21" s="9">
        <v>1.1000000000000003E-3</v>
      </c>
      <c r="L21" s="16">
        <v>0.15075567228888179</v>
      </c>
      <c r="M21" s="9">
        <v>4.5999999999999999E-2</v>
      </c>
      <c r="N21" s="17">
        <v>0.7029019463944165</v>
      </c>
      <c r="O21" s="17">
        <v>0.24703557312252958</v>
      </c>
      <c r="P21" s="17">
        <v>1.5775395292357359</v>
      </c>
      <c r="Q21" s="20">
        <v>5.3133636689687691</v>
      </c>
      <c r="R21" s="10">
        <v>323.3348953414316</v>
      </c>
      <c r="S21" s="10">
        <v>-57.666711892993135</v>
      </c>
    </row>
    <row r="22" spans="1:19" x14ac:dyDescent="0.25">
      <c r="A22" s="49">
        <v>0.04</v>
      </c>
      <c r="B22" s="5" t="s">
        <v>354</v>
      </c>
      <c r="C22" s="15">
        <v>1</v>
      </c>
      <c r="D22" s="51">
        <v>6.0000000000000001E-3</v>
      </c>
      <c r="E22" s="49">
        <v>6.0000000000000001E-3</v>
      </c>
      <c r="F22" s="52">
        <v>-5.8586452471126402E-3</v>
      </c>
      <c r="G22" s="53">
        <v>-458.58645247112639</v>
      </c>
      <c r="H22" s="51">
        <v>-4.8999999999999998E-3</v>
      </c>
      <c r="I22" s="51">
        <v>1E-4</v>
      </c>
      <c r="J22" s="54">
        <v>50</v>
      </c>
      <c r="K22" s="51">
        <v>1.1000000000000003E-3</v>
      </c>
      <c r="L22" s="55">
        <v>4.5454545454545441</v>
      </c>
      <c r="M22" s="51">
        <v>4.5999999999999999E-2</v>
      </c>
      <c r="N22" s="56">
        <v>4.5454545454545441</v>
      </c>
      <c r="O22" s="56">
        <v>10.330578512396688</v>
      </c>
      <c r="P22" s="56">
        <v>3.0729294105947889E-3</v>
      </c>
      <c r="Q22" s="57">
        <v>-9.1717290494225274</v>
      </c>
      <c r="R22" s="10">
        <v>2090.9090909090901</v>
      </c>
      <c r="S22" s="10">
        <v>-2549.4955433802165</v>
      </c>
    </row>
    <row r="24" spans="1:19" x14ac:dyDescent="0.25">
      <c r="C24" s="5"/>
    </row>
  </sheetData>
  <conditionalFormatting sqref="C24">
    <cfRule type="expression" dxfId="6" priority="4">
      <formula>$J24&gt;2</formula>
    </cfRule>
  </conditionalFormatting>
  <conditionalFormatting sqref="S17:S22">
    <cfRule type="expression" dxfId="0" priority="1">
      <formula>$J17&gt;2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opLeftCell="A28" zoomScaleNormal="100" workbookViewId="0"/>
  </sheetViews>
  <sheetFormatPr defaultColWidth="8.7109375" defaultRowHeight="15" x14ac:dyDescent="0.25"/>
  <cols>
    <col min="1" max="1" width="26" customWidth="1"/>
    <col min="2" max="2" width="14" customWidth="1"/>
    <col min="3" max="4" width="12" customWidth="1"/>
    <col min="5" max="5" width="14" customWidth="1"/>
    <col min="6" max="6" width="16" customWidth="1"/>
    <col min="7" max="8" width="14" customWidth="1"/>
    <col min="9" max="9" width="20" customWidth="1"/>
  </cols>
  <sheetData>
    <row r="1" spans="1:9" ht="18" x14ac:dyDescent="0.25">
      <c r="A1" s="2" t="s">
        <v>96</v>
      </c>
    </row>
    <row r="2" spans="1:9" x14ac:dyDescent="0.25">
      <c r="A2" s="3" t="s">
        <v>97</v>
      </c>
    </row>
    <row r="4" spans="1:9" x14ac:dyDescent="0.25">
      <c r="A4" s="4" t="s">
        <v>98</v>
      </c>
      <c r="B4" s="4" t="s">
        <v>3</v>
      </c>
      <c r="C4" s="4" t="s">
        <v>5</v>
      </c>
    </row>
    <row r="5" spans="1:9" x14ac:dyDescent="0.25">
      <c r="A5" s="5" t="s">
        <v>70</v>
      </c>
      <c r="B5" s="23">
        <v>1</v>
      </c>
      <c r="C5" s="7" t="s">
        <v>99</v>
      </c>
    </row>
    <row r="6" spans="1:9" x14ac:dyDescent="0.25">
      <c r="A6" s="5" t="s">
        <v>100</v>
      </c>
      <c r="B6" s="6">
        <v>0.04</v>
      </c>
      <c r="C6" s="7" t="s">
        <v>101</v>
      </c>
    </row>
    <row r="7" spans="1:9" x14ac:dyDescent="0.25">
      <c r="A7" s="5" t="s">
        <v>7</v>
      </c>
      <c r="B7" s="6">
        <v>0.01</v>
      </c>
      <c r="C7" s="7" t="s">
        <v>102</v>
      </c>
    </row>
    <row r="8" spans="1:9" x14ac:dyDescent="0.25">
      <c r="A8" s="5" t="s">
        <v>103</v>
      </c>
      <c r="B8" s="6">
        <v>6.0000000000000001E-3</v>
      </c>
      <c r="C8" s="7" t="s">
        <v>104</v>
      </c>
    </row>
    <row r="9" spans="1:9" x14ac:dyDescent="0.25">
      <c r="A9" s="5" t="s">
        <v>105</v>
      </c>
      <c r="B9" s="6">
        <v>1E-4</v>
      </c>
      <c r="C9" s="7" t="s">
        <v>106</v>
      </c>
    </row>
    <row r="10" spans="1:9" x14ac:dyDescent="0.25">
      <c r="A10" s="5" t="s">
        <v>107</v>
      </c>
      <c r="B10" s="24">
        <f>(B9+B8)^B5*(B6+B7)^(1-B5)*10000</f>
        <v>61.000000000000007</v>
      </c>
      <c r="C10" s="7" t="s">
        <v>108</v>
      </c>
    </row>
    <row r="11" spans="1:9" x14ac:dyDescent="0.25">
      <c r="A11" s="5" t="s">
        <v>109</v>
      </c>
      <c r="B11" s="11">
        <f>(B6+B7)*EXP(0.5)-B7</f>
        <v>7.2436063535006423E-2</v>
      </c>
      <c r="C11" s="7" t="s">
        <v>110</v>
      </c>
    </row>
    <row r="12" spans="1:9" x14ac:dyDescent="0.25">
      <c r="A12" s="5" t="s">
        <v>111</v>
      </c>
      <c r="B12" s="24">
        <f>(B11-B6)*10000</f>
        <v>324.36063535006423</v>
      </c>
      <c r="C12" s="7" t="s">
        <v>112</v>
      </c>
    </row>
    <row r="14" spans="1:9" ht="39.75" customHeight="1" x14ac:dyDescent="0.25">
      <c r="A14" s="4" t="s">
        <v>113</v>
      </c>
      <c r="B14" s="4" t="s">
        <v>114</v>
      </c>
      <c r="C14" s="4" t="s">
        <v>115</v>
      </c>
      <c r="D14" s="4" t="s">
        <v>75</v>
      </c>
      <c r="E14" s="4" t="s">
        <v>77</v>
      </c>
      <c r="F14" s="4" t="s">
        <v>78</v>
      </c>
      <c r="G14" s="4" t="s">
        <v>79</v>
      </c>
      <c r="H14" s="4" t="s">
        <v>80</v>
      </c>
      <c r="I14" s="4" t="s">
        <v>116</v>
      </c>
    </row>
    <row r="15" spans="1:9" x14ac:dyDescent="0.25">
      <c r="A15" s="8">
        <v>1E-3</v>
      </c>
      <c r="B15" s="10">
        <f t="shared" ref="B15:B26" si="0">(A15-$B$9)*10000</f>
        <v>9</v>
      </c>
      <c r="C15" s="17">
        <f t="shared" ref="C15:C26" si="1">(A15-$B$9)/($B$9+$B$8)^$B$5</f>
        <v>0.14754098360655737</v>
      </c>
      <c r="D15" s="25">
        <f t="shared" ref="D15:D26" si="2">($B$6+$B$7)^($B$5-1)*C15</f>
        <v>0.14754098360655737</v>
      </c>
      <c r="E15" s="17">
        <f t="shared" ref="E15:E26" si="3">EXP(D15-0.5*D15^2)</f>
        <v>1.1464346391746385</v>
      </c>
      <c r="F15" s="9">
        <f t="shared" ref="F15:F26" si="4">($B$6+$B$7)*E15-$B$7</f>
        <v>4.7321731958731926E-2</v>
      </c>
      <c r="G15" s="19">
        <f t="shared" ref="G15:G26" si="5">(F15-$B$6)*10000</f>
        <v>73.217319587319253</v>
      </c>
      <c r="H15" s="10">
        <f t="shared" ref="H15:H26" si="6">($B$6+$B$7)^$B$5*C15*10000</f>
        <v>73.770491803278688</v>
      </c>
      <c r="I15" s="5" t="str">
        <f t="shared" ref="I15:I26" si="7">IF(D15&lt;=1,"increasing",IF(ROUND(G15,6)&gt;0,"x&gt;1: shock shrinks",IF(ROUND(G15,6)=0,"x = 2: shock = 0","x&gt;2: SIGN FLIP")))</f>
        <v>increasing</v>
      </c>
    </row>
    <row r="16" spans="1:9" x14ac:dyDescent="0.25">
      <c r="A16" s="8">
        <v>2.5000000000000001E-3</v>
      </c>
      <c r="B16" s="10">
        <f t="shared" si="0"/>
        <v>24.000000000000004</v>
      </c>
      <c r="C16" s="17">
        <f t="shared" si="1"/>
        <v>0.39344262295081966</v>
      </c>
      <c r="D16" s="25">
        <f t="shared" si="2"/>
        <v>0.39344262295081966</v>
      </c>
      <c r="E16" s="17">
        <f t="shared" si="3"/>
        <v>1.3716907104282949</v>
      </c>
      <c r="F16" s="9">
        <f t="shared" si="4"/>
        <v>5.8584535521414745E-2</v>
      </c>
      <c r="G16" s="19">
        <f t="shared" si="5"/>
        <v>185.84535521414745</v>
      </c>
      <c r="H16" s="10">
        <f t="shared" si="6"/>
        <v>196.72131147540986</v>
      </c>
      <c r="I16" s="5" t="str">
        <f t="shared" si="7"/>
        <v>increasing</v>
      </c>
    </row>
    <row r="17" spans="1:9" x14ac:dyDescent="0.25">
      <c r="A17" s="8">
        <v>4.0000000000000001E-3</v>
      </c>
      <c r="B17" s="10">
        <f t="shared" si="0"/>
        <v>39</v>
      </c>
      <c r="C17" s="17">
        <f t="shared" si="1"/>
        <v>0.63934426229508201</v>
      </c>
      <c r="D17" s="25">
        <f t="shared" si="2"/>
        <v>0.63934426229508201</v>
      </c>
      <c r="E17" s="17">
        <f t="shared" si="3"/>
        <v>1.5449070078281228</v>
      </c>
      <c r="F17" s="9">
        <f t="shared" si="4"/>
        <v>6.7245350391406153E-2</v>
      </c>
      <c r="G17" s="19">
        <f t="shared" si="5"/>
        <v>272.45350391406151</v>
      </c>
      <c r="H17" s="10">
        <f t="shared" si="6"/>
        <v>319.67213114754105</v>
      </c>
      <c r="I17" s="5" t="str">
        <f t="shared" si="7"/>
        <v>increasing</v>
      </c>
    </row>
    <row r="18" spans="1:9" x14ac:dyDescent="0.25">
      <c r="A18" s="8">
        <v>6.1999999999999998E-3</v>
      </c>
      <c r="B18" s="10">
        <f t="shared" si="0"/>
        <v>60.999999999999993</v>
      </c>
      <c r="C18" s="17">
        <f t="shared" si="1"/>
        <v>0.99999999999999989</v>
      </c>
      <c r="D18" s="25">
        <f t="shared" si="2"/>
        <v>0.99999999999999989</v>
      </c>
      <c r="E18" s="17">
        <f t="shared" si="3"/>
        <v>1.6487212707001282</v>
      </c>
      <c r="F18" s="9">
        <f t="shared" si="4"/>
        <v>7.2436063535006423E-2</v>
      </c>
      <c r="G18" s="19">
        <f t="shared" si="5"/>
        <v>324.36063535006423</v>
      </c>
      <c r="H18" s="10">
        <f t="shared" si="6"/>
        <v>499.99999999999994</v>
      </c>
      <c r="I18" s="5" t="str">
        <f t="shared" si="7"/>
        <v>increasing</v>
      </c>
    </row>
    <row r="19" spans="1:9" x14ac:dyDescent="0.25">
      <c r="A19" s="8">
        <v>8.0000000000000002E-3</v>
      </c>
      <c r="B19" s="10">
        <f t="shared" si="0"/>
        <v>79.000000000000014</v>
      </c>
      <c r="C19" s="17">
        <f t="shared" si="1"/>
        <v>1.2950819672131149</v>
      </c>
      <c r="D19" s="25">
        <f t="shared" si="2"/>
        <v>1.2950819672131149</v>
      </c>
      <c r="E19" s="17">
        <f t="shared" si="3"/>
        <v>1.5784815116064468</v>
      </c>
      <c r="F19" s="9">
        <f t="shared" si="4"/>
        <v>6.8924075580322347E-2</v>
      </c>
      <c r="G19" s="19">
        <f t="shared" si="5"/>
        <v>289.24075580322346</v>
      </c>
      <c r="H19" s="10">
        <f t="shared" si="6"/>
        <v>647.54098360655746</v>
      </c>
      <c r="I19" s="5" t="str">
        <f t="shared" si="7"/>
        <v>x&gt;1: shock shrinks</v>
      </c>
    </row>
    <row r="20" spans="1:9" x14ac:dyDescent="0.25">
      <c r="A20" s="8">
        <v>0.01</v>
      </c>
      <c r="B20" s="10">
        <f t="shared" si="0"/>
        <v>99.000000000000014</v>
      </c>
      <c r="C20" s="17">
        <f t="shared" si="1"/>
        <v>1.6229508196721312</v>
      </c>
      <c r="D20" s="25">
        <f t="shared" si="2"/>
        <v>1.6229508196721312</v>
      </c>
      <c r="E20" s="17">
        <f t="shared" si="3"/>
        <v>1.3579363235127735</v>
      </c>
      <c r="F20" s="9">
        <f t="shared" si="4"/>
        <v>5.7896816175638681E-2</v>
      </c>
      <c r="G20" s="19">
        <f t="shared" si="5"/>
        <v>178.96816175638679</v>
      </c>
      <c r="H20" s="10">
        <f t="shared" si="6"/>
        <v>811.47540983606564</v>
      </c>
      <c r="I20" s="5" t="str">
        <f t="shared" si="7"/>
        <v>x&gt;1: shock shrinks</v>
      </c>
    </row>
    <row r="21" spans="1:9" x14ac:dyDescent="0.25">
      <c r="A21" s="8">
        <v>1.2500000000000001E-2</v>
      </c>
      <c r="B21" s="10">
        <f t="shared" si="0"/>
        <v>124.00000000000001</v>
      </c>
      <c r="C21" s="17">
        <f t="shared" si="1"/>
        <v>2.0327868852459017</v>
      </c>
      <c r="D21" s="25">
        <f t="shared" si="2"/>
        <v>2.0327868852459017</v>
      </c>
      <c r="E21" s="17">
        <f t="shared" si="3"/>
        <v>0.96722476500258947</v>
      </c>
      <c r="F21" s="9">
        <f t="shared" si="4"/>
        <v>3.8361238250129472E-2</v>
      </c>
      <c r="G21" s="19">
        <f t="shared" si="5"/>
        <v>-16.387617498705293</v>
      </c>
      <c r="H21" s="10">
        <f t="shared" si="6"/>
        <v>1016.3934426229509</v>
      </c>
      <c r="I21" s="5" t="str">
        <f t="shared" si="7"/>
        <v>x&gt;2: SIGN FLIP</v>
      </c>
    </row>
    <row r="22" spans="1:9" x14ac:dyDescent="0.25">
      <c r="A22" s="8">
        <v>1.4999999999999999E-2</v>
      </c>
      <c r="B22" s="10">
        <f t="shared" si="0"/>
        <v>149</v>
      </c>
      <c r="C22" s="17">
        <f t="shared" si="1"/>
        <v>2.442622950819672</v>
      </c>
      <c r="D22" s="25">
        <f t="shared" si="2"/>
        <v>2.442622950819672</v>
      </c>
      <c r="E22" s="17">
        <f t="shared" si="3"/>
        <v>0.58241007152086677</v>
      </c>
      <c r="F22" s="9">
        <f t="shared" si="4"/>
        <v>1.9120503576043342E-2</v>
      </c>
      <c r="G22" s="19">
        <f t="shared" si="5"/>
        <v>-208.79496423956658</v>
      </c>
      <c r="H22" s="10">
        <f t="shared" si="6"/>
        <v>1221.311475409836</v>
      </c>
      <c r="I22" s="5" t="str">
        <f t="shared" si="7"/>
        <v>x&gt;2: SIGN FLIP</v>
      </c>
    </row>
    <row r="23" spans="1:9" x14ac:dyDescent="0.25">
      <c r="A23" s="8">
        <v>0.02</v>
      </c>
      <c r="B23" s="10">
        <f t="shared" si="0"/>
        <v>199</v>
      </c>
      <c r="C23" s="17">
        <f t="shared" si="1"/>
        <v>3.262295081967213</v>
      </c>
      <c r="D23" s="25">
        <f t="shared" si="2"/>
        <v>3.262295081967213</v>
      </c>
      <c r="E23" s="17">
        <f t="shared" si="3"/>
        <v>0.12758282480835054</v>
      </c>
      <c r="F23" s="9">
        <f t="shared" si="4"/>
        <v>-3.6208587595824727E-3</v>
      </c>
      <c r="G23" s="19">
        <f t="shared" si="5"/>
        <v>-436.20858759582472</v>
      </c>
      <c r="H23" s="10">
        <f t="shared" si="6"/>
        <v>1631.1475409836066</v>
      </c>
      <c r="I23" s="5" t="str">
        <f t="shared" si="7"/>
        <v>x&gt;2: SIGN FLIP</v>
      </c>
    </row>
    <row r="24" spans="1:9" x14ac:dyDescent="0.25">
      <c r="A24" s="8">
        <v>2.5000000000000001E-2</v>
      </c>
      <c r="B24" s="10">
        <f t="shared" si="0"/>
        <v>249.00000000000003</v>
      </c>
      <c r="C24" s="17">
        <f t="shared" si="1"/>
        <v>4.081967213114754</v>
      </c>
      <c r="D24" s="25">
        <f t="shared" si="2"/>
        <v>4.081967213114754</v>
      </c>
      <c r="E24" s="17">
        <f t="shared" si="3"/>
        <v>1.4274779768182271E-2</v>
      </c>
      <c r="F24" s="9">
        <f t="shared" si="4"/>
        <v>-9.2862610115908868E-3</v>
      </c>
      <c r="G24" s="19">
        <f t="shared" si="5"/>
        <v>-492.86261011590886</v>
      </c>
      <c r="H24" s="10">
        <f t="shared" si="6"/>
        <v>2040.9836065573772</v>
      </c>
      <c r="I24" s="5" t="str">
        <f t="shared" si="7"/>
        <v>x&gt;2: SIGN FLIP</v>
      </c>
    </row>
    <row r="25" spans="1:9" x14ac:dyDescent="0.25">
      <c r="A25" s="8">
        <v>0.03</v>
      </c>
      <c r="B25" s="10">
        <f t="shared" si="0"/>
        <v>299</v>
      </c>
      <c r="C25" s="17">
        <f t="shared" si="1"/>
        <v>4.9016393442622945</v>
      </c>
      <c r="D25" s="25">
        <f t="shared" si="2"/>
        <v>4.9016393442622945</v>
      </c>
      <c r="E25" s="17">
        <f t="shared" si="3"/>
        <v>8.1575639235877161E-4</v>
      </c>
      <c r="F25" s="9">
        <f t="shared" si="4"/>
        <v>-9.959212180382062E-3</v>
      </c>
      <c r="G25" s="19">
        <f t="shared" si="5"/>
        <v>-499.59212180382059</v>
      </c>
      <c r="H25" s="10">
        <f t="shared" si="6"/>
        <v>2450.8196721311474</v>
      </c>
      <c r="I25" s="5" t="str">
        <f t="shared" si="7"/>
        <v>x&gt;2: SIGN FLIP</v>
      </c>
    </row>
    <row r="26" spans="1:9" x14ac:dyDescent="0.25">
      <c r="A26" s="8">
        <v>0.04</v>
      </c>
      <c r="B26" s="10">
        <f t="shared" si="0"/>
        <v>399</v>
      </c>
      <c r="C26" s="17">
        <f t="shared" si="1"/>
        <v>6.5409836065573765</v>
      </c>
      <c r="D26" s="25">
        <f t="shared" si="2"/>
        <v>6.5409836065573765</v>
      </c>
      <c r="E26" s="17">
        <f t="shared" si="3"/>
        <v>3.5496392794057191E-7</v>
      </c>
      <c r="F26" s="9">
        <f t="shared" si="4"/>
        <v>-9.9999822518036033E-3</v>
      </c>
      <c r="G26" s="19">
        <f t="shared" si="5"/>
        <v>-499.99982251803607</v>
      </c>
      <c r="H26" s="10">
        <f t="shared" si="6"/>
        <v>3270.4918032786882</v>
      </c>
      <c r="I26" s="5" t="str">
        <f t="shared" si="7"/>
        <v>x&gt;2: SIGN FLIP</v>
      </c>
    </row>
    <row r="28" spans="1:9" x14ac:dyDescent="0.25">
      <c r="A28" s="26" t="s">
        <v>117</v>
      </c>
    </row>
    <row r="31" spans="1:9" x14ac:dyDescent="0.25">
      <c r="A31" s="4" t="s">
        <v>118</v>
      </c>
      <c r="B31" s="4" t="s">
        <v>3</v>
      </c>
      <c r="C31" s="4" t="s">
        <v>5</v>
      </c>
    </row>
    <row r="32" spans="1:9" x14ac:dyDescent="0.25">
      <c r="A32" s="5" t="s">
        <v>70</v>
      </c>
      <c r="B32" s="23">
        <v>0</v>
      </c>
      <c r="C32" s="7" t="s">
        <v>119</v>
      </c>
    </row>
    <row r="33" spans="1:8" x14ac:dyDescent="0.25">
      <c r="A33" s="5" t="s">
        <v>100</v>
      </c>
      <c r="B33" s="6">
        <v>-4.0000000000000001E-3</v>
      </c>
      <c r="C33" s="7" t="s">
        <v>120</v>
      </c>
    </row>
    <row r="34" spans="1:8" x14ac:dyDescent="0.25">
      <c r="A34" s="5" t="s">
        <v>7</v>
      </c>
      <c r="B34" s="6">
        <v>5.0000000000000001E-3</v>
      </c>
      <c r="C34" s="7" t="s">
        <v>121</v>
      </c>
    </row>
    <row r="35" spans="1:8" x14ac:dyDescent="0.25">
      <c r="A35" s="5" t="s">
        <v>105</v>
      </c>
      <c r="B35" s="6">
        <v>0</v>
      </c>
      <c r="C35" s="7" t="s">
        <v>122</v>
      </c>
    </row>
    <row r="36" spans="1:8" x14ac:dyDescent="0.25">
      <c r="A36" s="5" t="s">
        <v>103</v>
      </c>
      <c r="B36" s="6">
        <v>6.0000000000000001E-3</v>
      </c>
      <c r="C36" s="7" t="s">
        <v>123</v>
      </c>
    </row>
    <row r="37" spans="1:8" x14ac:dyDescent="0.25">
      <c r="A37" s="5" t="s">
        <v>107</v>
      </c>
      <c r="B37" s="24">
        <f>(B36+B35)^B32*(B33+B34)^(1-B32)*10000</f>
        <v>10</v>
      </c>
      <c r="C37" s="7" t="s">
        <v>124</v>
      </c>
    </row>
    <row r="39" spans="1:8" ht="39.75" customHeight="1" x14ac:dyDescent="0.25">
      <c r="A39" s="4" t="s">
        <v>114</v>
      </c>
      <c r="B39" s="4" t="s">
        <v>125</v>
      </c>
      <c r="C39" s="4" t="s">
        <v>126</v>
      </c>
      <c r="D39" s="4" t="s">
        <v>77</v>
      </c>
      <c r="E39" s="4" t="s">
        <v>78</v>
      </c>
      <c r="F39" s="4" t="s">
        <v>79</v>
      </c>
      <c r="G39" s="4" t="s">
        <v>80</v>
      </c>
      <c r="H39" s="4" t="s">
        <v>116</v>
      </c>
    </row>
    <row r="40" spans="1:8" x14ac:dyDescent="0.25">
      <c r="A40" s="12">
        <v>2</v>
      </c>
      <c r="B40" s="16">
        <f t="shared" ref="B40:B47" si="8">A40/10000/($B$35+$B$36)^$B$32</f>
        <v>2.0000000000000001E-4</v>
      </c>
      <c r="C40" s="25">
        <f t="shared" ref="C40:C47" si="9">($B$33+$B$34)^($B$32-1)*B40</f>
        <v>0.2</v>
      </c>
      <c r="D40" s="16">
        <f t="shared" ref="D40:D47" si="10">EXP(C40-0.5*C40^2)</f>
        <v>1.1972173631218102</v>
      </c>
      <c r="E40" s="27">
        <f t="shared" ref="E40:E47" si="11">($B$33+$B$34)*D40-$B$34</f>
        <v>-3.8027826368781902E-3</v>
      </c>
      <c r="F40" s="19">
        <f t="shared" ref="F40:F47" si="12">(E40-$B$33)*10000</f>
        <v>1.9721736312180993</v>
      </c>
      <c r="G40" s="10">
        <f t="shared" ref="G40:G47" si="13">($B$33+$B$34)^$B$32*B40*10000</f>
        <v>2</v>
      </c>
      <c r="H40" s="5" t="str">
        <f t="shared" ref="H40:H47" si="14">IF(C40&lt;=1,"increasing",IF(ROUND(F40,6)&gt;0,"x&gt;1: shock shrinks",IF(ROUND(F40,6)=0,"x = 2: shock = 0","x&gt;2: SIGN FLIP")))</f>
        <v>increasing</v>
      </c>
    </row>
    <row r="41" spans="1:8" x14ac:dyDescent="0.25">
      <c r="A41" s="12">
        <v>5</v>
      </c>
      <c r="B41" s="16">
        <f t="shared" si="8"/>
        <v>5.0000000000000001E-4</v>
      </c>
      <c r="C41" s="25">
        <f t="shared" si="9"/>
        <v>0.5</v>
      </c>
      <c r="D41" s="16">
        <f t="shared" si="10"/>
        <v>1.4549914146182013</v>
      </c>
      <c r="E41" s="27">
        <f t="shared" si="11"/>
        <v>-3.5450085853817991E-3</v>
      </c>
      <c r="F41" s="19">
        <f t="shared" si="12"/>
        <v>4.5499141461820098</v>
      </c>
      <c r="G41" s="10">
        <f t="shared" si="13"/>
        <v>5</v>
      </c>
      <c r="H41" s="5" t="str">
        <f t="shared" si="14"/>
        <v>increasing</v>
      </c>
    </row>
    <row r="42" spans="1:8" x14ac:dyDescent="0.25">
      <c r="A42" s="12">
        <v>10</v>
      </c>
      <c r="B42" s="16">
        <f t="shared" si="8"/>
        <v>1E-3</v>
      </c>
      <c r="C42" s="25">
        <f t="shared" si="9"/>
        <v>1</v>
      </c>
      <c r="D42" s="16">
        <f t="shared" si="10"/>
        <v>1.6487212707001282</v>
      </c>
      <c r="E42" s="27">
        <f t="shared" si="11"/>
        <v>-3.3512787292998719E-3</v>
      </c>
      <c r="F42" s="19">
        <f t="shared" si="12"/>
        <v>6.4872127070012819</v>
      </c>
      <c r="G42" s="10">
        <f t="shared" si="13"/>
        <v>10</v>
      </c>
      <c r="H42" s="5" t="str">
        <f t="shared" si="14"/>
        <v>increasing</v>
      </c>
    </row>
    <row r="43" spans="1:8" x14ac:dyDescent="0.25">
      <c r="A43" s="12">
        <v>15</v>
      </c>
      <c r="B43" s="16">
        <f t="shared" si="8"/>
        <v>1.5E-3</v>
      </c>
      <c r="C43" s="25">
        <f t="shared" si="9"/>
        <v>1.5</v>
      </c>
      <c r="D43" s="16">
        <f t="shared" si="10"/>
        <v>1.4549914146182013</v>
      </c>
      <c r="E43" s="27">
        <f t="shared" si="11"/>
        <v>-3.5450085853817991E-3</v>
      </c>
      <c r="F43" s="19">
        <f t="shared" si="12"/>
        <v>4.5499141461820098</v>
      </c>
      <c r="G43" s="10">
        <f t="shared" si="13"/>
        <v>15</v>
      </c>
      <c r="H43" s="5" t="str">
        <f t="shared" si="14"/>
        <v>x&gt;1: shock shrinks</v>
      </c>
    </row>
    <row r="44" spans="1:8" x14ac:dyDescent="0.25">
      <c r="A44" s="12">
        <v>20</v>
      </c>
      <c r="B44" s="16">
        <f t="shared" si="8"/>
        <v>2E-3</v>
      </c>
      <c r="C44" s="25">
        <f t="shared" si="9"/>
        <v>2</v>
      </c>
      <c r="D44" s="16">
        <f t="shared" si="10"/>
        <v>1</v>
      </c>
      <c r="E44" s="27">
        <f t="shared" si="11"/>
        <v>-4.0000000000000001E-3</v>
      </c>
      <c r="F44" s="19">
        <f t="shared" si="12"/>
        <v>0</v>
      </c>
      <c r="G44" s="10">
        <f t="shared" si="13"/>
        <v>20</v>
      </c>
      <c r="H44" s="5" t="str">
        <f t="shared" si="14"/>
        <v>x = 2: shock = 0</v>
      </c>
    </row>
    <row r="45" spans="1:8" x14ac:dyDescent="0.25">
      <c r="A45" s="12">
        <v>25</v>
      </c>
      <c r="B45" s="16">
        <f t="shared" si="8"/>
        <v>2.5000000000000001E-3</v>
      </c>
      <c r="C45" s="25">
        <f t="shared" si="9"/>
        <v>2.5</v>
      </c>
      <c r="D45" s="16">
        <f t="shared" si="10"/>
        <v>0.53526142851899028</v>
      </c>
      <c r="E45" s="27">
        <f t="shared" si="11"/>
        <v>-4.4647385714810094E-3</v>
      </c>
      <c r="F45" s="19">
        <f t="shared" si="12"/>
        <v>-4.6473857148100937</v>
      </c>
      <c r="G45" s="10">
        <f t="shared" si="13"/>
        <v>25</v>
      </c>
      <c r="H45" s="5" t="str">
        <f t="shared" si="14"/>
        <v>x&gt;2: SIGN FLIP</v>
      </c>
    </row>
    <row r="46" spans="1:8" x14ac:dyDescent="0.25">
      <c r="A46" s="12">
        <v>35</v>
      </c>
      <c r="B46" s="16">
        <f t="shared" si="8"/>
        <v>3.5000000000000001E-3</v>
      </c>
      <c r="C46" s="25">
        <f t="shared" si="9"/>
        <v>3.5</v>
      </c>
      <c r="D46" s="16">
        <f t="shared" si="10"/>
        <v>7.2439757034251456E-2</v>
      </c>
      <c r="E46" s="27">
        <f t="shared" si="11"/>
        <v>-4.9275602429657483E-3</v>
      </c>
      <c r="F46" s="19">
        <f t="shared" si="12"/>
        <v>-9.2756024296574822</v>
      </c>
      <c r="G46" s="10">
        <f t="shared" si="13"/>
        <v>35</v>
      </c>
      <c r="H46" s="5" t="str">
        <f t="shared" si="14"/>
        <v>x&gt;2: SIGN FLIP</v>
      </c>
    </row>
    <row r="47" spans="1:8" x14ac:dyDescent="0.25">
      <c r="A47" s="12">
        <v>50</v>
      </c>
      <c r="B47" s="16">
        <f t="shared" si="8"/>
        <v>5.0000000000000001E-3</v>
      </c>
      <c r="C47" s="25">
        <f t="shared" si="9"/>
        <v>5</v>
      </c>
      <c r="D47" s="16">
        <f t="shared" si="10"/>
        <v>5.5308437014783363E-4</v>
      </c>
      <c r="E47" s="27">
        <f t="shared" si="11"/>
        <v>-4.9994469156298526E-3</v>
      </c>
      <c r="F47" s="19">
        <f t="shared" si="12"/>
        <v>-9.9944691562985248</v>
      </c>
      <c r="G47" s="10">
        <f t="shared" si="13"/>
        <v>50</v>
      </c>
      <c r="H47" s="5" t="str">
        <f t="shared" si="14"/>
        <v>x&gt;2: SIGN FLIP</v>
      </c>
    </row>
    <row r="49" spans="1:1" x14ac:dyDescent="0.25">
      <c r="A49" s="26" t="s">
        <v>127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7"/>
  <sheetViews>
    <sheetView zoomScaleNormal="100" workbookViewId="0">
      <pane xSplit="2" ySplit="4" topLeftCell="C41" activePane="bottomRight" state="frozen"/>
      <selection pane="topRight" activeCell="C1" sqref="C1"/>
      <selection pane="bottomLeft" activeCell="A5" sqref="A5"/>
      <selection pane="bottomRight" activeCell="C72" sqref="C72"/>
    </sheetView>
  </sheetViews>
  <sheetFormatPr defaultColWidth="8.7109375" defaultRowHeight="15" x14ac:dyDescent="0.25"/>
  <cols>
    <col min="1" max="1" width="6" customWidth="1"/>
    <col min="2" max="5" width="10" customWidth="1"/>
    <col min="6" max="6" width="9" customWidth="1"/>
    <col min="7" max="7" width="10" customWidth="1"/>
    <col min="8" max="9" width="12" customWidth="1"/>
    <col min="10" max="10" width="9" customWidth="1"/>
    <col min="11" max="11" width="10" customWidth="1"/>
    <col min="12" max="13" width="11" customWidth="1"/>
    <col min="14" max="14" width="13" customWidth="1"/>
    <col min="15" max="16" width="10" customWidth="1"/>
    <col min="17" max="17" width="14" customWidth="1"/>
    <col min="18" max="18" width="12" customWidth="1"/>
    <col min="19" max="19" width="14" customWidth="1"/>
    <col min="20" max="21" width="12" customWidth="1"/>
    <col min="22" max="22" width="10" customWidth="1"/>
    <col min="23" max="23" width="12" customWidth="1"/>
    <col min="24" max="24" width="11" customWidth="1"/>
    <col min="25" max="25" width="13" customWidth="1"/>
    <col min="26" max="26" width="20" customWidth="1"/>
  </cols>
  <sheetData>
    <row r="1" spans="1:26" ht="18" x14ac:dyDescent="0.25">
      <c r="A1" s="2" t="s">
        <v>128</v>
      </c>
    </row>
    <row r="2" spans="1:26" x14ac:dyDescent="0.25">
      <c r="A2" s="3" t="s">
        <v>129</v>
      </c>
    </row>
    <row r="4" spans="1:26" ht="45" customHeight="1" x14ac:dyDescent="0.25">
      <c r="A4" s="4" t="s">
        <v>70</v>
      </c>
      <c r="B4" s="4" t="s">
        <v>130</v>
      </c>
      <c r="C4" s="4" t="s">
        <v>10</v>
      </c>
      <c r="D4" s="4" t="s">
        <v>13</v>
      </c>
      <c r="E4" s="4" t="s">
        <v>131</v>
      </c>
      <c r="F4" s="4" t="s">
        <v>103</v>
      </c>
      <c r="G4" s="4" t="s">
        <v>72</v>
      </c>
      <c r="H4" s="4" t="s">
        <v>132</v>
      </c>
      <c r="I4" s="4" t="s">
        <v>73</v>
      </c>
      <c r="J4" s="4" t="s">
        <v>7</v>
      </c>
      <c r="K4" s="4" t="s">
        <v>74</v>
      </c>
      <c r="L4" s="4" t="s">
        <v>133</v>
      </c>
      <c r="M4" s="4" t="s">
        <v>134</v>
      </c>
      <c r="N4" s="4" t="s">
        <v>135</v>
      </c>
      <c r="O4" s="4" t="s">
        <v>136</v>
      </c>
      <c r="P4" s="4" t="s">
        <v>137</v>
      </c>
      <c r="Q4" s="4" t="s">
        <v>138</v>
      </c>
      <c r="R4" s="4" t="s">
        <v>139</v>
      </c>
      <c r="S4" s="4" t="s">
        <v>140</v>
      </c>
      <c r="T4" s="4" t="s">
        <v>79</v>
      </c>
      <c r="U4" s="4" t="s">
        <v>141</v>
      </c>
      <c r="V4" s="4" t="s">
        <v>44</v>
      </c>
      <c r="W4" s="4" t="s">
        <v>142</v>
      </c>
      <c r="X4" s="4" t="s">
        <v>81</v>
      </c>
      <c r="Y4" s="4" t="s">
        <v>143</v>
      </c>
      <c r="Z4" s="4" t="s">
        <v>144</v>
      </c>
    </row>
    <row r="5" spans="1:26" x14ac:dyDescent="0.25">
      <c r="A5" s="15">
        <v>0</v>
      </c>
      <c r="B5" s="8">
        <v>0</v>
      </c>
      <c r="C5" s="28">
        <f>Inputs!$B$6</f>
        <v>5.0000000000000001E-3</v>
      </c>
      <c r="D5" s="28">
        <f>Inputs!$B$7</f>
        <v>2.5000000000000001E-3</v>
      </c>
      <c r="E5" s="9">
        <f t="shared" ref="E5:E16" si="0">D5-C5</f>
        <v>-2.5000000000000001E-3</v>
      </c>
      <c r="F5" s="28">
        <f>Inputs!$B$12</f>
        <v>6.0000000000000001E-3</v>
      </c>
      <c r="G5" s="9">
        <f t="shared" ref="G5:G16" si="1">C5+F5</f>
        <v>1.0999999999999999E-2</v>
      </c>
      <c r="H5" s="16">
        <f t="shared" ref="H5:H16" si="2">G5^A5</f>
        <v>1</v>
      </c>
      <c r="I5" s="29">
        <f t="shared" ref="I5:I16" si="3">E5/H5</f>
        <v>-2.5000000000000001E-3</v>
      </c>
      <c r="J5" s="28">
        <f>Inputs!$B$5</f>
        <v>5.0000000000000001E-3</v>
      </c>
      <c r="K5" s="9">
        <f t="shared" ref="K5:K16" si="4">B5+J5</f>
        <v>5.0000000000000001E-3</v>
      </c>
      <c r="L5" s="16">
        <f t="shared" ref="L5:L16" si="5">K5^A5</f>
        <v>1</v>
      </c>
      <c r="M5" s="17">
        <f t="shared" ref="M5:M16" si="6">K5^(A5-1)</f>
        <v>200</v>
      </c>
      <c r="N5" s="30">
        <f t="shared" ref="N5:N16" si="7">M5*I5</f>
        <v>-0.5</v>
      </c>
      <c r="O5" s="17">
        <f t="shared" ref="O5:O16" si="8">0.5*N5^2</f>
        <v>0.125</v>
      </c>
      <c r="P5" s="17">
        <f t="shared" ref="P5:P16" si="9">N5-O5</f>
        <v>-0.625</v>
      </c>
      <c r="Q5" s="30">
        <f t="shared" ref="Q5:Q16" si="10">EXP(P5)</f>
        <v>0.53526142851899028</v>
      </c>
      <c r="R5" s="9">
        <f t="shared" ref="R5:R16" si="11">K5*Q5</f>
        <v>2.6763071425949516E-3</v>
      </c>
      <c r="S5" s="18">
        <f t="shared" ref="S5:S16" si="12">R5-J5</f>
        <v>-2.3236928574050485E-3</v>
      </c>
      <c r="T5" s="19">
        <f t="shared" ref="T5:T16" si="13">(S5-B5)*10000</f>
        <v>-23.236928574050484</v>
      </c>
      <c r="U5" s="10">
        <f t="shared" ref="U5:U16" si="14">E5*10000</f>
        <v>-25</v>
      </c>
      <c r="V5" s="20">
        <f t="shared" ref="V5:V16" si="15">T5/U5</f>
        <v>0.92947714296201933</v>
      </c>
      <c r="W5" s="10">
        <f t="shared" ref="W5:W16" si="16">L5*I5*10000</f>
        <v>-25</v>
      </c>
      <c r="X5" s="31">
        <f t="shared" ref="X5:X16" si="17">T5-W5</f>
        <v>1.7630714259495157</v>
      </c>
      <c r="Y5" s="9">
        <f t="shared" ref="Y5:Y16" si="18">B5+E5</f>
        <v>-2.5000000000000001E-3</v>
      </c>
      <c r="Z5" s="5" t="str">
        <f t="shared" ref="Z5:Z16" si="19">IF(N5&lt;=1,"OK","x&gt;1: non-monotone zone")</f>
        <v>OK</v>
      </c>
    </row>
    <row r="6" spans="1:26" x14ac:dyDescent="0.25">
      <c r="A6" s="15">
        <v>0</v>
      </c>
      <c r="B6" s="8">
        <v>0.02</v>
      </c>
      <c r="C6" s="28">
        <f>Inputs!$B$6</f>
        <v>5.0000000000000001E-3</v>
      </c>
      <c r="D6" s="28">
        <f>Inputs!$B$7</f>
        <v>2.5000000000000001E-3</v>
      </c>
      <c r="E6" s="9">
        <f t="shared" si="0"/>
        <v>-2.5000000000000001E-3</v>
      </c>
      <c r="F6" s="28">
        <f>Inputs!$B$12</f>
        <v>6.0000000000000001E-3</v>
      </c>
      <c r="G6" s="9">
        <f t="shared" si="1"/>
        <v>1.0999999999999999E-2</v>
      </c>
      <c r="H6" s="16">
        <f t="shared" si="2"/>
        <v>1</v>
      </c>
      <c r="I6" s="29">
        <f t="shared" si="3"/>
        <v>-2.5000000000000001E-3</v>
      </c>
      <c r="J6" s="28">
        <f>Inputs!$B$5</f>
        <v>5.0000000000000001E-3</v>
      </c>
      <c r="K6" s="9">
        <f t="shared" si="4"/>
        <v>2.5000000000000001E-2</v>
      </c>
      <c r="L6" s="16">
        <f t="shared" si="5"/>
        <v>1</v>
      </c>
      <c r="M6" s="17">
        <f t="shared" si="6"/>
        <v>40</v>
      </c>
      <c r="N6" s="30">
        <f t="shared" si="7"/>
        <v>-0.1</v>
      </c>
      <c r="O6" s="17">
        <f t="shared" si="8"/>
        <v>5.000000000000001E-3</v>
      </c>
      <c r="P6" s="17">
        <f t="shared" si="9"/>
        <v>-0.10500000000000001</v>
      </c>
      <c r="Q6" s="30">
        <f t="shared" si="10"/>
        <v>0.90032452258626561</v>
      </c>
      <c r="R6" s="9">
        <f t="shared" si="11"/>
        <v>2.2508113064656641E-2</v>
      </c>
      <c r="S6" s="18">
        <f t="shared" si="12"/>
        <v>1.750811306465664E-2</v>
      </c>
      <c r="T6" s="19">
        <f t="shared" si="13"/>
        <v>-24.918869353433607</v>
      </c>
      <c r="U6" s="10">
        <f t="shared" si="14"/>
        <v>-25</v>
      </c>
      <c r="V6" s="20">
        <f t="shared" si="15"/>
        <v>0.99675477413734426</v>
      </c>
      <c r="W6" s="10">
        <f t="shared" si="16"/>
        <v>-25</v>
      </c>
      <c r="X6" s="31">
        <f t="shared" si="17"/>
        <v>8.1130646566393239E-2</v>
      </c>
      <c r="Y6" s="9">
        <f t="shared" si="18"/>
        <v>1.7500000000000002E-2</v>
      </c>
      <c r="Z6" s="5" t="str">
        <f t="shared" si="19"/>
        <v>OK</v>
      </c>
    </row>
    <row r="7" spans="1:26" x14ac:dyDescent="0.25">
      <c r="A7" s="15">
        <v>0</v>
      </c>
      <c r="B7" s="8">
        <v>0.03</v>
      </c>
      <c r="C7" s="28">
        <f>Inputs!$B$6</f>
        <v>5.0000000000000001E-3</v>
      </c>
      <c r="D7" s="28">
        <f>Inputs!$B$7</f>
        <v>2.5000000000000001E-3</v>
      </c>
      <c r="E7" s="9">
        <f t="shared" si="0"/>
        <v>-2.5000000000000001E-3</v>
      </c>
      <c r="F7" s="28">
        <f>Inputs!$B$12</f>
        <v>6.0000000000000001E-3</v>
      </c>
      <c r="G7" s="9">
        <f t="shared" si="1"/>
        <v>1.0999999999999999E-2</v>
      </c>
      <c r="H7" s="16">
        <f t="shared" si="2"/>
        <v>1</v>
      </c>
      <c r="I7" s="29">
        <f t="shared" si="3"/>
        <v>-2.5000000000000001E-3</v>
      </c>
      <c r="J7" s="28">
        <f>Inputs!$B$5</f>
        <v>5.0000000000000001E-3</v>
      </c>
      <c r="K7" s="9">
        <f t="shared" si="4"/>
        <v>3.4999999999999996E-2</v>
      </c>
      <c r="L7" s="16">
        <f t="shared" si="5"/>
        <v>1</v>
      </c>
      <c r="M7" s="17">
        <f t="shared" si="6"/>
        <v>28.571428571428573</v>
      </c>
      <c r="N7" s="30">
        <f t="shared" si="7"/>
        <v>-7.1428571428571438E-2</v>
      </c>
      <c r="O7" s="17">
        <f t="shared" si="8"/>
        <v>2.551020408163266E-3</v>
      </c>
      <c r="P7" s="17">
        <f t="shared" si="9"/>
        <v>-7.3979591836734707E-2</v>
      </c>
      <c r="Q7" s="30">
        <f t="shared" si="10"/>
        <v>0.92869064651822897</v>
      </c>
      <c r="R7" s="9">
        <f t="shared" si="11"/>
        <v>3.2504172628138012E-2</v>
      </c>
      <c r="S7" s="18">
        <f t="shared" si="12"/>
        <v>2.7504172628138011E-2</v>
      </c>
      <c r="T7" s="19">
        <f t="shared" si="13"/>
        <v>-24.958273718619882</v>
      </c>
      <c r="U7" s="10">
        <f t="shared" si="14"/>
        <v>-25</v>
      </c>
      <c r="V7" s="20">
        <f t="shared" si="15"/>
        <v>0.99833094874479533</v>
      </c>
      <c r="W7" s="10">
        <f t="shared" si="16"/>
        <v>-25</v>
      </c>
      <c r="X7" s="31">
        <f t="shared" si="17"/>
        <v>4.1726281380118024E-2</v>
      </c>
      <c r="Y7" s="9">
        <f t="shared" si="18"/>
        <v>2.75E-2</v>
      </c>
      <c r="Z7" s="5" t="str">
        <f t="shared" si="19"/>
        <v>OK</v>
      </c>
    </row>
    <row r="8" spans="1:26" x14ac:dyDescent="0.25">
      <c r="A8" s="15">
        <v>0</v>
      </c>
      <c r="B8" s="8">
        <v>0.04</v>
      </c>
      <c r="C8" s="28">
        <f>Inputs!$B$6</f>
        <v>5.0000000000000001E-3</v>
      </c>
      <c r="D8" s="28">
        <f>Inputs!$B$7</f>
        <v>2.5000000000000001E-3</v>
      </c>
      <c r="E8" s="9">
        <f t="shared" si="0"/>
        <v>-2.5000000000000001E-3</v>
      </c>
      <c r="F8" s="28">
        <f>Inputs!$B$12</f>
        <v>6.0000000000000001E-3</v>
      </c>
      <c r="G8" s="9">
        <f t="shared" si="1"/>
        <v>1.0999999999999999E-2</v>
      </c>
      <c r="H8" s="16">
        <f t="shared" si="2"/>
        <v>1</v>
      </c>
      <c r="I8" s="29">
        <f t="shared" si="3"/>
        <v>-2.5000000000000001E-3</v>
      </c>
      <c r="J8" s="28">
        <f>Inputs!$B$5</f>
        <v>5.0000000000000001E-3</v>
      </c>
      <c r="K8" s="9">
        <f t="shared" si="4"/>
        <v>4.4999999999999998E-2</v>
      </c>
      <c r="L8" s="16">
        <f t="shared" si="5"/>
        <v>1</v>
      </c>
      <c r="M8" s="17">
        <f t="shared" si="6"/>
        <v>22.222222222222221</v>
      </c>
      <c r="N8" s="30">
        <f t="shared" si="7"/>
        <v>-5.5555555555555552E-2</v>
      </c>
      <c r="O8" s="17">
        <f t="shared" si="8"/>
        <v>1.5432098765432098E-3</v>
      </c>
      <c r="P8" s="17">
        <f t="shared" si="9"/>
        <v>-5.7098765432098762E-2</v>
      </c>
      <c r="Q8" s="30">
        <f t="shared" si="10"/>
        <v>0.94450078073202637</v>
      </c>
      <c r="R8" s="9">
        <f t="shared" si="11"/>
        <v>4.2502535132941187E-2</v>
      </c>
      <c r="S8" s="18">
        <f t="shared" si="12"/>
        <v>3.7502535132941189E-2</v>
      </c>
      <c r="T8" s="19">
        <f t="shared" si="13"/>
        <v>-24.974648670588113</v>
      </c>
      <c r="U8" s="10">
        <f t="shared" si="14"/>
        <v>-25</v>
      </c>
      <c r="V8" s="20">
        <f t="shared" si="15"/>
        <v>0.99898594682352448</v>
      </c>
      <c r="W8" s="10">
        <f t="shared" si="16"/>
        <v>-25</v>
      </c>
      <c r="X8" s="31">
        <f t="shared" si="17"/>
        <v>2.535132941188678E-2</v>
      </c>
      <c r="Y8" s="9">
        <f t="shared" si="18"/>
        <v>3.7499999999999999E-2</v>
      </c>
      <c r="Z8" s="5" t="str">
        <f t="shared" si="19"/>
        <v>OK</v>
      </c>
    </row>
    <row r="9" spans="1:26" x14ac:dyDescent="0.25">
      <c r="A9" s="15">
        <v>0.5</v>
      </c>
      <c r="B9" s="8">
        <v>0</v>
      </c>
      <c r="C9" s="28">
        <f>Inputs!$B$6</f>
        <v>5.0000000000000001E-3</v>
      </c>
      <c r="D9" s="28">
        <f>Inputs!$B$7</f>
        <v>2.5000000000000001E-3</v>
      </c>
      <c r="E9" s="9">
        <f t="shared" si="0"/>
        <v>-2.5000000000000001E-3</v>
      </c>
      <c r="F9" s="28">
        <f>Inputs!$B$12</f>
        <v>6.0000000000000001E-3</v>
      </c>
      <c r="G9" s="9">
        <f t="shared" si="1"/>
        <v>1.0999999999999999E-2</v>
      </c>
      <c r="H9" s="16">
        <f t="shared" si="2"/>
        <v>0.10488088481701516</v>
      </c>
      <c r="I9" s="29">
        <f t="shared" si="3"/>
        <v>-2.3836564731139806E-2</v>
      </c>
      <c r="J9" s="28">
        <f>Inputs!$B$5</f>
        <v>5.0000000000000001E-3</v>
      </c>
      <c r="K9" s="9">
        <f t="shared" si="4"/>
        <v>5.0000000000000001E-3</v>
      </c>
      <c r="L9" s="16">
        <f t="shared" si="5"/>
        <v>7.0710678118654752E-2</v>
      </c>
      <c r="M9" s="17">
        <f t="shared" si="6"/>
        <v>14.142135623730951</v>
      </c>
      <c r="N9" s="30">
        <f t="shared" si="7"/>
        <v>-0.33709993123162102</v>
      </c>
      <c r="O9" s="17">
        <f t="shared" si="8"/>
        <v>5.6818181818181809E-2</v>
      </c>
      <c r="P9" s="17">
        <f t="shared" si="9"/>
        <v>-0.39391811304980284</v>
      </c>
      <c r="Q9" s="30">
        <f t="shared" si="10"/>
        <v>0.67440927929845584</v>
      </c>
      <c r="R9" s="9">
        <f t="shared" si="11"/>
        <v>3.3720463964922792E-3</v>
      </c>
      <c r="S9" s="18">
        <f t="shared" si="12"/>
        <v>-1.6279536035077209E-3</v>
      </c>
      <c r="T9" s="19">
        <f t="shared" si="13"/>
        <v>-16.279536035077211</v>
      </c>
      <c r="U9" s="10">
        <f t="shared" si="14"/>
        <v>-25</v>
      </c>
      <c r="V9" s="20">
        <f t="shared" si="15"/>
        <v>0.65118144140308842</v>
      </c>
      <c r="W9" s="10">
        <f t="shared" si="16"/>
        <v>-16.85499656158105</v>
      </c>
      <c r="X9" s="31">
        <f t="shared" si="17"/>
        <v>0.57546052650383928</v>
      </c>
      <c r="Y9" s="9">
        <f t="shared" si="18"/>
        <v>-2.5000000000000001E-3</v>
      </c>
      <c r="Z9" s="5" t="str">
        <f t="shared" si="19"/>
        <v>OK</v>
      </c>
    </row>
    <row r="10" spans="1:26" x14ac:dyDescent="0.25">
      <c r="A10" s="15">
        <v>0.5</v>
      </c>
      <c r="B10" s="8">
        <v>0.02</v>
      </c>
      <c r="C10" s="28">
        <f>Inputs!$B$6</f>
        <v>5.0000000000000001E-3</v>
      </c>
      <c r="D10" s="28">
        <f>Inputs!$B$7</f>
        <v>2.5000000000000001E-3</v>
      </c>
      <c r="E10" s="9">
        <f t="shared" si="0"/>
        <v>-2.5000000000000001E-3</v>
      </c>
      <c r="F10" s="28">
        <f>Inputs!$B$12</f>
        <v>6.0000000000000001E-3</v>
      </c>
      <c r="G10" s="9">
        <f t="shared" si="1"/>
        <v>1.0999999999999999E-2</v>
      </c>
      <c r="H10" s="16">
        <f t="shared" si="2"/>
        <v>0.10488088481701516</v>
      </c>
      <c r="I10" s="29">
        <f t="shared" si="3"/>
        <v>-2.3836564731139806E-2</v>
      </c>
      <c r="J10" s="28">
        <f>Inputs!$B$5</f>
        <v>5.0000000000000001E-3</v>
      </c>
      <c r="K10" s="9">
        <f t="shared" si="4"/>
        <v>2.5000000000000001E-2</v>
      </c>
      <c r="L10" s="16">
        <f t="shared" si="5"/>
        <v>0.15811388300841897</v>
      </c>
      <c r="M10" s="17">
        <f t="shared" si="6"/>
        <v>6.3245553203367582</v>
      </c>
      <c r="N10" s="30">
        <f t="shared" si="7"/>
        <v>-0.15075567228888179</v>
      </c>
      <c r="O10" s="17">
        <f t="shared" si="8"/>
        <v>1.136363636363636E-2</v>
      </c>
      <c r="P10" s="17">
        <f t="shared" si="9"/>
        <v>-0.16211930865251814</v>
      </c>
      <c r="Q10" s="30">
        <f t="shared" si="10"/>
        <v>0.85033974559865855</v>
      </c>
      <c r="R10" s="9">
        <f t="shared" si="11"/>
        <v>2.1258493639966465E-2</v>
      </c>
      <c r="S10" s="18">
        <f t="shared" si="12"/>
        <v>1.6258493639966464E-2</v>
      </c>
      <c r="T10" s="19">
        <f t="shared" si="13"/>
        <v>-37.415063600335365</v>
      </c>
      <c r="U10" s="10">
        <f t="shared" si="14"/>
        <v>-25</v>
      </c>
      <c r="V10" s="20">
        <f t="shared" si="15"/>
        <v>1.4966025440134145</v>
      </c>
      <c r="W10" s="10">
        <f t="shared" si="16"/>
        <v>-37.688918072220453</v>
      </c>
      <c r="X10" s="31">
        <f t="shared" si="17"/>
        <v>0.27385447188508749</v>
      </c>
      <c r="Y10" s="9">
        <f t="shared" si="18"/>
        <v>1.7500000000000002E-2</v>
      </c>
      <c r="Z10" s="5" t="str">
        <f t="shared" si="19"/>
        <v>OK</v>
      </c>
    </row>
    <row r="11" spans="1:26" x14ac:dyDescent="0.25">
      <c r="A11" s="15">
        <v>0.5</v>
      </c>
      <c r="B11" s="8">
        <v>0.03</v>
      </c>
      <c r="C11" s="28">
        <f>Inputs!$B$6</f>
        <v>5.0000000000000001E-3</v>
      </c>
      <c r="D11" s="28">
        <f>Inputs!$B$7</f>
        <v>2.5000000000000001E-3</v>
      </c>
      <c r="E11" s="9">
        <f t="shared" si="0"/>
        <v>-2.5000000000000001E-3</v>
      </c>
      <c r="F11" s="28">
        <f>Inputs!$B$12</f>
        <v>6.0000000000000001E-3</v>
      </c>
      <c r="G11" s="9">
        <f t="shared" si="1"/>
        <v>1.0999999999999999E-2</v>
      </c>
      <c r="H11" s="16">
        <f t="shared" si="2"/>
        <v>0.10488088481701516</v>
      </c>
      <c r="I11" s="29">
        <f t="shared" si="3"/>
        <v>-2.3836564731139806E-2</v>
      </c>
      <c r="J11" s="28">
        <f>Inputs!$B$5</f>
        <v>5.0000000000000001E-3</v>
      </c>
      <c r="K11" s="9">
        <f t="shared" si="4"/>
        <v>3.4999999999999996E-2</v>
      </c>
      <c r="L11" s="16">
        <f t="shared" si="5"/>
        <v>0.18708286933869706</v>
      </c>
      <c r="M11" s="17">
        <f t="shared" si="6"/>
        <v>5.3452248382484884</v>
      </c>
      <c r="N11" s="30">
        <f t="shared" si="7"/>
        <v>-0.1274117978594064</v>
      </c>
      <c r="O11" s="17">
        <f t="shared" si="8"/>
        <v>8.1168831168831179E-3</v>
      </c>
      <c r="P11" s="17">
        <f t="shared" si="9"/>
        <v>-0.13552868097628951</v>
      </c>
      <c r="Q11" s="30">
        <f t="shared" si="10"/>
        <v>0.87325411678868881</v>
      </c>
      <c r="R11" s="9">
        <f t="shared" si="11"/>
        <v>3.0563894087604106E-2</v>
      </c>
      <c r="S11" s="18">
        <f t="shared" si="12"/>
        <v>2.5563894087604105E-2</v>
      </c>
      <c r="T11" s="19">
        <f t="shared" si="13"/>
        <v>-44.361059123958938</v>
      </c>
      <c r="U11" s="10">
        <f t="shared" si="14"/>
        <v>-25</v>
      </c>
      <c r="V11" s="20">
        <f t="shared" si="15"/>
        <v>1.7744423649583576</v>
      </c>
      <c r="W11" s="10">
        <f t="shared" si="16"/>
        <v>-44.594129250792228</v>
      </c>
      <c r="X11" s="31">
        <f t="shared" si="17"/>
        <v>0.2330701268332902</v>
      </c>
      <c r="Y11" s="9">
        <f t="shared" si="18"/>
        <v>2.75E-2</v>
      </c>
      <c r="Z11" s="5" t="str">
        <f t="shared" si="19"/>
        <v>OK</v>
      </c>
    </row>
    <row r="12" spans="1:26" x14ac:dyDescent="0.25">
      <c r="A12" s="15">
        <v>0.5</v>
      </c>
      <c r="B12" s="8">
        <v>0.04</v>
      </c>
      <c r="C12" s="28">
        <f>Inputs!$B$6</f>
        <v>5.0000000000000001E-3</v>
      </c>
      <c r="D12" s="28">
        <f>Inputs!$B$7</f>
        <v>2.5000000000000001E-3</v>
      </c>
      <c r="E12" s="9">
        <f t="shared" si="0"/>
        <v>-2.5000000000000001E-3</v>
      </c>
      <c r="F12" s="28">
        <f>Inputs!$B$12</f>
        <v>6.0000000000000001E-3</v>
      </c>
      <c r="G12" s="9">
        <f t="shared" si="1"/>
        <v>1.0999999999999999E-2</v>
      </c>
      <c r="H12" s="16">
        <f t="shared" si="2"/>
        <v>0.10488088481701516</v>
      </c>
      <c r="I12" s="29">
        <f t="shared" si="3"/>
        <v>-2.3836564731139806E-2</v>
      </c>
      <c r="J12" s="28">
        <f>Inputs!$B$5</f>
        <v>5.0000000000000001E-3</v>
      </c>
      <c r="K12" s="9">
        <f t="shared" si="4"/>
        <v>4.4999999999999998E-2</v>
      </c>
      <c r="L12" s="16">
        <f t="shared" si="5"/>
        <v>0.21213203435596426</v>
      </c>
      <c r="M12" s="17">
        <f t="shared" si="6"/>
        <v>4.714045207910317</v>
      </c>
      <c r="N12" s="30">
        <f t="shared" si="7"/>
        <v>-0.11236664374387367</v>
      </c>
      <c r="O12" s="17">
        <f t="shared" si="8"/>
        <v>6.3131313131313122E-3</v>
      </c>
      <c r="P12" s="17">
        <f t="shared" si="9"/>
        <v>-0.11867977505700499</v>
      </c>
      <c r="Q12" s="30">
        <f t="shared" si="10"/>
        <v>0.88809214448888663</v>
      </c>
      <c r="R12" s="9">
        <f t="shared" si="11"/>
        <v>3.9964146501999899E-2</v>
      </c>
      <c r="S12" s="18">
        <f t="shared" si="12"/>
        <v>3.4964146501999901E-2</v>
      </c>
      <c r="T12" s="19">
        <f t="shared" si="13"/>
        <v>-50.358534980000996</v>
      </c>
      <c r="U12" s="10">
        <f t="shared" si="14"/>
        <v>-25</v>
      </c>
      <c r="V12" s="20">
        <f t="shared" si="15"/>
        <v>2.0143413992000401</v>
      </c>
      <c r="W12" s="10">
        <f t="shared" si="16"/>
        <v>-50.564989684743153</v>
      </c>
      <c r="X12" s="31">
        <f t="shared" si="17"/>
        <v>0.20645470474215699</v>
      </c>
      <c r="Y12" s="9">
        <f t="shared" si="18"/>
        <v>3.7499999999999999E-2</v>
      </c>
      <c r="Z12" s="5" t="str">
        <f t="shared" si="19"/>
        <v>OK</v>
      </c>
    </row>
    <row r="13" spans="1:26" x14ac:dyDescent="0.25">
      <c r="A13" s="15">
        <v>1</v>
      </c>
      <c r="B13" s="8">
        <v>0</v>
      </c>
      <c r="C13" s="28">
        <f>Inputs!$B$6</f>
        <v>5.0000000000000001E-3</v>
      </c>
      <c r="D13" s="28">
        <f>Inputs!$B$7</f>
        <v>2.5000000000000001E-3</v>
      </c>
      <c r="E13" s="9">
        <f t="shared" si="0"/>
        <v>-2.5000000000000001E-3</v>
      </c>
      <c r="F13" s="28">
        <f>Inputs!$B$12</f>
        <v>6.0000000000000001E-3</v>
      </c>
      <c r="G13" s="9">
        <f t="shared" si="1"/>
        <v>1.0999999999999999E-2</v>
      </c>
      <c r="H13" s="16">
        <f t="shared" si="2"/>
        <v>1.0999999999999999E-2</v>
      </c>
      <c r="I13" s="29">
        <f t="shared" si="3"/>
        <v>-0.22727272727272729</v>
      </c>
      <c r="J13" s="28">
        <f>Inputs!$B$5</f>
        <v>5.0000000000000001E-3</v>
      </c>
      <c r="K13" s="9">
        <f t="shared" si="4"/>
        <v>5.0000000000000001E-3</v>
      </c>
      <c r="L13" s="16">
        <f t="shared" si="5"/>
        <v>5.0000000000000001E-3</v>
      </c>
      <c r="M13" s="17">
        <f t="shared" si="6"/>
        <v>1</v>
      </c>
      <c r="N13" s="30">
        <f t="shared" si="7"/>
        <v>-0.22727272727272729</v>
      </c>
      <c r="O13" s="17">
        <f t="shared" si="8"/>
        <v>2.582644628099174E-2</v>
      </c>
      <c r="P13" s="17">
        <f t="shared" si="9"/>
        <v>-0.25309917355371903</v>
      </c>
      <c r="Q13" s="30">
        <f t="shared" si="10"/>
        <v>0.7763908805628561</v>
      </c>
      <c r="R13" s="9">
        <f t="shared" si="11"/>
        <v>3.8819544028142806E-3</v>
      </c>
      <c r="S13" s="18">
        <f t="shared" si="12"/>
        <v>-1.1180455971857195E-3</v>
      </c>
      <c r="T13" s="19">
        <f t="shared" si="13"/>
        <v>-11.180455971857196</v>
      </c>
      <c r="U13" s="10">
        <f t="shared" si="14"/>
        <v>-25</v>
      </c>
      <c r="V13" s="20">
        <f t="shared" si="15"/>
        <v>0.44721823887428785</v>
      </c>
      <c r="W13" s="10">
        <f t="shared" si="16"/>
        <v>-11.363636363636365</v>
      </c>
      <c r="X13" s="31">
        <f t="shared" si="17"/>
        <v>0.18318039177916923</v>
      </c>
      <c r="Y13" s="9">
        <f t="shared" si="18"/>
        <v>-2.5000000000000001E-3</v>
      </c>
      <c r="Z13" s="5" t="str">
        <f t="shared" si="19"/>
        <v>OK</v>
      </c>
    </row>
    <row r="14" spans="1:26" x14ac:dyDescent="0.25">
      <c r="A14" s="15">
        <v>1</v>
      </c>
      <c r="B14" s="8">
        <v>0.02</v>
      </c>
      <c r="C14" s="28">
        <f>Inputs!$B$6</f>
        <v>5.0000000000000001E-3</v>
      </c>
      <c r="D14" s="28">
        <f>Inputs!$B$7</f>
        <v>2.5000000000000001E-3</v>
      </c>
      <c r="E14" s="9">
        <f t="shared" si="0"/>
        <v>-2.5000000000000001E-3</v>
      </c>
      <c r="F14" s="28">
        <f>Inputs!$B$12</f>
        <v>6.0000000000000001E-3</v>
      </c>
      <c r="G14" s="9">
        <f t="shared" si="1"/>
        <v>1.0999999999999999E-2</v>
      </c>
      <c r="H14" s="16">
        <f t="shared" si="2"/>
        <v>1.0999999999999999E-2</v>
      </c>
      <c r="I14" s="29">
        <f t="shared" si="3"/>
        <v>-0.22727272727272729</v>
      </c>
      <c r="J14" s="28">
        <f>Inputs!$B$5</f>
        <v>5.0000000000000001E-3</v>
      </c>
      <c r="K14" s="9">
        <f t="shared" si="4"/>
        <v>2.5000000000000001E-2</v>
      </c>
      <c r="L14" s="16">
        <f t="shared" si="5"/>
        <v>2.5000000000000001E-2</v>
      </c>
      <c r="M14" s="17">
        <f t="shared" si="6"/>
        <v>1</v>
      </c>
      <c r="N14" s="30">
        <f t="shared" si="7"/>
        <v>-0.22727272727272729</v>
      </c>
      <c r="O14" s="17">
        <f t="shared" si="8"/>
        <v>2.582644628099174E-2</v>
      </c>
      <c r="P14" s="17">
        <f t="shared" si="9"/>
        <v>-0.25309917355371903</v>
      </c>
      <c r="Q14" s="30">
        <f t="shared" si="10"/>
        <v>0.7763908805628561</v>
      </c>
      <c r="R14" s="9">
        <f t="shared" si="11"/>
        <v>1.9409772014071403E-2</v>
      </c>
      <c r="S14" s="18">
        <f t="shared" si="12"/>
        <v>1.4409772014071402E-2</v>
      </c>
      <c r="T14" s="19">
        <f t="shared" si="13"/>
        <v>-55.90227985928599</v>
      </c>
      <c r="U14" s="10">
        <f t="shared" si="14"/>
        <v>-25</v>
      </c>
      <c r="V14" s="20">
        <f t="shared" si="15"/>
        <v>2.2360911943714394</v>
      </c>
      <c r="W14" s="10">
        <f t="shared" si="16"/>
        <v>-56.818181818181827</v>
      </c>
      <c r="X14" s="31">
        <f t="shared" si="17"/>
        <v>0.91590195889583725</v>
      </c>
      <c r="Y14" s="9">
        <f t="shared" si="18"/>
        <v>1.7500000000000002E-2</v>
      </c>
      <c r="Z14" s="5" t="str">
        <f t="shared" si="19"/>
        <v>OK</v>
      </c>
    </row>
    <row r="15" spans="1:26" x14ac:dyDescent="0.25">
      <c r="A15" s="15">
        <v>1</v>
      </c>
      <c r="B15" s="8">
        <v>0.03</v>
      </c>
      <c r="C15" s="28">
        <f>Inputs!$B$6</f>
        <v>5.0000000000000001E-3</v>
      </c>
      <c r="D15" s="28">
        <f>Inputs!$B$7</f>
        <v>2.5000000000000001E-3</v>
      </c>
      <c r="E15" s="9">
        <f t="shared" si="0"/>
        <v>-2.5000000000000001E-3</v>
      </c>
      <c r="F15" s="28">
        <f>Inputs!$B$12</f>
        <v>6.0000000000000001E-3</v>
      </c>
      <c r="G15" s="9">
        <f t="shared" si="1"/>
        <v>1.0999999999999999E-2</v>
      </c>
      <c r="H15" s="16">
        <f t="shared" si="2"/>
        <v>1.0999999999999999E-2</v>
      </c>
      <c r="I15" s="29">
        <f t="shared" si="3"/>
        <v>-0.22727272727272729</v>
      </c>
      <c r="J15" s="28">
        <f>Inputs!$B$5</f>
        <v>5.0000000000000001E-3</v>
      </c>
      <c r="K15" s="9">
        <f t="shared" si="4"/>
        <v>3.4999999999999996E-2</v>
      </c>
      <c r="L15" s="16">
        <f t="shared" si="5"/>
        <v>3.4999999999999996E-2</v>
      </c>
      <c r="M15" s="17">
        <f t="shared" si="6"/>
        <v>1</v>
      </c>
      <c r="N15" s="30">
        <f t="shared" si="7"/>
        <v>-0.22727272727272729</v>
      </c>
      <c r="O15" s="17">
        <f t="shared" si="8"/>
        <v>2.582644628099174E-2</v>
      </c>
      <c r="P15" s="17">
        <f t="shared" si="9"/>
        <v>-0.25309917355371903</v>
      </c>
      <c r="Q15" s="30">
        <f t="shared" si="10"/>
        <v>0.7763908805628561</v>
      </c>
      <c r="R15" s="9">
        <f t="shared" si="11"/>
        <v>2.7173680819699959E-2</v>
      </c>
      <c r="S15" s="18">
        <f t="shared" si="12"/>
        <v>2.2173680819699958E-2</v>
      </c>
      <c r="T15" s="19">
        <f t="shared" si="13"/>
        <v>-78.26319180300041</v>
      </c>
      <c r="U15" s="10">
        <f t="shared" si="14"/>
        <v>-25</v>
      </c>
      <c r="V15" s="20">
        <f t="shared" si="15"/>
        <v>3.1305276721200164</v>
      </c>
      <c r="W15" s="10">
        <f t="shared" si="16"/>
        <v>-79.545454545454533</v>
      </c>
      <c r="X15" s="31">
        <f t="shared" si="17"/>
        <v>1.2822627424541224</v>
      </c>
      <c r="Y15" s="9">
        <f t="shared" si="18"/>
        <v>2.75E-2</v>
      </c>
      <c r="Z15" s="5" t="str">
        <f t="shared" si="19"/>
        <v>OK</v>
      </c>
    </row>
    <row r="16" spans="1:26" x14ac:dyDescent="0.25">
      <c r="A16" s="15">
        <v>1</v>
      </c>
      <c r="B16" s="8">
        <v>0.04</v>
      </c>
      <c r="C16" s="28">
        <f>Inputs!$B$6</f>
        <v>5.0000000000000001E-3</v>
      </c>
      <c r="D16" s="28">
        <f>Inputs!$B$7</f>
        <v>2.5000000000000001E-3</v>
      </c>
      <c r="E16" s="9">
        <f t="shared" si="0"/>
        <v>-2.5000000000000001E-3</v>
      </c>
      <c r="F16" s="28">
        <f>Inputs!$B$12</f>
        <v>6.0000000000000001E-3</v>
      </c>
      <c r="G16" s="9">
        <f t="shared" si="1"/>
        <v>1.0999999999999999E-2</v>
      </c>
      <c r="H16" s="16">
        <f t="shared" si="2"/>
        <v>1.0999999999999999E-2</v>
      </c>
      <c r="I16" s="29">
        <f t="shared" si="3"/>
        <v>-0.22727272727272729</v>
      </c>
      <c r="J16" s="28">
        <f>Inputs!$B$5</f>
        <v>5.0000000000000001E-3</v>
      </c>
      <c r="K16" s="9">
        <f t="shared" si="4"/>
        <v>4.4999999999999998E-2</v>
      </c>
      <c r="L16" s="16">
        <f t="shared" si="5"/>
        <v>4.4999999999999998E-2</v>
      </c>
      <c r="M16" s="17">
        <f t="shared" si="6"/>
        <v>1</v>
      </c>
      <c r="N16" s="30">
        <f t="shared" si="7"/>
        <v>-0.22727272727272729</v>
      </c>
      <c r="O16" s="17">
        <f t="shared" si="8"/>
        <v>2.582644628099174E-2</v>
      </c>
      <c r="P16" s="17">
        <f t="shared" si="9"/>
        <v>-0.25309917355371903</v>
      </c>
      <c r="Q16" s="30">
        <f t="shared" si="10"/>
        <v>0.7763908805628561</v>
      </c>
      <c r="R16" s="9">
        <f t="shared" si="11"/>
        <v>3.4937589625328523E-2</v>
      </c>
      <c r="S16" s="18">
        <f t="shared" si="12"/>
        <v>2.9937589625328522E-2</v>
      </c>
      <c r="T16" s="19">
        <f t="shared" si="13"/>
        <v>-100.62410374671478</v>
      </c>
      <c r="U16" s="10">
        <f t="shared" si="14"/>
        <v>-25</v>
      </c>
      <c r="V16" s="20">
        <f t="shared" si="15"/>
        <v>4.0249641498685911</v>
      </c>
      <c r="W16" s="10">
        <f t="shared" si="16"/>
        <v>-102.27272727272727</v>
      </c>
      <c r="X16" s="31">
        <f t="shared" si="17"/>
        <v>1.6486235260124857</v>
      </c>
      <c r="Y16" s="9">
        <f t="shared" si="18"/>
        <v>3.7499999999999999E-2</v>
      </c>
      <c r="Z16" s="5" t="str">
        <f t="shared" si="19"/>
        <v>OK</v>
      </c>
    </row>
    <row r="19" spans="1:12" x14ac:dyDescent="0.25">
      <c r="A19" s="13" t="s">
        <v>145</v>
      </c>
      <c r="H19" s="13" t="s">
        <v>146</v>
      </c>
    </row>
    <row r="20" spans="1:12" ht="30" x14ac:dyDescent="0.25">
      <c r="A20" s="4" t="s">
        <v>147</v>
      </c>
      <c r="B20" s="4" t="s">
        <v>148</v>
      </c>
      <c r="C20" s="4" t="s">
        <v>149</v>
      </c>
      <c r="D20" s="4" t="s">
        <v>150</v>
      </c>
      <c r="E20" s="4" t="s">
        <v>101</v>
      </c>
      <c r="H20" s="4" t="s">
        <v>151</v>
      </c>
      <c r="I20" s="4" t="s">
        <v>87</v>
      </c>
      <c r="J20" s="4" t="s">
        <v>88</v>
      </c>
      <c r="K20" s="4" t="s">
        <v>89</v>
      </c>
      <c r="L20" s="4" t="s">
        <v>152</v>
      </c>
    </row>
    <row r="21" spans="1:12" x14ac:dyDescent="0.25">
      <c r="A21" s="32">
        <f>A5</f>
        <v>0</v>
      </c>
      <c r="B21" s="9">
        <f>S5</f>
        <v>-2.3236928574050485E-3</v>
      </c>
      <c r="C21" s="9">
        <f>S6</f>
        <v>1.750811306465664E-2</v>
      </c>
      <c r="D21" s="9">
        <f>S7</f>
        <v>2.7504172628138011E-2</v>
      </c>
      <c r="E21" s="9">
        <f>S8</f>
        <v>3.7502535132941189E-2</v>
      </c>
      <c r="H21" s="33">
        <f>B5</f>
        <v>0</v>
      </c>
      <c r="I21" s="10">
        <f>T5</f>
        <v>-23.236928574050484</v>
      </c>
      <c r="J21" s="10">
        <f>T9</f>
        <v>-16.279536035077211</v>
      </c>
      <c r="K21" s="10">
        <f>T13</f>
        <v>-11.180455971857196</v>
      </c>
      <c r="L21" s="10">
        <f>U5</f>
        <v>-25</v>
      </c>
    </row>
    <row r="22" spans="1:12" x14ac:dyDescent="0.25">
      <c r="A22" s="32">
        <f>A9</f>
        <v>0.5</v>
      </c>
      <c r="B22" s="9">
        <f>S9</f>
        <v>-1.6279536035077209E-3</v>
      </c>
      <c r="C22" s="9">
        <f>S10</f>
        <v>1.6258493639966464E-2</v>
      </c>
      <c r="D22" s="9">
        <f>S11</f>
        <v>2.5563894087604105E-2</v>
      </c>
      <c r="E22" s="9">
        <f>S12</f>
        <v>3.4964146501999901E-2</v>
      </c>
      <c r="H22" s="33">
        <f>B6</f>
        <v>0.02</v>
      </c>
      <c r="I22" s="10">
        <f>T6</f>
        <v>-24.918869353433607</v>
      </c>
      <c r="J22" s="10">
        <f>T10</f>
        <v>-37.415063600335365</v>
      </c>
      <c r="K22" s="10">
        <f>T14</f>
        <v>-55.90227985928599</v>
      </c>
      <c r="L22" s="10">
        <f>U6</f>
        <v>-25</v>
      </c>
    </row>
    <row r="23" spans="1:12" x14ac:dyDescent="0.25">
      <c r="A23" s="32">
        <f>A13</f>
        <v>1</v>
      </c>
      <c r="B23" s="9">
        <f>S13</f>
        <v>-1.1180455971857195E-3</v>
      </c>
      <c r="C23" s="9">
        <f>S14</f>
        <v>1.4409772014071402E-2</v>
      </c>
      <c r="D23" s="9">
        <f>S15</f>
        <v>2.2173680819699958E-2</v>
      </c>
      <c r="E23" s="9">
        <f>S16</f>
        <v>2.9937589625328522E-2</v>
      </c>
      <c r="H23" s="33">
        <f>B7</f>
        <v>0.03</v>
      </c>
      <c r="I23" s="10">
        <f>T7</f>
        <v>-24.958273718619882</v>
      </c>
      <c r="J23" s="10">
        <f>T11</f>
        <v>-44.361059123958938</v>
      </c>
      <c r="K23" s="10">
        <f>T15</f>
        <v>-78.26319180300041</v>
      </c>
      <c r="L23" s="10">
        <f>U7</f>
        <v>-25</v>
      </c>
    </row>
    <row r="24" spans="1:12" x14ac:dyDescent="0.25">
      <c r="H24" s="33">
        <f>B8</f>
        <v>0.04</v>
      </c>
      <c r="I24" s="10">
        <f>T8</f>
        <v>-24.974648670588113</v>
      </c>
      <c r="J24" s="10">
        <f>T12</f>
        <v>-50.358534980000996</v>
      </c>
      <c r="K24" s="10">
        <f>T16</f>
        <v>-100.62410374671478</v>
      </c>
      <c r="L24" s="10">
        <f>U8</f>
        <v>-25</v>
      </c>
    </row>
    <row r="25" spans="1:12" x14ac:dyDescent="0.25">
      <c r="A25" s="13" t="s">
        <v>153</v>
      </c>
    </row>
    <row r="26" spans="1:12" ht="30" x14ac:dyDescent="0.25">
      <c r="A26" s="4" t="s">
        <v>147</v>
      </c>
      <c r="B26" s="4" t="s">
        <v>148</v>
      </c>
      <c r="C26" s="4" t="s">
        <v>149</v>
      </c>
      <c r="D26" s="4" t="s">
        <v>150</v>
      </c>
      <c r="E26" s="4" t="s">
        <v>101</v>
      </c>
    </row>
    <row r="27" spans="1:12" x14ac:dyDescent="0.25">
      <c r="A27" s="32">
        <f>A5</f>
        <v>0</v>
      </c>
      <c r="B27" s="10">
        <f>T5</f>
        <v>-23.236928574050484</v>
      </c>
      <c r="C27" s="10">
        <f>T6</f>
        <v>-24.918869353433607</v>
      </c>
      <c r="D27" s="10">
        <f>T7</f>
        <v>-24.958273718619882</v>
      </c>
      <c r="E27" s="10">
        <f>T8</f>
        <v>-24.974648670588113</v>
      </c>
    </row>
    <row r="28" spans="1:12" x14ac:dyDescent="0.25">
      <c r="A28" s="32">
        <f>A9</f>
        <v>0.5</v>
      </c>
      <c r="B28" s="10">
        <f>T9</f>
        <v>-16.279536035077211</v>
      </c>
      <c r="C28" s="10">
        <f>T10</f>
        <v>-37.415063600335365</v>
      </c>
      <c r="D28" s="10">
        <f>T11</f>
        <v>-44.361059123958938</v>
      </c>
      <c r="E28" s="10">
        <f>T12</f>
        <v>-50.358534980000996</v>
      </c>
    </row>
    <row r="29" spans="1:12" x14ac:dyDescent="0.25">
      <c r="A29" s="32">
        <f>A13</f>
        <v>1</v>
      </c>
      <c r="B29" s="10">
        <f>T13</f>
        <v>-11.180455971857196</v>
      </c>
      <c r="C29" s="10">
        <f>T14</f>
        <v>-55.90227985928599</v>
      </c>
      <c r="D29" s="10">
        <f>T15</f>
        <v>-78.26319180300041</v>
      </c>
      <c r="E29" s="10">
        <f>T16</f>
        <v>-100.62410374671478</v>
      </c>
    </row>
    <row r="31" spans="1:12" x14ac:dyDescent="0.25">
      <c r="A31" s="13" t="s">
        <v>154</v>
      </c>
    </row>
    <row r="32" spans="1:12" ht="30" x14ac:dyDescent="0.25">
      <c r="A32" s="4" t="s">
        <v>147</v>
      </c>
      <c r="B32" s="4" t="s">
        <v>148</v>
      </c>
      <c r="C32" s="4" t="s">
        <v>149</v>
      </c>
      <c r="D32" s="4" t="s">
        <v>150</v>
      </c>
      <c r="E32" s="4" t="s">
        <v>101</v>
      </c>
    </row>
    <row r="33" spans="1:5" x14ac:dyDescent="0.25">
      <c r="A33" s="32">
        <f>A5</f>
        <v>0</v>
      </c>
      <c r="B33" s="20">
        <f>V5</f>
        <v>0.92947714296201933</v>
      </c>
      <c r="C33" s="20">
        <f>V6</f>
        <v>0.99675477413734426</v>
      </c>
      <c r="D33" s="20">
        <f>V7</f>
        <v>0.99833094874479533</v>
      </c>
      <c r="E33" s="20">
        <f>V8</f>
        <v>0.99898594682352448</v>
      </c>
    </row>
    <row r="34" spans="1:5" x14ac:dyDescent="0.25">
      <c r="A34" s="32">
        <f>A9</f>
        <v>0.5</v>
      </c>
      <c r="B34" s="20">
        <f>V9</f>
        <v>0.65118144140308842</v>
      </c>
      <c r="C34" s="20">
        <f>V10</f>
        <v>1.4966025440134145</v>
      </c>
      <c r="D34" s="20">
        <f>V11</f>
        <v>1.7744423649583576</v>
      </c>
      <c r="E34" s="20">
        <f>V12</f>
        <v>2.0143413992000401</v>
      </c>
    </row>
    <row r="35" spans="1:5" x14ac:dyDescent="0.25">
      <c r="A35" s="32">
        <f>A13</f>
        <v>1</v>
      </c>
      <c r="B35" s="20">
        <f>V13</f>
        <v>0.44721823887428785</v>
      </c>
      <c r="C35" s="20">
        <f>V14</f>
        <v>2.2360911943714394</v>
      </c>
      <c r="D35" s="20">
        <f>V15</f>
        <v>3.1305276721200164</v>
      </c>
      <c r="E35" s="20">
        <f>V16</f>
        <v>4.0249641498685911</v>
      </c>
    </row>
    <row r="37" spans="1:5" x14ac:dyDescent="0.25">
      <c r="A37" s="13" t="s">
        <v>155</v>
      </c>
    </row>
    <row r="38" spans="1:5" ht="30" x14ac:dyDescent="0.25">
      <c r="A38" s="4" t="s">
        <v>147</v>
      </c>
      <c r="B38" s="4" t="s">
        <v>148</v>
      </c>
      <c r="C38" s="4" t="s">
        <v>149</v>
      </c>
      <c r="D38" s="4" t="s">
        <v>150</v>
      </c>
      <c r="E38" s="4" t="s">
        <v>101</v>
      </c>
    </row>
    <row r="39" spans="1:5" x14ac:dyDescent="0.25">
      <c r="A39" s="32">
        <f>A5</f>
        <v>0</v>
      </c>
      <c r="B39" s="17">
        <f>Q5</f>
        <v>0.53526142851899028</v>
      </c>
      <c r="C39" s="17">
        <f>Q6</f>
        <v>0.90032452258626561</v>
      </c>
      <c r="D39" s="17">
        <f>Q7</f>
        <v>0.92869064651822897</v>
      </c>
      <c r="E39" s="17">
        <f>Q8</f>
        <v>0.94450078073202637</v>
      </c>
    </row>
    <row r="40" spans="1:5" x14ac:dyDescent="0.25">
      <c r="A40" s="32">
        <f>A9</f>
        <v>0.5</v>
      </c>
      <c r="B40" s="17">
        <f>Q9</f>
        <v>0.67440927929845584</v>
      </c>
      <c r="C40" s="17">
        <f>Q10</f>
        <v>0.85033974559865855</v>
      </c>
      <c r="D40" s="17">
        <f>Q11</f>
        <v>0.87325411678868881</v>
      </c>
      <c r="E40" s="17">
        <f>Q12</f>
        <v>0.88809214448888663</v>
      </c>
    </row>
    <row r="41" spans="1:5" x14ac:dyDescent="0.25">
      <c r="A41" s="32">
        <f>A13</f>
        <v>1</v>
      </c>
      <c r="B41" s="17">
        <f>Q13</f>
        <v>0.7763908805628561</v>
      </c>
      <c r="C41" s="17">
        <f>Q14</f>
        <v>0.7763908805628561</v>
      </c>
      <c r="D41" s="17">
        <f>Q15</f>
        <v>0.7763908805628561</v>
      </c>
      <c r="E41" s="17">
        <f>Q16</f>
        <v>0.7763908805628561</v>
      </c>
    </row>
    <row r="43" spans="1:5" x14ac:dyDescent="0.25">
      <c r="A43" s="13" t="s">
        <v>156</v>
      </c>
    </row>
    <row r="44" spans="1:5" ht="30" x14ac:dyDescent="0.25">
      <c r="A44" s="4" t="s">
        <v>147</v>
      </c>
      <c r="B44" s="4" t="s">
        <v>148</v>
      </c>
      <c r="C44" s="4" t="s">
        <v>149</v>
      </c>
      <c r="D44" s="4" t="s">
        <v>150</v>
      </c>
      <c r="E44" s="4" t="s">
        <v>101</v>
      </c>
    </row>
    <row r="45" spans="1:5" x14ac:dyDescent="0.25">
      <c r="A45" s="32">
        <f>A5</f>
        <v>0</v>
      </c>
      <c r="B45" s="16">
        <f>I5</f>
        <v>-2.5000000000000001E-3</v>
      </c>
      <c r="C45" s="16">
        <f>I6</f>
        <v>-2.5000000000000001E-3</v>
      </c>
      <c r="D45" s="16">
        <f>I7</f>
        <v>-2.5000000000000001E-3</v>
      </c>
      <c r="E45" s="16">
        <f>I8</f>
        <v>-2.5000000000000001E-3</v>
      </c>
    </row>
    <row r="46" spans="1:5" x14ac:dyDescent="0.25">
      <c r="A46" s="32">
        <f>A9</f>
        <v>0.5</v>
      </c>
      <c r="B46" s="16">
        <f>I9</f>
        <v>-2.3836564731139806E-2</v>
      </c>
      <c r="C46" s="16">
        <f>I10</f>
        <v>-2.3836564731139806E-2</v>
      </c>
      <c r="D46" s="16">
        <f>I11</f>
        <v>-2.3836564731139806E-2</v>
      </c>
      <c r="E46" s="16">
        <f>I12</f>
        <v>-2.3836564731139806E-2</v>
      </c>
    </row>
    <row r="47" spans="1:5" x14ac:dyDescent="0.25">
      <c r="A47" s="32">
        <f>A13</f>
        <v>1</v>
      </c>
      <c r="B47" s="16">
        <f>I13</f>
        <v>-0.22727272727272729</v>
      </c>
      <c r="C47" s="16">
        <f>I14</f>
        <v>-0.22727272727272729</v>
      </c>
      <c r="D47" s="16">
        <f>I15</f>
        <v>-0.22727272727272729</v>
      </c>
      <c r="E47" s="16">
        <f>I16</f>
        <v>-0.22727272727272729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7" customWidth="1"/>
    <col min="3" max="3" width="36" customWidth="1"/>
    <col min="4" max="4" width="34" customWidth="1"/>
    <col min="5" max="5" width="14" customWidth="1"/>
    <col min="6" max="6" width="60" customWidth="1"/>
  </cols>
  <sheetData>
    <row r="1" spans="1:6" ht="18" x14ac:dyDescent="0.25">
      <c r="A1" s="2" t="s">
        <v>157</v>
      </c>
    </row>
    <row r="2" spans="1:6" x14ac:dyDescent="0.25">
      <c r="A2" s="3" t="s">
        <v>158</v>
      </c>
    </row>
    <row r="4" spans="1:6" x14ac:dyDescent="0.25">
      <c r="A4" s="4" t="s">
        <v>159</v>
      </c>
      <c r="B4" s="4" t="s">
        <v>160</v>
      </c>
      <c r="C4" s="4" t="s">
        <v>161</v>
      </c>
      <c r="D4" s="4" t="s">
        <v>162</v>
      </c>
      <c r="E4" s="4" t="s">
        <v>3</v>
      </c>
      <c r="F4" s="4" t="s">
        <v>5</v>
      </c>
    </row>
    <row r="5" spans="1:6" x14ac:dyDescent="0.25">
      <c r="A5" s="5" t="s">
        <v>163</v>
      </c>
      <c r="B5" s="5"/>
      <c r="C5" s="5" t="s">
        <v>164</v>
      </c>
      <c r="D5" s="7" t="s">
        <v>165</v>
      </c>
      <c r="E5" s="34">
        <v>0.5</v>
      </c>
      <c r="F5" s="7" t="s">
        <v>166</v>
      </c>
    </row>
    <row r="6" spans="1:6" x14ac:dyDescent="0.25">
      <c r="A6" s="5" t="s">
        <v>163</v>
      </c>
      <c r="B6" s="5"/>
      <c r="C6" s="5" t="s">
        <v>167</v>
      </c>
      <c r="D6" s="7" t="s">
        <v>165</v>
      </c>
      <c r="E6" s="8">
        <v>0.02</v>
      </c>
      <c r="F6" s="7"/>
    </row>
    <row r="7" spans="1:6" x14ac:dyDescent="0.25">
      <c r="A7" s="5" t="s">
        <v>163</v>
      </c>
      <c r="B7" s="5"/>
      <c r="C7" s="5" t="s">
        <v>168</v>
      </c>
      <c r="D7" s="7" t="s">
        <v>169</v>
      </c>
      <c r="E7" s="28">
        <f>Inputs!B5</f>
        <v>5.0000000000000001E-3</v>
      </c>
      <c r="F7" s="7"/>
    </row>
    <row r="8" spans="1:6" x14ac:dyDescent="0.25">
      <c r="A8" s="5" t="s">
        <v>163</v>
      </c>
      <c r="B8" s="5"/>
      <c r="C8" s="5" t="s">
        <v>105</v>
      </c>
      <c r="D8" s="7" t="s">
        <v>170</v>
      </c>
      <c r="E8" s="28">
        <f>Inputs!B6</f>
        <v>5.0000000000000001E-3</v>
      </c>
      <c r="F8" s="7"/>
    </row>
    <row r="9" spans="1:6" x14ac:dyDescent="0.25">
      <c r="A9" s="5" t="s">
        <v>163</v>
      </c>
      <c r="B9" s="5"/>
      <c r="C9" s="5" t="s">
        <v>171</v>
      </c>
      <c r="D9" s="7" t="s">
        <v>172</v>
      </c>
      <c r="E9" s="28">
        <f>Inputs!B7</f>
        <v>2.5000000000000001E-3</v>
      </c>
      <c r="F9" s="7"/>
    </row>
    <row r="10" spans="1:6" x14ac:dyDescent="0.25">
      <c r="A10" s="5" t="s">
        <v>173</v>
      </c>
      <c r="B10" s="5" t="s">
        <v>174</v>
      </c>
      <c r="C10" s="5" t="s">
        <v>27</v>
      </c>
      <c r="D10" s="7" t="s">
        <v>175</v>
      </c>
      <c r="E10" s="28">
        <f>Inputs!B12</f>
        <v>6.0000000000000001E-3</v>
      </c>
      <c r="F10" s="7" t="s">
        <v>176</v>
      </c>
    </row>
    <row r="11" spans="1:6" x14ac:dyDescent="0.25">
      <c r="A11" s="5" t="s">
        <v>177</v>
      </c>
      <c r="B11" s="5"/>
      <c r="C11" s="5" t="s">
        <v>178</v>
      </c>
      <c r="D11" s="7" t="s">
        <v>179</v>
      </c>
      <c r="E11" s="9">
        <f>E9-E8</f>
        <v>-2.5000000000000001E-3</v>
      </c>
      <c r="F11" s="7" t="s">
        <v>180</v>
      </c>
    </row>
    <row r="12" spans="1:6" x14ac:dyDescent="0.25">
      <c r="A12" s="5" t="s">
        <v>181</v>
      </c>
      <c r="B12" s="5" t="s">
        <v>182</v>
      </c>
      <c r="C12" s="5" t="s">
        <v>183</v>
      </c>
      <c r="D12" s="7" t="s">
        <v>184</v>
      </c>
      <c r="E12" s="9">
        <f>E8+E10</f>
        <v>1.0999999999999999E-2</v>
      </c>
      <c r="F12" s="7" t="s">
        <v>185</v>
      </c>
    </row>
    <row r="13" spans="1:6" x14ac:dyDescent="0.25">
      <c r="A13" s="5" t="s">
        <v>186</v>
      </c>
      <c r="B13" s="5" t="s">
        <v>182</v>
      </c>
      <c r="C13" s="5" t="s">
        <v>187</v>
      </c>
      <c r="D13" s="7" t="s">
        <v>188</v>
      </c>
      <c r="E13" s="16">
        <f>E12^E5</f>
        <v>0.10488088481701516</v>
      </c>
      <c r="F13" s="7" t="s">
        <v>189</v>
      </c>
    </row>
    <row r="14" spans="1:6" x14ac:dyDescent="0.25">
      <c r="A14" s="5" t="s">
        <v>190</v>
      </c>
      <c r="B14" s="5" t="s">
        <v>182</v>
      </c>
      <c r="C14" s="5" t="s">
        <v>191</v>
      </c>
      <c r="D14" s="7" t="s">
        <v>192</v>
      </c>
      <c r="E14" s="35">
        <f>E11/E13</f>
        <v>-2.3836564731139806E-2</v>
      </c>
      <c r="F14" s="7" t="s">
        <v>193</v>
      </c>
    </row>
    <row r="15" spans="1:6" x14ac:dyDescent="0.25">
      <c r="A15" s="5" t="s">
        <v>194</v>
      </c>
      <c r="B15" s="5" t="s">
        <v>195</v>
      </c>
      <c r="C15" s="5" t="s">
        <v>196</v>
      </c>
      <c r="D15" s="7" t="s">
        <v>197</v>
      </c>
      <c r="E15" s="9">
        <f>E6+E7</f>
        <v>2.5000000000000001E-2</v>
      </c>
      <c r="F15" s="7"/>
    </row>
    <row r="16" spans="1:6" x14ac:dyDescent="0.25">
      <c r="A16" s="5" t="s">
        <v>198</v>
      </c>
      <c r="B16" s="5" t="s">
        <v>199</v>
      </c>
      <c r="C16" s="5" t="s">
        <v>134</v>
      </c>
      <c r="D16" s="7" t="s">
        <v>200</v>
      </c>
      <c r="E16" s="17">
        <f>E15^(E5-1)</f>
        <v>6.3245553203367582</v>
      </c>
      <c r="F16" s="7" t="s">
        <v>201</v>
      </c>
    </row>
    <row r="17" spans="1:6" x14ac:dyDescent="0.25">
      <c r="A17" s="5" t="s">
        <v>202</v>
      </c>
      <c r="B17" s="5" t="s">
        <v>199</v>
      </c>
      <c r="C17" s="5" t="s">
        <v>203</v>
      </c>
      <c r="D17" s="7" t="s">
        <v>204</v>
      </c>
      <c r="E17" s="36">
        <f>E16*E14</f>
        <v>-0.15075567228888179</v>
      </c>
      <c r="F17" s="7" t="s">
        <v>205</v>
      </c>
    </row>
    <row r="18" spans="1:6" x14ac:dyDescent="0.25">
      <c r="A18" s="5" t="s">
        <v>206</v>
      </c>
      <c r="B18" s="5" t="s">
        <v>207</v>
      </c>
      <c r="C18" s="5" t="s">
        <v>136</v>
      </c>
      <c r="D18" s="7" t="s">
        <v>208</v>
      </c>
      <c r="E18" s="17">
        <f>0.5*E17^2</f>
        <v>1.136363636363636E-2</v>
      </c>
      <c r="F18" s="7" t="s">
        <v>209</v>
      </c>
    </row>
    <row r="19" spans="1:6" x14ac:dyDescent="0.25">
      <c r="A19" s="5" t="s">
        <v>210</v>
      </c>
      <c r="B19" s="5" t="s">
        <v>207</v>
      </c>
      <c r="C19" s="5" t="s">
        <v>211</v>
      </c>
      <c r="D19" s="7" t="s">
        <v>212</v>
      </c>
      <c r="E19" s="17">
        <f>E17-E18</f>
        <v>-0.16211930865251814</v>
      </c>
      <c r="F19" s="7"/>
    </row>
    <row r="20" spans="1:6" x14ac:dyDescent="0.25">
      <c r="A20" s="5" t="s">
        <v>213</v>
      </c>
      <c r="B20" s="5" t="s">
        <v>214</v>
      </c>
      <c r="C20" s="5" t="s">
        <v>215</v>
      </c>
      <c r="D20" s="7" t="s">
        <v>216</v>
      </c>
      <c r="E20" s="36">
        <f>EXP(E19)</f>
        <v>0.85033974559865855</v>
      </c>
      <c r="F20" s="7" t="s">
        <v>217</v>
      </c>
    </row>
    <row r="21" spans="1:6" x14ac:dyDescent="0.25">
      <c r="A21" s="5" t="s">
        <v>218</v>
      </c>
      <c r="B21" s="5" t="s">
        <v>214</v>
      </c>
      <c r="C21" s="5" t="s">
        <v>219</v>
      </c>
      <c r="D21" s="7" t="s">
        <v>220</v>
      </c>
      <c r="E21" s="9">
        <f>E15*E20</f>
        <v>2.1258493639966465E-2</v>
      </c>
      <c r="F21" s="7"/>
    </row>
    <row r="22" spans="1:6" x14ac:dyDescent="0.25">
      <c r="A22" s="5" t="s">
        <v>221</v>
      </c>
      <c r="B22" s="5" t="s">
        <v>214</v>
      </c>
      <c r="C22" s="5" t="s">
        <v>222</v>
      </c>
      <c r="D22" s="7" t="s">
        <v>223</v>
      </c>
      <c r="E22" s="18">
        <f>E21-E7</f>
        <v>1.6258493639966464E-2</v>
      </c>
      <c r="F22" s="7" t="s">
        <v>224</v>
      </c>
    </row>
    <row r="23" spans="1:6" x14ac:dyDescent="0.25">
      <c r="A23" s="5" t="s">
        <v>225</v>
      </c>
      <c r="B23" s="5"/>
      <c r="C23" s="5" t="s">
        <v>226</v>
      </c>
      <c r="D23" s="7" t="s">
        <v>227</v>
      </c>
      <c r="E23" s="19">
        <f>(E22-E6)*10000</f>
        <v>-37.415063600335365</v>
      </c>
      <c r="F23" s="7"/>
    </row>
    <row r="24" spans="1:6" x14ac:dyDescent="0.25">
      <c r="A24" s="5" t="s">
        <v>228</v>
      </c>
      <c r="B24" s="5"/>
      <c r="C24" s="5" t="s">
        <v>229</v>
      </c>
      <c r="D24" s="7" t="s">
        <v>230</v>
      </c>
      <c r="E24" s="20">
        <f>E23/(E11*10000)</f>
        <v>1.4966025440134145</v>
      </c>
      <c r="F24" s="7"/>
    </row>
    <row r="25" spans="1:6" x14ac:dyDescent="0.25">
      <c r="A25" s="5" t="s">
        <v>231</v>
      </c>
      <c r="B25" s="5" t="s">
        <v>232</v>
      </c>
      <c r="C25" s="5" t="s">
        <v>233</v>
      </c>
      <c r="D25" s="7" t="s">
        <v>234</v>
      </c>
      <c r="E25" s="10">
        <f>E15^E5*E14*10000</f>
        <v>-37.688918072220453</v>
      </c>
      <c r="F25" s="7" t="s">
        <v>235</v>
      </c>
    </row>
    <row r="26" spans="1:6" x14ac:dyDescent="0.25">
      <c r="A26" s="5" t="s">
        <v>236</v>
      </c>
      <c r="B26" s="5"/>
      <c r="C26" s="5" t="s">
        <v>81</v>
      </c>
      <c r="D26" s="7" t="s">
        <v>237</v>
      </c>
      <c r="E26" s="37">
        <f>E23-E25</f>
        <v>0.27385447188508749</v>
      </c>
      <c r="F26" s="7" t="s">
        <v>238</v>
      </c>
    </row>
    <row r="27" spans="1:6" x14ac:dyDescent="0.25">
      <c r="A27" s="5" t="s">
        <v>239</v>
      </c>
      <c r="B27" s="5" t="s">
        <v>240</v>
      </c>
      <c r="C27" s="5" t="s">
        <v>241</v>
      </c>
      <c r="D27" s="7" t="s">
        <v>242</v>
      </c>
      <c r="E27" s="10">
        <f>(E15^E5)*E11/(E8+E7)^E5*10000</f>
        <v>-39.528470752104738</v>
      </c>
      <c r="F27" s="7" t="s">
        <v>243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4" customWidth="1"/>
    <col min="3" max="3" width="16" customWidth="1"/>
    <col min="4" max="5" width="14" customWidth="1"/>
  </cols>
  <sheetData>
    <row r="1" spans="1:3" ht="18" x14ac:dyDescent="0.25">
      <c r="A1" s="2" t="s">
        <v>244</v>
      </c>
    </row>
    <row r="2" spans="1:3" x14ac:dyDescent="0.25">
      <c r="A2" s="3" t="s">
        <v>245</v>
      </c>
    </row>
    <row r="4" spans="1:3" ht="30" x14ac:dyDescent="0.25">
      <c r="A4" s="4" t="s">
        <v>246</v>
      </c>
      <c r="B4" s="4" t="s">
        <v>3</v>
      </c>
      <c r="C4" s="4" t="s">
        <v>247</v>
      </c>
    </row>
    <row r="5" spans="1:3" x14ac:dyDescent="0.25">
      <c r="A5" s="5" t="s">
        <v>70</v>
      </c>
      <c r="B5" s="34">
        <v>1</v>
      </c>
      <c r="C5" s="7" t="s">
        <v>165</v>
      </c>
    </row>
    <row r="6" spans="1:3" x14ac:dyDescent="0.25">
      <c r="A6" s="5" t="s">
        <v>248</v>
      </c>
      <c r="B6" s="8">
        <v>0.01</v>
      </c>
      <c r="C6" s="7" t="s">
        <v>165</v>
      </c>
    </row>
    <row r="7" spans="1:3" x14ac:dyDescent="0.25">
      <c r="A7" s="5" t="s">
        <v>168</v>
      </c>
      <c r="B7" s="8">
        <v>0.01</v>
      </c>
      <c r="C7" s="7" t="s">
        <v>165</v>
      </c>
    </row>
    <row r="8" spans="1:3" x14ac:dyDescent="0.25">
      <c r="A8" s="5" t="s">
        <v>10</v>
      </c>
      <c r="B8" s="8">
        <v>1E-3</v>
      </c>
      <c r="C8" s="7" t="s">
        <v>249</v>
      </c>
    </row>
    <row r="9" spans="1:3" x14ac:dyDescent="0.25">
      <c r="A9" s="5" t="s">
        <v>13</v>
      </c>
      <c r="B9" s="8">
        <v>8.0000000000000002E-3</v>
      </c>
      <c r="C9" s="7" t="s">
        <v>250</v>
      </c>
    </row>
    <row r="10" spans="1:3" x14ac:dyDescent="0.25">
      <c r="A10" s="5" t="s">
        <v>100</v>
      </c>
      <c r="B10" s="8">
        <v>0.04</v>
      </c>
      <c r="C10" s="7" t="s">
        <v>251</v>
      </c>
    </row>
    <row r="11" spans="1:3" x14ac:dyDescent="0.25">
      <c r="A11" s="5" t="s">
        <v>252</v>
      </c>
      <c r="B11" s="10">
        <f>(B9-B8)*10000</f>
        <v>70</v>
      </c>
      <c r="C11" s="7" t="s">
        <v>253</v>
      </c>
    </row>
    <row r="12" spans="1:3" x14ac:dyDescent="0.25">
      <c r="A12" s="5" t="s">
        <v>254</v>
      </c>
      <c r="B12" s="35">
        <f>(B9-B8)/(B8+B6)^B5</f>
        <v>0.63636363636363646</v>
      </c>
      <c r="C12" s="7" t="s">
        <v>255</v>
      </c>
    </row>
    <row r="13" spans="1:3" x14ac:dyDescent="0.25">
      <c r="A13" s="5" t="s">
        <v>74</v>
      </c>
      <c r="B13" s="9">
        <f>B10+B7</f>
        <v>0.05</v>
      </c>
      <c r="C13" s="7"/>
    </row>
    <row r="14" spans="1:3" x14ac:dyDescent="0.25">
      <c r="A14" s="5" t="s">
        <v>135</v>
      </c>
      <c r="B14" s="17">
        <f>B13^(B5-1)*B12</f>
        <v>0.63636363636363646</v>
      </c>
      <c r="C14" s="7" t="s">
        <v>256</v>
      </c>
    </row>
    <row r="15" spans="1:3" x14ac:dyDescent="0.25">
      <c r="A15" s="5" t="s">
        <v>77</v>
      </c>
      <c r="B15" s="17">
        <f>EXP(B14-0.5*B14^2)</f>
        <v>1.5432403010573126</v>
      </c>
      <c r="C15" s="7"/>
    </row>
    <row r="16" spans="1:3" x14ac:dyDescent="0.25">
      <c r="A16" s="5" t="s">
        <v>140</v>
      </c>
      <c r="B16" s="18">
        <f>B13*B15-B7</f>
        <v>6.7162015052865634E-2</v>
      </c>
      <c r="C16" s="7"/>
    </row>
    <row r="17" spans="1:4" x14ac:dyDescent="0.25">
      <c r="A17" s="5" t="s">
        <v>79</v>
      </c>
      <c r="B17" s="19">
        <f>(B16-B10)*10000</f>
        <v>271.62015052865632</v>
      </c>
      <c r="C17" s="7" t="s">
        <v>257</v>
      </c>
    </row>
    <row r="18" spans="1:4" x14ac:dyDescent="0.25">
      <c r="A18" s="5" t="s">
        <v>44</v>
      </c>
      <c r="B18" s="20">
        <f>B17/B11</f>
        <v>3.8802878646950902</v>
      </c>
      <c r="C18" s="7" t="s">
        <v>258</v>
      </c>
    </row>
    <row r="19" spans="1:4" x14ac:dyDescent="0.25">
      <c r="A19" s="5" t="s">
        <v>259</v>
      </c>
      <c r="B19" s="5"/>
      <c r="C19" s="7" t="s">
        <v>260</v>
      </c>
    </row>
    <row r="22" spans="1:4" x14ac:dyDescent="0.25">
      <c r="A22" s="13" t="s">
        <v>261</v>
      </c>
    </row>
    <row r="23" spans="1:4" x14ac:dyDescent="0.25">
      <c r="A23" s="3" t="s">
        <v>262</v>
      </c>
    </row>
    <row r="24" spans="1:4" x14ac:dyDescent="0.25">
      <c r="A24" s="4" t="s">
        <v>263</v>
      </c>
      <c r="B24" s="38">
        <v>0</v>
      </c>
      <c r="C24" s="38">
        <v>0.5</v>
      </c>
      <c r="D24" s="38">
        <v>1</v>
      </c>
    </row>
    <row r="25" spans="1:4" x14ac:dyDescent="0.25">
      <c r="A25" s="8">
        <v>2E-3</v>
      </c>
      <c r="B25" s="10">
        <f t="shared" ref="B25:D30" si="0">((($B$10)+($B$7))*EXP((($B$10)+($B$7))^(B$24-1)*(($B$9)-($B$8))/(($B$8)+$A25)^B$24-0.5*((($B$10)+($B$7))^(B$24-1)*(($B$9)-($B$8))/(($B$8)+$A25)^B$24)^2)-($B$7)-($B$10))*10000</f>
        <v>69.528085889686494</v>
      </c>
      <c r="C25" s="10">
        <f t="shared" si="0"/>
        <v>252.0647107209644</v>
      </c>
      <c r="D25" s="10">
        <f t="shared" si="0"/>
        <v>-161.09521099727499</v>
      </c>
    </row>
    <row r="26" spans="1:4" x14ac:dyDescent="0.25">
      <c r="A26" s="8">
        <v>5.0000000000000001E-3</v>
      </c>
      <c r="B26" s="10">
        <f t="shared" si="0"/>
        <v>69.528085889686494</v>
      </c>
      <c r="C26" s="10">
        <f t="shared" si="0"/>
        <v>190.27261943377437</v>
      </c>
      <c r="D26" s="10">
        <f t="shared" si="0"/>
        <v>312.99032534576963</v>
      </c>
    </row>
    <row r="27" spans="1:4" x14ac:dyDescent="0.25">
      <c r="A27" s="8">
        <v>0.01</v>
      </c>
      <c r="B27" s="10">
        <f t="shared" si="0"/>
        <v>69.528085889686494</v>
      </c>
      <c r="C27" s="10">
        <f t="shared" si="0"/>
        <v>144.54435884927091</v>
      </c>
      <c r="D27" s="10">
        <f t="shared" si="0"/>
        <v>271.62015052865632</v>
      </c>
    </row>
    <row r="28" spans="1:4" x14ac:dyDescent="0.25">
      <c r="A28" s="8">
        <v>0.02</v>
      </c>
      <c r="B28" s="10">
        <f t="shared" si="0"/>
        <v>69.528085889686494</v>
      </c>
      <c r="C28" s="10">
        <f t="shared" si="0"/>
        <v>106.25425151526458</v>
      </c>
      <c r="D28" s="10">
        <f t="shared" si="0"/>
        <v>160.09639421706009</v>
      </c>
    </row>
    <row r="29" spans="1:4" x14ac:dyDescent="0.25">
      <c r="A29" s="8">
        <v>0.03</v>
      </c>
      <c r="B29" s="10">
        <f t="shared" si="0"/>
        <v>69.528085889686494</v>
      </c>
      <c r="C29" s="10">
        <f t="shared" si="0"/>
        <v>87.926432108650161</v>
      </c>
      <c r="D29" s="10">
        <f t="shared" si="0"/>
        <v>110.89205443236251</v>
      </c>
    </row>
    <row r="30" spans="1:4" x14ac:dyDescent="0.25">
      <c r="A30" s="8">
        <v>0.05</v>
      </c>
      <c r="B30" s="10">
        <f t="shared" si="0"/>
        <v>69.528085889686494</v>
      </c>
      <c r="C30" s="10">
        <f t="shared" si="0"/>
        <v>68.852350672782634</v>
      </c>
      <c r="D30" s="10">
        <f t="shared" si="0"/>
        <v>68.182997952797024</v>
      </c>
    </row>
    <row r="31" spans="1:4" x14ac:dyDescent="0.25">
      <c r="A31" s="26" t="s">
        <v>264</v>
      </c>
    </row>
    <row r="33" spans="1:5" x14ac:dyDescent="0.25">
      <c r="A33" s="13" t="s">
        <v>265</v>
      </c>
    </row>
    <row r="34" spans="1:5" x14ac:dyDescent="0.25">
      <c r="A34" s="3" t="s">
        <v>266</v>
      </c>
    </row>
    <row r="35" spans="1:5" x14ac:dyDescent="0.25">
      <c r="A35" s="4" t="s">
        <v>267</v>
      </c>
      <c r="B35" s="39">
        <v>0</v>
      </c>
      <c r="C35" s="39">
        <v>0.02</v>
      </c>
      <c r="D35" s="39">
        <v>0.03</v>
      </c>
      <c r="E35" s="39">
        <v>0.04</v>
      </c>
    </row>
    <row r="36" spans="1:5" x14ac:dyDescent="0.25">
      <c r="A36" s="8">
        <v>5.0000000000000001E-3</v>
      </c>
      <c r="B36" s="10">
        <f>(((B$35)+(Inputs!$B$5))*EXP(((B$35)+(Inputs!$B$5))^(1-1)*((Inputs!$B$7)-(Inputs!$B$6))/((Inputs!$B$6)+$A36)^1-0.5*(((B$35)+(Inputs!$B$5))^(1-1)*((Inputs!$B$7)-(Inputs!$B$6))/((Inputs!$B$6)+$A36)^1)^2)-(Inputs!$B$5)-(B$35))*10000</f>
        <v>-12.258019900549632</v>
      </c>
      <c r="C36" s="10">
        <f>(((C$35)+(Inputs!$B$5))*EXP(((C$35)+(Inputs!$B$5))^(1-1)*((Inputs!$B$7)-(Inputs!$B$6))/((Inputs!$B$6)+$A36)^1-0.5*(((C$35)+(Inputs!$B$5))^(1-1)*((Inputs!$B$7)-(Inputs!$B$6))/((Inputs!$B$6)+$A36)^1)^2)-(Inputs!$B$5)-(C$35))*10000</f>
        <v>-61.290099502748149</v>
      </c>
      <c r="D36" s="10">
        <f>(((D$35)+(Inputs!$B$5))*EXP(((D$35)+(Inputs!$B$5))^(1-1)*((Inputs!$B$7)-(Inputs!$B$6))/((Inputs!$B$6)+$A36)^1-0.5*(((D$35)+(Inputs!$B$5))^(1-1)*((Inputs!$B$7)-(Inputs!$B$6))/((Inputs!$B$6)+$A36)^1)^2)-(Inputs!$B$5)-(D$35))*10000</f>
        <v>-85.806139303847459</v>
      </c>
      <c r="E36" s="10">
        <f>(((E$35)+(Inputs!$B$5))*EXP(((E$35)+(Inputs!$B$5))^(1-1)*((Inputs!$B$7)-(Inputs!$B$6))/((Inputs!$B$6)+$A36)^1-0.5*(((E$35)+(Inputs!$B$5))^(1-1)*((Inputs!$B$7)-(Inputs!$B$6))/((Inputs!$B$6)+$A36)^1)^2)-(Inputs!$B$5)-(E$35))*10000</f>
        <v>-110.32217910494673</v>
      </c>
    </row>
    <row r="37" spans="1:5" x14ac:dyDescent="0.25">
      <c r="A37" s="8">
        <v>6.0000000000000001E-3</v>
      </c>
      <c r="B37" s="10">
        <f>(((B$35)+(Inputs!$B$5))*EXP(((B$35)+(Inputs!$B$5))^(1-1)*((Inputs!$B$7)-(Inputs!$B$6))/((Inputs!$B$6)+$A37)^1-0.5*(((B$35)+(Inputs!$B$5))^(1-1)*((Inputs!$B$7)-(Inputs!$B$6))/((Inputs!$B$6)+$A37)^1)^2)-(Inputs!$B$5)-(B$35))*10000</f>
        <v>-11.180455971857196</v>
      </c>
      <c r="C37" s="10">
        <f>(((C$35)+(Inputs!$B$5))*EXP(((C$35)+(Inputs!$B$5))^(1-1)*((Inputs!$B$7)-(Inputs!$B$6))/((Inputs!$B$6)+$A37)^1-0.5*(((C$35)+(Inputs!$B$5))^(1-1)*((Inputs!$B$7)-(Inputs!$B$6))/((Inputs!$B$6)+$A37)^1)^2)-(Inputs!$B$5)-(C$35))*10000</f>
        <v>-55.90227985928599</v>
      </c>
      <c r="D37" s="10">
        <f>(((D$35)+(Inputs!$B$5))*EXP(((D$35)+(Inputs!$B$5))^(1-1)*((Inputs!$B$7)-(Inputs!$B$6))/((Inputs!$B$6)+$A37)^1-0.5*(((D$35)+(Inputs!$B$5))^(1-1)*((Inputs!$B$7)-(Inputs!$B$6))/((Inputs!$B$6)+$A37)^1)^2)-(Inputs!$B$5)-(D$35))*10000</f>
        <v>-78.26319180300041</v>
      </c>
      <c r="E37" s="10">
        <f>(((E$35)+(Inputs!$B$5))*EXP(((E$35)+(Inputs!$B$5))^(1-1)*((Inputs!$B$7)-(Inputs!$B$6))/((Inputs!$B$6)+$A37)^1-0.5*(((E$35)+(Inputs!$B$5))^(1-1)*((Inputs!$B$7)-(Inputs!$B$6))/((Inputs!$B$6)+$A37)^1)^2)-(Inputs!$B$5)-(E$35))*10000</f>
        <v>-100.62410374671478</v>
      </c>
    </row>
    <row r="38" spans="1:5" x14ac:dyDescent="0.25">
      <c r="A38" s="8">
        <v>0.01</v>
      </c>
      <c r="B38" s="10">
        <f>(((B$35)+(Inputs!$B$5))*EXP(((B$35)+(Inputs!$B$5))^(1-1)*((Inputs!$B$7)-(Inputs!$B$6))/((Inputs!$B$6)+$A38)^1-0.5*(((B$35)+(Inputs!$B$5))^(1-1)*((Inputs!$B$7)-(Inputs!$B$6))/((Inputs!$B$6)+$A38)^1)^2)-(Inputs!$B$5)-(B$35))*10000</f>
        <v>-8.2596849359605358</v>
      </c>
      <c r="C38" s="10">
        <f>(((C$35)+(Inputs!$B$5))*EXP(((C$35)+(Inputs!$B$5))^(1-1)*((Inputs!$B$7)-(Inputs!$B$6))/((Inputs!$B$6)+$A38)^1-0.5*(((C$35)+(Inputs!$B$5))^(1-1)*((Inputs!$B$7)-(Inputs!$B$6))/((Inputs!$B$6)+$A38)^1)^2)-(Inputs!$B$5)-(C$35))*10000</f>
        <v>-41.298424679802672</v>
      </c>
      <c r="D38" s="10">
        <f>(((D$35)+(Inputs!$B$5))*EXP(((D$35)+(Inputs!$B$5))^(1-1)*((Inputs!$B$7)-(Inputs!$B$6))/((Inputs!$B$6)+$A38)^1-0.5*(((D$35)+(Inputs!$B$5))^(1-1)*((Inputs!$B$7)-(Inputs!$B$6))/((Inputs!$B$6)+$A38)^1)^2)-(Inputs!$B$5)-(D$35))*10000</f>
        <v>-57.817794551723765</v>
      </c>
      <c r="E38" s="10">
        <f>(((E$35)+(Inputs!$B$5))*EXP(((E$35)+(Inputs!$B$5))^(1-1)*((Inputs!$B$7)-(Inputs!$B$6))/((Inputs!$B$6)+$A38)^1-0.5*(((E$35)+(Inputs!$B$5))^(1-1)*((Inputs!$B$7)-(Inputs!$B$6))/((Inputs!$B$6)+$A38)^1)^2)-(Inputs!$B$5)-(E$35))*10000</f>
        <v>-74.337164423644779</v>
      </c>
    </row>
    <row r="39" spans="1:5" x14ac:dyDescent="0.25">
      <c r="A39" s="8">
        <v>0.02</v>
      </c>
      <c r="B39" s="10">
        <f>(((B$35)+(Inputs!$B$5))*EXP(((B$35)+(Inputs!$B$5))^(1-1)*((Inputs!$B$7)-(Inputs!$B$6))/((Inputs!$B$6)+$A39)^1-0.5*(((B$35)+(Inputs!$B$5))^(1-1)*((Inputs!$B$7)-(Inputs!$B$6))/((Inputs!$B$6)+$A39)^1)^2)-(Inputs!$B$5)-(B$35))*10000</f>
        <v>-4.9837738706867176</v>
      </c>
      <c r="C39" s="10">
        <f>(((C$35)+(Inputs!$B$5))*EXP(((C$35)+(Inputs!$B$5))^(1-1)*((Inputs!$B$7)-(Inputs!$B$6))/((Inputs!$B$6)+$A39)^1-0.5*(((C$35)+(Inputs!$B$5))^(1-1)*((Inputs!$B$7)-(Inputs!$B$6))/((Inputs!$B$6)+$A39)^1)^2)-(Inputs!$B$5)-(C$35))*10000</f>
        <v>-24.918869353433607</v>
      </c>
      <c r="D39" s="10">
        <f>(((D$35)+(Inputs!$B$5))*EXP(((D$35)+(Inputs!$B$5))^(1-1)*((Inputs!$B$7)-(Inputs!$B$6))/((Inputs!$B$6)+$A39)^1-0.5*(((D$35)+(Inputs!$B$5))^(1-1)*((Inputs!$B$7)-(Inputs!$B$6))/((Inputs!$B$6)+$A39)^1)^2)-(Inputs!$B$5)-(D$35))*10000</f>
        <v>-34.886417094807072</v>
      </c>
      <c r="E39" s="10">
        <f>(((E$35)+(Inputs!$B$5))*EXP(((E$35)+(Inputs!$B$5))^(1-1)*((Inputs!$B$7)-(Inputs!$B$6))/((Inputs!$B$6)+$A39)^1-0.5*(((E$35)+(Inputs!$B$5))^(1-1)*((Inputs!$B$7)-(Inputs!$B$6))/((Inputs!$B$6)+$A39)^1)^2)-(Inputs!$B$5)-(E$35))*10000</f>
        <v>-44.853964836180438</v>
      </c>
    </row>
    <row r="40" spans="1:5" x14ac:dyDescent="0.25">
      <c r="A40" s="8">
        <v>0.05</v>
      </c>
      <c r="B40" s="10">
        <f>(((B$35)+(Inputs!$B$5))*EXP(((B$35)+(Inputs!$B$5))^(1-1)*((Inputs!$B$7)-(Inputs!$B$6))/((Inputs!$B$6)+$A40)^1-0.5*(((B$35)+(Inputs!$B$5))^(1-1)*((Inputs!$B$7)-(Inputs!$B$6))/((Inputs!$B$6)+$A40)^1)^2)-(Inputs!$B$5)-(B$35))*10000</f>
        <v>-2.271180295585788</v>
      </c>
      <c r="C40" s="10">
        <f>(((C$35)+(Inputs!$B$5))*EXP(((C$35)+(Inputs!$B$5))^(1-1)*((Inputs!$B$7)-(Inputs!$B$6))/((Inputs!$B$6)+$A40)^1-0.5*(((C$35)+(Inputs!$B$5))^(1-1)*((Inputs!$B$7)-(Inputs!$B$6))/((Inputs!$B$6)+$A40)^1)^2)-(Inputs!$B$5)-(C$35))*10000</f>
        <v>-11.355901477928947</v>
      </c>
      <c r="D40" s="10">
        <f>(((D$35)+(Inputs!$B$5))*EXP(((D$35)+(Inputs!$B$5))^(1-1)*((Inputs!$B$7)-(Inputs!$B$6))/((Inputs!$B$6)+$A40)^1-0.5*(((D$35)+(Inputs!$B$5))^(1-1)*((Inputs!$B$7)-(Inputs!$B$6))/((Inputs!$B$6)+$A40)^1)^2)-(Inputs!$B$5)-(D$35))*10000</f>
        <v>-15.898262069100575</v>
      </c>
      <c r="E40" s="10">
        <f>(((E$35)+(Inputs!$B$5))*EXP(((E$35)+(Inputs!$B$5))^(1-1)*((Inputs!$B$7)-(Inputs!$B$6))/((Inputs!$B$6)+$A40)^1-0.5*(((E$35)+(Inputs!$B$5))^(1-1)*((Inputs!$B$7)-(Inputs!$B$6))/((Inputs!$B$6)+$A40)^1)^2)-(Inputs!$B$5)-(E$35))*10000</f>
        <v>-20.440622660272133</v>
      </c>
    </row>
    <row r="42" spans="1:5" x14ac:dyDescent="0.25">
      <c r="A42" s="13" t="s">
        <v>268</v>
      </c>
    </row>
    <row r="43" spans="1:5" x14ac:dyDescent="0.25">
      <c r="A43" s="4" t="s">
        <v>267</v>
      </c>
      <c r="B43" s="39">
        <v>0</v>
      </c>
      <c r="C43" s="39">
        <v>0.02</v>
      </c>
      <c r="D43" s="39">
        <v>0.03</v>
      </c>
      <c r="E43" s="39">
        <v>0.04</v>
      </c>
    </row>
    <row r="44" spans="1:5" x14ac:dyDescent="0.25">
      <c r="A44" s="8">
        <v>5.0000000000000001E-3</v>
      </c>
      <c r="B44" s="10">
        <f>(((B$43)+(Inputs!$B$5))*EXP(((B$43)+(Inputs!$B$5))^(0.5-1)*((Inputs!$B$7)-(Inputs!$B$6))/((Inputs!$B$6)+$A44)^0.5-0.5*(((B$43)+(Inputs!$B$5))^(0.5-1)*((Inputs!$B$7)-(Inputs!$B$6))/((Inputs!$B$6)+$A44)^0.5)^2)-(Inputs!$B$5)-(B$43))*10000</f>
        <v>-17.017747464820612</v>
      </c>
      <c r="C44" s="10">
        <f>(((C$43)+(Inputs!$B$5))*EXP(((C$43)+(Inputs!$B$5))^(0.5-1)*((Inputs!$B$7)-(Inputs!$B$6))/((Inputs!$B$6)+$A44)^0.5-0.5*(((C$43)+(Inputs!$B$5))^(0.5-1)*((Inputs!$B$7)-(Inputs!$B$6))/((Inputs!$B$6)+$A44)^0.5)^2)-(Inputs!$B$5)-(C$43))*10000</f>
        <v>-39.213233990829131</v>
      </c>
      <c r="D44" s="10">
        <f>(((D$43)+(Inputs!$B$5))*EXP(((D$43)+(Inputs!$B$5))^(0.5-1)*((Inputs!$B$7)-(Inputs!$B$6))/((Inputs!$B$6)+$A44)^0.5-0.5*(((D$43)+(Inputs!$B$5))^(0.5-1)*((Inputs!$B$7)-(Inputs!$B$6))/((Inputs!$B$6)+$A44)^0.5)^2)-(Inputs!$B$5)-(D$43))*10000</f>
        <v>-46.502321280789197</v>
      </c>
      <c r="E44" s="10">
        <f>(((E$43)+(Inputs!$B$5))*EXP(((E$43)+(Inputs!$B$5))^(0.5-1)*((Inputs!$B$7)-(Inputs!$B$6))/((Inputs!$B$6)+$A44)^0.5-0.5*(((E$43)+(Inputs!$B$5))^(0.5-1)*((Inputs!$B$7)-(Inputs!$B$6))/((Inputs!$B$6)+$A44)^0.5)^2)-(Inputs!$B$5)-(E$43))*10000</f>
        <v>-52.795203403243271</v>
      </c>
    </row>
    <row r="45" spans="1:5" x14ac:dyDescent="0.25">
      <c r="A45" s="8">
        <v>6.0000000000000001E-3</v>
      </c>
      <c r="B45" s="10">
        <f>(((B$43)+(Inputs!$B$5))*EXP(((B$43)+(Inputs!$B$5))^(0.5-1)*((Inputs!$B$7)-(Inputs!$B$6))/((Inputs!$B$6)+$A45)^0.5-0.5*(((B$43)+(Inputs!$B$5))^(0.5-1)*((Inputs!$B$7)-(Inputs!$B$6))/((Inputs!$B$6)+$A45)^0.5)^2)-(Inputs!$B$5)-(B$43))*10000</f>
        <v>-16.279536035077211</v>
      </c>
      <c r="C45" s="10">
        <f>(((C$43)+(Inputs!$B$5))*EXP(((C$43)+(Inputs!$B$5))^(0.5-1)*((Inputs!$B$7)-(Inputs!$B$6))/((Inputs!$B$6)+$A45)^0.5-0.5*(((C$43)+(Inputs!$B$5))^(0.5-1)*((Inputs!$B$7)-(Inputs!$B$6))/((Inputs!$B$6)+$A45)^0.5)^2)-(Inputs!$B$5)-(C$43))*10000</f>
        <v>-37.415063600335365</v>
      </c>
      <c r="D45" s="10">
        <f>(((D$43)+(Inputs!$B$5))*EXP(((D$43)+(Inputs!$B$5))^(0.5-1)*((Inputs!$B$7)-(Inputs!$B$6))/((Inputs!$B$6)+$A45)^0.5-0.5*(((D$43)+(Inputs!$B$5))^(0.5-1)*((Inputs!$B$7)-(Inputs!$B$6))/((Inputs!$B$6)+$A45)^0.5)^2)-(Inputs!$B$5)-(D$43))*10000</f>
        <v>-44.361059123958938</v>
      </c>
      <c r="E45" s="10">
        <f>(((E$43)+(Inputs!$B$5))*EXP(((E$43)+(Inputs!$B$5))^(0.5-1)*((Inputs!$B$7)-(Inputs!$B$6))/((Inputs!$B$6)+$A45)^0.5-0.5*(((E$43)+(Inputs!$B$5))^(0.5-1)*((Inputs!$B$7)-(Inputs!$B$6))/((Inputs!$B$6)+$A45)^0.5)^2)-(Inputs!$B$5)-(E$43))*10000</f>
        <v>-50.358534980000996</v>
      </c>
    </row>
    <row r="46" spans="1:5" x14ac:dyDescent="0.25">
      <c r="A46" s="8">
        <v>0.01</v>
      </c>
      <c r="B46" s="10">
        <f>(((B$43)+(Inputs!$B$5))*EXP(((B$43)+(Inputs!$B$5))^(0.5-1)*((Inputs!$B$7)-(Inputs!$B$6))/((Inputs!$B$6)+$A46)^0.5-0.5*(((B$43)+(Inputs!$B$5))^(0.5-1)*((Inputs!$B$7)-(Inputs!$B$6))/((Inputs!$B$6)+$A46)^0.5)^2)-(Inputs!$B$5)-(B$43))*10000</f>
        <v>-14.066097680830248</v>
      </c>
      <c r="C46" s="10">
        <f>(((C$43)+(Inputs!$B$5))*EXP(((C$43)+(Inputs!$B$5))^(0.5-1)*((Inputs!$B$7)-(Inputs!$B$6))/((Inputs!$B$6)+$A46)^0.5-0.5*(((C$43)+(Inputs!$B$5))^(0.5-1)*((Inputs!$B$7)-(Inputs!$B$6))/((Inputs!$B$6)+$A46)^0.5)^2)-(Inputs!$B$5)-(C$43))*10000</f>
        <v>-32.101765482980895</v>
      </c>
      <c r="D46" s="10">
        <f>(((D$43)+(Inputs!$B$5))*EXP(((D$43)+(Inputs!$B$5))^(0.5-1)*((Inputs!$B$7)-(Inputs!$B$6))/((Inputs!$B$6)+$A46)^0.5-0.5*(((D$43)+(Inputs!$B$5))^(0.5-1)*((Inputs!$B$7)-(Inputs!$B$6))/((Inputs!$B$6)+$A46)^0.5)^2)-(Inputs!$B$5)-(D$43))*10000</f>
        <v>-38.04098143996935</v>
      </c>
      <c r="E46" s="10">
        <f>(((E$43)+(Inputs!$B$5))*EXP(((E$43)+(Inputs!$B$5))^(0.5-1)*((Inputs!$B$7)-(Inputs!$B$6))/((Inputs!$B$6)+$A46)^0.5-0.5*(((E$43)+(Inputs!$B$5))^(0.5-1)*((Inputs!$B$7)-(Inputs!$B$6))/((Inputs!$B$6)+$A46)^0.5)^2)-(Inputs!$B$5)-(E$43))*10000</f>
        <v>-43.171016869567801</v>
      </c>
    </row>
    <row r="47" spans="1:5" x14ac:dyDescent="0.25">
      <c r="A47" s="8">
        <v>0.02</v>
      </c>
      <c r="B47" s="10">
        <f>(((B$43)+(Inputs!$B$5))*EXP(((B$43)+(Inputs!$B$5))^(0.5-1)*((Inputs!$B$7)-(Inputs!$B$6))/((Inputs!$B$6)+$A47)^0.5-0.5*(((B$43)+(Inputs!$B$5))^(0.5-1)*((Inputs!$B$7)-(Inputs!$B$6))/((Inputs!$B$6)+$A47)^0.5)^2)-(Inputs!$B$5)-(B$43))*10000</f>
        <v>-11.005671687157001</v>
      </c>
      <c r="C47" s="10">
        <f>(((C$43)+(Inputs!$B$5))*EXP(((C$43)+(Inputs!$B$5))^(0.5-1)*((Inputs!$B$7)-(Inputs!$B$6))/((Inputs!$B$6)+$A47)^0.5-0.5*(((C$43)+(Inputs!$B$5))^(0.5-1)*((Inputs!$B$7)-(Inputs!$B$6))/((Inputs!$B$6)+$A47)^0.5)^2)-(Inputs!$B$5)-(C$43))*10000</f>
        <v>-24.918869353433607</v>
      </c>
      <c r="D47" s="10">
        <f>(((D$43)+(Inputs!$B$5))*EXP(((D$43)+(Inputs!$B$5))^(0.5-1)*((Inputs!$B$7)-(Inputs!$B$6))/((Inputs!$B$6)+$A47)^0.5-0.5*(((D$43)+(Inputs!$B$5))^(0.5-1)*((Inputs!$B$7)-(Inputs!$B$6))/((Inputs!$B$6)+$A47)^0.5)^2)-(Inputs!$B$5)-(D$43))*10000</f>
        <v>-29.511530075451603</v>
      </c>
      <c r="E47" s="10">
        <f>(((E$43)+(Inputs!$B$5))*EXP(((E$43)+(Inputs!$B$5))^(0.5-1)*((Inputs!$B$7)-(Inputs!$B$6))/((Inputs!$B$6)+$A47)^0.5-0.5*(((E$43)+(Inputs!$B$5))^(0.5-1)*((Inputs!$B$7)-(Inputs!$B$6))/((Inputs!$B$6)+$A47)^0.5)^2)-(Inputs!$B$5)-(E$43))*10000</f>
        <v>-33.480114095267233</v>
      </c>
    </row>
    <row r="48" spans="1:5" x14ac:dyDescent="0.25">
      <c r="A48" s="8">
        <v>0.05</v>
      </c>
      <c r="B48" s="10">
        <f>(((B$43)+(Inputs!$B$5))*EXP(((B$43)+(Inputs!$B$5))^(0.5-1)*((Inputs!$B$7)-(Inputs!$B$6))/((Inputs!$B$6)+$A48)^0.5-0.5*(((B$43)+(Inputs!$B$5))^(0.5-1)*((Inputs!$B$7)-(Inputs!$B$6))/((Inputs!$B$6)+$A48)^0.5)^2)-(Inputs!$B$5)-(B$43))*10000</f>
        <v>-7.4830127200670695</v>
      </c>
      <c r="C48" s="10">
        <f>(((C$43)+(Inputs!$B$5))*EXP(((C$43)+(Inputs!$B$5))^(0.5-1)*((Inputs!$B$7)-(Inputs!$B$6))/((Inputs!$B$6)+$A48)^0.5-0.5*(((C$43)+(Inputs!$B$5))^(0.5-1)*((Inputs!$B$7)-(Inputs!$B$6))/((Inputs!$B$6)+$A48)^0.5)^2)-(Inputs!$B$5)-(C$43))*10000</f>
        <v>-16.829906013282706</v>
      </c>
      <c r="D48" s="10">
        <f>(((D$43)+(Inputs!$B$5))*EXP(((D$43)+(Inputs!$B$5))^(0.5-1)*((Inputs!$B$7)-(Inputs!$B$6))/((Inputs!$B$6)+$A48)^0.5-0.5*(((D$43)+(Inputs!$B$5))^(0.5-1)*((Inputs!$B$7)-(Inputs!$B$6))/((Inputs!$B$6)+$A48)^0.5)^2)-(Inputs!$B$5)-(D$43))*10000</f>
        <v>-19.921835138257787</v>
      </c>
      <c r="E48" s="10">
        <f>(((E$43)+(Inputs!$B$5))*EXP(((E$43)+(Inputs!$B$5))^(0.5-1)*((Inputs!$B$7)-(Inputs!$B$6))/((Inputs!$B$6)+$A48)^0.5-0.5*(((E$43)+(Inputs!$B$5))^(0.5-1)*((Inputs!$B$7)-(Inputs!$B$6))/((Inputs!$B$6)+$A48)^0.5)^2)-(Inputs!$B$5)-(E$43))*10000</f>
        <v>-22.594562217723297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9"/>
  <sheetViews>
    <sheetView topLeftCell="A37" zoomScaleNormal="100" workbookViewId="0">
      <selection activeCell="D64" sqref="D64"/>
    </sheetView>
  </sheetViews>
  <sheetFormatPr defaultColWidth="8.7109375" defaultRowHeight="15" x14ac:dyDescent="0.25"/>
  <cols>
    <col min="1" max="1" width="36" customWidth="1"/>
    <col min="2" max="2" width="12" customWidth="1"/>
    <col min="3" max="3" width="26" customWidth="1"/>
    <col min="4" max="4" width="14" customWidth="1"/>
    <col min="5" max="5" width="40" customWidth="1"/>
    <col min="6" max="7" width="10" customWidth="1"/>
    <col min="8" max="9" width="13" customWidth="1"/>
    <col min="10" max="10" width="10" customWidth="1"/>
    <col min="11" max="11" width="11" customWidth="1"/>
    <col min="12" max="13" width="14" customWidth="1"/>
  </cols>
  <sheetData>
    <row r="1" spans="1:5" ht="18" x14ac:dyDescent="0.25">
      <c r="A1" s="2" t="s">
        <v>269</v>
      </c>
    </row>
    <row r="2" spans="1:5" x14ac:dyDescent="0.25">
      <c r="A2" s="3" t="s">
        <v>270</v>
      </c>
    </row>
    <row r="4" spans="1:5" x14ac:dyDescent="0.25">
      <c r="A4" s="4" t="s">
        <v>159</v>
      </c>
      <c r="B4" s="4" t="s">
        <v>160</v>
      </c>
      <c r="C4" s="4" t="s">
        <v>162</v>
      </c>
      <c r="D4" s="4" t="s">
        <v>3</v>
      </c>
      <c r="E4" s="4" t="s">
        <v>271</v>
      </c>
    </row>
    <row r="6" spans="1:5" x14ac:dyDescent="0.25">
      <c r="A6" s="5" t="s">
        <v>70</v>
      </c>
      <c r="B6" s="5"/>
      <c r="C6" s="7" t="s">
        <v>165</v>
      </c>
      <c r="D6" s="34">
        <v>1</v>
      </c>
      <c r="E6" s="7" t="s">
        <v>272</v>
      </c>
    </row>
    <row r="7" spans="1:5" x14ac:dyDescent="0.25">
      <c r="A7" s="5" t="s">
        <v>273</v>
      </c>
      <c r="B7" s="5" t="s">
        <v>174</v>
      </c>
      <c r="C7" s="7" t="s">
        <v>165</v>
      </c>
      <c r="D7" s="8">
        <v>0.01</v>
      </c>
      <c r="E7" s="7" t="s">
        <v>274</v>
      </c>
    </row>
    <row r="8" spans="1:5" x14ac:dyDescent="0.25">
      <c r="A8" s="5" t="s">
        <v>275</v>
      </c>
      <c r="B8" s="5" t="s">
        <v>276</v>
      </c>
      <c r="C8" s="7" t="s">
        <v>165</v>
      </c>
      <c r="D8" s="8">
        <v>0.01</v>
      </c>
      <c r="E8" s="7" t="s">
        <v>277</v>
      </c>
    </row>
    <row r="9" spans="1:5" x14ac:dyDescent="0.25">
      <c r="A9" s="5" t="s">
        <v>10</v>
      </c>
      <c r="B9" s="5"/>
      <c r="C9" s="7" t="s">
        <v>165</v>
      </c>
      <c r="D9" s="8">
        <v>1E-3</v>
      </c>
      <c r="E9" s="7" t="s">
        <v>278</v>
      </c>
    </row>
    <row r="10" spans="1:5" x14ac:dyDescent="0.25">
      <c r="A10" s="5" t="s">
        <v>13</v>
      </c>
      <c r="B10" s="5"/>
      <c r="C10" s="7" t="s">
        <v>165</v>
      </c>
      <c r="D10" s="8">
        <v>8.0000000000000002E-3</v>
      </c>
      <c r="E10" s="7" t="s">
        <v>279</v>
      </c>
    </row>
    <row r="11" spans="1:5" x14ac:dyDescent="0.25">
      <c r="A11" s="5" t="s">
        <v>100</v>
      </c>
      <c r="B11" s="5"/>
      <c r="C11" s="7" t="s">
        <v>165</v>
      </c>
      <c r="D11" s="8">
        <v>0.04</v>
      </c>
      <c r="E11" s="7" t="s">
        <v>280</v>
      </c>
    </row>
    <row r="12" spans="1:5" x14ac:dyDescent="0.25">
      <c r="A12" s="5" t="s">
        <v>281</v>
      </c>
      <c r="B12" s="5"/>
      <c r="C12" s="7" t="s">
        <v>282</v>
      </c>
      <c r="D12" s="10">
        <f>(D10-D9)*10000</f>
        <v>70</v>
      </c>
      <c r="E12" s="7" t="s">
        <v>253</v>
      </c>
    </row>
    <row r="13" spans="1:5" x14ac:dyDescent="0.25">
      <c r="A13" s="5" t="s">
        <v>283</v>
      </c>
      <c r="B13" s="5" t="s">
        <v>182</v>
      </c>
      <c r="C13" s="7" t="s">
        <v>72</v>
      </c>
      <c r="D13" s="9">
        <f>D9+D7</f>
        <v>1.0999999999999999E-2</v>
      </c>
      <c r="E13" s="7" t="s">
        <v>284</v>
      </c>
    </row>
    <row r="14" spans="1:5" x14ac:dyDescent="0.25">
      <c r="A14" s="5" t="s">
        <v>115</v>
      </c>
      <c r="B14" s="5" t="s">
        <v>182</v>
      </c>
      <c r="C14" s="7" t="s">
        <v>285</v>
      </c>
      <c r="D14" s="35">
        <f>(D10-D9)/D13^D6</f>
        <v>0.63636363636363646</v>
      </c>
      <c r="E14" s="7" t="s">
        <v>286</v>
      </c>
    </row>
    <row r="15" spans="1:5" x14ac:dyDescent="0.25">
      <c r="A15" s="5" t="s">
        <v>287</v>
      </c>
      <c r="B15" s="5" t="s">
        <v>214</v>
      </c>
      <c r="C15" s="7" t="s">
        <v>288</v>
      </c>
      <c r="D15" s="9">
        <f>D11+D8</f>
        <v>0.05</v>
      </c>
      <c r="E15" s="7" t="s">
        <v>289</v>
      </c>
    </row>
    <row r="16" spans="1:5" x14ac:dyDescent="0.25">
      <c r="A16" s="5" t="s">
        <v>75</v>
      </c>
      <c r="B16" s="5" t="s">
        <v>214</v>
      </c>
      <c r="C16" s="7" t="s">
        <v>290</v>
      </c>
      <c r="D16" s="36">
        <f>D15^(D6-1)*D14</f>
        <v>0.63636363636363646</v>
      </c>
      <c r="E16" s="7" t="s">
        <v>291</v>
      </c>
    </row>
    <row r="17" spans="1:5" x14ac:dyDescent="0.25">
      <c r="A17" s="5" t="s">
        <v>292</v>
      </c>
      <c r="B17" s="5" t="s">
        <v>207</v>
      </c>
      <c r="C17" s="7" t="s">
        <v>293</v>
      </c>
      <c r="D17" s="17">
        <f>0.5*D16^2</f>
        <v>0.20247933884297528</v>
      </c>
      <c r="E17" s="7" t="s">
        <v>294</v>
      </c>
    </row>
    <row r="18" spans="1:5" x14ac:dyDescent="0.25">
      <c r="A18" s="5" t="s">
        <v>40</v>
      </c>
      <c r="B18" s="5" t="s">
        <v>214</v>
      </c>
      <c r="C18" s="7" t="s">
        <v>295</v>
      </c>
      <c r="D18" s="36">
        <f>EXP(D16-D17)</f>
        <v>1.5432403010573126</v>
      </c>
      <c r="E18" s="7" t="s">
        <v>296</v>
      </c>
    </row>
    <row r="19" spans="1:5" x14ac:dyDescent="0.25">
      <c r="A19" s="5" t="s">
        <v>297</v>
      </c>
      <c r="B19" s="5" t="s">
        <v>214</v>
      </c>
      <c r="C19" s="7" t="s">
        <v>298</v>
      </c>
      <c r="D19" s="18">
        <f>D15*D18-D8</f>
        <v>6.7162015052865634E-2</v>
      </c>
      <c r="E19" s="7" t="s">
        <v>299</v>
      </c>
    </row>
    <row r="20" spans="1:5" x14ac:dyDescent="0.25">
      <c r="A20" s="5" t="s">
        <v>79</v>
      </c>
      <c r="B20" s="5" t="s">
        <v>214</v>
      </c>
      <c r="C20" s="7" t="s">
        <v>300</v>
      </c>
      <c r="D20" s="19">
        <f>(D19-D11)*10000</f>
        <v>271.62015052865632</v>
      </c>
      <c r="E20" s="7" t="s">
        <v>257</v>
      </c>
    </row>
    <row r="21" spans="1:5" x14ac:dyDescent="0.25">
      <c r="A21" s="5" t="s">
        <v>44</v>
      </c>
      <c r="B21" s="5"/>
      <c r="C21" s="7" t="s">
        <v>301</v>
      </c>
      <c r="D21" s="40">
        <f>D20/D12</f>
        <v>3.8802878646950902</v>
      </c>
      <c r="E21" s="7" t="s">
        <v>302</v>
      </c>
    </row>
    <row r="24" spans="1:5" x14ac:dyDescent="0.25">
      <c r="A24" s="13" t="s">
        <v>303</v>
      </c>
    </row>
    <row r="25" spans="1:5" x14ac:dyDescent="0.25">
      <c r="A25" s="4" t="s">
        <v>304</v>
      </c>
      <c r="B25" s="4" t="s">
        <v>305</v>
      </c>
      <c r="C25" s="4" t="s">
        <v>306</v>
      </c>
      <c r="D25" s="4" t="s">
        <v>307</v>
      </c>
    </row>
    <row r="26" spans="1:5" x14ac:dyDescent="0.25">
      <c r="A26" s="5" t="s">
        <v>308</v>
      </c>
      <c r="B26" s="10">
        <f>D12</f>
        <v>70</v>
      </c>
      <c r="C26" s="10">
        <f>B26</f>
        <v>70</v>
      </c>
      <c r="D26" s="7" t="s">
        <v>309</v>
      </c>
    </row>
    <row r="27" spans="1:5" x14ac:dyDescent="0.25">
      <c r="A27" s="5" t="s">
        <v>310</v>
      </c>
      <c r="B27" s="10">
        <f>D15^D6*D14*10000</f>
        <v>318.18181818181824</v>
      </c>
      <c r="C27" s="10">
        <f>B27-B26</f>
        <v>248.18181818181824</v>
      </c>
      <c r="D27" s="7" t="s">
        <v>311</v>
      </c>
    </row>
    <row r="28" spans="1:5" x14ac:dyDescent="0.25">
      <c r="A28" s="5" t="s">
        <v>312</v>
      </c>
      <c r="B28" s="22">
        <f>D20</f>
        <v>271.62015052865632</v>
      </c>
      <c r="C28" s="10">
        <f>B28-B27</f>
        <v>-46.561667653161919</v>
      </c>
      <c r="D28" s="7" t="s">
        <v>313</v>
      </c>
    </row>
    <row r="31" spans="1:5" x14ac:dyDescent="0.25">
      <c r="A31" s="13" t="s">
        <v>314</v>
      </c>
    </row>
    <row r="32" spans="1:5" x14ac:dyDescent="0.25">
      <c r="A32" s="3" t="s">
        <v>315</v>
      </c>
    </row>
    <row r="33" spans="1:13" x14ac:dyDescent="0.25">
      <c r="A33" s="4" t="s">
        <v>316</v>
      </c>
      <c r="B33" s="4" t="s">
        <v>317</v>
      </c>
      <c r="C33" s="4" t="s">
        <v>162</v>
      </c>
      <c r="D33" s="4" t="s">
        <v>307</v>
      </c>
    </row>
    <row r="34" spans="1:13" x14ac:dyDescent="0.25">
      <c r="A34" s="5" t="s">
        <v>318</v>
      </c>
      <c r="B34" s="41">
        <f>((D11+D8)/(D9+D8))^D6</f>
        <v>4.5454545454545459</v>
      </c>
      <c r="C34" s="7" t="s">
        <v>319</v>
      </c>
      <c r="D34" s="7" t="s">
        <v>320</v>
      </c>
    </row>
    <row r="35" spans="1:13" x14ac:dyDescent="0.25">
      <c r="A35" s="5" t="s">
        <v>321</v>
      </c>
      <c r="B35" s="41">
        <f>((D9+D8)/(D9+D7))^D6</f>
        <v>1</v>
      </c>
      <c r="C35" s="7" t="s">
        <v>322</v>
      </c>
      <c r="D35" s="7" t="s">
        <v>323</v>
      </c>
    </row>
    <row r="36" spans="1:13" x14ac:dyDescent="0.25">
      <c r="A36" s="5" t="s">
        <v>324</v>
      </c>
      <c r="B36" s="42">
        <f>B34*B35</f>
        <v>4.5454545454545459</v>
      </c>
      <c r="C36" s="7" t="s">
        <v>325</v>
      </c>
      <c r="D36" s="7" t="s">
        <v>326</v>
      </c>
    </row>
    <row r="37" spans="1:13" x14ac:dyDescent="0.25">
      <c r="A37" s="5" t="s">
        <v>327</v>
      </c>
      <c r="B37" s="22">
        <f>D12*B36</f>
        <v>318.18181818181819</v>
      </c>
      <c r="C37" s="7"/>
      <c r="D37" s="7" t="s">
        <v>328</v>
      </c>
    </row>
    <row r="40" spans="1:13" x14ac:dyDescent="0.25">
      <c r="A40" s="13" t="s">
        <v>329</v>
      </c>
    </row>
    <row r="41" spans="1:13" ht="45" x14ac:dyDescent="0.25">
      <c r="A41" s="4" t="s">
        <v>330</v>
      </c>
      <c r="B41" s="4" t="s">
        <v>103</v>
      </c>
      <c r="C41" s="4" t="s">
        <v>7</v>
      </c>
      <c r="D41" s="4" t="s">
        <v>115</v>
      </c>
      <c r="E41" s="4" t="s">
        <v>74</v>
      </c>
      <c r="F41" s="4" t="s">
        <v>75</v>
      </c>
      <c r="G41" s="4" t="s">
        <v>331</v>
      </c>
      <c r="H41" s="4" t="s">
        <v>297</v>
      </c>
      <c r="I41" s="4" t="s">
        <v>332</v>
      </c>
      <c r="J41" s="4" t="s">
        <v>333</v>
      </c>
      <c r="K41" s="4" t="s">
        <v>334</v>
      </c>
      <c r="L41" s="4" t="s">
        <v>335</v>
      </c>
      <c r="M41" s="4" t="s">
        <v>82</v>
      </c>
    </row>
    <row r="42" spans="1:13" x14ac:dyDescent="0.25">
      <c r="A42" s="5" t="s">
        <v>336</v>
      </c>
      <c r="B42" s="8">
        <v>0.01</v>
      </c>
      <c r="C42" s="8">
        <v>0.01</v>
      </c>
      <c r="D42" s="16">
        <f t="shared" ref="D42:D48" si="0">($D$10-$D$9)/($D$9+B42)^$D$6</f>
        <v>0.63636363636363646</v>
      </c>
      <c r="E42" s="9">
        <f t="shared" ref="E42:E48" si="1">$D$11+C42</f>
        <v>0.05</v>
      </c>
      <c r="F42" s="17">
        <f t="shared" ref="F42:F48" si="2">E42^($D$6-1)*D42</f>
        <v>0.63636363636363646</v>
      </c>
      <c r="G42" s="17">
        <f t="shared" ref="G42:G48" si="3">EXP(F42-0.5*F42^2)</f>
        <v>1.5432403010573126</v>
      </c>
      <c r="H42" s="9">
        <f t="shared" ref="H42:H48" si="4">E42*G42-C42</f>
        <v>6.7162015052865634E-2</v>
      </c>
      <c r="I42" s="19">
        <f t="shared" ref="I42:I48" si="5">(H42-$D$11)*10000</f>
        <v>271.62015052865632</v>
      </c>
      <c r="J42" s="20">
        <f t="shared" ref="J42:J48" si="6">I42/$D$12</f>
        <v>3.8802878646950902</v>
      </c>
      <c r="K42" s="20">
        <f t="shared" ref="K42:K48" si="7">(E42/($D$9+C42))^$D$6</f>
        <v>4.5454545454545459</v>
      </c>
      <c r="L42" s="20">
        <f t="shared" ref="L42:L48" si="8">(($D$9+C42)/($D$9+B42))^$D$6</f>
        <v>1</v>
      </c>
      <c r="M42" s="5" t="str">
        <f t="shared" ref="M42:M48" si="9">IF(F42&lt;=1,"OK","x&gt;1 flip zone")</f>
        <v>OK</v>
      </c>
    </row>
    <row r="43" spans="1:13" x14ac:dyDescent="0.25">
      <c r="A43" s="5" t="s">
        <v>337</v>
      </c>
      <c r="B43" s="8">
        <v>5.0000000000000001E-3</v>
      </c>
      <c r="C43" s="8">
        <v>0.01</v>
      </c>
      <c r="D43" s="16">
        <f t="shared" si="0"/>
        <v>1.1666666666666667</v>
      </c>
      <c r="E43" s="9">
        <f t="shared" si="1"/>
        <v>0.05</v>
      </c>
      <c r="F43" s="17">
        <f t="shared" si="2"/>
        <v>1.1666666666666667</v>
      </c>
      <c r="G43" s="17">
        <f t="shared" si="3"/>
        <v>1.6259806506915391</v>
      </c>
      <c r="H43" s="9">
        <f t="shared" si="4"/>
        <v>7.1299032534576964E-2</v>
      </c>
      <c r="I43" s="19">
        <f t="shared" si="5"/>
        <v>312.99032534576963</v>
      </c>
      <c r="J43" s="20">
        <f t="shared" si="6"/>
        <v>4.4712903620824234</v>
      </c>
      <c r="K43" s="20">
        <f t="shared" si="7"/>
        <v>4.5454545454545459</v>
      </c>
      <c r="L43" s="20">
        <f t="shared" si="8"/>
        <v>1.8333333333333333</v>
      </c>
      <c r="M43" s="5" t="str">
        <f t="shared" si="9"/>
        <v>x&gt;1 flip zone</v>
      </c>
    </row>
    <row r="44" spans="1:13" x14ac:dyDescent="0.25">
      <c r="A44" s="5" t="s">
        <v>338</v>
      </c>
      <c r="B44" s="8">
        <v>0.02</v>
      </c>
      <c r="C44" s="8">
        <v>0.01</v>
      </c>
      <c r="D44" s="16">
        <f t="shared" si="0"/>
        <v>0.33333333333333331</v>
      </c>
      <c r="E44" s="9">
        <f t="shared" si="1"/>
        <v>0.05</v>
      </c>
      <c r="F44" s="17">
        <f t="shared" si="2"/>
        <v>0.33333333333333331</v>
      </c>
      <c r="G44" s="17">
        <f t="shared" si="3"/>
        <v>1.3201927884341202</v>
      </c>
      <c r="H44" s="9">
        <f t="shared" si="4"/>
        <v>5.600963942170601E-2</v>
      </c>
      <c r="I44" s="19">
        <f t="shared" si="5"/>
        <v>160.09639421706009</v>
      </c>
      <c r="J44" s="20">
        <f t="shared" si="6"/>
        <v>2.2870913459580016</v>
      </c>
      <c r="K44" s="20">
        <f t="shared" si="7"/>
        <v>4.5454545454545459</v>
      </c>
      <c r="L44" s="20">
        <f t="shared" si="8"/>
        <v>0.52380952380952372</v>
      </c>
      <c r="M44" s="5" t="str">
        <f t="shared" si="9"/>
        <v>OK</v>
      </c>
    </row>
    <row r="45" spans="1:13" x14ac:dyDescent="0.25">
      <c r="A45" s="5" t="s">
        <v>339</v>
      </c>
      <c r="B45" s="8">
        <v>0.05</v>
      </c>
      <c r="C45" s="8">
        <v>0.01</v>
      </c>
      <c r="D45" s="16">
        <f t="shared" si="0"/>
        <v>0.1372549019607843</v>
      </c>
      <c r="E45" s="9">
        <f t="shared" si="1"/>
        <v>0.05</v>
      </c>
      <c r="F45" s="17">
        <f t="shared" si="2"/>
        <v>0.1372549019607843</v>
      </c>
      <c r="G45" s="17">
        <f t="shared" si="3"/>
        <v>1.1363659959055941</v>
      </c>
      <c r="H45" s="9">
        <f t="shared" si="4"/>
        <v>4.6818299795279704E-2</v>
      </c>
      <c r="I45" s="19">
        <f t="shared" si="5"/>
        <v>68.182997952797024</v>
      </c>
      <c r="J45" s="20">
        <f t="shared" si="6"/>
        <v>0.97404282789710039</v>
      </c>
      <c r="K45" s="20">
        <f t="shared" si="7"/>
        <v>4.5454545454545459</v>
      </c>
      <c r="L45" s="20">
        <f t="shared" si="8"/>
        <v>0.2156862745098039</v>
      </c>
      <c r="M45" s="5" t="str">
        <f t="shared" si="9"/>
        <v>OK</v>
      </c>
    </row>
    <row r="46" spans="1:13" x14ac:dyDescent="0.25">
      <c r="A46" s="5" t="s">
        <v>340</v>
      </c>
      <c r="B46" s="8">
        <v>0.01</v>
      </c>
      <c r="C46" s="8">
        <v>5.0000000000000001E-3</v>
      </c>
      <c r="D46" s="16">
        <f t="shared" si="0"/>
        <v>0.63636363636363646</v>
      </c>
      <c r="E46" s="9">
        <f t="shared" si="1"/>
        <v>4.4999999999999998E-2</v>
      </c>
      <c r="F46" s="17">
        <f t="shared" si="2"/>
        <v>0.63636363636363646</v>
      </c>
      <c r="G46" s="17">
        <f t="shared" si="3"/>
        <v>1.5432403010573126</v>
      </c>
      <c r="H46" s="9">
        <f t="shared" si="4"/>
        <v>6.4445813547579056E-2</v>
      </c>
      <c r="I46" s="19">
        <f t="shared" si="5"/>
        <v>244.45813547579056</v>
      </c>
      <c r="J46" s="20">
        <f t="shared" si="6"/>
        <v>3.4922590782255796</v>
      </c>
      <c r="K46" s="20">
        <f t="shared" si="7"/>
        <v>7.5</v>
      </c>
      <c r="L46" s="20">
        <f t="shared" si="8"/>
        <v>0.54545454545454553</v>
      </c>
      <c r="M46" s="5" t="str">
        <f t="shared" si="9"/>
        <v>OK</v>
      </c>
    </row>
    <row r="47" spans="1:13" x14ac:dyDescent="0.25">
      <c r="A47" s="5" t="s">
        <v>341</v>
      </c>
      <c r="B47" s="8">
        <v>0.01</v>
      </c>
      <c r="C47" s="8">
        <v>0.02</v>
      </c>
      <c r="D47" s="16">
        <f t="shared" si="0"/>
        <v>0.63636363636363646</v>
      </c>
      <c r="E47" s="9">
        <f t="shared" si="1"/>
        <v>0.06</v>
      </c>
      <c r="F47" s="17">
        <f t="shared" si="2"/>
        <v>0.63636363636363646</v>
      </c>
      <c r="G47" s="17">
        <f t="shared" si="3"/>
        <v>1.5432403010573126</v>
      </c>
      <c r="H47" s="9">
        <f t="shared" si="4"/>
        <v>7.2594418063438748E-2</v>
      </c>
      <c r="I47" s="19">
        <f t="shared" si="5"/>
        <v>325.94418063438746</v>
      </c>
      <c r="J47" s="20">
        <f t="shared" si="6"/>
        <v>4.6563454376341067</v>
      </c>
      <c r="K47" s="20">
        <f t="shared" si="7"/>
        <v>2.8571428571428568</v>
      </c>
      <c r="L47" s="20">
        <f t="shared" si="8"/>
        <v>1.9090909090909094</v>
      </c>
      <c r="M47" s="5" t="str">
        <f t="shared" si="9"/>
        <v>OK</v>
      </c>
    </row>
    <row r="48" spans="1:13" x14ac:dyDescent="0.25">
      <c r="A48" s="5" t="s">
        <v>342</v>
      </c>
      <c r="B48" s="8">
        <v>2E-3</v>
      </c>
      <c r="C48" s="8">
        <v>0.01</v>
      </c>
      <c r="D48" s="16">
        <f t="shared" si="0"/>
        <v>2.3333333333333335</v>
      </c>
      <c r="E48" s="9">
        <f t="shared" si="1"/>
        <v>0.05</v>
      </c>
      <c r="F48" s="17">
        <f t="shared" si="2"/>
        <v>2.3333333333333335</v>
      </c>
      <c r="G48" s="17">
        <f t="shared" si="3"/>
        <v>0.67780957800545005</v>
      </c>
      <c r="H48" s="9">
        <f t="shared" si="4"/>
        <v>2.3890478900272502E-2</v>
      </c>
      <c r="I48" s="19">
        <f t="shared" si="5"/>
        <v>-161.09521099727499</v>
      </c>
      <c r="J48" s="20">
        <f t="shared" si="6"/>
        <v>-2.3013601571039284</v>
      </c>
      <c r="K48" s="20">
        <f t="shared" si="7"/>
        <v>4.5454545454545459</v>
      </c>
      <c r="L48" s="20">
        <f t="shared" si="8"/>
        <v>3.6666666666666665</v>
      </c>
      <c r="M48" s="5" t="str">
        <f t="shared" si="9"/>
        <v>x&gt;1 flip zone</v>
      </c>
    </row>
    <row r="51" spans="1:5" x14ac:dyDescent="0.25">
      <c r="A51" s="13" t="s">
        <v>343</v>
      </c>
    </row>
    <row r="52" spans="1:5" x14ac:dyDescent="0.25">
      <c r="A52" s="4" t="s">
        <v>151</v>
      </c>
      <c r="B52" s="4" t="s">
        <v>87</v>
      </c>
      <c r="C52" s="4" t="s">
        <v>88</v>
      </c>
      <c r="D52" s="4" t="s">
        <v>89</v>
      </c>
      <c r="E52" s="4" t="s">
        <v>152</v>
      </c>
    </row>
    <row r="53" spans="1:5" x14ac:dyDescent="0.25">
      <c r="A53" s="43">
        <v>0</v>
      </c>
      <c r="B53" s="10">
        <f t="shared" ref="B53:B59" si="10">(($A53+$D$8)*EXP((($A53+$D$8)^(0-1)*(($D$10-$D$9)/($D$9+$D$7)^0))-0.5*(($A53+$D$8)^(0-1)*(($D$10-$D$9)/($D$9+$D$7)^0))^2)-$D$8-$A53)*10000</f>
        <v>57.617338303399109</v>
      </c>
      <c r="C53" s="10">
        <f t="shared" ref="C53:C59" si="11">(($A53+$D$8)*EXP((($A53+$D$8)^(0.5-1)*(($D$10-$D$9)/($D$9+$D$7)^0.5))-0.5*(($A53+$D$8)^(0.5-1)*(($D$10-$D$9)/($D$9+$D$7)^0.5))^2)-$D$8-$A53)*10000</f>
        <v>56.001672092339753</v>
      </c>
      <c r="D53" s="10">
        <f t="shared" ref="D53:D59" si="12">(($A53+$D$8)*EXP((($A53+$D$8)^(1-1)*(($D$10-$D$9)/($D$9+$D$7)^1))-0.5*(($A53+$D$8)^(1-1)*(($D$10-$D$9)/($D$9+$D$7)^1))^2)-$D$8-$A53)*10000</f>
        <v>54.324030105731261</v>
      </c>
      <c r="E53" s="10">
        <f t="shared" ref="E53:E59" si="13">$D$12</f>
        <v>70</v>
      </c>
    </row>
    <row r="54" spans="1:5" x14ac:dyDescent="0.25">
      <c r="A54" s="43">
        <v>0.01</v>
      </c>
      <c r="B54" s="10">
        <f t="shared" si="10"/>
        <v>66.951599462903246</v>
      </c>
      <c r="C54" s="10">
        <f t="shared" si="11"/>
        <v>86.831126711528498</v>
      </c>
      <c r="D54" s="10">
        <f t="shared" si="12"/>
        <v>108.64806021146251</v>
      </c>
      <c r="E54" s="10">
        <f t="shared" si="13"/>
        <v>70</v>
      </c>
    </row>
    <row r="55" spans="1:5" x14ac:dyDescent="0.25">
      <c r="A55" s="43">
        <v>0.02</v>
      </c>
      <c r="B55" s="10">
        <f t="shared" si="10"/>
        <v>68.666921914279953</v>
      </c>
      <c r="C55" s="10">
        <f t="shared" si="11"/>
        <v>109.47562110834977</v>
      </c>
      <c r="D55" s="10">
        <f t="shared" si="12"/>
        <v>162.97209031719373</v>
      </c>
      <c r="E55" s="10">
        <f t="shared" si="13"/>
        <v>70</v>
      </c>
    </row>
    <row r="56" spans="1:5" x14ac:dyDescent="0.25">
      <c r="A56" s="43">
        <v>0.03</v>
      </c>
      <c r="B56" s="10">
        <f t="shared" si="10"/>
        <v>69.257682455597035</v>
      </c>
      <c r="C56" s="10">
        <f t="shared" si="11"/>
        <v>128.21037146680209</v>
      </c>
      <c r="D56" s="10">
        <f t="shared" si="12"/>
        <v>217.29612042292504</v>
      </c>
      <c r="E56" s="10">
        <f t="shared" si="13"/>
        <v>70</v>
      </c>
    </row>
    <row r="57" spans="1:5" x14ac:dyDescent="0.25">
      <c r="A57" s="43">
        <v>0.04</v>
      </c>
      <c r="B57" s="10">
        <f t="shared" si="10"/>
        <v>69.528085889686494</v>
      </c>
      <c r="C57" s="10">
        <f t="shared" si="11"/>
        <v>144.54435884927091</v>
      </c>
      <c r="D57" s="10">
        <f t="shared" si="12"/>
        <v>271.62015052865632</v>
      </c>
      <c r="E57" s="10">
        <f t="shared" si="13"/>
        <v>70</v>
      </c>
    </row>
    <row r="58" spans="1:5" x14ac:dyDescent="0.25">
      <c r="A58" s="43">
        <v>0.05</v>
      </c>
      <c r="B58" s="10">
        <f t="shared" si="10"/>
        <v>69.673825562428036</v>
      </c>
      <c r="C58" s="10">
        <f t="shared" si="11"/>
        <v>159.21353381399314</v>
      </c>
      <c r="D58" s="10">
        <f t="shared" si="12"/>
        <v>325.94418063438769</v>
      </c>
      <c r="E58" s="10">
        <f t="shared" si="13"/>
        <v>70</v>
      </c>
    </row>
    <row r="59" spans="1:5" x14ac:dyDescent="0.25">
      <c r="A59" s="43">
        <v>0.06</v>
      </c>
      <c r="B59" s="10">
        <f t="shared" si="10"/>
        <v>69.761198588271924</v>
      </c>
      <c r="C59" s="10">
        <f t="shared" si="11"/>
        <v>172.64134659168053</v>
      </c>
      <c r="D59" s="10">
        <f t="shared" si="12"/>
        <v>380.26821074011883</v>
      </c>
      <c r="E59" s="10">
        <f t="shared" si="13"/>
        <v>70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zoomScaleNormal="100" workbookViewId="0">
      <selection activeCell="A21" sqref="A21:F21"/>
    </sheetView>
  </sheetViews>
  <sheetFormatPr defaultColWidth="8.7109375" defaultRowHeight="15" x14ac:dyDescent="0.25"/>
  <cols>
    <col min="1" max="1" width="10" customWidth="1"/>
    <col min="2" max="2" width="12" customWidth="1"/>
    <col min="3" max="3" width="16" customWidth="1"/>
    <col min="4" max="4" width="14" customWidth="1"/>
    <col min="5" max="5" width="12" customWidth="1"/>
    <col min="6" max="6" width="14" customWidth="1"/>
  </cols>
  <sheetData>
    <row r="1" spans="1:6" ht="18" x14ac:dyDescent="0.25">
      <c r="A1" s="2" t="s">
        <v>344</v>
      </c>
    </row>
    <row r="2" spans="1:6" x14ac:dyDescent="0.25">
      <c r="A2" s="3" t="s">
        <v>345</v>
      </c>
    </row>
    <row r="4" spans="1:6" x14ac:dyDescent="0.25">
      <c r="A4" s="4" t="s">
        <v>75</v>
      </c>
      <c r="B4" s="4" t="s">
        <v>137</v>
      </c>
      <c r="C4" s="4" t="s">
        <v>77</v>
      </c>
      <c r="D4" s="4" t="s">
        <v>346</v>
      </c>
      <c r="E4" s="4" t="s">
        <v>347</v>
      </c>
      <c r="F4" s="4" t="s">
        <v>348</v>
      </c>
    </row>
    <row r="5" spans="1:6" x14ac:dyDescent="0.25">
      <c r="A5" s="34">
        <v>-3</v>
      </c>
      <c r="B5" s="17">
        <f t="shared" ref="B5:B29" si="0">A5-0.5*A5^2</f>
        <v>-7.5</v>
      </c>
      <c r="C5" s="17">
        <f t="shared" ref="C5:C29" si="1">EXP(B5)</f>
        <v>5.5308437014783363E-4</v>
      </c>
      <c r="D5" s="17">
        <f t="shared" ref="D5:D29" si="2">1+A5</f>
        <v>-2</v>
      </c>
      <c r="E5" s="17">
        <f t="shared" ref="E5:E29" si="3">C5-D5</f>
        <v>2.0005530843701478</v>
      </c>
      <c r="F5" s="5" t="str">
        <f t="shared" ref="F5:F29" si="4">IF(A5&lt;=1,"increasing","DECREASING")</f>
        <v>increasing</v>
      </c>
    </row>
    <row r="6" spans="1:6" x14ac:dyDescent="0.25">
      <c r="A6" s="34">
        <v>-2.75</v>
      </c>
      <c r="B6" s="17">
        <f t="shared" si="0"/>
        <v>-6.53125</v>
      </c>
      <c r="C6" s="17">
        <f t="shared" si="1"/>
        <v>1.4571832318481569E-3</v>
      </c>
      <c r="D6" s="17">
        <f t="shared" si="2"/>
        <v>-1.75</v>
      </c>
      <c r="E6" s="17">
        <f t="shared" si="3"/>
        <v>1.7514571832318482</v>
      </c>
      <c r="F6" s="5" t="str">
        <f t="shared" si="4"/>
        <v>increasing</v>
      </c>
    </row>
    <row r="7" spans="1:6" x14ac:dyDescent="0.25">
      <c r="A7" s="34">
        <v>-2.5</v>
      </c>
      <c r="B7" s="17">
        <f t="shared" si="0"/>
        <v>-5.625</v>
      </c>
      <c r="C7" s="17">
        <f t="shared" si="1"/>
        <v>3.6065631360157305E-3</v>
      </c>
      <c r="D7" s="17">
        <f t="shared" si="2"/>
        <v>-1.5</v>
      </c>
      <c r="E7" s="17">
        <f t="shared" si="3"/>
        <v>1.5036065631360158</v>
      </c>
      <c r="F7" s="5" t="str">
        <f t="shared" si="4"/>
        <v>increasing</v>
      </c>
    </row>
    <row r="8" spans="1:6" x14ac:dyDescent="0.25">
      <c r="A8" s="34">
        <v>-2.25</v>
      </c>
      <c r="B8" s="17">
        <f t="shared" si="0"/>
        <v>-4.78125</v>
      </c>
      <c r="C8" s="17">
        <f t="shared" si="1"/>
        <v>8.3855105254240832E-3</v>
      </c>
      <c r="D8" s="17">
        <f t="shared" si="2"/>
        <v>-1.25</v>
      </c>
      <c r="E8" s="17">
        <f t="shared" si="3"/>
        <v>1.258385510525424</v>
      </c>
      <c r="F8" s="5" t="str">
        <f t="shared" si="4"/>
        <v>increasing</v>
      </c>
    </row>
    <row r="9" spans="1:6" x14ac:dyDescent="0.25">
      <c r="A9" s="34">
        <v>-2</v>
      </c>
      <c r="B9" s="17">
        <f t="shared" si="0"/>
        <v>-4</v>
      </c>
      <c r="C9" s="17">
        <f t="shared" si="1"/>
        <v>1.8315638888734179E-2</v>
      </c>
      <c r="D9" s="17">
        <f t="shared" si="2"/>
        <v>-1</v>
      </c>
      <c r="E9" s="17">
        <f t="shared" si="3"/>
        <v>1.0183156388887342</v>
      </c>
      <c r="F9" s="5" t="str">
        <f t="shared" si="4"/>
        <v>increasing</v>
      </c>
    </row>
    <row r="10" spans="1:6" x14ac:dyDescent="0.25">
      <c r="A10" s="34">
        <v>-1.75</v>
      </c>
      <c r="B10" s="17">
        <f t="shared" si="0"/>
        <v>-3.28125</v>
      </c>
      <c r="C10" s="17">
        <f t="shared" si="1"/>
        <v>3.7581250870997916E-2</v>
      </c>
      <c r="D10" s="17">
        <f t="shared" si="2"/>
        <v>-0.75</v>
      </c>
      <c r="E10" s="17">
        <f t="shared" si="3"/>
        <v>0.78758125087099795</v>
      </c>
      <c r="F10" s="5" t="str">
        <f t="shared" si="4"/>
        <v>increasing</v>
      </c>
    </row>
    <row r="11" spans="1:6" x14ac:dyDescent="0.25">
      <c r="A11" s="34">
        <v>-1.5</v>
      </c>
      <c r="B11" s="17">
        <f t="shared" si="0"/>
        <v>-2.625</v>
      </c>
      <c r="C11" s="17">
        <f t="shared" si="1"/>
        <v>7.2439757034251456E-2</v>
      </c>
      <c r="D11" s="17">
        <f t="shared" si="2"/>
        <v>-0.5</v>
      </c>
      <c r="E11" s="17">
        <f t="shared" si="3"/>
        <v>0.57243975703425143</v>
      </c>
      <c r="F11" s="5" t="str">
        <f t="shared" si="4"/>
        <v>increasing</v>
      </c>
    </row>
    <row r="12" spans="1:6" x14ac:dyDescent="0.25">
      <c r="A12" s="34">
        <v>-1.25</v>
      </c>
      <c r="B12" s="17">
        <f t="shared" si="0"/>
        <v>-2.03125</v>
      </c>
      <c r="C12" s="17">
        <f t="shared" si="1"/>
        <v>0.13117145431019428</v>
      </c>
      <c r="D12" s="17">
        <f t="shared" si="2"/>
        <v>-0.25</v>
      </c>
      <c r="E12" s="17">
        <f t="shared" si="3"/>
        <v>0.38117145431019428</v>
      </c>
      <c r="F12" s="5" t="str">
        <f t="shared" si="4"/>
        <v>increasing</v>
      </c>
    </row>
    <row r="13" spans="1:6" x14ac:dyDescent="0.25">
      <c r="A13" s="34">
        <v>-1</v>
      </c>
      <c r="B13" s="17">
        <f t="shared" si="0"/>
        <v>-1.5</v>
      </c>
      <c r="C13" s="17">
        <f t="shared" si="1"/>
        <v>0.22313016014842982</v>
      </c>
      <c r="D13" s="17">
        <f t="shared" si="2"/>
        <v>0</v>
      </c>
      <c r="E13" s="17">
        <f t="shared" si="3"/>
        <v>0.22313016014842982</v>
      </c>
      <c r="F13" s="5" t="str">
        <f t="shared" si="4"/>
        <v>increasing</v>
      </c>
    </row>
    <row r="14" spans="1:6" x14ac:dyDescent="0.25">
      <c r="A14" s="34">
        <v>-0.75</v>
      </c>
      <c r="B14" s="17">
        <f t="shared" si="0"/>
        <v>-1.03125</v>
      </c>
      <c r="C14" s="17">
        <f t="shared" si="1"/>
        <v>0.35656098066394698</v>
      </c>
      <c r="D14" s="17">
        <f t="shared" si="2"/>
        <v>0.25</v>
      </c>
      <c r="E14" s="17">
        <f t="shared" si="3"/>
        <v>0.10656098066394698</v>
      </c>
      <c r="F14" s="5" t="str">
        <f t="shared" si="4"/>
        <v>increasing</v>
      </c>
    </row>
    <row r="15" spans="1:6" x14ac:dyDescent="0.25">
      <c r="A15" s="34">
        <v>-0.5</v>
      </c>
      <c r="B15" s="17">
        <f t="shared" si="0"/>
        <v>-0.625</v>
      </c>
      <c r="C15" s="17">
        <f t="shared" si="1"/>
        <v>0.53526142851899028</v>
      </c>
      <c r="D15" s="17">
        <f t="shared" si="2"/>
        <v>0.5</v>
      </c>
      <c r="E15" s="17">
        <f t="shared" si="3"/>
        <v>3.5261428518990279E-2</v>
      </c>
      <c r="F15" s="5" t="str">
        <f t="shared" si="4"/>
        <v>increasing</v>
      </c>
    </row>
    <row r="16" spans="1:6" x14ac:dyDescent="0.25">
      <c r="A16" s="34">
        <v>-0.25</v>
      </c>
      <c r="B16" s="17">
        <f t="shared" si="0"/>
        <v>-0.28125</v>
      </c>
      <c r="C16" s="17">
        <f t="shared" si="1"/>
        <v>0.75483960198900735</v>
      </c>
      <c r="D16" s="17">
        <f t="shared" si="2"/>
        <v>0.75</v>
      </c>
      <c r="E16" s="17">
        <f t="shared" si="3"/>
        <v>4.8396019890073472E-3</v>
      </c>
      <c r="F16" s="5" t="str">
        <f t="shared" si="4"/>
        <v>increasing</v>
      </c>
    </row>
    <row r="17" spans="1:6" x14ac:dyDescent="0.25">
      <c r="A17" s="34">
        <v>0</v>
      </c>
      <c r="B17" s="17">
        <f t="shared" si="0"/>
        <v>0</v>
      </c>
      <c r="C17" s="17">
        <f t="shared" si="1"/>
        <v>1</v>
      </c>
      <c r="D17" s="17">
        <f t="shared" si="2"/>
        <v>1</v>
      </c>
      <c r="E17" s="17">
        <f t="shared" si="3"/>
        <v>0</v>
      </c>
      <c r="F17" s="5" t="str">
        <f t="shared" si="4"/>
        <v>increasing</v>
      </c>
    </row>
    <row r="18" spans="1:6" x14ac:dyDescent="0.25">
      <c r="A18" s="34">
        <v>0.25</v>
      </c>
      <c r="B18" s="17">
        <f t="shared" si="0"/>
        <v>0.21875</v>
      </c>
      <c r="C18" s="17">
        <f t="shared" si="1"/>
        <v>1.2445201077660952</v>
      </c>
      <c r="D18" s="17">
        <f t="shared" si="2"/>
        <v>1.25</v>
      </c>
      <c r="E18" s="17">
        <f t="shared" si="3"/>
        <v>-5.4798922339047706E-3</v>
      </c>
      <c r="F18" s="5" t="str">
        <f t="shared" si="4"/>
        <v>increasing</v>
      </c>
    </row>
    <row r="19" spans="1:6" x14ac:dyDescent="0.25">
      <c r="A19" s="34">
        <v>0.5</v>
      </c>
      <c r="B19" s="17">
        <f t="shared" si="0"/>
        <v>0.375</v>
      </c>
      <c r="C19" s="17">
        <f t="shared" si="1"/>
        <v>1.4549914146182013</v>
      </c>
      <c r="D19" s="17">
        <f t="shared" si="2"/>
        <v>1.5</v>
      </c>
      <c r="E19" s="17">
        <f t="shared" si="3"/>
        <v>-4.5008585381798749E-2</v>
      </c>
      <c r="F19" s="5" t="str">
        <f t="shared" si="4"/>
        <v>increasing</v>
      </c>
    </row>
    <row r="20" spans="1:6" x14ac:dyDescent="0.25">
      <c r="A20" s="34">
        <v>0.75</v>
      </c>
      <c r="B20" s="17">
        <f t="shared" si="0"/>
        <v>0.46875</v>
      </c>
      <c r="C20" s="17">
        <f t="shared" si="1"/>
        <v>1.5979954499506333</v>
      </c>
      <c r="D20" s="17">
        <f t="shared" si="2"/>
        <v>1.75</v>
      </c>
      <c r="E20" s="17">
        <f t="shared" si="3"/>
        <v>-0.15200455004936675</v>
      </c>
      <c r="F20" s="5" t="str">
        <f t="shared" si="4"/>
        <v>increasing</v>
      </c>
    </row>
    <row r="21" spans="1:6" x14ac:dyDescent="0.25">
      <c r="A21" s="34">
        <v>1</v>
      </c>
      <c r="B21" s="17">
        <f t="shared" si="0"/>
        <v>0.5</v>
      </c>
      <c r="C21" s="17">
        <f t="shared" si="1"/>
        <v>1.6487212707001282</v>
      </c>
      <c r="D21" s="17">
        <f t="shared" si="2"/>
        <v>2</v>
      </c>
      <c r="E21" s="17">
        <f t="shared" si="3"/>
        <v>-0.35127872929987181</v>
      </c>
      <c r="F21" s="5" t="str">
        <f t="shared" si="4"/>
        <v>increasing</v>
      </c>
    </row>
    <row r="22" spans="1:6" x14ac:dyDescent="0.25">
      <c r="A22" s="34">
        <v>1.25</v>
      </c>
      <c r="B22" s="17">
        <f t="shared" si="0"/>
        <v>0.46875</v>
      </c>
      <c r="C22" s="17">
        <f t="shared" si="1"/>
        <v>1.5979954499506333</v>
      </c>
      <c r="D22" s="17">
        <f t="shared" si="2"/>
        <v>2.25</v>
      </c>
      <c r="E22" s="17">
        <f t="shared" si="3"/>
        <v>-0.65200455004936675</v>
      </c>
      <c r="F22" s="5" t="str">
        <f t="shared" si="4"/>
        <v>DECREASING</v>
      </c>
    </row>
    <row r="23" spans="1:6" x14ac:dyDescent="0.25">
      <c r="A23" s="34">
        <v>1.5</v>
      </c>
      <c r="B23" s="17">
        <f t="shared" si="0"/>
        <v>0.375</v>
      </c>
      <c r="C23" s="17">
        <f t="shared" si="1"/>
        <v>1.4549914146182013</v>
      </c>
      <c r="D23" s="17">
        <f t="shared" si="2"/>
        <v>2.5</v>
      </c>
      <c r="E23" s="17">
        <f t="shared" si="3"/>
        <v>-1.0450085853817987</v>
      </c>
      <c r="F23" s="5" t="str">
        <f t="shared" si="4"/>
        <v>DECREASING</v>
      </c>
    </row>
    <row r="24" spans="1:6" x14ac:dyDescent="0.25">
      <c r="A24" s="34">
        <v>1.75</v>
      </c>
      <c r="B24" s="17">
        <f t="shared" si="0"/>
        <v>0.21875</v>
      </c>
      <c r="C24" s="17">
        <f t="shared" si="1"/>
        <v>1.2445201077660952</v>
      </c>
      <c r="D24" s="17">
        <f t="shared" si="2"/>
        <v>2.75</v>
      </c>
      <c r="E24" s="17">
        <f t="shared" si="3"/>
        <v>-1.5054798922339048</v>
      </c>
      <c r="F24" s="5" t="str">
        <f t="shared" si="4"/>
        <v>DECREASING</v>
      </c>
    </row>
    <row r="25" spans="1:6" x14ac:dyDescent="0.25">
      <c r="A25" s="34">
        <v>2</v>
      </c>
      <c r="B25" s="17">
        <f t="shared" si="0"/>
        <v>0</v>
      </c>
      <c r="C25" s="17">
        <f t="shared" si="1"/>
        <v>1</v>
      </c>
      <c r="D25" s="17">
        <f t="shared" si="2"/>
        <v>3</v>
      </c>
      <c r="E25" s="17">
        <f t="shared" si="3"/>
        <v>-2</v>
      </c>
      <c r="F25" s="5" t="str">
        <f t="shared" si="4"/>
        <v>DECREASING</v>
      </c>
    </row>
    <row r="26" spans="1:6" x14ac:dyDescent="0.25">
      <c r="A26" s="34">
        <v>2.25</v>
      </c>
      <c r="B26" s="17">
        <f t="shared" si="0"/>
        <v>-0.28125</v>
      </c>
      <c r="C26" s="17">
        <f t="shared" si="1"/>
        <v>0.75483960198900735</v>
      </c>
      <c r="D26" s="17">
        <f t="shared" si="2"/>
        <v>3.25</v>
      </c>
      <c r="E26" s="17">
        <f t="shared" si="3"/>
        <v>-2.4951603980109924</v>
      </c>
      <c r="F26" s="5" t="str">
        <f t="shared" si="4"/>
        <v>DECREASING</v>
      </c>
    </row>
    <row r="27" spans="1:6" x14ac:dyDescent="0.25">
      <c r="A27" s="34">
        <v>2.5</v>
      </c>
      <c r="B27" s="17">
        <f t="shared" si="0"/>
        <v>-0.625</v>
      </c>
      <c r="C27" s="17">
        <f t="shared" si="1"/>
        <v>0.53526142851899028</v>
      </c>
      <c r="D27" s="17">
        <f t="shared" si="2"/>
        <v>3.5</v>
      </c>
      <c r="E27" s="17">
        <f t="shared" si="3"/>
        <v>-2.9647385714810097</v>
      </c>
      <c r="F27" s="5" t="str">
        <f t="shared" si="4"/>
        <v>DECREASING</v>
      </c>
    </row>
    <row r="28" spans="1:6" x14ac:dyDescent="0.25">
      <c r="A28" s="34">
        <v>2.75</v>
      </c>
      <c r="B28" s="17">
        <f t="shared" si="0"/>
        <v>-1.03125</v>
      </c>
      <c r="C28" s="17">
        <f t="shared" si="1"/>
        <v>0.35656098066394698</v>
      </c>
      <c r="D28" s="17">
        <f t="shared" si="2"/>
        <v>3.75</v>
      </c>
      <c r="E28" s="17">
        <f t="shared" si="3"/>
        <v>-3.3934390193360531</v>
      </c>
      <c r="F28" s="5" t="str">
        <f t="shared" si="4"/>
        <v>DECREASING</v>
      </c>
    </row>
    <row r="29" spans="1:6" x14ac:dyDescent="0.25">
      <c r="A29" s="34">
        <v>3</v>
      </c>
      <c r="B29" s="17">
        <f t="shared" si="0"/>
        <v>-1.5</v>
      </c>
      <c r="C29" s="17">
        <f t="shared" si="1"/>
        <v>0.22313016014842982</v>
      </c>
      <c r="D29" s="17">
        <f t="shared" si="2"/>
        <v>4</v>
      </c>
      <c r="E29" s="17">
        <f t="shared" si="3"/>
        <v>-3.7768698398515701</v>
      </c>
      <c r="F29" s="5" t="str">
        <f t="shared" si="4"/>
        <v>DECREASING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Two_Histories_S0_4pct</vt:lpstr>
      <vt:lpstr>Sheet2</vt:lpstr>
      <vt:lpstr>Eq14_x_gt_1_Issue</vt:lpstr>
      <vt:lpstr>Scenario_Grid</vt:lpstr>
      <vt:lpstr>Step_by_Step</vt:lpstr>
      <vt:lpstr>Eta_vs_Theta</vt:lpstr>
      <vt:lpstr>Rescaling_272bp</vt:lpstr>
      <vt:lpstr>Eq14_Cap_and_Floor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CHOUKRI ABDELILAH</cp:lastModifiedBy>
  <cp:revision>1</cp:revision>
  <dcterms:created xsi:type="dcterms:W3CDTF">2026-10-26T12:13:19Z</dcterms:created>
  <dcterms:modified xsi:type="dcterms:W3CDTF">2026-10-26T13:57:16Z</dcterms:modified>
  <dc:language>en-US</dc:language>
</cp:coreProperties>
</file>