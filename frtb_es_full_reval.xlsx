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rade_Info" sheetId="2" state="visible" r:id="rId4"/>
    <sheet name="Base_Curves" sheetId="3" state="visible" r:id="rId5"/>
    <sheet name="Curve_Shocks_bps" sheetId="4" state="visible" r:id="rId6"/>
    <sheet name="Curve_Shift_Illustration" sheetId="5" state="visible" r:id="rId7"/>
    <sheet name="Shocked_Curves_DF" sheetId="6" state="visible" r:id="rId8"/>
    <sheet name="SABR_Base" sheetId="7" state="visible" r:id="rId9"/>
    <sheet name="SABR_Shocks" sheetId="8" state="visible" r:id="rId10"/>
    <sheet name="SABR_Shocked" sheetId="9" state="visible" r:id="rId11"/>
    <sheet name="NPV_Engine" sheetId="10" state="visible" r:id="rId12"/>
    <sheet name="PnL_Summary"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<sst xmlns="http://schemas.openxmlformats.org/spreadsheetml/2006/main" count="1462" uniqueCount="171">
  <si>
    <t xml:space="preserve">FRTB IMA — Full Revaluation PnL Vectors for Expected Shortfall (ES)</t>
  </si>
  <si>
    <t xml:space="preserve">Illustrative workbook — trade 123456, valuation date 7/23/2026. Demonstrates the mechanics of a full-revaluation Stressed PnL vector: PnL = StressedNPV − BaseNPV, built curve-by-curve and then combined cross-risk-class.</t>
  </si>
  <si>
    <t xml:space="preserve">Purpose</t>
  </si>
  <si>
    <t xml:space="preserve">Illustrate, end to end, how a full-reval ES PnL vector is constructed: base curve objects → shocked curve objects (10 scenarios, stress date 20-Nov-2008) → base/stressed NPV via full reval → PnL vector, both cross-risk-class and isolated by risk class (IR / Credit / FX).</t>
  </si>
  <si>
    <t xml:space="preserve">Tabs</t>
  </si>
  <si>
    <t xml:space="preserve">Trade_Info | Base_Curves | Curve_Shocks_bps | Curve_Shift_Illustration | Shocked_Curves_DF | SABR_Base | SABR_Shocks | SABR_Shocked | NPV_Engine | PnL_Summary</t>
  </si>
  <si>
    <t xml:space="preserve">Curve shift mechanic</t>
  </si>
  <si>
    <t xml:space="preserve">gxlCurveDiscShift is simulated with a sequential (cascading) bootstrap: the simple forward rate implied by the BASE curve between consecutive tenors is bumped by the scenario shock (bps), and the SHOCKED discount factor for tenor i is solved from the SHOCKED discount factor at tenor i-1 (not the base one). 3M is bumped first; 6M relies on the bumped 3M; and so on to 30Y — exactly mirroring the described gxlCurveDiscShift behaviour.</t>
  </si>
  <si>
    <t xml:space="preserve">SABR surface mechanic</t>
  </si>
  <si>
    <t xml:space="preserve">Each of ATM / RHO / NU is a 10x10 grid (expiry x tenor). Each scenario applies a parameter-level shock size to every grid point, scaled by a per-cell Sensitivity Factor grid (captures the typical stress-period pattern of larger moves at short expiries/tenors). The result is a full shocked vol surface per parameter per scenario, exactly as gxlCurveDiscShift-style functions return a shocked object for curves.</t>
  </si>
  <si>
    <t xml:space="preserve">NPV engine</t>
  </si>
  <si>
    <t xml:space="preserve">NPV is an ILLUSTRATIVE simplified full-reval pricer (not a production pricer) that consumes: SOFR/ESTRN discount factors (IR discounting), the SABR ATM grid point matching the trade's expiry/tenor (IR_VOL / optionality), Treasury/Agency_FNMA/Eur_Govt discount factors (Credit spread proxy), and the EURUSD curve (FX discount/forward proxy). Base NPV = pricer with ALL curves at BASE. Stressed NPV = pricer with the relevant curve set SHOCKED for scenario s.</t>
  </si>
  <si>
    <t xml:space="preserve">Risk-class isolation</t>
  </si>
  <si>
    <t xml:space="preserve">Cross PnL: shock ALL curves for scenario s. IR PnL: shock SOFR, ESTRN and the SABR (IR_VOL) surface only — Credit and FX curves stay at BASE. Credit PnL: shock Treasury, Agency_FNMA, Eur_Govt only — IR and FX stay at BASE. FX PnL: shock EURUSD only — IR and Credit stay at BASE. This isolates each risk class's contribution to the full-reval PnL vector, consistent with how ES risk-class PnL vectors are typically decomposed.</t>
  </si>
  <si>
    <t xml:space="preserve">Colour convention</t>
  </si>
  <si>
    <t xml:space="preserve">Blue = hardcoded input / assumption. Black = formula. Green = link to another sheet.</t>
  </si>
  <si>
    <t xml:space="preserve">Disclaimer</t>
  </si>
  <si>
    <t xml:space="preserve">All curve levels, shock sizes and SABR parameters are illustrative placeholder assumptions chosen for demonstration purposes only — they are not calibrated to actual 20-Nov-2008 market data and this is not a production pricing/risk engine.</t>
  </si>
  <si>
    <t xml:space="preserve">Trade &amp; Valuation Info</t>
  </si>
  <si>
    <t xml:space="preserve">Trade ID</t>
  </si>
  <si>
    <t xml:space="preserve">123456</t>
  </si>
  <si>
    <t xml:space="preserve">Valuation Date</t>
  </si>
  <si>
    <t xml:space="preserve">7/23/2026</t>
  </si>
  <si>
    <t xml:space="preserve">Stress / Shock anchor date</t>
  </si>
  <si>
    <t xml:space="preserve">11/20/2008</t>
  </si>
  <si>
    <t xml:space="preserve">Number of scenarios</t>
  </si>
  <si>
    <t xml:space="preserve">Notional (USD)</t>
  </si>
  <si>
    <t xml:space="preserve">Product</t>
  </si>
  <si>
    <t xml:space="preserve">EUR-underlying payer swaption vs USD-collateral discounting</t>
  </si>
  <si>
    <t xml:space="preserve">Representative discounting tenor</t>
  </si>
  <si>
    <t xml:space="preserve">1Y</t>
  </si>
  <si>
    <t xml:space="preserve">Representative SABR grid point (Expiry x Tenor)</t>
  </si>
  <si>
    <t xml:space="preserve">1Y x 10Y</t>
  </si>
  <si>
    <t xml:space="preserve">Curve list, MDO used, and risk-class mapping</t>
  </si>
  <si>
    <t xml:space="preserve">Curve (MDO)</t>
  </si>
  <si>
    <t xml:space="preserve">Risk Class</t>
  </si>
  <si>
    <t xml:space="preserve">Notes</t>
  </si>
  <si>
    <t xml:space="preserve">Agency_FNMA</t>
  </si>
  <si>
    <t xml:space="preserve">Credit</t>
  </si>
  <si>
    <t xml:space="preserve">Credit — GSE/agency spread curve</t>
  </si>
  <si>
    <t xml:space="preserve">Eur_Govt</t>
  </si>
  <si>
    <t xml:space="preserve">Credit — EUR sovereign curve</t>
  </si>
  <si>
    <t xml:space="preserve">SOFR</t>
  </si>
  <si>
    <t xml:space="preserve">IR</t>
  </si>
  <si>
    <t xml:space="preserve">IR_RATE — USD OIS/SOFR discounting curve</t>
  </si>
  <si>
    <t xml:space="preserve">Treasury</t>
  </si>
  <si>
    <t xml:space="preserve">Credit — US Treasury (sovereign benchmark) curve</t>
  </si>
  <si>
    <t xml:space="preserve">Sabr_Swaption</t>
  </si>
  <si>
    <t xml:space="preserve">IR_VOL — SABR surface (ATM, RHO, NU); handled on SABR_* tabs</t>
  </si>
  <si>
    <t xml:space="preserve">EURUSD</t>
  </si>
  <si>
    <t xml:space="preserve">FX</t>
  </si>
  <si>
    <t xml:space="preserve">FX_RATE — EUR/USD FX curve</t>
  </si>
  <si>
    <t xml:space="preserve">ESTRN</t>
  </si>
  <si>
    <t xml:space="preserve">IR — EUR €STR discounting curve</t>
  </si>
  <si>
    <t xml:space="preserve">Base Curve Objects — Discount Factors (as of 7/23/2026)</t>
  </si>
  <si>
    <t xml:space="preserve">Curve</t>
  </si>
  <si>
    <t xml:space="preserve">3M</t>
  </si>
  <si>
    <t xml:space="preserve">6M</t>
  </si>
  <si>
    <t xml:space="preserve">2Y</t>
  </si>
  <si>
    <t xml:space="preserve">3Y</t>
  </si>
  <si>
    <t xml:space="preserve">5Y</t>
  </si>
  <si>
    <t xml:space="preserve">10Y</t>
  </si>
  <si>
    <t xml:space="preserve">20Y</t>
  </si>
  <si>
    <t xml:space="preserve">30Y</t>
  </si>
  <si>
    <t xml:space="preserve">Tenor Date</t>
  </si>
  <si>
    <t xml:space="preserve">10/23/2026</t>
  </si>
  <si>
    <t xml:space="preserve">1/23/2027</t>
  </si>
  <si>
    <t xml:space="preserve">7/23/2027</t>
  </si>
  <si>
    <t xml:space="preserve">7/23/2028</t>
  </si>
  <si>
    <t xml:space="preserve">7/23/2029</t>
  </si>
  <si>
    <t xml:space="preserve">7/23/2031</t>
  </si>
  <si>
    <t xml:space="preserve">7/23/2036</t>
  </si>
  <si>
    <t xml:space="preserve">7/23/2046</t>
  </si>
  <si>
    <t xml:space="preserve">7/23/2056</t>
  </si>
  <si>
    <t xml:space="preserve">Year Frac (t)</t>
  </si>
  <si>
    <t xml:space="preserve">Note: base DF values are illustrative placeholder inputs (blue), not calibrated to a real curve build.</t>
  </si>
  <si>
    <t xml:space="preserve">Shock Vectors — Forward-Rate Shock (bps) per Tenor, 10 Scenarios, Stress Anchor 20-Nov-2008</t>
  </si>
  <si>
    <t xml:space="preserve">Scenario 1</t>
  </si>
  <si>
    <t xml:space="preserve">Scenario 2</t>
  </si>
  <si>
    <t xml:space="preserve">Scenario 3</t>
  </si>
  <si>
    <t xml:space="preserve">Scenario 4</t>
  </si>
  <si>
    <t xml:space="preserve">Scenario 5</t>
  </si>
  <si>
    <t xml:space="preserve">Scenario 6</t>
  </si>
  <si>
    <t xml:space="preserve">Scenario 7</t>
  </si>
  <si>
    <t xml:space="preserve">Scenario 8</t>
  </si>
  <si>
    <t xml:space="preserve">Scenario 9</t>
  </si>
  <si>
    <t xml:space="preserve">Scenario 10</t>
  </si>
  <si>
    <t xml:space="preserve">Shocks are hardcoded illustrative bps moves applied to forward rates (blue = raw input observations for the stress period).</t>
  </si>
  <si>
    <t xml:space="preserve">gxlCurveDiscShift — Step-by-Step Illustration (Curve = SOFR, Scenario 1)</t>
  </si>
  <si>
    <t xml:space="preserve">Sequential / cascading bootstrap: forward rate is derived from BASE discount factors between consecutive tenors, bumped by the scenario shock (bps), then the SHOCKED discount factor is solved off the PRIOR SHOCKED discount factor (not the prior base one). 3M is shocked first and feeds into 6M, which feeds into 1Y, etc.</t>
  </si>
  <si>
    <t xml:space="preserve">Tenor</t>
  </si>
  <si>
    <t xml:space="preserve">t</t>
  </si>
  <si>
    <t xml:space="preserve">Base DF
(prior)</t>
  </si>
  <si>
    <t xml:space="preserve">Base DF
(current)</t>
  </si>
  <si>
    <t xml:space="preserve">Base Fwd Rate
(simple, ann.)</t>
  </si>
  <si>
    <t xml:space="preserve">Shock
(bps)</t>
  </si>
  <si>
    <t xml:space="preserve">Shocked Fwd
Rate</t>
  </si>
  <si>
    <t xml:space="preserve">Shocked DF
(current)</t>
  </si>
  <si>
    <t xml:space="preserve">Formula logic</t>
  </si>
  <si>
    <t xml:space="preserve">Anchors at DF=1, t=0</t>
  </si>
  <si>
    <t xml:space="preserve">Uses SHOCKED DF from 3M (row above), not base</t>
  </si>
  <si>
    <t xml:space="preserve">Uses SHOCKED DF from 6M (row above), not base</t>
  </si>
  <si>
    <t xml:space="preserve">Uses SHOCKED DF from 1Y (row above), not base</t>
  </si>
  <si>
    <t xml:space="preserve">Uses SHOCKED DF from 2Y (row above), not base</t>
  </si>
  <si>
    <t xml:space="preserve">Uses SHOCKED DF from 3Y (row above), not base</t>
  </si>
  <si>
    <t xml:space="preserve">Uses SHOCKED DF from 5Y (row above), not base</t>
  </si>
  <si>
    <t xml:space="preserve">Uses SHOCKED DF from 10Y (row above), not base</t>
  </si>
  <si>
    <t xml:space="preserve">Uses SHOCKED DF from 20Y (row above), not base</t>
  </si>
  <si>
    <t xml:space="preserve">This exact column-H formula pattern is replicated for all 6 curves x 10 scenarios on the Shocked_Curves_DF tab.</t>
  </si>
  <si>
    <t xml:space="preserve">Shocked Curve Objects — Discount Factors (gxlCurveDiscShift output), All Curves x 10 Scenarios</t>
  </si>
  <si>
    <t xml:space="preserve">Same cascading-bootstrap formula as Curve_Shift_Illustration: base forward rate (from Base_Curves) + scenario shock (bps, from Curve_Shocks_bps) = shocked forward rate; shocked DF at tenor i is solved off the SHOCKED DF at tenor i-1.</t>
  </si>
  <si>
    <t xml:space="preserve">SABR Base Vol Surfaces — Swabr_Swaption (10x10 grids: Expiry x Tenor)</t>
  </si>
  <si>
    <t xml:space="preserve">Param: ATM</t>
  </si>
  <si>
    <t xml:space="preserve">Expiry \ Tenor</t>
  </si>
  <si>
    <t xml:space="preserve">1M</t>
  </si>
  <si>
    <t xml:space="preserve">Param: RHO</t>
  </si>
  <si>
    <t xml:space="preserve">Param: NU</t>
  </si>
  <si>
    <t xml:space="preserve">SABR Scenario Shocks — Parameter-level shock size per scenario + per-cell Sensitivity Factor grid</t>
  </si>
  <si>
    <t xml:space="preserve">Shocked(i,j) = Base(i,j) + ScenarioShockSize(param,scenario) x SensitivityFactor(i,j). ScenarioShockSize is the parallel move applied to the whole surface for that scenario; SensitivityFactor reshapes it across the grid (illustrative: larger moves at short expiry/short tenor, typical of a stress period).</t>
  </si>
  <si>
    <t xml:space="preserve">Scenario Shock Size (per param, parallel move applied before sensitivity scaling)</t>
  </si>
  <si>
    <t xml:space="preserve">Scenario</t>
  </si>
  <si>
    <t xml:space="preserve">ATM</t>
  </si>
  <si>
    <t xml:space="preserve">RHO</t>
  </si>
  <si>
    <t xml:space="preserve">NU</t>
  </si>
  <si>
    <t xml:space="preserve">Sensitivity Factor Grid (shared shape across ATM/RHO/NU; applied to all scenarios)</t>
  </si>
  <si>
    <t xml:space="preserve">SABR Shocked Vol Surfaces — 10x10 grids x 3 params x 10 scenarios</t>
  </si>
  <si>
    <t xml:space="preserve">Shocked(i,j) = SABR_Base!(param,i,j) + SABR_Shocks!ScenarioShockSize(param,scenario) x SABR_Shocks!SensitivityFactor(i,j)</t>
  </si>
  <si>
    <t xml:space="preserve">SCENARIO 1</t>
  </si>
  <si>
    <t xml:space="preserve">SCENARIO 2</t>
  </si>
  <si>
    <t xml:space="preserve">SCENARIO 3</t>
  </si>
  <si>
    <t xml:space="preserve">SCENARIO 4</t>
  </si>
  <si>
    <t xml:space="preserve">SCENARIO 5</t>
  </si>
  <si>
    <t xml:space="preserve">SCENARIO 6</t>
  </si>
  <si>
    <t xml:space="preserve">SCENARIO 7</t>
  </si>
  <si>
    <t xml:space="preserve">SCENARIO 8</t>
  </si>
  <si>
    <t xml:space="preserve">SCENARIO 9</t>
  </si>
  <si>
    <t xml:space="preserve">SCENARIO 10</t>
  </si>
  <si>
    <t xml:space="preserve">Full-Reval NPV Engine — Cross / IR / Credit / FX (Base vs Stressed, Trade 123456)</t>
  </si>
  <si>
    <t xml:space="preserve">Illustrative simplified full-reval pricer (NOT a production model): NPV = Notional x DF_SOFR(1Y) x [DF_ESTRN(1Y)/DF_ESTRN_base(1Y)] x [1+0.5x(ATM(1Yx10Y)-ATM_base)] x [AVERAGE(DF_Treasury,DF_Agency_FNMA,DF_Eur_Govt)(1Y)/DF_SOFR(1Y)] x [DF_EURUSD(1Y)/DF_EURUSD_base(1Y)]. Each risk-class table below feeds this same pricer with only that risk class's curves shocked; the rest held at BASE.</t>
  </si>
  <si>
    <t xml:space="preserve">Reference base constants</t>
  </si>
  <si>
    <t xml:space="preserve">DF_SOFR_base(1Y)</t>
  </si>
  <si>
    <t xml:space="preserve">DF_ESTRN_base(1Y)</t>
  </si>
  <si>
    <t xml:space="preserve">DF_Treasury_base(1Y)</t>
  </si>
  <si>
    <t xml:space="preserve">DF_Agency_FNMA_base(1Y)</t>
  </si>
  <si>
    <t xml:space="preserve">DF_Eur_Govt_base(1Y)</t>
  </si>
  <si>
    <t xml:space="preserve">DF_EURUSD_base(1Y)</t>
  </si>
  <si>
    <t xml:space="preserve">ATM_base(1Yx10Y)</t>
  </si>
  <si>
    <t xml:space="preserve">Cross — Full-Reval NPV</t>
  </si>
  <si>
    <t xml:space="preserve">Case</t>
  </si>
  <si>
    <t xml:space="preserve">DF_SOFR(1Y)</t>
  </si>
  <si>
    <t xml:space="preserve">DF_ESTRN(1Y)</t>
  </si>
  <si>
    <t xml:space="preserve">ATM(1Yx10Y)</t>
  </si>
  <si>
    <t xml:space="preserve">DF_Treasury(1Y)</t>
  </si>
  <si>
    <t xml:space="preserve">DF_Agency_FNMA(1Y)</t>
  </si>
  <si>
    <t xml:space="preserve">DF_Eur_Govt(1Y)</t>
  </si>
  <si>
    <t xml:space="preserve">DF_EURUSD(1Y)</t>
  </si>
  <si>
    <t xml:space="preserve">NPV (USD)</t>
  </si>
  <si>
    <t xml:space="preserve">Base</t>
  </si>
  <si>
    <t xml:space="preserve">IR — Full-Reval NPV</t>
  </si>
  <si>
    <t xml:space="preserve">Credit — Full-Reval NPV</t>
  </si>
  <si>
    <t xml:space="preserve">FX — Full-Reval NPV</t>
  </si>
  <si>
    <t xml:space="preserve">Full-Reval ES PnL Vectors — PnL = StressedNPV − BaseNPV  (Trade 123456, Val Date 7/23/2026)</t>
  </si>
  <si>
    <t xml:space="preserve">Stress anchor date: 20-Nov-2008. Cross = all curves shocked. IR = SOFR/ESTRN/SABR shocked only. Credit = Treasury/Agency_FNMA/Eur_Govt shocked only. FX = EURUSD shocked only (others held at Base each time).</t>
  </si>
  <si>
    <t xml:space="preserve">Cross PnL (USD)</t>
  </si>
  <si>
    <t xml:space="preserve">IR PnL (USD)</t>
  </si>
  <si>
    <t xml:space="preserve">Credit PnL (USD)</t>
  </si>
  <si>
    <t xml:space="preserve">FX PnL (USD)</t>
  </si>
  <si>
    <t xml:space="preserve">Worst (min) PnL</t>
  </si>
  <si>
    <t xml:space="preserve">Best (max) PnL</t>
  </si>
  <si>
    <t xml:space="preserve">Average PnL</t>
  </si>
  <si>
    <t xml:space="preserve">ES illustration note: rank the Cross PnL vector and average the worst-tail observations per the chosen ES confidence level to derive the (illustrative) Expected Shortfall capital number.</t>
  </si>
</sst>
</file>

<file path=xl/styles.xml><?xml version="1.0" encoding="utf-8"?>
<styleSheet xmlns="http://schemas.openxmlformats.org/spreadsheetml/2006/main">
  <numFmts count="8">
    <numFmt numFmtId="164" formatCode="General"/>
    <numFmt numFmtId="165" formatCode="0.000000"/>
    <numFmt numFmtId="166" formatCode="0.0"/>
    <numFmt numFmtId="167" formatCode="0.0000"/>
    <numFmt numFmtId="168" formatCode="0.000"/>
    <numFmt numFmtId="169" formatCode="#,##0"/>
    <numFmt numFmtId="170" formatCode="#,##0.00"/>
    <numFmt numFmtId="171" formatCode="#,##0.00;\(#,##0.00\)"/>
  </numFmts>
  <fonts count="19">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10"/>
      <name val="Arial"/>
      <family val="0"/>
      <charset val="1"/>
    </font>
    <font>
      <b val="true"/>
      <sz val="11"/>
      <color rgb="FF000000"/>
      <name val="Arial"/>
      <family val="0"/>
      <charset val="1"/>
    </font>
    <font>
      <sz val="10"/>
      <name val="Arial"/>
      <family val="0"/>
      <charset val="1"/>
    </font>
    <font>
      <b val="true"/>
      <sz val="14"/>
      <color rgb="FF1F3864"/>
      <name val="Arial"/>
      <family val="0"/>
      <charset val="1"/>
    </font>
    <font>
      <sz val="11"/>
      <color rgb="FF0000FF"/>
      <name val="Arial"/>
      <family val="0"/>
      <charset val="1"/>
    </font>
    <font>
      <b val="true"/>
      <sz val="11"/>
      <color rgb="FFFFFFFF"/>
      <name val="Arial"/>
      <family val="0"/>
      <charset val="1"/>
    </font>
    <font>
      <sz val="11"/>
      <color rgb="FF000000"/>
      <name val="Arial"/>
      <family val="0"/>
      <charset val="1"/>
    </font>
    <font>
      <i val="true"/>
      <sz val="9"/>
      <name val="Arial"/>
      <family val="0"/>
      <charset val="1"/>
    </font>
    <font>
      <i val="true"/>
      <sz val="9"/>
      <color rgb="FF808080"/>
      <name val="Arial"/>
      <family val="0"/>
      <charset val="1"/>
    </font>
    <font>
      <sz val="9"/>
      <color rgb="FF808080"/>
      <name val="Arial"/>
      <family val="0"/>
      <charset val="1"/>
    </font>
    <font>
      <sz val="11"/>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8">
    <fill>
      <patternFill patternType="none"/>
    </fill>
    <fill>
      <patternFill patternType="gray125"/>
    </fill>
    <fill>
      <patternFill patternType="solid">
        <fgColor rgb="FF1F3864"/>
        <bgColor rgb="FF1F4E78"/>
      </patternFill>
    </fill>
    <fill>
      <patternFill patternType="solid">
        <fgColor rgb="FFD9E2F3"/>
        <bgColor rgb="FFD9D9D9"/>
      </patternFill>
    </fill>
    <fill>
      <patternFill patternType="solid">
        <fgColor rgb="FFC00000"/>
        <bgColor rgb="FF800000"/>
      </patternFill>
    </fill>
    <fill>
      <patternFill patternType="solid">
        <fgColor rgb="FF1F4E78"/>
        <bgColor rgb="FF1F3864"/>
      </patternFill>
    </fill>
    <fill>
      <patternFill patternType="solid">
        <fgColor rgb="FF806000"/>
        <bgColor rgb="FF993300"/>
      </patternFill>
    </fill>
    <fill>
      <patternFill patternType="solid">
        <fgColor rgb="FF375623"/>
        <bgColor rgb="FF33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5" fontId="15" fillId="0" borderId="1" xfId="0" applyFont="true" applyBorder="true" applyAlignment="true" applyProtection="false">
      <alignment horizontal="general" vertical="bottom" textRotation="0" wrapText="false" indent="0" shrinkToFit="false"/>
      <protection locked="true" hidden="false"/>
    </xf>
    <xf numFmtId="167" fontId="11" fillId="0" borderId="1" xfId="0" applyFont="true" applyBorder="true" applyAlignment="true" applyProtection="false">
      <alignment horizontal="general" vertical="bottom" textRotation="0" wrapText="false" indent="0" shrinkToFit="false"/>
      <protection locked="true" hidden="false"/>
    </xf>
    <xf numFmtId="166" fontId="15"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tru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bottom" textRotation="0" wrapText="true" indent="0" shrinkToFit="false"/>
      <protection locked="true" hidden="false"/>
    </xf>
    <xf numFmtId="170" fontId="6" fillId="0" borderId="1" xfId="0" applyFont="true" applyBorder="true" applyAlignment="true" applyProtection="false">
      <alignment horizontal="general" vertical="bottom" textRotation="0" wrapText="false" indent="0" shrinkToFit="false"/>
      <protection locked="true" hidden="false"/>
    </xf>
    <xf numFmtId="167" fontId="15" fillId="0" borderId="1" xfId="0" applyFont="true" applyBorder="true" applyAlignment="true" applyProtection="false">
      <alignment horizontal="general" vertical="bottom" textRotation="0" wrapText="false" indent="0" shrinkToFit="false"/>
      <protection locked="true" hidden="false"/>
    </xf>
    <xf numFmtId="164" fontId="10" fillId="5" borderId="0" xfId="0" applyFont="true" applyBorder="true" applyAlignment="true" applyProtection="false">
      <alignment horizontal="general" vertical="bottom" textRotation="0" wrapText="false" indent="0" shrinkToFit="false"/>
      <protection locked="true" hidden="false"/>
    </xf>
    <xf numFmtId="164" fontId="10" fillId="6" borderId="0" xfId="0" applyFont="true" applyBorder="true" applyAlignment="true" applyProtection="false">
      <alignment horizontal="general" vertical="bottom" textRotation="0" wrapText="false" indent="0" shrinkToFit="false"/>
      <protection locked="true" hidden="false"/>
    </xf>
    <xf numFmtId="164" fontId="10" fillId="7" borderId="0" xfId="0" applyFont="true" applyBorder="true" applyAlignment="true" applyProtection="false">
      <alignment horizontal="general" vertical="bottom" textRotation="0" wrapText="false" indent="0" shrinkToFit="false"/>
      <protection locked="true" hidden="false"/>
    </xf>
    <xf numFmtId="171" fontId="11" fillId="0" borderId="1" xfId="0" applyFont="true" applyBorder="true" applyAlignment="true" applyProtection="false">
      <alignment horizontal="general" vertical="bottom" textRotation="0" wrapText="false" indent="0" shrinkToFit="false"/>
      <protection locked="true" hidden="false"/>
    </xf>
    <xf numFmtId="171" fontId="6"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6000"/>
      <rgbColor rgb="FF800080"/>
      <rgbColor rgb="FF008080"/>
      <rgbColor rgb="FFBFBFBF"/>
      <rgbColor rgb="FF808080"/>
      <rgbColor rgb="FF9999FF"/>
      <rgbColor rgb="FFBE4B48"/>
      <rgbColor rgb="FFFFFF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33CCCC"/>
      <rgbColor rgb="FF98B855"/>
      <rgbColor rgb="FFFFCC00"/>
      <rgbColor rgb="FFFF9900"/>
      <rgbColor rgb="FFFF6600"/>
      <rgbColor rgb="FF7D5FA0"/>
      <rgbColor rgb="FF878787"/>
      <rgbColor rgb="FF1F3864"/>
      <rgbColor rgb="FF339966"/>
      <rgbColor rgb="FF003300"/>
      <rgbColor rgb="FF333300"/>
      <rgbColor rgb="FF993300"/>
      <rgbColor rgb="FF993366"/>
      <rgbColor rgb="FF1F4E78"/>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Full-Reval PnL Vectors by Risk Class (Trade 123456)</a:t>
            </a:r>
          </a:p>
        </c:rich>
      </c:tx>
      <c:overlay val="0"/>
      <c:spPr>
        <a:noFill/>
        <a:ln w="0">
          <a:noFill/>
        </a:ln>
      </c:spPr>
    </c:title>
    <c:autoTitleDeleted val="0"/>
    <c:plotArea>
      <c:lineChart>
        <c:grouping val="standard"/>
        <c:varyColors val="0"/>
        <c:ser>
          <c:idx val="0"/>
          <c:order val="0"/>
          <c:tx>
            <c:strRef>
              <c:f>PnL_Summary!B4</c:f>
              <c:strCache>
                <c:ptCount val="1"/>
                <c:pt idx="0">
                  <c:v>Cross PnL (USD)</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PnL_Summary!$A$5:$A$14</c:f>
              <c:strCache>
                <c:ptCount val="10"/>
                <c:pt idx="0">
                  <c:v>Scenario 1</c:v>
                </c:pt>
                <c:pt idx="1">
                  <c:v>Scenario 2</c:v>
                </c:pt>
                <c:pt idx="2">
                  <c:v>Scenario 3</c:v>
                </c:pt>
                <c:pt idx="3">
                  <c:v>Scenario 4</c:v>
                </c:pt>
                <c:pt idx="4">
                  <c:v>Scenario 5</c:v>
                </c:pt>
                <c:pt idx="5">
                  <c:v>Scenario 6</c:v>
                </c:pt>
                <c:pt idx="6">
                  <c:v>Scenario 7</c:v>
                </c:pt>
                <c:pt idx="7">
                  <c:v>Scenario 8</c:v>
                </c:pt>
                <c:pt idx="8">
                  <c:v>Scenario 9</c:v>
                </c:pt>
                <c:pt idx="9">
                  <c:v>Scenario 10</c:v>
                </c:pt>
              </c:strCache>
            </c:strRef>
          </c:cat>
          <c:val>
            <c:numRef>
              <c:f>PnL_Summary!$B$5:$B$14</c:f>
              <c:numCache>
                <c:formatCode>#,##0.00;\(#,##0.00\)</c:formatCode>
                <c:ptCount val="10"/>
                <c:pt idx="0">
                  <c:v>-37324.1561601348</c:v>
                </c:pt>
                <c:pt idx="1">
                  <c:v>-22922.9503978081</c:v>
                </c:pt>
                <c:pt idx="2">
                  <c:v>-48591.2961939294</c:v>
                </c:pt>
                <c:pt idx="3">
                  <c:v>-29048.8410297465</c:v>
                </c:pt>
                <c:pt idx="4">
                  <c:v>-95620.6613205727</c:v>
                </c:pt>
                <c:pt idx="5">
                  <c:v>-97007.5517603569</c:v>
                </c:pt>
                <c:pt idx="6">
                  <c:v>-84538.1107834484</c:v>
                </c:pt>
                <c:pt idx="7">
                  <c:v>-8520.17849203758</c:v>
                </c:pt>
                <c:pt idx="8">
                  <c:v>-138453.550992718</c:v>
                </c:pt>
                <c:pt idx="9">
                  <c:v>48544.0565061811</c:v>
                </c:pt>
              </c:numCache>
            </c:numRef>
          </c:val>
          <c:smooth val="1"/>
        </c:ser>
        <c:ser>
          <c:idx val="1"/>
          <c:order val="1"/>
          <c:tx>
            <c:strRef>
              <c:f>PnL_Summary!C4</c:f>
              <c:strCache>
                <c:ptCount val="1"/>
                <c:pt idx="0">
                  <c:v>IR PnL (USD)</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PnL_Summary!$A$5:$A$14</c:f>
              <c:strCache>
                <c:ptCount val="10"/>
                <c:pt idx="0">
                  <c:v>Scenario 1</c:v>
                </c:pt>
                <c:pt idx="1">
                  <c:v>Scenario 2</c:v>
                </c:pt>
                <c:pt idx="2">
                  <c:v>Scenario 3</c:v>
                </c:pt>
                <c:pt idx="3">
                  <c:v>Scenario 4</c:v>
                </c:pt>
                <c:pt idx="4">
                  <c:v>Scenario 5</c:v>
                </c:pt>
                <c:pt idx="5">
                  <c:v>Scenario 6</c:v>
                </c:pt>
                <c:pt idx="6">
                  <c:v>Scenario 7</c:v>
                </c:pt>
                <c:pt idx="7">
                  <c:v>Scenario 8</c:v>
                </c:pt>
                <c:pt idx="8">
                  <c:v>Scenario 9</c:v>
                </c:pt>
                <c:pt idx="9">
                  <c:v>Scenario 10</c:v>
                </c:pt>
              </c:strCache>
            </c:strRef>
          </c:cat>
          <c:val>
            <c:numRef>
              <c:f>PnL_Summary!$C$5:$C$14</c:f>
              <c:numCache>
                <c:formatCode>#,##0.00;\(#,##0.00\)</c:formatCode>
                <c:ptCount val="10"/>
                <c:pt idx="0">
                  <c:v>21488.9164425991</c:v>
                </c:pt>
                <c:pt idx="1">
                  <c:v>36563.218766842</c:v>
                </c:pt>
                <c:pt idx="2">
                  <c:v>22616.5567318499</c:v>
                </c:pt>
                <c:pt idx="3">
                  <c:v>25834.5616048966</c:v>
                </c:pt>
                <c:pt idx="4">
                  <c:v>6698.39614361152</c:v>
                </c:pt>
                <c:pt idx="5">
                  <c:v>7936.17156858742</c:v>
                </c:pt>
                <c:pt idx="6">
                  <c:v>30832.0566355772</c:v>
                </c:pt>
                <c:pt idx="7">
                  <c:v>99322.9367473666</c:v>
                </c:pt>
                <c:pt idx="8">
                  <c:v>24204.5604041275</c:v>
                </c:pt>
                <c:pt idx="9">
                  <c:v>135488.015431425</c:v>
                </c:pt>
              </c:numCache>
            </c:numRef>
          </c:val>
          <c:smooth val="1"/>
        </c:ser>
        <c:ser>
          <c:idx val="2"/>
          <c:order val="2"/>
          <c:tx>
            <c:strRef>
              <c:f>PnL_Summary!D4</c:f>
              <c:strCache>
                <c:ptCount val="1"/>
                <c:pt idx="0">
                  <c:v>Credit PnL (USD)</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PnL_Summary!$A$5:$A$14</c:f>
              <c:strCache>
                <c:ptCount val="10"/>
                <c:pt idx="0">
                  <c:v>Scenario 1</c:v>
                </c:pt>
                <c:pt idx="1">
                  <c:v>Scenario 2</c:v>
                </c:pt>
                <c:pt idx="2">
                  <c:v>Scenario 3</c:v>
                </c:pt>
                <c:pt idx="3">
                  <c:v>Scenario 4</c:v>
                </c:pt>
                <c:pt idx="4">
                  <c:v>Scenario 5</c:v>
                </c:pt>
                <c:pt idx="5">
                  <c:v>Scenario 6</c:v>
                </c:pt>
                <c:pt idx="6">
                  <c:v>Scenario 7</c:v>
                </c:pt>
                <c:pt idx="7">
                  <c:v>Scenario 8</c:v>
                </c:pt>
                <c:pt idx="8">
                  <c:v>Scenario 9</c:v>
                </c:pt>
                <c:pt idx="9">
                  <c:v>Scenario 10</c:v>
                </c:pt>
              </c:strCache>
            </c:strRef>
          </c:cat>
          <c:val>
            <c:numRef>
              <c:f>PnL_Summary!$D$5:$D$14</c:f>
              <c:numCache>
                <c:formatCode>#,##0.00;\(#,##0.00\)</c:formatCode>
                <c:ptCount val="10"/>
                <c:pt idx="0">
                  <c:v>-37825.7968787812</c:v>
                </c:pt>
                <c:pt idx="1">
                  <c:v>-31272.0955403186</c:v>
                </c:pt>
                <c:pt idx="2">
                  <c:v>-40575.5706020817</c:v>
                </c:pt>
                <c:pt idx="3">
                  <c:v>-70797.3185566664</c:v>
                </c:pt>
                <c:pt idx="4">
                  <c:v>-64115.106465783</c:v>
                </c:pt>
                <c:pt idx="5">
                  <c:v>-85953.2132942695</c:v>
                </c:pt>
                <c:pt idx="6">
                  <c:v>-71497.4993748292</c:v>
                </c:pt>
                <c:pt idx="7">
                  <c:v>-102631.983082671</c:v>
                </c:pt>
                <c:pt idx="8">
                  <c:v>-112317.633996386</c:v>
                </c:pt>
                <c:pt idx="9">
                  <c:v>-31613.8690954633</c:v>
                </c:pt>
              </c:numCache>
            </c:numRef>
          </c:val>
          <c:smooth val="1"/>
        </c:ser>
        <c:ser>
          <c:idx val="3"/>
          <c:order val="3"/>
          <c:tx>
            <c:strRef>
              <c:f>PnL_Summary!E4</c:f>
              <c:strCache>
                <c:ptCount val="1"/>
                <c:pt idx="0">
                  <c:v>FX PnL (USD)</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PnL_Summary!$A$5:$A$14</c:f>
              <c:strCache>
                <c:ptCount val="10"/>
                <c:pt idx="0">
                  <c:v>Scenario 1</c:v>
                </c:pt>
                <c:pt idx="1">
                  <c:v>Scenario 2</c:v>
                </c:pt>
                <c:pt idx="2">
                  <c:v>Scenario 3</c:v>
                </c:pt>
                <c:pt idx="3">
                  <c:v>Scenario 4</c:v>
                </c:pt>
                <c:pt idx="4">
                  <c:v>Scenario 5</c:v>
                </c:pt>
                <c:pt idx="5">
                  <c:v>Scenario 6</c:v>
                </c:pt>
                <c:pt idx="6">
                  <c:v>Scenario 7</c:v>
                </c:pt>
                <c:pt idx="7">
                  <c:v>Scenario 8</c:v>
                </c:pt>
                <c:pt idx="8">
                  <c:v>Scenario 9</c:v>
                </c:pt>
                <c:pt idx="9">
                  <c:v>Scenario 10</c:v>
                </c:pt>
              </c:strCache>
            </c:strRef>
          </c:cat>
          <c:val>
            <c:numRef>
              <c:f>PnL_Summary!$E$5:$E$14</c:f>
              <c:numCache>
                <c:formatCode>#,##0.00;\(#,##0.00\)</c:formatCode>
                <c:ptCount val="10"/>
                <c:pt idx="0">
                  <c:v>-20938.4394061528</c:v>
                </c:pt>
                <c:pt idx="1">
                  <c:v>-28079.8877904695</c:v>
                </c:pt>
                <c:pt idx="2">
                  <c:v>-30594.2422538474</c:v>
                </c:pt>
                <c:pt idx="3">
                  <c:v>16180.4484719206</c:v>
                </c:pt>
                <c:pt idx="4">
                  <c:v>-38388.9287798144</c:v>
                </c:pt>
                <c:pt idx="5">
                  <c:v>-19074.5800839607</c:v>
                </c:pt>
                <c:pt idx="6">
                  <c:v>-43829.766838355</c:v>
                </c:pt>
                <c:pt idx="7">
                  <c:v>-4151.55194514617</c:v>
                </c:pt>
                <c:pt idx="8">
                  <c:v>-50522.4328916892</c:v>
                </c:pt>
                <c:pt idx="9">
                  <c:v>-54299.2695993483</c:v>
                </c:pt>
              </c:numCache>
            </c:numRef>
          </c:val>
          <c:smooth val="1"/>
        </c:ser>
        <c:hiLowLines>
          <c:spPr>
            <a:ln w="0">
              <a:noFill/>
            </a:ln>
          </c:spPr>
        </c:hiLowLines>
        <c:marker val="0"/>
        <c:axId val="65432525"/>
        <c:axId val="12846261"/>
      </c:lineChart>
      <c:catAx>
        <c:axId val="6543252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Scenario</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846261"/>
        <c:crosses val="autoZero"/>
        <c:auto val="1"/>
        <c:lblAlgn val="ctr"/>
        <c:lblOffset val="100"/>
        <c:noMultiLvlLbl val="0"/>
      </c:catAx>
      <c:valAx>
        <c:axId val="1284626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PnL (USD)</a:t>
                </a:r>
              </a:p>
            </c:rich>
          </c:tx>
          <c:overlay val="0"/>
          <c:spPr>
            <a:noFill/>
            <a:ln w="0">
              <a:noFill/>
            </a:ln>
          </c:spPr>
        </c:title>
        <c:numFmt formatCode="#,##0.0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43252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10080</xdr:rowOff>
    </xdr:from>
    <xdr:to>
      <xdr:col>8</xdr:col>
      <xdr:colOff>586800</xdr:colOff>
      <xdr:row>40</xdr:row>
      <xdr:rowOff>159480</xdr:rowOff>
    </xdr:to>
    <xdr:graphicFrame>
      <xdr:nvGraphicFramePr>
        <xdr:cNvPr id="0" name="Chart 1"/>
        <xdr:cNvGraphicFramePr/>
      </xdr:nvGraphicFramePr>
      <xdr:xfrm>
        <a:off x="0" y="4153320"/>
        <a:ext cx="791928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10"/>
  </cols>
  <sheetData>
    <row r="2" customFormat="false" ht="18" hidden="false" customHeight="true" outlineLevel="0" collapsed="false">
      <c r="B2" s="2" t="s">
        <v>0</v>
      </c>
    </row>
    <row r="3" customFormat="false" ht="30" hidden="false" customHeight="true" outlineLevel="0" collapsed="false">
      <c r="B3" s="3" t="s">
        <v>1</v>
      </c>
    </row>
    <row r="5" customFormat="false" ht="15" hidden="false" customHeight="true" outlineLevel="0" collapsed="false">
      <c r="B5" s="4" t="s">
        <v>2</v>
      </c>
    </row>
    <row r="6" customFormat="false" ht="45" hidden="false" customHeight="true" outlineLevel="0" collapsed="false">
      <c r="B6" s="5" t="s">
        <v>3</v>
      </c>
    </row>
    <row r="8" customFormat="false" ht="15" hidden="false" customHeight="true" outlineLevel="0" collapsed="false">
      <c r="B8" s="4" t="s">
        <v>4</v>
      </c>
    </row>
    <row r="9" customFormat="false" ht="45" hidden="false" customHeight="true" outlineLevel="0" collapsed="false">
      <c r="B9" s="5" t="s">
        <v>5</v>
      </c>
    </row>
    <row r="11" customFormat="false" ht="15" hidden="false" customHeight="true" outlineLevel="0" collapsed="false">
      <c r="B11" s="4" t="s">
        <v>6</v>
      </c>
    </row>
    <row r="12" customFormat="false" ht="45" hidden="false" customHeight="true" outlineLevel="0" collapsed="false">
      <c r="B12" s="5" t="s">
        <v>7</v>
      </c>
    </row>
    <row r="14" customFormat="false" ht="15" hidden="false" customHeight="true" outlineLevel="0" collapsed="false">
      <c r="B14" s="4" t="s">
        <v>8</v>
      </c>
    </row>
    <row r="15" customFormat="false" ht="45" hidden="false" customHeight="true" outlineLevel="0" collapsed="false">
      <c r="B15" s="5" t="s">
        <v>9</v>
      </c>
    </row>
    <row r="17" customFormat="false" ht="15" hidden="false" customHeight="true" outlineLevel="0" collapsed="false">
      <c r="B17" s="4" t="s">
        <v>10</v>
      </c>
    </row>
    <row r="18" customFormat="false" ht="45" hidden="false" customHeight="true" outlineLevel="0" collapsed="false">
      <c r="B18" s="5" t="s">
        <v>11</v>
      </c>
    </row>
    <row r="20" customFormat="false" ht="15" hidden="false" customHeight="true" outlineLevel="0" collapsed="false">
      <c r="B20" s="4" t="s">
        <v>12</v>
      </c>
    </row>
    <row r="21" customFormat="false" ht="45" hidden="false" customHeight="true" outlineLevel="0" collapsed="false">
      <c r="B21" s="5" t="s">
        <v>13</v>
      </c>
    </row>
    <row r="23" customFormat="false" ht="15" hidden="false" customHeight="true" outlineLevel="0" collapsed="false">
      <c r="B23" s="4" t="s">
        <v>14</v>
      </c>
    </row>
    <row r="24" customFormat="false" ht="45" hidden="false" customHeight="true" outlineLevel="0" collapsed="false">
      <c r="B24" s="5" t="s">
        <v>15</v>
      </c>
    </row>
    <row r="26" customFormat="false" ht="15" hidden="false" customHeight="true" outlineLevel="0" collapsed="false">
      <c r="B26" s="4" t="s">
        <v>16</v>
      </c>
    </row>
    <row r="27" customFormat="false" ht="45" hidden="false" customHeight="true" outlineLevel="0" collapsed="false">
      <c r="B27" s="5"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6"/>
    <col collapsed="false" customWidth="true" hidden="false" outlineLevel="0" max="3" min="3" style="1" width="40"/>
  </cols>
  <sheetData>
    <row r="1" customFormat="false" ht="17.25" hidden="false" customHeight="true" outlineLevel="0" collapsed="false">
      <c r="A1" s="6" t="s">
        <v>18</v>
      </c>
    </row>
    <row r="3" customFormat="false" ht="15" hidden="false" customHeight="true" outlineLevel="0" collapsed="false">
      <c r="A3" s="4" t="s">
        <v>19</v>
      </c>
      <c r="B3" s="7" t="s">
        <v>20</v>
      </c>
    </row>
    <row r="4" customFormat="false" ht="15" hidden="false" customHeight="true" outlineLevel="0" collapsed="false">
      <c r="A4" s="4" t="s">
        <v>21</v>
      </c>
      <c r="B4" s="7" t="s">
        <v>22</v>
      </c>
    </row>
    <row r="5" customFormat="false" ht="15" hidden="false" customHeight="true" outlineLevel="0" collapsed="false">
      <c r="A5" s="4" t="s">
        <v>23</v>
      </c>
      <c r="B5" s="7" t="s">
        <v>24</v>
      </c>
    </row>
    <row r="6" customFormat="false" ht="15" hidden="false" customHeight="true" outlineLevel="0" collapsed="false">
      <c r="A6" s="4" t="s">
        <v>25</v>
      </c>
      <c r="B6" s="7" t="n">
        <v>10</v>
      </c>
    </row>
    <row r="7" customFormat="false" ht="15" hidden="false" customHeight="true" outlineLevel="0" collapsed="false">
      <c r="A7" s="4" t="s">
        <v>26</v>
      </c>
      <c r="B7" s="7" t="n">
        <v>10000000</v>
      </c>
    </row>
    <row r="8" customFormat="false" ht="15" hidden="false" customHeight="true" outlineLevel="0" collapsed="false">
      <c r="A8" s="4" t="s">
        <v>27</v>
      </c>
      <c r="B8" s="7" t="s">
        <v>28</v>
      </c>
    </row>
    <row r="9" customFormat="false" ht="15" hidden="false" customHeight="true" outlineLevel="0" collapsed="false">
      <c r="A9" s="4" t="s">
        <v>29</v>
      </c>
      <c r="B9" s="7" t="s">
        <v>30</v>
      </c>
    </row>
    <row r="10" customFormat="false" ht="15" hidden="false" customHeight="true" outlineLevel="0" collapsed="false">
      <c r="A10" s="4" t="s">
        <v>31</v>
      </c>
      <c r="B10" s="7" t="s">
        <v>32</v>
      </c>
    </row>
    <row r="12" customFormat="false" ht="17.25" hidden="false" customHeight="true" outlineLevel="0" collapsed="false">
      <c r="A12" s="6" t="s">
        <v>33</v>
      </c>
    </row>
    <row r="13" customFormat="false" ht="15" hidden="false" customHeight="true" outlineLevel="0" collapsed="false">
      <c r="A13" s="8" t="s">
        <v>34</v>
      </c>
      <c r="B13" s="8" t="s">
        <v>35</v>
      </c>
      <c r="C13" s="8" t="s">
        <v>36</v>
      </c>
    </row>
    <row r="14" customFormat="false" ht="15" hidden="false" customHeight="true" outlineLevel="0" collapsed="false">
      <c r="A14" s="9" t="s">
        <v>37</v>
      </c>
      <c r="B14" s="9" t="s">
        <v>38</v>
      </c>
      <c r="C14" s="10" t="s">
        <v>39</v>
      </c>
    </row>
    <row r="15" customFormat="false" ht="15" hidden="false" customHeight="true" outlineLevel="0" collapsed="false">
      <c r="A15" s="9" t="s">
        <v>40</v>
      </c>
      <c r="B15" s="9" t="s">
        <v>38</v>
      </c>
      <c r="C15" s="10" t="s">
        <v>41</v>
      </c>
    </row>
    <row r="16" customFormat="false" ht="15" hidden="false" customHeight="true" outlineLevel="0" collapsed="false">
      <c r="A16" s="9" t="s">
        <v>42</v>
      </c>
      <c r="B16" s="9" t="s">
        <v>43</v>
      </c>
      <c r="C16" s="10" t="s">
        <v>44</v>
      </c>
    </row>
    <row r="17" customFormat="false" ht="15" hidden="false" customHeight="true" outlineLevel="0" collapsed="false">
      <c r="A17" s="9" t="s">
        <v>45</v>
      </c>
      <c r="B17" s="9" t="s">
        <v>38</v>
      </c>
      <c r="C17" s="10" t="s">
        <v>46</v>
      </c>
    </row>
    <row r="18" customFormat="false" ht="15" hidden="false" customHeight="true" outlineLevel="0" collapsed="false">
      <c r="A18" s="9" t="s">
        <v>47</v>
      </c>
      <c r="B18" s="9" t="s">
        <v>43</v>
      </c>
      <c r="C18" s="10" t="s">
        <v>48</v>
      </c>
    </row>
    <row r="19" customFormat="false" ht="15" hidden="false" customHeight="true" outlineLevel="0" collapsed="false">
      <c r="A19" s="9" t="s">
        <v>49</v>
      </c>
      <c r="B19" s="9" t="s">
        <v>50</v>
      </c>
      <c r="C19" s="10" t="s">
        <v>51</v>
      </c>
    </row>
    <row r="20" customFormat="false" ht="15" hidden="false" customHeight="true" outlineLevel="0" collapsed="false">
      <c r="A20" s="9" t="s">
        <v>52</v>
      </c>
      <c r="B20" s="9" t="s">
        <v>43</v>
      </c>
      <c r="C20" s="10"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2"/>
    <col collapsed="false" customWidth="true" hidden="false" outlineLevel="0" max="11" min="3" style="1" width="10"/>
  </cols>
  <sheetData>
    <row r="1" customFormat="false" ht="17.25" hidden="false" customHeight="true" outlineLevel="0" collapsed="false">
      <c r="A1" s="11" t="s">
        <v>54</v>
      </c>
      <c r="B1" s="11"/>
      <c r="C1" s="11"/>
      <c r="D1" s="11"/>
      <c r="E1" s="11"/>
      <c r="F1" s="11"/>
      <c r="G1" s="11"/>
      <c r="H1" s="11"/>
      <c r="I1" s="11"/>
      <c r="J1" s="11"/>
      <c r="K1" s="11"/>
    </row>
    <row r="3" customFormat="false" ht="15" hidden="false" customHeight="true" outlineLevel="0" collapsed="false">
      <c r="A3" s="12" t="s">
        <v>55</v>
      </c>
      <c r="B3" s="12" t="s">
        <v>35</v>
      </c>
      <c r="C3" s="13" t="s">
        <v>56</v>
      </c>
      <c r="D3" s="13" t="s">
        <v>57</v>
      </c>
      <c r="E3" s="13" t="s">
        <v>30</v>
      </c>
      <c r="F3" s="13" t="s">
        <v>58</v>
      </c>
      <c r="G3" s="13" t="s">
        <v>59</v>
      </c>
      <c r="H3" s="13" t="s">
        <v>60</v>
      </c>
      <c r="I3" s="13" t="s">
        <v>61</v>
      </c>
      <c r="J3" s="13" t="s">
        <v>62</v>
      </c>
      <c r="K3" s="13" t="s">
        <v>63</v>
      </c>
    </row>
    <row r="4" customFormat="false" ht="15" hidden="false" customHeight="true" outlineLevel="0" collapsed="false">
      <c r="A4" s="1" t="s">
        <v>64</v>
      </c>
      <c r="C4" s="14" t="s">
        <v>65</v>
      </c>
      <c r="D4" s="14" t="s">
        <v>66</v>
      </c>
      <c r="E4" s="14" t="s">
        <v>67</v>
      </c>
      <c r="F4" s="14" t="s">
        <v>68</v>
      </c>
      <c r="G4" s="14" t="s">
        <v>69</v>
      </c>
      <c r="H4" s="14" t="s">
        <v>70</v>
      </c>
      <c r="I4" s="14" t="s">
        <v>71</v>
      </c>
      <c r="J4" s="14" t="s">
        <v>72</v>
      </c>
      <c r="K4" s="14" t="s">
        <v>73</v>
      </c>
    </row>
    <row r="5" customFormat="false" ht="15" hidden="false" customHeight="true" outlineLevel="0" collapsed="false">
      <c r="A5" s="4" t="s">
        <v>74</v>
      </c>
      <c r="C5" s="15" t="n">
        <v>0.25</v>
      </c>
      <c r="D5" s="15" t="n">
        <v>0.5</v>
      </c>
      <c r="E5" s="15" t="n">
        <v>1</v>
      </c>
      <c r="F5" s="15" t="n">
        <v>2</v>
      </c>
      <c r="G5" s="15" t="n">
        <v>3</v>
      </c>
      <c r="H5" s="15" t="n">
        <v>5</v>
      </c>
      <c r="I5" s="15" t="n">
        <v>10</v>
      </c>
      <c r="J5" s="15" t="n">
        <v>20</v>
      </c>
      <c r="K5" s="15" t="n">
        <v>30</v>
      </c>
    </row>
    <row r="6" customFormat="false" ht="15" hidden="false" customHeight="true" outlineLevel="0" collapsed="false">
      <c r="A6" s="4" t="s">
        <v>42</v>
      </c>
      <c r="B6" s="9" t="s">
        <v>43</v>
      </c>
      <c r="C6" s="16" t="n">
        <v>0.989298</v>
      </c>
      <c r="D6" s="16" t="n">
        <v>0.978693</v>
      </c>
      <c r="E6" s="16" t="n">
        <v>0.957768</v>
      </c>
      <c r="F6" s="16" t="n">
        <v>0.917044</v>
      </c>
      <c r="G6" s="16" t="n">
        <v>0.877788</v>
      </c>
      <c r="H6" s="16" t="n">
        <v>0.803523</v>
      </c>
      <c r="I6" s="16" t="n">
        <v>0.640824</v>
      </c>
      <c r="J6" s="16" t="n">
        <v>0.410656</v>
      </c>
      <c r="K6" s="16" t="n">
        <v>0.263158</v>
      </c>
    </row>
    <row r="7" customFormat="false" ht="15" hidden="false" customHeight="true" outlineLevel="0" collapsed="false">
      <c r="A7" s="4" t="s">
        <v>52</v>
      </c>
      <c r="B7" s="9" t="s">
        <v>43</v>
      </c>
      <c r="C7" s="16" t="n">
        <v>0.992271</v>
      </c>
      <c r="D7" s="16" t="n">
        <v>0.984583</v>
      </c>
      <c r="E7" s="16" t="n">
        <v>0.96933</v>
      </c>
      <c r="F7" s="16" t="n">
        <v>0.939319</v>
      </c>
      <c r="G7" s="16" t="n">
        <v>0.909964</v>
      </c>
      <c r="H7" s="16" t="n">
        <v>0.85321</v>
      </c>
      <c r="I7" s="16" t="n">
        <v>0.722527</v>
      </c>
      <c r="J7" s="16" t="n">
        <v>0.522046</v>
      </c>
      <c r="K7" s="16" t="n">
        <v>0.377192</v>
      </c>
    </row>
    <row r="8" customFormat="false" ht="15" hidden="false" customHeight="true" outlineLevel="0" collapsed="false">
      <c r="A8" s="4" t="s">
        <v>45</v>
      </c>
      <c r="B8" s="9" t="s">
        <v>38</v>
      </c>
      <c r="C8" s="16" t="n">
        <v>0.989546</v>
      </c>
      <c r="D8" s="16" t="n">
        <v>0.979182</v>
      </c>
      <c r="E8" s="16" t="n">
        <v>0.958726</v>
      </c>
      <c r="F8" s="16" t="n">
        <v>0.91888</v>
      </c>
      <c r="G8" s="16" t="n">
        <v>0.880425</v>
      </c>
      <c r="H8" s="16" t="n">
        <v>0.80755</v>
      </c>
      <c r="I8" s="16" t="n">
        <v>0.647265</v>
      </c>
      <c r="J8" s="16" t="n">
        <v>0.418952</v>
      </c>
      <c r="K8" s="16" t="n">
        <v>0.271173</v>
      </c>
    </row>
    <row r="9" customFormat="false" ht="15" hidden="false" customHeight="true" outlineLevel="0" collapsed="false">
      <c r="A9" s="4" t="s">
        <v>37</v>
      </c>
      <c r="B9" s="9" t="s">
        <v>38</v>
      </c>
      <c r="C9" s="16" t="n">
        <v>0.988557</v>
      </c>
      <c r="D9" s="16" t="n">
        <v>0.977226</v>
      </c>
      <c r="E9" s="16" t="n">
        <v>0.954899</v>
      </c>
      <c r="F9" s="16" t="n">
        <v>0.911558</v>
      </c>
      <c r="G9" s="16" t="n">
        <v>0.869924</v>
      </c>
      <c r="H9" s="16" t="n">
        <v>0.79156</v>
      </c>
      <c r="I9" s="16" t="n">
        <v>0.621885</v>
      </c>
      <c r="J9" s="16" t="n">
        <v>0.386741</v>
      </c>
      <c r="K9" s="16" t="n">
        <v>0.240508</v>
      </c>
    </row>
    <row r="10" customFormat="false" ht="15" hidden="false" customHeight="true" outlineLevel="0" collapsed="false">
      <c r="A10" s="4" t="s">
        <v>40</v>
      </c>
      <c r="B10" s="9" t="s">
        <v>38</v>
      </c>
      <c r="C10" s="16" t="n">
        <v>0.991775</v>
      </c>
      <c r="D10" s="16" t="n">
        <v>0.983598</v>
      </c>
      <c r="E10" s="16" t="n">
        <v>0.967393</v>
      </c>
      <c r="F10" s="16" t="n">
        <v>0.935569</v>
      </c>
      <c r="G10" s="16" t="n">
        <v>0.904521</v>
      </c>
      <c r="H10" s="16" t="n">
        <v>0.84472</v>
      </c>
      <c r="I10" s="16" t="n">
        <v>0.70822</v>
      </c>
      <c r="J10" s="16" t="n">
        <v>0.501576</v>
      </c>
      <c r="K10" s="16" t="n">
        <v>0.355226</v>
      </c>
    </row>
    <row r="11" customFormat="false" ht="15" hidden="false" customHeight="true" outlineLevel="0" collapsed="false">
      <c r="A11" s="4" t="s">
        <v>49</v>
      </c>
      <c r="B11" s="9" t="s">
        <v>50</v>
      </c>
      <c r="C11" s="16" t="n">
        <v>0.990041</v>
      </c>
      <c r="D11" s="16" t="n">
        <v>0.980162</v>
      </c>
      <c r="E11" s="16" t="n">
        <v>0.960645</v>
      </c>
      <c r="F11" s="16" t="n">
        <v>0.922563</v>
      </c>
      <c r="G11" s="16" t="n">
        <v>0.885724</v>
      </c>
      <c r="H11" s="16" t="n">
        <v>0.815666</v>
      </c>
      <c r="I11" s="16" t="n">
        <v>0.66034</v>
      </c>
      <c r="J11" s="16" t="n">
        <v>0.436049</v>
      </c>
      <c r="K11" s="16" t="n">
        <v>0.287941</v>
      </c>
    </row>
    <row r="13" customFormat="false" ht="15" hidden="false" customHeight="true" outlineLevel="0" collapsed="false">
      <c r="A13" s="17" t="s">
        <v>75</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2"/>
    <col collapsed="false" customWidth="true" hidden="false" outlineLevel="0" max="11" min="3" style="1" width="10"/>
  </cols>
  <sheetData>
    <row r="1" customFormat="false" ht="17.25" hidden="false" customHeight="true" outlineLevel="0" collapsed="false">
      <c r="A1" s="18" t="s">
        <v>76</v>
      </c>
      <c r="B1" s="18"/>
      <c r="C1" s="18"/>
      <c r="D1" s="18"/>
      <c r="E1" s="18"/>
      <c r="F1" s="18"/>
      <c r="G1" s="18"/>
      <c r="H1" s="18"/>
      <c r="I1" s="18"/>
      <c r="J1" s="18"/>
      <c r="K1" s="18"/>
    </row>
    <row r="3" customFormat="false" ht="15" hidden="false" customHeight="true" outlineLevel="0" collapsed="false">
      <c r="A3" s="19" t="s">
        <v>77</v>
      </c>
      <c r="B3" s="19"/>
      <c r="C3" s="13" t="s">
        <v>56</v>
      </c>
      <c r="D3" s="13" t="s">
        <v>57</v>
      </c>
      <c r="E3" s="13" t="s">
        <v>30</v>
      </c>
      <c r="F3" s="13" t="s">
        <v>58</v>
      </c>
      <c r="G3" s="13" t="s">
        <v>59</v>
      </c>
      <c r="H3" s="13" t="s">
        <v>60</v>
      </c>
      <c r="I3" s="13" t="s">
        <v>61</v>
      </c>
      <c r="J3" s="13" t="s">
        <v>62</v>
      </c>
      <c r="K3" s="13" t="s">
        <v>63</v>
      </c>
    </row>
    <row r="4" customFormat="false" ht="15" hidden="false" customHeight="true" outlineLevel="0" collapsed="false">
      <c r="A4" s="9" t="s">
        <v>42</v>
      </c>
      <c r="B4" s="20" t="s">
        <v>43</v>
      </c>
      <c r="C4" s="21" t="n">
        <v>-40.9</v>
      </c>
      <c r="D4" s="21" t="n">
        <v>34.3</v>
      </c>
      <c r="E4" s="21" t="n">
        <v>31.4</v>
      </c>
      <c r="F4" s="21" t="n">
        <v>-21.7</v>
      </c>
      <c r="G4" s="21" t="n">
        <v>-13</v>
      </c>
      <c r="H4" s="21" t="n">
        <v>6.1</v>
      </c>
      <c r="I4" s="21" t="n">
        <v>2.9</v>
      </c>
      <c r="J4" s="21" t="n">
        <v>2.1</v>
      </c>
      <c r="K4" s="21" t="n">
        <v>1.2</v>
      </c>
    </row>
    <row r="5" customFormat="false" ht="15" hidden="false" customHeight="true" outlineLevel="0" collapsed="false">
      <c r="A5" s="9" t="s">
        <v>52</v>
      </c>
      <c r="B5" s="20" t="s">
        <v>43</v>
      </c>
      <c r="C5" s="21" t="n">
        <v>-35.5</v>
      </c>
      <c r="D5" s="21" t="n">
        <v>31.9</v>
      </c>
      <c r="E5" s="21" t="n">
        <v>24.1</v>
      </c>
      <c r="F5" s="21" t="n">
        <v>18.3</v>
      </c>
      <c r="G5" s="21" t="n">
        <v>-8.9</v>
      </c>
      <c r="H5" s="21" t="n">
        <v>5.7</v>
      </c>
      <c r="I5" s="21" t="n">
        <v>2.8</v>
      </c>
      <c r="J5" s="21" t="n">
        <v>1.3</v>
      </c>
      <c r="K5" s="21" t="n">
        <v>0.6</v>
      </c>
    </row>
    <row r="6" customFormat="false" ht="15" hidden="false" customHeight="true" outlineLevel="0" collapsed="false">
      <c r="A6" s="9" t="s">
        <v>45</v>
      </c>
      <c r="B6" s="20" t="s">
        <v>38</v>
      </c>
      <c r="C6" s="21" t="n">
        <v>49.9</v>
      </c>
      <c r="D6" s="21" t="n">
        <v>46.7</v>
      </c>
      <c r="E6" s="21" t="n">
        <v>-34.6</v>
      </c>
      <c r="F6" s="21" t="n">
        <v>21.6</v>
      </c>
      <c r="G6" s="21" t="n">
        <v>13</v>
      </c>
      <c r="H6" s="21" t="n">
        <v>7.2</v>
      </c>
      <c r="I6" s="21" t="n">
        <v>4.1</v>
      </c>
      <c r="J6" s="21" t="n">
        <v>1.9</v>
      </c>
      <c r="K6" s="21" t="n">
        <v>1.2</v>
      </c>
    </row>
    <row r="7" customFormat="false" ht="15" hidden="false" customHeight="true" outlineLevel="0" collapsed="false">
      <c r="A7" s="9" t="s">
        <v>37</v>
      </c>
      <c r="B7" s="20" t="s">
        <v>38</v>
      </c>
      <c r="C7" s="21" t="n">
        <v>75.2</v>
      </c>
      <c r="D7" s="21" t="n">
        <v>60.7</v>
      </c>
      <c r="E7" s="21" t="n">
        <v>51.5</v>
      </c>
      <c r="F7" s="21" t="n">
        <v>44.3</v>
      </c>
      <c r="G7" s="21" t="n">
        <v>26.8</v>
      </c>
      <c r="H7" s="21" t="n">
        <v>15.7</v>
      </c>
      <c r="I7" s="21" t="n">
        <v>-6.2</v>
      </c>
      <c r="J7" s="21" t="n">
        <v>3.8</v>
      </c>
      <c r="K7" s="21" t="n">
        <v>2.5</v>
      </c>
    </row>
    <row r="8" customFormat="false" ht="15" hidden="false" customHeight="true" outlineLevel="0" collapsed="false">
      <c r="A8" s="9" t="s">
        <v>40</v>
      </c>
      <c r="B8" s="20" t="s">
        <v>38</v>
      </c>
      <c r="C8" s="21" t="n">
        <v>64.8</v>
      </c>
      <c r="D8" s="21" t="n">
        <v>54.8</v>
      </c>
      <c r="E8" s="21" t="n">
        <v>47.2</v>
      </c>
      <c r="F8" s="21" t="n">
        <v>28</v>
      </c>
      <c r="G8" s="21" t="n">
        <v>18.8</v>
      </c>
      <c r="H8" s="21" t="n">
        <v>10.1</v>
      </c>
      <c r="I8" s="21" t="n">
        <v>5.2</v>
      </c>
      <c r="J8" s="21" t="n">
        <v>3</v>
      </c>
      <c r="K8" s="21" t="n">
        <v>-1.8</v>
      </c>
    </row>
    <row r="9" customFormat="false" ht="15" hidden="false" customHeight="true" outlineLevel="0" collapsed="false">
      <c r="A9" s="9" t="s">
        <v>49</v>
      </c>
      <c r="B9" s="20" t="s">
        <v>50</v>
      </c>
      <c r="C9" s="21" t="n">
        <v>23.9</v>
      </c>
      <c r="D9" s="21" t="n">
        <v>26.9</v>
      </c>
      <c r="E9" s="21" t="n">
        <v>18.9</v>
      </c>
      <c r="F9" s="21" t="n">
        <v>16.3</v>
      </c>
      <c r="G9" s="21" t="n">
        <v>11</v>
      </c>
      <c r="H9" s="21" t="n">
        <v>5.2</v>
      </c>
      <c r="I9" s="21" t="n">
        <v>3.4</v>
      </c>
      <c r="J9" s="21" t="n">
        <v>1.9</v>
      </c>
      <c r="K9" s="21" t="n">
        <v>1.2</v>
      </c>
    </row>
    <row r="11" customFormat="false" ht="15" hidden="false" customHeight="true" outlineLevel="0" collapsed="false">
      <c r="A11" s="19" t="s">
        <v>78</v>
      </c>
      <c r="B11" s="19"/>
      <c r="C11" s="13" t="s">
        <v>56</v>
      </c>
      <c r="D11" s="13" t="s">
        <v>57</v>
      </c>
      <c r="E11" s="13" t="s">
        <v>30</v>
      </c>
      <c r="F11" s="13" t="s">
        <v>58</v>
      </c>
      <c r="G11" s="13" t="s">
        <v>59</v>
      </c>
      <c r="H11" s="13" t="s">
        <v>60</v>
      </c>
      <c r="I11" s="13" t="s">
        <v>61</v>
      </c>
      <c r="J11" s="13" t="s">
        <v>62</v>
      </c>
      <c r="K11" s="13" t="s">
        <v>63</v>
      </c>
    </row>
    <row r="12" customFormat="false" ht="15" hidden="false" customHeight="true" outlineLevel="0" collapsed="false">
      <c r="A12" s="9" t="s">
        <v>42</v>
      </c>
      <c r="B12" s="20" t="s">
        <v>43</v>
      </c>
      <c r="C12" s="21" t="n">
        <v>45.8</v>
      </c>
      <c r="D12" s="21" t="n">
        <v>45.7</v>
      </c>
      <c r="E12" s="21" t="n">
        <v>34.7</v>
      </c>
      <c r="F12" s="21" t="n">
        <v>25.1</v>
      </c>
      <c r="G12" s="21" t="n">
        <v>14.8</v>
      </c>
      <c r="H12" s="21" t="n">
        <v>7.9</v>
      </c>
      <c r="I12" s="21" t="n">
        <v>4.1</v>
      </c>
      <c r="J12" s="21" t="n">
        <v>2.4</v>
      </c>
      <c r="K12" s="21" t="n">
        <v>1.4</v>
      </c>
    </row>
    <row r="13" customFormat="false" ht="15" hidden="false" customHeight="true" outlineLevel="0" collapsed="false">
      <c r="A13" s="9" t="s">
        <v>52</v>
      </c>
      <c r="B13" s="20" t="s">
        <v>43</v>
      </c>
      <c r="C13" s="21" t="n">
        <v>34.7</v>
      </c>
      <c r="D13" s="21" t="n">
        <v>37.4</v>
      </c>
      <c r="E13" s="21" t="n">
        <v>-28.1</v>
      </c>
      <c r="F13" s="21" t="n">
        <v>20.8</v>
      </c>
      <c r="G13" s="21" t="n">
        <v>10.6</v>
      </c>
      <c r="H13" s="21" t="n">
        <v>5.6</v>
      </c>
      <c r="I13" s="21" t="n">
        <v>-3.3</v>
      </c>
      <c r="J13" s="21" t="n">
        <v>1.5</v>
      </c>
      <c r="K13" s="21" t="n">
        <v>0.7</v>
      </c>
    </row>
    <row r="14" customFormat="false" ht="15" hidden="false" customHeight="true" outlineLevel="0" collapsed="false">
      <c r="A14" s="9" t="s">
        <v>45</v>
      </c>
      <c r="B14" s="20" t="s">
        <v>38</v>
      </c>
      <c r="C14" s="21" t="n">
        <v>53</v>
      </c>
      <c r="D14" s="21" t="n">
        <v>50.5</v>
      </c>
      <c r="E14" s="21" t="n">
        <v>36.1</v>
      </c>
      <c r="F14" s="21" t="n">
        <v>29.7</v>
      </c>
      <c r="G14" s="21" t="n">
        <v>16.7</v>
      </c>
      <c r="H14" s="21" t="n">
        <v>8.5</v>
      </c>
      <c r="I14" s="21" t="n">
        <v>4.5</v>
      </c>
      <c r="J14" s="21" t="n">
        <v>2.2</v>
      </c>
      <c r="K14" s="21" t="n">
        <v>1.4</v>
      </c>
    </row>
    <row r="15" customFormat="false" ht="15" hidden="false" customHeight="true" outlineLevel="0" collapsed="false">
      <c r="A15" s="9" t="s">
        <v>37</v>
      </c>
      <c r="B15" s="20" t="s">
        <v>38</v>
      </c>
      <c r="C15" s="21" t="n">
        <v>79.9</v>
      </c>
      <c r="D15" s="21" t="n">
        <v>-82.8</v>
      </c>
      <c r="E15" s="21" t="n">
        <v>61.9</v>
      </c>
      <c r="F15" s="21" t="n">
        <v>-43.5</v>
      </c>
      <c r="G15" s="21" t="n">
        <v>33.6</v>
      </c>
      <c r="H15" s="21" t="n">
        <v>16.8</v>
      </c>
      <c r="I15" s="21" t="n">
        <v>8.2</v>
      </c>
      <c r="J15" s="21" t="n">
        <v>4.2</v>
      </c>
      <c r="K15" s="21" t="n">
        <v>3</v>
      </c>
    </row>
    <row r="16" customFormat="false" ht="15" hidden="false" customHeight="true" outlineLevel="0" collapsed="false">
      <c r="A16" s="9" t="s">
        <v>40</v>
      </c>
      <c r="B16" s="20" t="s">
        <v>38</v>
      </c>
      <c r="C16" s="21" t="n">
        <v>72.6</v>
      </c>
      <c r="D16" s="21" t="n">
        <v>-67.8</v>
      </c>
      <c r="E16" s="21" t="n">
        <v>49</v>
      </c>
      <c r="F16" s="21" t="n">
        <v>37.3</v>
      </c>
      <c r="G16" s="21" t="n">
        <v>20.2</v>
      </c>
      <c r="H16" s="21" t="n">
        <v>11.4</v>
      </c>
      <c r="I16" s="21" t="n">
        <v>5.8</v>
      </c>
      <c r="J16" s="21" t="n">
        <v>3</v>
      </c>
      <c r="K16" s="21" t="n">
        <v>-2.3</v>
      </c>
    </row>
    <row r="17" customFormat="false" ht="15" hidden="false" customHeight="true" outlineLevel="0" collapsed="false">
      <c r="A17" s="9" t="s">
        <v>49</v>
      </c>
      <c r="B17" s="20" t="s">
        <v>50</v>
      </c>
      <c r="C17" s="21" t="n">
        <v>34</v>
      </c>
      <c r="D17" s="21" t="n">
        <v>32.1</v>
      </c>
      <c r="E17" s="21" t="n">
        <v>26.4</v>
      </c>
      <c r="F17" s="21" t="n">
        <v>16.9</v>
      </c>
      <c r="G17" s="21" t="n">
        <v>-11.3</v>
      </c>
      <c r="H17" s="21" t="n">
        <v>6.8</v>
      </c>
      <c r="I17" s="21" t="n">
        <v>3.7</v>
      </c>
      <c r="J17" s="21" t="n">
        <v>2.3</v>
      </c>
      <c r="K17" s="21" t="n">
        <v>1.7</v>
      </c>
    </row>
    <row r="19" customFormat="false" ht="15" hidden="false" customHeight="true" outlineLevel="0" collapsed="false">
      <c r="A19" s="19" t="s">
        <v>79</v>
      </c>
      <c r="B19" s="19"/>
      <c r="C19" s="13" t="s">
        <v>56</v>
      </c>
      <c r="D19" s="13" t="s">
        <v>57</v>
      </c>
      <c r="E19" s="13" t="s">
        <v>30</v>
      </c>
      <c r="F19" s="13" t="s">
        <v>58</v>
      </c>
      <c r="G19" s="13" t="s">
        <v>59</v>
      </c>
      <c r="H19" s="13" t="s">
        <v>60</v>
      </c>
      <c r="I19" s="13" t="s">
        <v>61</v>
      </c>
      <c r="J19" s="13" t="s">
        <v>62</v>
      </c>
      <c r="K19" s="13" t="s">
        <v>63</v>
      </c>
    </row>
    <row r="20" customFormat="false" ht="15" hidden="false" customHeight="true" outlineLevel="0" collapsed="false">
      <c r="A20" s="9" t="s">
        <v>42</v>
      </c>
      <c r="B20" s="20" t="s">
        <v>43</v>
      </c>
      <c r="C20" s="21" t="n">
        <v>53.3</v>
      </c>
      <c r="D20" s="21" t="n">
        <v>45.4</v>
      </c>
      <c r="E20" s="21" t="n">
        <v>43</v>
      </c>
      <c r="F20" s="21" t="n">
        <v>26.6</v>
      </c>
      <c r="G20" s="21" t="n">
        <v>16.2</v>
      </c>
      <c r="H20" s="21" t="n">
        <v>8.8</v>
      </c>
      <c r="I20" s="21" t="n">
        <v>4.1</v>
      </c>
      <c r="J20" s="21" t="n">
        <v>2.4</v>
      </c>
      <c r="K20" s="21" t="n">
        <v>1.8</v>
      </c>
    </row>
    <row r="21" customFormat="false" ht="15" hidden="false" customHeight="true" outlineLevel="0" collapsed="false">
      <c r="A21" s="9" t="s">
        <v>52</v>
      </c>
      <c r="B21" s="20" t="s">
        <v>43</v>
      </c>
      <c r="C21" s="21" t="n">
        <v>-41.9</v>
      </c>
      <c r="D21" s="21" t="n">
        <v>42.4</v>
      </c>
      <c r="E21" s="21" t="n">
        <v>34</v>
      </c>
      <c r="F21" s="21" t="n">
        <v>21.7</v>
      </c>
      <c r="G21" s="21" t="n">
        <v>13.3</v>
      </c>
      <c r="H21" s="21" t="n">
        <v>6.7</v>
      </c>
      <c r="I21" s="21" t="n">
        <v>3.4</v>
      </c>
      <c r="J21" s="21" t="n">
        <v>1.8</v>
      </c>
      <c r="K21" s="21" t="n">
        <v>0.9</v>
      </c>
    </row>
    <row r="22" customFormat="false" ht="15" hidden="false" customHeight="true" outlineLevel="0" collapsed="false">
      <c r="A22" s="9" t="s">
        <v>45</v>
      </c>
      <c r="B22" s="20" t="s">
        <v>38</v>
      </c>
      <c r="C22" s="21" t="n">
        <v>56.8</v>
      </c>
      <c r="D22" s="21" t="n">
        <v>62.4</v>
      </c>
      <c r="E22" s="21" t="n">
        <v>40.6</v>
      </c>
      <c r="F22" s="21" t="n">
        <v>29.5</v>
      </c>
      <c r="G22" s="21" t="n">
        <v>20.7</v>
      </c>
      <c r="H22" s="21" t="n">
        <v>10.3</v>
      </c>
      <c r="I22" s="21" t="n">
        <v>5.6</v>
      </c>
      <c r="J22" s="21" t="n">
        <v>2.7</v>
      </c>
      <c r="K22" s="21" t="n">
        <v>-1.8</v>
      </c>
    </row>
    <row r="23" customFormat="false" ht="15" hidden="false" customHeight="true" outlineLevel="0" collapsed="false">
      <c r="A23" s="9" t="s">
        <v>37</v>
      </c>
      <c r="B23" s="20" t="s">
        <v>38</v>
      </c>
      <c r="C23" s="21" t="n">
        <v>102.4</v>
      </c>
      <c r="D23" s="21" t="n">
        <v>90.6</v>
      </c>
      <c r="E23" s="21" t="n">
        <v>-69.8</v>
      </c>
      <c r="F23" s="21" t="n">
        <v>49</v>
      </c>
      <c r="G23" s="21" t="n">
        <v>33.7</v>
      </c>
      <c r="H23" s="21" t="n">
        <v>20.1</v>
      </c>
      <c r="I23" s="21" t="n">
        <v>9</v>
      </c>
      <c r="J23" s="21" t="n">
        <v>5.3</v>
      </c>
      <c r="K23" s="21" t="n">
        <v>-3.7</v>
      </c>
    </row>
    <row r="24" customFormat="false" ht="15" hidden="false" customHeight="true" outlineLevel="0" collapsed="false">
      <c r="A24" s="9" t="s">
        <v>40</v>
      </c>
      <c r="B24" s="20" t="s">
        <v>38</v>
      </c>
      <c r="C24" s="21" t="n">
        <v>78.1</v>
      </c>
      <c r="D24" s="21" t="n">
        <v>64</v>
      </c>
      <c r="E24" s="21" t="n">
        <v>58.6</v>
      </c>
      <c r="F24" s="21" t="n">
        <v>41.3</v>
      </c>
      <c r="G24" s="21" t="n">
        <v>-24.3</v>
      </c>
      <c r="H24" s="21" t="n">
        <v>12.2</v>
      </c>
      <c r="I24" s="21" t="n">
        <v>7.6</v>
      </c>
      <c r="J24" s="21" t="n">
        <v>3.7</v>
      </c>
      <c r="K24" s="21" t="n">
        <v>-2.5</v>
      </c>
    </row>
    <row r="25" customFormat="false" ht="15" hidden="false" customHeight="true" outlineLevel="0" collapsed="false">
      <c r="A25" s="9" t="s">
        <v>49</v>
      </c>
      <c r="B25" s="20" t="s">
        <v>50</v>
      </c>
      <c r="C25" s="21" t="n">
        <v>34</v>
      </c>
      <c r="D25" s="21" t="n">
        <v>35.2</v>
      </c>
      <c r="E25" s="21" t="n">
        <v>30.2</v>
      </c>
      <c r="F25" s="21" t="n">
        <v>-18.5</v>
      </c>
      <c r="G25" s="21" t="n">
        <v>13.9</v>
      </c>
      <c r="H25" s="21" t="n">
        <v>7.8</v>
      </c>
      <c r="I25" s="21" t="n">
        <v>4.1</v>
      </c>
      <c r="J25" s="21" t="n">
        <v>2.8</v>
      </c>
      <c r="K25" s="21" t="n">
        <v>1.9</v>
      </c>
    </row>
    <row r="27" customFormat="false" ht="15" hidden="false" customHeight="true" outlineLevel="0" collapsed="false">
      <c r="A27" s="19" t="s">
        <v>80</v>
      </c>
      <c r="B27" s="19"/>
      <c r="C27" s="13" t="s">
        <v>56</v>
      </c>
      <c r="D27" s="13" t="s">
        <v>57</v>
      </c>
      <c r="E27" s="13" t="s">
        <v>30</v>
      </c>
      <c r="F27" s="13" t="s">
        <v>58</v>
      </c>
      <c r="G27" s="13" t="s">
        <v>59</v>
      </c>
      <c r="H27" s="13" t="s">
        <v>60</v>
      </c>
      <c r="I27" s="13" t="s">
        <v>61</v>
      </c>
      <c r="J27" s="13" t="s">
        <v>62</v>
      </c>
      <c r="K27" s="13" t="s">
        <v>63</v>
      </c>
    </row>
    <row r="28" customFormat="false" ht="15" hidden="false" customHeight="true" outlineLevel="0" collapsed="false">
      <c r="A28" s="9" t="s">
        <v>42</v>
      </c>
      <c r="B28" s="20" t="s">
        <v>43</v>
      </c>
      <c r="C28" s="21" t="n">
        <v>54.8</v>
      </c>
      <c r="D28" s="21" t="n">
        <v>53</v>
      </c>
      <c r="E28" s="21" t="n">
        <v>46.7</v>
      </c>
      <c r="F28" s="21" t="n">
        <v>31.2</v>
      </c>
      <c r="G28" s="21" t="n">
        <v>-20.7</v>
      </c>
      <c r="H28" s="21" t="n">
        <v>10.5</v>
      </c>
      <c r="I28" s="21" t="n">
        <v>4.7</v>
      </c>
      <c r="J28" s="21" t="n">
        <v>3</v>
      </c>
      <c r="K28" s="21" t="n">
        <v>2.1</v>
      </c>
    </row>
    <row r="29" customFormat="false" ht="15" hidden="false" customHeight="true" outlineLevel="0" collapsed="false">
      <c r="A29" s="9" t="s">
        <v>52</v>
      </c>
      <c r="B29" s="20" t="s">
        <v>43</v>
      </c>
      <c r="C29" s="21" t="n">
        <v>45.7</v>
      </c>
      <c r="D29" s="21" t="n">
        <v>43.3</v>
      </c>
      <c r="E29" s="21" t="n">
        <v>40.5</v>
      </c>
      <c r="F29" s="21" t="n">
        <v>25.3</v>
      </c>
      <c r="G29" s="21" t="n">
        <v>16</v>
      </c>
      <c r="H29" s="21" t="n">
        <v>-8.5</v>
      </c>
      <c r="I29" s="21" t="n">
        <v>4.3</v>
      </c>
      <c r="J29" s="21" t="n">
        <v>2.1</v>
      </c>
      <c r="K29" s="21" t="n">
        <v>0.9</v>
      </c>
    </row>
    <row r="30" customFormat="false" ht="15" hidden="false" customHeight="true" outlineLevel="0" collapsed="false">
      <c r="A30" s="9" t="s">
        <v>45</v>
      </c>
      <c r="B30" s="20" t="s">
        <v>38</v>
      </c>
      <c r="C30" s="21" t="n">
        <v>71.9</v>
      </c>
      <c r="D30" s="21" t="n">
        <v>65.5</v>
      </c>
      <c r="E30" s="21" t="n">
        <v>48.6</v>
      </c>
      <c r="F30" s="21" t="n">
        <v>33.3</v>
      </c>
      <c r="G30" s="21" t="n">
        <v>20</v>
      </c>
      <c r="H30" s="21" t="n">
        <v>12</v>
      </c>
      <c r="I30" s="21" t="n">
        <v>6.2</v>
      </c>
      <c r="J30" s="21" t="n">
        <v>-2.9</v>
      </c>
      <c r="K30" s="21" t="n">
        <v>2</v>
      </c>
    </row>
    <row r="31" customFormat="false" ht="15" hidden="false" customHeight="true" outlineLevel="0" collapsed="false">
      <c r="A31" s="9" t="s">
        <v>37</v>
      </c>
      <c r="B31" s="20" t="s">
        <v>38</v>
      </c>
      <c r="C31" s="21" t="n">
        <v>105.6</v>
      </c>
      <c r="D31" s="21" t="n">
        <v>102.5</v>
      </c>
      <c r="E31" s="21" t="n">
        <v>81.6</v>
      </c>
      <c r="F31" s="21" t="n">
        <v>58.5</v>
      </c>
      <c r="G31" s="21" t="n">
        <v>37.2</v>
      </c>
      <c r="H31" s="21" t="n">
        <v>23.3</v>
      </c>
      <c r="I31" s="21" t="n">
        <v>10.5</v>
      </c>
      <c r="J31" s="21" t="n">
        <v>5.7</v>
      </c>
      <c r="K31" s="21" t="n">
        <v>3.6</v>
      </c>
    </row>
    <row r="32" customFormat="false" ht="15" hidden="false" customHeight="true" outlineLevel="0" collapsed="false">
      <c r="A32" s="9" t="s">
        <v>40</v>
      </c>
      <c r="B32" s="20" t="s">
        <v>38</v>
      </c>
      <c r="C32" s="21" t="n">
        <v>88.1</v>
      </c>
      <c r="D32" s="21" t="n">
        <v>81.2</v>
      </c>
      <c r="E32" s="21" t="n">
        <v>63.7</v>
      </c>
      <c r="F32" s="21" t="n">
        <v>44.4</v>
      </c>
      <c r="G32" s="21" t="n">
        <v>29</v>
      </c>
      <c r="H32" s="21" t="n">
        <v>13.9</v>
      </c>
      <c r="I32" s="21" t="n">
        <v>8.1</v>
      </c>
      <c r="J32" s="21" t="n">
        <v>4.2</v>
      </c>
      <c r="K32" s="21" t="n">
        <v>3.1</v>
      </c>
    </row>
    <row r="33" customFormat="false" ht="15" hidden="false" customHeight="true" outlineLevel="0" collapsed="false">
      <c r="A33" s="9" t="s">
        <v>49</v>
      </c>
      <c r="B33" s="20" t="s">
        <v>50</v>
      </c>
      <c r="C33" s="21" t="n">
        <v>-37.7</v>
      </c>
      <c r="D33" s="21" t="n">
        <v>36.1</v>
      </c>
      <c r="E33" s="21" t="n">
        <v>-33.5</v>
      </c>
      <c r="F33" s="21" t="n">
        <v>21.5</v>
      </c>
      <c r="G33" s="21" t="n">
        <v>14.1</v>
      </c>
      <c r="H33" s="21" t="n">
        <v>8.9</v>
      </c>
      <c r="I33" s="21" t="n">
        <v>-5.1</v>
      </c>
      <c r="J33" s="21" t="n">
        <v>3.1</v>
      </c>
      <c r="K33" s="21" t="n">
        <v>1.9</v>
      </c>
    </row>
    <row r="35" customFormat="false" ht="15" hidden="false" customHeight="true" outlineLevel="0" collapsed="false">
      <c r="A35" s="19" t="s">
        <v>81</v>
      </c>
      <c r="B35" s="19"/>
      <c r="C35" s="13" t="s">
        <v>56</v>
      </c>
      <c r="D35" s="13" t="s">
        <v>57</v>
      </c>
      <c r="E35" s="13" t="s">
        <v>30</v>
      </c>
      <c r="F35" s="13" t="s">
        <v>58</v>
      </c>
      <c r="G35" s="13" t="s">
        <v>59</v>
      </c>
      <c r="H35" s="13" t="s">
        <v>60</v>
      </c>
      <c r="I35" s="13" t="s">
        <v>61</v>
      </c>
      <c r="J35" s="13" t="s">
        <v>62</v>
      </c>
      <c r="K35" s="13" t="s">
        <v>63</v>
      </c>
    </row>
    <row r="36" customFormat="false" ht="15" hidden="false" customHeight="true" outlineLevel="0" collapsed="false">
      <c r="A36" s="9" t="s">
        <v>42</v>
      </c>
      <c r="B36" s="20" t="s">
        <v>43</v>
      </c>
      <c r="C36" s="21" t="n">
        <v>62.9</v>
      </c>
      <c r="D36" s="21" t="n">
        <v>-60.7</v>
      </c>
      <c r="E36" s="21" t="n">
        <v>47.7</v>
      </c>
      <c r="F36" s="21" t="n">
        <v>32.8</v>
      </c>
      <c r="G36" s="21" t="n">
        <v>22.5</v>
      </c>
      <c r="H36" s="21" t="n">
        <v>11.2</v>
      </c>
      <c r="I36" s="21" t="n">
        <v>5.8</v>
      </c>
      <c r="J36" s="21" t="n">
        <v>3.4</v>
      </c>
      <c r="K36" s="21" t="n">
        <v>2.3</v>
      </c>
    </row>
    <row r="37" customFormat="false" ht="15" hidden="false" customHeight="true" outlineLevel="0" collapsed="false">
      <c r="A37" s="9" t="s">
        <v>52</v>
      </c>
      <c r="B37" s="20" t="s">
        <v>43</v>
      </c>
      <c r="C37" s="21" t="n">
        <v>58.2</v>
      </c>
      <c r="D37" s="21" t="n">
        <v>49.3</v>
      </c>
      <c r="E37" s="21" t="n">
        <v>40.3</v>
      </c>
      <c r="F37" s="21" t="n">
        <v>28.6</v>
      </c>
      <c r="G37" s="21" t="n">
        <v>16.8</v>
      </c>
      <c r="H37" s="21" t="n">
        <v>8.3</v>
      </c>
      <c r="I37" s="21" t="n">
        <v>4.3</v>
      </c>
      <c r="J37" s="21" t="n">
        <v>-2.2</v>
      </c>
      <c r="K37" s="21" t="n">
        <v>1.1</v>
      </c>
    </row>
    <row r="38" customFormat="false" ht="15" hidden="false" customHeight="true" outlineLevel="0" collapsed="false">
      <c r="A38" s="9" t="s">
        <v>45</v>
      </c>
      <c r="B38" s="20" t="s">
        <v>38</v>
      </c>
      <c r="C38" s="21" t="n">
        <v>-79.3</v>
      </c>
      <c r="D38" s="21" t="n">
        <v>70.5</v>
      </c>
      <c r="E38" s="21" t="n">
        <v>54.3</v>
      </c>
      <c r="F38" s="21" t="n">
        <v>38.1</v>
      </c>
      <c r="G38" s="21" t="n">
        <v>24.5</v>
      </c>
      <c r="H38" s="21" t="n">
        <v>13.9</v>
      </c>
      <c r="I38" s="21" t="n">
        <v>-6.5</v>
      </c>
      <c r="J38" s="21" t="n">
        <v>3.2</v>
      </c>
      <c r="K38" s="21" t="n">
        <v>2.3</v>
      </c>
    </row>
    <row r="39" customFormat="false" ht="15" hidden="false" customHeight="true" outlineLevel="0" collapsed="false">
      <c r="A39" s="9" t="s">
        <v>37</v>
      </c>
      <c r="B39" s="20" t="s">
        <v>38</v>
      </c>
      <c r="C39" s="21" t="n">
        <v>119.6</v>
      </c>
      <c r="D39" s="21" t="n">
        <v>110.7</v>
      </c>
      <c r="E39" s="21" t="n">
        <v>89.7</v>
      </c>
      <c r="F39" s="21" t="n">
        <v>-65.4</v>
      </c>
      <c r="G39" s="21" t="n">
        <v>43</v>
      </c>
      <c r="H39" s="21" t="n">
        <v>23.9</v>
      </c>
      <c r="I39" s="21" t="n">
        <v>-10.9</v>
      </c>
      <c r="J39" s="21" t="n">
        <v>-6.7</v>
      </c>
      <c r="K39" s="21" t="n">
        <v>4.3</v>
      </c>
    </row>
    <row r="40" customFormat="false" ht="15" hidden="false" customHeight="true" outlineLevel="0" collapsed="false">
      <c r="A40" s="9" t="s">
        <v>40</v>
      </c>
      <c r="B40" s="20" t="s">
        <v>38</v>
      </c>
      <c r="C40" s="21" t="n">
        <v>92.2</v>
      </c>
      <c r="D40" s="21" t="n">
        <v>83.3</v>
      </c>
      <c r="E40" s="21" t="n">
        <v>66.8</v>
      </c>
      <c r="F40" s="21" t="n">
        <v>47.4</v>
      </c>
      <c r="G40" s="21" t="n">
        <v>32</v>
      </c>
      <c r="H40" s="21" t="n">
        <v>17.1</v>
      </c>
      <c r="I40" s="21" t="n">
        <v>-8.5</v>
      </c>
      <c r="J40" s="21" t="n">
        <v>4.1</v>
      </c>
      <c r="K40" s="21" t="n">
        <v>3.5</v>
      </c>
    </row>
    <row r="41" customFormat="false" ht="15" hidden="false" customHeight="true" outlineLevel="0" collapsed="false">
      <c r="A41" s="9" t="s">
        <v>49</v>
      </c>
      <c r="B41" s="20" t="s">
        <v>50</v>
      </c>
      <c r="C41" s="21" t="n">
        <v>45</v>
      </c>
      <c r="D41" s="21" t="n">
        <v>42.7</v>
      </c>
      <c r="E41" s="21" t="n">
        <v>37.5</v>
      </c>
      <c r="F41" s="21" t="n">
        <v>22.5</v>
      </c>
      <c r="G41" s="21" t="n">
        <v>15.6</v>
      </c>
      <c r="H41" s="21" t="n">
        <v>10</v>
      </c>
      <c r="I41" s="21" t="n">
        <v>5.7</v>
      </c>
      <c r="J41" s="21" t="n">
        <v>3.1</v>
      </c>
      <c r="K41" s="21" t="n">
        <v>-2.3</v>
      </c>
    </row>
    <row r="43" customFormat="false" ht="15" hidden="false" customHeight="true" outlineLevel="0" collapsed="false">
      <c r="A43" s="19" t="s">
        <v>82</v>
      </c>
      <c r="B43" s="19"/>
      <c r="C43" s="13" t="s">
        <v>56</v>
      </c>
      <c r="D43" s="13" t="s">
        <v>57</v>
      </c>
      <c r="E43" s="13" t="s">
        <v>30</v>
      </c>
      <c r="F43" s="13" t="s">
        <v>58</v>
      </c>
      <c r="G43" s="13" t="s">
        <v>59</v>
      </c>
      <c r="H43" s="13" t="s">
        <v>60</v>
      </c>
      <c r="I43" s="13" t="s">
        <v>61</v>
      </c>
      <c r="J43" s="13" t="s">
        <v>62</v>
      </c>
      <c r="K43" s="13" t="s">
        <v>63</v>
      </c>
    </row>
    <row r="44" customFormat="false" ht="15" hidden="false" customHeight="true" outlineLevel="0" collapsed="false">
      <c r="A44" s="9" t="s">
        <v>42</v>
      </c>
      <c r="B44" s="20" t="s">
        <v>43</v>
      </c>
      <c r="C44" s="21" t="n">
        <v>75.7</v>
      </c>
      <c r="D44" s="21" t="n">
        <v>-63.1</v>
      </c>
      <c r="E44" s="21" t="n">
        <v>53.1</v>
      </c>
      <c r="F44" s="21" t="n">
        <v>38.5</v>
      </c>
      <c r="G44" s="21" t="n">
        <v>-24.9</v>
      </c>
      <c r="H44" s="21" t="n">
        <v>12.4</v>
      </c>
      <c r="I44" s="21" t="n">
        <v>5.7</v>
      </c>
      <c r="J44" s="21" t="n">
        <v>3.8</v>
      </c>
      <c r="K44" s="21" t="n">
        <v>2.3</v>
      </c>
    </row>
    <row r="45" customFormat="false" ht="15" hidden="false" customHeight="true" outlineLevel="0" collapsed="false">
      <c r="A45" s="9" t="s">
        <v>52</v>
      </c>
      <c r="B45" s="20" t="s">
        <v>43</v>
      </c>
      <c r="C45" s="21" t="n">
        <v>62.8</v>
      </c>
      <c r="D45" s="21" t="n">
        <v>53.9</v>
      </c>
      <c r="E45" s="21" t="n">
        <v>46</v>
      </c>
      <c r="F45" s="21" t="n">
        <v>31.6</v>
      </c>
      <c r="G45" s="21" t="n">
        <v>17.2</v>
      </c>
      <c r="H45" s="21" t="n">
        <v>9.9</v>
      </c>
      <c r="I45" s="21" t="n">
        <v>5</v>
      </c>
      <c r="J45" s="21" t="n">
        <v>2.5</v>
      </c>
      <c r="K45" s="21" t="n">
        <v>1.2</v>
      </c>
    </row>
    <row r="46" customFormat="false" ht="15" hidden="false" customHeight="true" outlineLevel="0" collapsed="false">
      <c r="A46" s="9" t="s">
        <v>45</v>
      </c>
      <c r="B46" s="20" t="s">
        <v>38</v>
      </c>
      <c r="C46" s="21" t="n">
        <v>85.1</v>
      </c>
      <c r="D46" s="21" t="n">
        <v>78</v>
      </c>
      <c r="E46" s="21" t="n">
        <v>58.6</v>
      </c>
      <c r="F46" s="21" t="n">
        <v>-44.2</v>
      </c>
      <c r="G46" s="21" t="n">
        <v>28</v>
      </c>
      <c r="H46" s="21" t="n">
        <v>14.5</v>
      </c>
      <c r="I46" s="21" t="n">
        <v>-7.1</v>
      </c>
      <c r="J46" s="21" t="n">
        <v>3.8</v>
      </c>
      <c r="K46" s="21" t="n">
        <v>2.3</v>
      </c>
    </row>
    <row r="47" customFormat="false" ht="15" hidden="false" customHeight="true" outlineLevel="0" collapsed="false">
      <c r="A47" s="9" t="s">
        <v>37</v>
      </c>
      <c r="B47" s="20" t="s">
        <v>38</v>
      </c>
      <c r="C47" s="21" t="n">
        <v>130.3</v>
      </c>
      <c r="D47" s="21" t="n">
        <v>124.2</v>
      </c>
      <c r="E47" s="21" t="n">
        <v>96.2</v>
      </c>
      <c r="F47" s="21" t="n">
        <v>68.6</v>
      </c>
      <c r="G47" s="21" t="n">
        <v>48.3</v>
      </c>
      <c r="H47" s="21" t="n">
        <v>27.3</v>
      </c>
      <c r="I47" s="21" t="n">
        <v>12.1</v>
      </c>
      <c r="J47" s="21" t="n">
        <v>6.9</v>
      </c>
      <c r="K47" s="21" t="n">
        <v>5</v>
      </c>
    </row>
    <row r="48" customFormat="false" ht="15" hidden="false" customHeight="true" outlineLevel="0" collapsed="false">
      <c r="A48" s="9" t="s">
        <v>40</v>
      </c>
      <c r="B48" s="20" t="s">
        <v>38</v>
      </c>
      <c r="C48" s="21" t="n">
        <v>110.1</v>
      </c>
      <c r="D48" s="21" t="n">
        <v>97.2</v>
      </c>
      <c r="E48" s="21" t="n">
        <v>81.2</v>
      </c>
      <c r="F48" s="21" t="n">
        <v>55.9</v>
      </c>
      <c r="G48" s="21" t="n">
        <v>-32.8</v>
      </c>
      <c r="H48" s="21" t="n">
        <v>-17.4</v>
      </c>
      <c r="I48" s="21" t="n">
        <v>9.7</v>
      </c>
      <c r="J48" s="21" t="n">
        <v>4.6</v>
      </c>
      <c r="K48" s="21" t="n">
        <v>3.6</v>
      </c>
    </row>
    <row r="49" customFormat="false" ht="15" hidden="false" customHeight="true" outlineLevel="0" collapsed="false">
      <c r="A49" s="9" t="s">
        <v>49</v>
      </c>
      <c r="B49" s="20" t="s">
        <v>50</v>
      </c>
      <c r="C49" s="21" t="n">
        <v>51.5</v>
      </c>
      <c r="D49" s="21" t="n">
        <v>-44.7</v>
      </c>
      <c r="E49" s="21" t="n">
        <v>37.2</v>
      </c>
      <c r="F49" s="21" t="n">
        <v>-25.5</v>
      </c>
      <c r="G49" s="21" t="n">
        <v>18.2</v>
      </c>
      <c r="H49" s="21" t="n">
        <v>11.6</v>
      </c>
      <c r="I49" s="21" t="n">
        <v>-6.2</v>
      </c>
      <c r="J49" s="21" t="n">
        <v>3.8</v>
      </c>
      <c r="K49" s="21" t="n">
        <v>2.5</v>
      </c>
    </row>
    <row r="51" customFormat="false" ht="15" hidden="false" customHeight="true" outlineLevel="0" collapsed="false">
      <c r="A51" s="19" t="s">
        <v>83</v>
      </c>
      <c r="B51" s="19"/>
      <c r="C51" s="13" t="s">
        <v>56</v>
      </c>
      <c r="D51" s="13" t="s">
        <v>57</v>
      </c>
      <c r="E51" s="13" t="s">
        <v>30</v>
      </c>
      <c r="F51" s="13" t="s">
        <v>58</v>
      </c>
      <c r="G51" s="13" t="s">
        <v>59</v>
      </c>
      <c r="H51" s="13" t="s">
        <v>60</v>
      </c>
      <c r="I51" s="13" t="s">
        <v>61</v>
      </c>
      <c r="J51" s="13" t="s">
        <v>62</v>
      </c>
      <c r="K51" s="13" t="s">
        <v>63</v>
      </c>
    </row>
    <row r="52" customFormat="false" ht="15" hidden="false" customHeight="true" outlineLevel="0" collapsed="false">
      <c r="A52" s="9" t="s">
        <v>42</v>
      </c>
      <c r="B52" s="20" t="s">
        <v>43</v>
      </c>
      <c r="C52" s="21" t="n">
        <v>78.9</v>
      </c>
      <c r="D52" s="21" t="n">
        <v>-69.8</v>
      </c>
      <c r="E52" s="21" t="n">
        <v>62.6</v>
      </c>
      <c r="F52" s="21" t="n">
        <v>41.1</v>
      </c>
      <c r="G52" s="21" t="n">
        <v>25</v>
      </c>
      <c r="H52" s="21" t="n">
        <v>-12.5</v>
      </c>
      <c r="I52" s="21" t="n">
        <v>6.7</v>
      </c>
      <c r="J52" s="21" t="n">
        <v>-4.2</v>
      </c>
      <c r="K52" s="21" t="n">
        <v>2.7</v>
      </c>
    </row>
    <row r="53" customFormat="false" ht="15" hidden="false" customHeight="true" outlineLevel="0" collapsed="false">
      <c r="A53" s="9" t="s">
        <v>52</v>
      </c>
      <c r="B53" s="20" t="s">
        <v>43</v>
      </c>
      <c r="C53" s="21" t="n">
        <v>68.3</v>
      </c>
      <c r="D53" s="21" t="n">
        <v>59.6</v>
      </c>
      <c r="E53" s="21" t="n">
        <v>49.8</v>
      </c>
      <c r="F53" s="21" t="n">
        <v>35</v>
      </c>
      <c r="G53" s="21" t="n">
        <v>20.1</v>
      </c>
      <c r="H53" s="21" t="n">
        <v>10.9</v>
      </c>
      <c r="I53" s="21" t="n">
        <v>5.1</v>
      </c>
      <c r="J53" s="21" t="n">
        <v>2.7</v>
      </c>
      <c r="K53" s="21" t="n">
        <v>-1.3</v>
      </c>
    </row>
    <row r="54" customFormat="false" ht="15" hidden="false" customHeight="true" outlineLevel="0" collapsed="false">
      <c r="A54" s="9" t="s">
        <v>45</v>
      </c>
      <c r="B54" s="20" t="s">
        <v>38</v>
      </c>
      <c r="C54" s="21" t="n">
        <v>86.8</v>
      </c>
      <c r="D54" s="21" t="n">
        <v>86.8</v>
      </c>
      <c r="E54" s="21" t="n">
        <v>63.9</v>
      </c>
      <c r="F54" s="21" t="n">
        <v>47.3</v>
      </c>
      <c r="G54" s="21" t="n">
        <v>29.7</v>
      </c>
      <c r="H54" s="21" t="n">
        <v>16.4</v>
      </c>
      <c r="I54" s="21" t="n">
        <v>8.1</v>
      </c>
      <c r="J54" s="21" t="n">
        <v>3.9</v>
      </c>
      <c r="K54" s="21" t="n">
        <v>2.7</v>
      </c>
    </row>
    <row r="55" customFormat="false" ht="15" hidden="false" customHeight="true" outlineLevel="0" collapsed="false">
      <c r="A55" s="9" t="s">
        <v>37</v>
      </c>
      <c r="B55" s="20" t="s">
        <v>38</v>
      </c>
      <c r="C55" s="21" t="n">
        <v>-150.9</v>
      </c>
      <c r="D55" s="21" t="n">
        <v>126.7</v>
      </c>
      <c r="E55" s="21" t="n">
        <v>115.6</v>
      </c>
      <c r="F55" s="21" t="n">
        <v>-77.2</v>
      </c>
      <c r="G55" s="21" t="n">
        <v>54</v>
      </c>
      <c r="H55" s="21" t="n">
        <v>30.6</v>
      </c>
      <c r="I55" s="21" t="n">
        <v>-13.2</v>
      </c>
      <c r="J55" s="21" t="n">
        <v>7.5</v>
      </c>
      <c r="K55" s="21" t="n">
        <v>5.2</v>
      </c>
    </row>
    <row r="56" customFormat="false" ht="15" hidden="false" customHeight="true" outlineLevel="0" collapsed="false">
      <c r="A56" s="9" t="s">
        <v>40</v>
      </c>
      <c r="B56" s="20" t="s">
        <v>38</v>
      </c>
      <c r="C56" s="21" t="n">
        <v>112.9</v>
      </c>
      <c r="D56" s="21" t="n">
        <v>109.9</v>
      </c>
      <c r="E56" s="21" t="n">
        <v>90.5</v>
      </c>
      <c r="F56" s="21" t="n">
        <v>60.6</v>
      </c>
      <c r="G56" s="21" t="n">
        <v>34.9</v>
      </c>
      <c r="H56" s="21" t="n">
        <v>19.7</v>
      </c>
      <c r="I56" s="21" t="n">
        <v>11.1</v>
      </c>
      <c r="J56" s="21" t="n">
        <v>5.3</v>
      </c>
      <c r="K56" s="21" t="n">
        <v>-4</v>
      </c>
    </row>
    <row r="57" customFormat="false" ht="15" hidden="false" customHeight="true" outlineLevel="0" collapsed="false">
      <c r="A57" s="9" t="s">
        <v>49</v>
      </c>
      <c r="B57" s="20" t="s">
        <v>50</v>
      </c>
      <c r="C57" s="21" t="n">
        <v>51.8</v>
      </c>
      <c r="D57" s="21" t="n">
        <v>51.2</v>
      </c>
      <c r="E57" s="21" t="n">
        <v>41.4</v>
      </c>
      <c r="F57" s="21" t="n">
        <v>28.3</v>
      </c>
      <c r="G57" s="21" t="n">
        <v>20.6</v>
      </c>
      <c r="H57" s="21" t="n">
        <v>11.8</v>
      </c>
      <c r="I57" s="21" t="n">
        <v>6.5</v>
      </c>
      <c r="J57" s="21" t="n">
        <v>3.9</v>
      </c>
      <c r="K57" s="21" t="n">
        <v>2.8</v>
      </c>
    </row>
    <row r="59" customFormat="false" ht="15" hidden="false" customHeight="true" outlineLevel="0" collapsed="false">
      <c r="A59" s="19" t="s">
        <v>84</v>
      </c>
      <c r="B59" s="19"/>
      <c r="C59" s="13" t="s">
        <v>56</v>
      </c>
      <c r="D59" s="13" t="s">
        <v>57</v>
      </c>
      <c r="E59" s="13" t="s">
        <v>30</v>
      </c>
      <c r="F59" s="13" t="s">
        <v>58</v>
      </c>
      <c r="G59" s="13" t="s">
        <v>59</v>
      </c>
      <c r="H59" s="13" t="s">
        <v>60</v>
      </c>
      <c r="I59" s="13" t="s">
        <v>61</v>
      </c>
      <c r="J59" s="13" t="s">
        <v>62</v>
      </c>
      <c r="K59" s="13" t="s">
        <v>63</v>
      </c>
    </row>
    <row r="60" customFormat="false" ht="15" hidden="false" customHeight="true" outlineLevel="0" collapsed="false">
      <c r="A60" s="9" t="s">
        <v>42</v>
      </c>
      <c r="B60" s="20" t="s">
        <v>43</v>
      </c>
      <c r="C60" s="21" t="n">
        <v>86.2</v>
      </c>
      <c r="D60" s="21" t="n">
        <v>75.9</v>
      </c>
      <c r="E60" s="21" t="n">
        <v>66.2</v>
      </c>
      <c r="F60" s="21" t="n">
        <v>44.1</v>
      </c>
      <c r="G60" s="21" t="n">
        <v>28.8</v>
      </c>
      <c r="H60" s="21" t="n">
        <v>14.2</v>
      </c>
      <c r="I60" s="21" t="n">
        <v>6.8</v>
      </c>
      <c r="J60" s="21" t="n">
        <v>4.3</v>
      </c>
      <c r="K60" s="21" t="n">
        <v>2.8</v>
      </c>
    </row>
    <row r="61" customFormat="false" ht="15" hidden="false" customHeight="true" outlineLevel="0" collapsed="false">
      <c r="A61" s="9" t="s">
        <v>52</v>
      </c>
      <c r="B61" s="20" t="s">
        <v>43</v>
      </c>
      <c r="C61" s="21" t="n">
        <v>-71.9</v>
      </c>
      <c r="D61" s="21" t="n">
        <v>67.9</v>
      </c>
      <c r="E61" s="21" t="n">
        <v>-54.1</v>
      </c>
      <c r="F61" s="21" t="n">
        <v>37.1</v>
      </c>
      <c r="G61" s="21" t="n">
        <v>22</v>
      </c>
      <c r="H61" s="21" t="n">
        <v>11.1</v>
      </c>
      <c r="I61" s="21" t="n">
        <v>6</v>
      </c>
      <c r="J61" s="21" t="n">
        <v>2.9</v>
      </c>
      <c r="K61" s="21" t="n">
        <v>1.5</v>
      </c>
    </row>
    <row r="62" customFormat="false" ht="15" hidden="false" customHeight="true" outlineLevel="0" collapsed="false">
      <c r="A62" s="9" t="s">
        <v>45</v>
      </c>
      <c r="B62" s="20" t="s">
        <v>38</v>
      </c>
      <c r="C62" s="21" t="n">
        <v>104.3</v>
      </c>
      <c r="D62" s="21" t="n">
        <v>90.6</v>
      </c>
      <c r="E62" s="21" t="n">
        <v>70.8</v>
      </c>
      <c r="F62" s="21" t="n">
        <v>50.1</v>
      </c>
      <c r="G62" s="21" t="n">
        <v>30.7</v>
      </c>
      <c r="H62" s="21" t="n">
        <v>17.3</v>
      </c>
      <c r="I62" s="21" t="n">
        <v>-8.6</v>
      </c>
      <c r="J62" s="21" t="n">
        <v>4.3</v>
      </c>
      <c r="K62" s="21" t="n">
        <v>2.9</v>
      </c>
    </row>
    <row r="63" customFormat="false" ht="15" hidden="false" customHeight="true" outlineLevel="0" collapsed="false">
      <c r="A63" s="9" t="s">
        <v>37</v>
      </c>
      <c r="B63" s="20" t="s">
        <v>38</v>
      </c>
      <c r="C63" s="21" t="n">
        <v>156.5</v>
      </c>
      <c r="D63" s="21" t="n">
        <v>138</v>
      </c>
      <c r="E63" s="21" t="n">
        <v>122.5</v>
      </c>
      <c r="F63" s="21" t="n">
        <v>-88.4</v>
      </c>
      <c r="G63" s="21" t="n">
        <v>58.8</v>
      </c>
      <c r="H63" s="21" t="n">
        <v>32.6</v>
      </c>
      <c r="I63" s="21" t="n">
        <v>14.6</v>
      </c>
      <c r="J63" s="21" t="n">
        <v>9</v>
      </c>
      <c r="K63" s="21" t="n">
        <v>5.4</v>
      </c>
    </row>
    <row r="64" customFormat="false" ht="15" hidden="false" customHeight="true" outlineLevel="0" collapsed="false">
      <c r="A64" s="9" t="s">
        <v>40</v>
      </c>
      <c r="B64" s="20" t="s">
        <v>38</v>
      </c>
      <c r="C64" s="21" t="n">
        <v>130</v>
      </c>
      <c r="D64" s="21" t="n">
        <v>119.2</v>
      </c>
      <c r="E64" s="21" t="n">
        <v>93.2</v>
      </c>
      <c r="F64" s="21" t="n">
        <v>66</v>
      </c>
      <c r="G64" s="21" t="n">
        <v>40.7</v>
      </c>
      <c r="H64" s="21" t="n">
        <v>21.4</v>
      </c>
      <c r="I64" s="21" t="n">
        <v>11.2</v>
      </c>
      <c r="J64" s="21" t="n">
        <v>5.8</v>
      </c>
      <c r="K64" s="21" t="n">
        <v>4.5</v>
      </c>
    </row>
    <row r="65" customFormat="false" ht="15" hidden="false" customHeight="true" outlineLevel="0" collapsed="false">
      <c r="A65" s="9" t="s">
        <v>49</v>
      </c>
      <c r="B65" s="20" t="s">
        <v>50</v>
      </c>
      <c r="C65" s="21" t="n">
        <v>56.4</v>
      </c>
      <c r="D65" s="21" t="n">
        <v>55.7</v>
      </c>
      <c r="E65" s="21" t="n">
        <v>-47.7</v>
      </c>
      <c r="F65" s="21" t="n">
        <v>29.9</v>
      </c>
      <c r="G65" s="21" t="n">
        <v>22.5</v>
      </c>
      <c r="H65" s="21" t="n">
        <v>13.2</v>
      </c>
      <c r="I65" s="21" t="n">
        <v>6.8</v>
      </c>
      <c r="J65" s="21" t="n">
        <v>4.5</v>
      </c>
      <c r="K65" s="21" t="n">
        <v>2.9</v>
      </c>
    </row>
    <row r="67" customFormat="false" ht="15" hidden="false" customHeight="true" outlineLevel="0" collapsed="false">
      <c r="A67" s="19" t="s">
        <v>85</v>
      </c>
      <c r="B67" s="19"/>
      <c r="C67" s="13" t="s">
        <v>56</v>
      </c>
      <c r="D67" s="13" t="s">
        <v>57</v>
      </c>
      <c r="E67" s="13" t="s">
        <v>30</v>
      </c>
      <c r="F67" s="13" t="s">
        <v>58</v>
      </c>
      <c r="G67" s="13" t="s">
        <v>59</v>
      </c>
      <c r="H67" s="13" t="s">
        <v>60</v>
      </c>
      <c r="I67" s="13" t="s">
        <v>61</v>
      </c>
      <c r="J67" s="13" t="s">
        <v>62</v>
      </c>
      <c r="K67" s="13" t="s">
        <v>63</v>
      </c>
    </row>
    <row r="68" customFormat="false" ht="15" hidden="false" customHeight="true" outlineLevel="0" collapsed="false">
      <c r="A68" s="9" t="s">
        <v>42</v>
      </c>
      <c r="B68" s="20" t="s">
        <v>43</v>
      </c>
      <c r="C68" s="21" t="n">
        <v>88</v>
      </c>
      <c r="D68" s="21" t="n">
        <v>82.9</v>
      </c>
      <c r="E68" s="21" t="n">
        <v>66.7</v>
      </c>
      <c r="F68" s="21" t="n">
        <v>46.5</v>
      </c>
      <c r="G68" s="21" t="n">
        <v>-29.7</v>
      </c>
      <c r="H68" s="21" t="n">
        <v>16</v>
      </c>
      <c r="I68" s="21" t="n">
        <v>7.5</v>
      </c>
      <c r="J68" s="21" t="n">
        <v>4.4</v>
      </c>
      <c r="K68" s="21" t="n">
        <v>3</v>
      </c>
    </row>
    <row r="69" customFormat="false" ht="15" hidden="false" customHeight="true" outlineLevel="0" collapsed="false">
      <c r="A69" s="9" t="s">
        <v>52</v>
      </c>
      <c r="B69" s="20" t="s">
        <v>43</v>
      </c>
      <c r="C69" s="21" t="n">
        <v>73.1</v>
      </c>
      <c r="D69" s="21" t="n">
        <v>72.2</v>
      </c>
      <c r="E69" s="21" t="n">
        <v>56.4</v>
      </c>
      <c r="F69" s="21" t="n">
        <v>37.9</v>
      </c>
      <c r="G69" s="21" t="n">
        <v>23.4</v>
      </c>
      <c r="H69" s="21" t="n">
        <v>12</v>
      </c>
      <c r="I69" s="21" t="n">
        <v>6</v>
      </c>
      <c r="J69" s="21" t="n">
        <v>3.1</v>
      </c>
      <c r="K69" s="21" t="n">
        <v>1.6</v>
      </c>
    </row>
    <row r="70" customFormat="false" ht="15" hidden="false" customHeight="true" outlineLevel="0" collapsed="false">
      <c r="A70" s="9" t="s">
        <v>45</v>
      </c>
      <c r="B70" s="20" t="s">
        <v>38</v>
      </c>
      <c r="C70" s="21" t="n">
        <v>113.3</v>
      </c>
      <c r="D70" s="21" t="n">
        <v>105.1</v>
      </c>
      <c r="E70" s="21" t="n">
        <v>75.2</v>
      </c>
      <c r="F70" s="21" t="n">
        <v>54.9</v>
      </c>
      <c r="G70" s="21" t="n">
        <v>32.3</v>
      </c>
      <c r="H70" s="21" t="n">
        <v>18.5</v>
      </c>
      <c r="I70" s="21" t="n">
        <v>9</v>
      </c>
      <c r="J70" s="21" t="n">
        <v>4.7</v>
      </c>
      <c r="K70" s="21" t="n">
        <v>3.1</v>
      </c>
    </row>
    <row r="71" customFormat="false" ht="15" hidden="false" customHeight="true" outlineLevel="0" collapsed="false">
      <c r="A71" s="9" t="s">
        <v>37</v>
      </c>
      <c r="B71" s="20" t="s">
        <v>38</v>
      </c>
      <c r="C71" s="21" t="n">
        <v>172.5</v>
      </c>
      <c r="D71" s="21" t="n">
        <v>156.5</v>
      </c>
      <c r="E71" s="21" t="n">
        <v>132.6</v>
      </c>
      <c r="F71" s="21" t="n">
        <v>93.8</v>
      </c>
      <c r="G71" s="21" t="n">
        <v>61.2</v>
      </c>
      <c r="H71" s="21" t="n">
        <v>-34.7</v>
      </c>
      <c r="I71" s="21" t="n">
        <v>15.1</v>
      </c>
      <c r="J71" s="21" t="n">
        <v>-8.9</v>
      </c>
      <c r="K71" s="21" t="n">
        <v>6.2</v>
      </c>
    </row>
    <row r="72" customFormat="false" ht="15" hidden="false" customHeight="true" outlineLevel="0" collapsed="false">
      <c r="A72" s="9" t="s">
        <v>40</v>
      </c>
      <c r="B72" s="20" t="s">
        <v>38</v>
      </c>
      <c r="C72" s="21" t="n">
        <v>139</v>
      </c>
      <c r="D72" s="21" t="n">
        <v>127.4</v>
      </c>
      <c r="E72" s="21" t="n">
        <v>103.5</v>
      </c>
      <c r="F72" s="21" t="n">
        <v>71.5</v>
      </c>
      <c r="G72" s="21" t="n">
        <v>-42.4</v>
      </c>
      <c r="H72" s="21" t="n">
        <v>-24.2</v>
      </c>
      <c r="I72" s="21" t="n">
        <v>12.9</v>
      </c>
      <c r="J72" s="21" t="n">
        <v>6.3</v>
      </c>
      <c r="K72" s="21" t="n">
        <v>4.8</v>
      </c>
    </row>
    <row r="73" customFormat="false" ht="15" hidden="false" customHeight="true" outlineLevel="0" collapsed="false">
      <c r="A73" s="9" t="s">
        <v>49</v>
      </c>
      <c r="B73" s="20" t="s">
        <v>50</v>
      </c>
      <c r="C73" s="21" t="n">
        <v>60.7</v>
      </c>
      <c r="D73" s="21" t="n">
        <v>55.6</v>
      </c>
      <c r="E73" s="21" t="n">
        <v>49</v>
      </c>
      <c r="F73" s="21" t="n">
        <v>34.5</v>
      </c>
      <c r="G73" s="21" t="n">
        <v>23.9</v>
      </c>
      <c r="H73" s="21" t="n">
        <v>13.3</v>
      </c>
      <c r="I73" s="21" t="n">
        <v>7.3</v>
      </c>
      <c r="J73" s="21" t="n">
        <v>4.6</v>
      </c>
      <c r="K73" s="21" t="n">
        <v>-3</v>
      </c>
    </row>
    <row r="75" customFormat="false" ht="15" hidden="false" customHeight="true" outlineLevel="0" collapsed="false">
      <c r="A75" s="19" t="s">
        <v>86</v>
      </c>
      <c r="B75" s="19"/>
      <c r="C75" s="13" t="s">
        <v>56</v>
      </c>
      <c r="D75" s="13" t="s">
        <v>57</v>
      </c>
      <c r="E75" s="13" t="s">
        <v>30</v>
      </c>
      <c r="F75" s="13" t="s">
        <v>58</v>
      </c>
      <c r="G75" s="13" t="s">
        <v>59</v>
      </c>
      <c r="H75" s="13" t="s">
        <v>60</v>
      </c>
      <c r="I75" s="13" t="s">
        <v>61</v>
      </c>
      <c r="J75" s="13" t="s">
        <v>62</v>
      </c>
      <c r="K75" s="13" t="s">
        <v>63</v>
      </c>
    </row>
    <row r="76" customFormat="false" ht="15" hidden="false" customHeight="true" outlineLevel="0" collapsed="false">
      <c r="A76" s="9" t="s">
        <v>42</v>
      </c>
      <c r="B76" s="20" t="s">
        <v>43</v>
      </c>
      <c r="C76" s="21" t="n">
        <v>102.1</v>
      </c>
      <c r="D76" s="21" t="n">
        <v>89</v>
      </c>
      <c r="E76" s="21" t="n">
        <v>71.7</v>
      </c>
      <c r="F76" s="21" t="n">
        <v>48.6</v>
      </c>
      <c r="G76" s="21" t="n">
        <v>31.7</v>
      </c>
      <c r="H76" s="21" t="n">
        <v>15.9</v>
      </c>
      <c r="I76" s="21" t="n">
        <v>8.4</v>
      </c>
      <c r="J76" s="21" t="n">
        <v>5.2</v>
      </c>
      <c r="K76" s="21" t="n">
        <v>3.4</v>
      </c>
    </row>
    <row r="77" customFormat="false" ht="15" hidden="false" customHeight="true" outlineLevel="0" collapsed="false">
      <c r="A77" s="9" t="s">
        <v>52</v>
      </c>
      <c r="B77" s="20" t="s">
        <v>43</v>
      </c>
      <c r="C77" s="21" t="n">
        <v>-81.8</v>
      </c>
      <c r="D77" s="21" t="n">
        <v>74.2</v>
      </c>
      <c r="E77" s="21" t="n">
        <v>-65.4</v>
      </c>
      <c r="F77" s="21" t="n">
        <v>40.7</v>
      </c>
      <c r="G77" s="21" t="n">
        <v>25.8</v>
      </c>
      <c r="H77" s="21" t="n">
        <v>12.7</v>
      </c>
      <c r="I77" s="21" t="n">
        <v>6.6</v>
      </c>
      <c r="J77" s="21" t="n">
        <v>3.3</v>
      </c>
      <c r="K77" s="21" t="n">
        <v>-1.6</v>
      </c>
    </row>
    <row r="78" customFormat="false" ht="15" hidden="false" customHeight="true" outlineLevel="0" collapsed="false">
      <c r="A78" s="9" t="s">
        <v>45</v>
      </c>
      <c r="B78" s="20" t="s">
        <v>38</v>
      </c>
      <c r="C78" s="21" t="n">
        <v>119.4</v>
      </c>
      <c r="D78" s="21" t="n">
        <v>108.9</v>
      </c>
      <c r="E78" s="21" t="n">
        <v>-83.3</v>
      </c>
      <c r="F78" s="21" t="n">
        <v>59.4</v>
      </c>
      <c r="G78" s="21" t="n">
        <v>35</v>
      </c>
      <c r="H78" s="21" t="n">
        <v>19</v>
      </c>
      <c r="I78" s="21" t="n">
        <v>9.6</v>
      </c>
      <c r="J78" s="21" t="n">
        <v>5.1</v>
      </c>
      <c r="K78" s="21" t="n">
        <v>3.2</v>
      </c>
    </row>
    <row r="79" customFormat="false" ht="15" hidden="false" customHeight="true" outlineLevel="0" collapsed="false">
      <c r="A79" s="9" t="s">
        <v>37</v>
      </c>
      <c r="B79" s="20" t="s">
        <v>38</v>
      </c>
      <c r="C79" s="21" t="n">
        <v>172.7</v>
      </c>
      <c r="D79" s="21" t="n">
        <v>-159.3</v>
      </c>
      <c r="E79" s="21" t="n">
        <v>136.9</v>
      </c>
      <c r="F79" s="21" t="n">
        <v>-100.5</v>
      </c>
      <c r="G79" s="21" t="n">
        <v>62.9</v>
      </c>
      <c r="H79" s="21" t="n">
        <v>35.4</v>
      </c>
      <c r="I79" s="21" t="n">
        <v>-16</v>
      </c>
      <c r="J79" s="21" t="n">
        <v>10.1</v>
      </c>
      <c r="K79" s="21" t="n">
        <v>6.8</v>
      </c>
    </row>
    <row r="80" customFormat="false" ht="15" hidden="false" customHeight="true" outlineLevel="0" collapsed="false">
      <c r="A80" s="9" t="s">
        <v>40</v>
      </c>
      <c r="B80" s="20" t="s">
        <v>38</v>
      </c>
      <c r="C80" s="21" t="n">
        <v>152.5</v>
      </c>
      <c r="D80" s="21" t="n">
        <v>127</v>
      </c>
      <c r="E80" s="21" t="n">
        <v>-111.9</v>
      </c>
      <c r="F80" s="21" t="n">
        <v>76.3</v>
      </c>
      <c r="G80" s="21" t="n">
        <v>46.3</v>
      </c>
      <c r="H80" s="21" t="n">
        <v>-25.9</v>
      </c>
      <c r="I80" s="21" t="n">
        <v>13.2</v>
      </c>
      <c r="J80" s="21" t="n">
        <v>6.7</v>
      </c>
      <c r="K80" s="21" t="n">
        <v>-5.1</v>
      </c>
    </row>
    <row r="81" customFormat="false" ht="15" hidden="false" customHeight="true" outlineLevel="0" collapsed="false">
      <c r="A81" s="9" t="s">
        <v>49</v>
      </c>
      <c r="B81" s="20" t="s">
        <v>50</v>
      </c>
      <c r="C81" s="21" t="n">
        <v>63.3</v>
      </c>
      <c r="D81" s="21" t="n">
        <v>60.1</v>
      </c>
      <c r="E81" s="21" t="n">
        <v>53.5</v>
      </c>
      <c r="F81" s="21" t="n">
        <v>35.7</v>
      </c>
      <c r="G81" s="21" t="n">
        <v>24.8</v>
      </c>
      <c r="H81" s="21" t="n">
        <v>-15</v>
      </c>
      <c r="I81" s="21" t="n">
        <v>8.4</v>
      </c>
      <c r="J81" s="21" t="n">
        <v>5</v>
      </c>
      <c r="K81" s="21" t="n">
        <v>3.4</v>
      </c>
    </row>
    <row r="83" customFormat="false" ht="15" hidden="false" customHeight="true" outlineLevel="0" collapsed="false">
      <c r="A83" s="17" t="s">
        <v>87</v>
      </c>
    </row>
  </sheetData>
  <mergeCells count="11">
    <mergeCell ref="A1:K1"/>
    <mergeCell ref="A3:B3"/>
    <mergeCell ref="A11:B11"/>
    <mergeCell ref="A19:B19"/>
    <mergeCell ref="A27:B27"/>
    <mergeCell ref="A35:B35"/>
    <mergeCell ref="A43:B43"/>
    <mergeCell ref="A51:B51"/>
    <mergeCell ref="A59:B59"/>
    <mergeCell ref="A67:B67"/>
    <mergeCell ref="A75:B7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12"/>
    <col collapsed="false" customWidth="true" hidden="false" outlineLevel="0" max="7" min="7" style="1" width="20"/>
    <col collapsed="false" customWidth="true" hidden="false" outlineLevel="0" max="8" min="8" style="1" width="16"/>
    <col collapsed="false" customWidth="true" hidden="false" outlineLevel="0" max="9" min="9" style="1" width="40"/>
  </cols>
  <sheetData>
    <row r="1" customFormat="false" ht="17.25" hidden="false" customHeight="true" outlineLevel="0" collapsed="false">
      <c r="A1" s="18" t="s">
        <v>88</v>
      </c>
      <c r="B1" s="18"/>
      <c r="C1" s="18"/>
      <c r="D1" s="18"/>
      <c r="E1" s="18"/>
      <c r="F1" s="18"/>
      <c r="G1" s="18"/>
      <c r="H1" s="18"/>
      <c r="I1" s="18"/>
    </row>
    <row r="2" customFormat="false" ht="30" hidden="false" customHeight="true" outlineLevel="0" collapsed="false">
      <c r="A2" s="22" t="s">
        <v>89</v>
      </c>
      <c r="B2" s="22"/>
      <c r="C2" s="22"/>
      <c r="D2" s="22"/>
      <c r="E2" s="22"/>
      <c r="F2" s="22"/>
      <c r="G2" s="22"/>
      <c r="H2" s="22"/>
      <c r="I2" s="22"/>
    </row>
    <row r="4" customFormat="false" ht="26.25" hidden="false" customHeight="true" outlineLevel="0" collapsed="false">
      <c r="A4" s="8" t="s">
        <v>90</v>
      </c>
      <c r="B4" s="8" t="s">
        <v>91</v>
      </c>
      <c r="C4" s="8" t="s">
        <v>92</v>
      </c>
      <c r="D4" s="8" t="s">
        <v>93</v>
      </c>
      <c r="E4" s="8" t="s">
        <v>94</v>
      </c>
      <c r="F4" s="8" t="s">
        <v>95</v>
      </c>
      <c r="G4" s="8" t="s">
        <v>96</v>
      </c>
      <c r="H4" s="8" t="s">
        <v>97</v>
      </c>
      <c r="I4" s="8" t="s">
        <v>98</v>
      </c>
    </row>
    <row r="5" customFormat="false" ht="15" hidden="false" customHeight="true" outlineLevel="0" collapsed="false">
      <c r="A5" s="23" t="s">
        <v>56</v>
      </c>
      <c r="B5" s="23" t="n">
        <v>0.25</v>
      </c>
      <c r="C5" s="23" t="n">
        <v>1</v>
      </c>
      <c r="D5" s="24" t="n">
        <f aca="false">Base_Curves!C6</f>
        <v>0.989298</v>
      </c>
      <c r="E5" s="25" t="n">
        <f aca="false">(C5/D5-1)/(0.25-0)</f>
        <v>0.0432710871749462</v>
      </c>
      <c r="F5" s="26" t="n">
        <f aca="false">Curve_Shocks_bps!C4</f>
        <v>-40.9</v>
      </c>
      <c r="G5" s="25" t="n">
        <f aca="false">E5+F5/10000</f>
        <v>0.0391810871749462</v>
      </c>
      <c r="H5" s="27" t="n">
        <f aca="false">1/(1+G5*(0.25-0))</f>
        <v>0.990299744842005</v>
      </c>
      <c r="I5" s="28" t="s">
        <v>99</v>
      </c>
    </row>
    <row r="6" customFormat="false" ht="15" hidden="false" customHeight="true" outlineLevel="0" collapsed="false">
      <c r="A6" s="23" t="s">
        <v>57</v>
      </c>
      <c r="B6" s="23" t="n">
        <v>0.5</v>
      </c>
      <c r="C6" s="24" t="n">
        <f aca="false">Base_Curves!C6</f>
        <v>0.989298</v>
      </c>
      <c r="D6" s="24" t="n">
        <f aca="false">Base_Curves!D6</f>
        <v>0.978693</v>
      </c>
      <c r="E6" s="25" t="n">
        <f aca="false">(C6/D6-1)/(0.5-0.25)</f>
        <v>0.0433435203889268</v>
      </c>
      <c r="F6" s="26" t="n">
        <f aca="false">Curve_Shocks_bps!D4</f>
        <v>34.3</v>
      </c>
      <c r="G6" s="25" t="n">
        <f aca="false">E6+F6/10000</f>
        <v>0.0467735203889268</v>
      </c>
      <c r="H6" s="27" t="n">
        <f aca="false">H5/(1+G6*(0.5-0.25))</f>
        <v>0.978853637202636</v>
      </c>
      <c r="I6" s="28" t="s">
        <v>100</v>
      </c>
    </row>
    <row r="7" customFormat="false" ht="15" hidden="false" customHeight="true" outlineLevel="0" collapsed="false">
      <c r="A7" s="23" t="s">
        <v>30</v>
      </c>
      <c r="B7" s="23" t="n">
        <v>1</v>
      </c>
      <c r="C7" s="24" t="n">
        <f aca="false">Base_Curves!D6</f>
        <v>0.978693</v>
      </c>
      <c r="D7" s="24" t="n">
        <f aca="false">Base_Curves!E6</f>
        <v>0.957768</v>
      </c>
      <c r="E7" s="25" t="n">
        <f aca="false">(C7/D7-1)/(1-0.5)</f>
        <v>0.0436953416693813</v>
      </c>
      <c r="F7" s="26" t="n">
        <f aca="false">Curve_Shocks_bps!E4</f>
        <v>31.4</v>
      </c>
      <c r="G7" s="25" t="n">
        <f aca="false">E7+F7/10000</f>
        <v>0.0468353416693813</v>
      </c>
      <c r="H7" s="27" t="n">
        <f aca="false">H6/(1+G7*(1-0.5))</f>
        <v>0.95645567308242</v>
      </c>
      <c r="I7" s="28" t="s">
        <v>101</v>
      </c>
    </row>
    <row r="8" customFormat="false" ht="15" hidden="false" customHeight="true" outlineLevel="0" collapsed="false">
      <c r="A8" s="23" t="s">
        <v>58</v>
      </c>
      <c r="B8" s="23" t="n">
        <v>2</v>
      </c>
      <c r="C8" s="24" t="n">
        <f aca="false">Base_Curves!E6</f>
        <v>0.957768</v>
      </c>
      <c r="D8" s="24" t="n">
        <f aca="false">Base_Curves!F6</f>
        <v>0.917044</v>
      </c>
      <c r="E8" s="25" t="n">
        <f aca="false">(C8/D8-1)/(2-1)</f>
        <v>0.0444079019109225</v>
      </c>
      <c r="F8" s="26" t="n">
        <f aca="false">Curve_Shocks_bps!F4</f>
        <v>-21.7</v>
      </c>
      <c r="G8" s="25" t="n">
        <f aca="false">E8+F8/10000</f>
        <v>0.0422379019109225</v>
      </c>
      <c r="H8" s="27" t="n">
        <f aca="false">H7/(1+G8*(2-1))</f>
        <v>0.917694195661832</v>
      </c>
      <c r="I8" s="28" t="s">
        <v>102</v>
      </c>
    </row>
    <row r="9" customFormat="false" ht="15" hidden="false" customHeight="true" outlineLevel="0" collapsed="false">
      <c r="A9" s="23" t="s">
        <v>59</v>
      </c>
      <c r="B9" s="23" t="n">
        <v>3</v>
      </c>
      <c r="C9" s="24" t="n">
        <f aca="false">Base_Curves!F6</f>
        <v>0.917044</v>
      </c>
      <c r="D9" s="24" t="n">
        <f aca="false">Base_Curves!G6</f>
        <v>0.877788</v>
      </c>
      <c r="E9" s="25" t="n">
        <f aca="false">(C9/D9-1)/(3-2)</f>
        <v>0.0447215045090614</v>
      </c>
      <c r="F9" s="26" t="n">
        <f aca="false">Curve_Shocks_bps!G4</f>
        <v>-13</v>
      </c>
      <c r="G9" s="25" t="n">
        <f aca="false">E9+F9/10000</f>
        <v>0.0434215045090614</v>
      </c>
      <c r="H9" s="27" t="n">
        <f aca="false">H8/(1+G9*(3-2))</f>
        <v>0.879504775103917</v>
      </c>
      <c r="I9" s="28" t="s">
        <v>103</v>
      </c>
    </row>
    <row r="10" customFormat="false" ht="15" hidden="false" customHeight="true" outlineLevel="0" collapsed="false">
      <c r="A10" s="23" t="s">
        <v>60</v>
      </c>
      <c r="B10" s="23" t="n">
        <v>5</v>
      </c>
      <c r="C10" s="24" t="n">
        <f aca="false">Base_Curves!G6</f>
        <v>0.877788</v>
      </c>
      <c r="D10" s="24" t="n">
        <f aca="false">Base_Curves!H6</f>
        <v>0.803523</v>
      </c>
      <c r="E10" s="25" t="n">
        <f aca="false">(C10/D10-1)/(5-3)</f>
        <v>0.0462121183836679</v>
      </c>
      <c r="F10" s="26" t="n">
        <f aca="false">Curve_Shocks_bps!H4</f>
        <v>6.1</v>
      </c>
      <c r="G10" s="25" t="n">
        <f aca="false">E10+F10/10000</f>
        <v>0.0468221183836679</v>
      </c>
      <c r="H10" s="27" t="n">
        <f aca="false">H9/(1+G10*(5-3))</f>
        <v>0.804196415557964</v>
      </c>
      <c r="I10" s="28" t="s">
        <v>104</v>
      </c>
    </row>
    <row r="11" customFormat="false" ht="15" hidden="false" customHeight="true" outlineLevel="0" collapsed="false">
      <c r="A11" s="23" t="s">
        <v>61</v>
      </c>
      <c r="B11" s="23" t="n">
        <v>10</v>
      </c>
      <c r="C11" s="24" t="n">
        <f aca="false">Base_Curves!H6</f>
        <v>0.803523</v>
      </c>
      <c r="D11" s="24" t="n">
        <f aca="false">Base_Curves!I6</f>
        <v>0.640824</v>
      </c>
      <c r="E11" s="25" t="n">
        <f aca="false">(C11/D11-1)/(10-5)</f>
        <v>0.0507780607467885</v>
      </c>
      <c r="F11" s="26" t="n">
        <f aca="false">Curve_Shocks_bps!I4</f>
        <v>2.9</v>
      </c>
      <c r="G11" s="25" t="n">
        <f aca="false">E11+F11/10000</f>
        <v>0.0510680607467885</v>
      </c>
      <c r="H11" s="27" t="n">
        <f aca="false">H10/(1+G11*(10-5))</f>
        <v>0.640620247088319</v>
      </c>
      <c r="I11" s="28" t="s">
        <v>105</v>
      </c>
    </row>
    <row r="12" customFormat="false" ht="15" hidden="false" customHeight="true" outlineLevel="0" collapsed="false">
      <c r="A12" s="23" t="s">
        <v>62</v>
      </c>
      <c r="B12" s="23" t="n">
        <v>20</v>
      </c>
      <c r="C12" s="24" t="n">
        <f aca="false">Base_Curves!I6</f>
        <v>0.640824</v>
      </c>
      <c r="D12" s="24" t="n">
        <f aca="false">Base_Curves!J6</f>
        <v>0.410656</v>
      </c>
      <c r="E12" s="25" t="n">
        <f aca="false">(C12/D12-1)/(20-10)</f>
        <v>0.0560488584119068</v>
      </c>
      <c r="F12" s="26" t="n">
        <f aca="false">Curve_Shocks_bps!J4</f>
        <v>2.1</v>
      </c>
      <c r="G12" s="25" t="n">
        <f aca="false">E12+F12/10000</f>
        <v>0.0562588584119068</v>
      </c>
      <c r="H12" s="27" t="n">
        <f aca="false">H11/(1+G12*(20-10))</f>
        <v>0.40997371515387</v>
      </c>
      <c r="I12" s="28" t="s">
        <v>106</v>
      </c>
    </row>
    <row r="13" customFormat="false" ht="15" hidden="false" customHeight="true" outlineLevel="0" collapsed="false">
      <c r="A13" s="23" t="s">
        <v>63</v>
      </c>
      <c r="B13" s="23" t="n">
        <v>30</v>
      </c>
      <c r="C13" s="24" t="n">
        <f aca="false">Base_Curves!J6</f>
        <v>0.410656</v>
      </c>
      <c r="D13" s="24" t="n">
        <f aca="false">Base_Curves!K6</f>
        <v>0.263158</v>
      </c>
      <c r="E13" s="25" t="n">
        <f aca="false">(C13/D13-1)/(30-20)</f>
        <v>0.056049217580313</v>
      </c>
      <c r="F13" s="26" t="n">
        <f aca="false">Curve_Shocks_bps!K4</f>
        <v>1.2</v>
      </c>
      <c r="G13" s="25" t="n">
        <f aca="false">E13+F13/10000</f>
        <v>0.056169217580313</v>
      </c>
      <c r="H13" s="27" t="n">
        <f aca="false">H12/(1+G13*(30-20))</f>
        <v>0.262518901935993</v>
      </c>
      <c r="I13" s="28" t="s">
        <v>107</v>
      </c>
    </row>
    <row r="15" customFormat="false" ht="15" hidden="false" customHeight="true" outlineLevel="0" collapsed="false">
      <c r="A15" s="17" t="s">
        <v>108</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2"/>
    <col collapsed="false" customWidth="true" hidden="false" outlineLevel="0" max="11" min="3" style="1" width="11"/>
  </cols>
  <sheetData>
    <row r="1" customFormat="false" ht="17.25" hidden="false" customHeight="true" outlineLevel="0" collapsed="false">
      <c r="A1" s="18" t="s">
        <v>109</v>
      </c>
      <c r="B1" s="18"/>
      <c r="C1" s="18"/>
      <c r="D1" s="18"/>
      <c r="E1" s="18"/>
      <c r="F1" s="18"/>
      <c r="G1" s="18"/>
      <c r="H1" s="18"/>
      <c r="I1" s="18"/>
      <c r="J1" s="18"/>
      <c r="K1" s="18"/>
    </row>
    <row r="2" customFormat="false" ht="27.75" hidden="false" customHeight="true" outlineLevel="0" collapsed="false">
      <c r="A2" s="22" t="s">
        <v>110</v>
      </c>
      <c r="B2" s="22"/>
      <c r="C2" s="22"/>
      <c r="D2" s="22"/>
      <c r="E2" s="22"/>
      <c r="F2" s="22"/>
      <c r="G2" s="22"/>
      <c r="H2" s="22"/>
      <c r="I2" s="22"/>
      <c r="J2" s="22"/>
      <c r="K2" s="22"/>
    </row>
    <row r="4" customFormat="false" ht="15" hidden="false" customHeight="true" outlineLevel="0" collapsed="false">
      <c r="A4" s="19" t="s">
        <v>77</v>
      </c>
      <c r="B4" s="19"/>
      <c r="C4" s="13" t="s">
        <v>56</v>
      </c>
      <c r="D4" s="13" t="s">
        <v>57</v>
      </c>
      <c r="E4" s="13" t="s">
        <v>30</v>
      </c>
      <c r="F4" s="13" t="s">
        <v>58</v>
      </c>
      <c r="G4" s="13" t="s">
        <v>59</v>
      </c>
      <c r="H4" s="13" t="s">
        <v>60</v>
      </c>
      <c r="I4" s="13" t="s">
        <v>61</v>
      </c>
      <c r="J4" s="13" t="s">
        <v>62</v>
      </c>
      <c r="K4" s="13" t="s">
        <v>63</v>
      </c>
    </row>
    <row r="5" customFormat="false" ht="15" hidden="false" customHeight="true" outlineLevel="0" collapsed="false">
      <c r="A5" s="4" t="s">
        <v>42</v>
      </c>
      <c r="B5" s="20" t="s">
        <v>43</v>
      </c>
      <c r="C5" s="29" t="n">
        <f aca="false">1/(1+(((1/Base_Curves!C6-1)/(0.25-0))+Curve_Shocks_bps!C4/10000)*(0.25-0))</f>
        <v>0.990299744842005</v>
      </c>
      <c r="D5" s="29" t="n">
        <f aca="false">C5/(1+(((Base_Curves!C6/Base_Curves!D6-1)/(0.5-0.25))+Curve_Shocks_bps!D4/10000)*(0.5-0.25))</f>
        <v>0.978853637202636</v>
      </c>
      <c r="E5" s="29" t="n">
        <f aca="false">D5/(1+(((Base_Curves!D6/Base_Curves!E6-1)/(1-0.5))+Curve_Shocks_bps!E4/10000)*(1-0.5))</f>
        <v>0.95645567308242</v>
      </c>
      <c r="F5" s="29" t="n">
        <f aca="false">E5/(1+(((Base_Curves!E6/Base_Curves!F6-1)/(2-1))+Curve_Shocks_bps!F4/10000)*(2-1))</f>
        <v>0.917694195661832</v>
      </c>
      <c r="G5" s="29" t="n">
        <f aca="false">F5/(1+(((Base_Curves!F6/Base_Curves!G6-1)/(3-2))+Curve_Shocks_bps!G4/10000)*(3-2))</f>
        <v>0.879504775103917</v>
      </c>
      <c r="H5" s="29" t="n">
        <f aca="false">G5/(1+(((Base_Curves!G6/Base_Curves!H6-1)/(5-3))+Curve_Shocks_bps!H4/10000)*(5-3))</f>
        <v>0.804196415557964</v>
      </c>
      <c r="I5" s="29" t="n">
        <f aca="false">H5/(1+(((Base_Curves!H6/Base_Curves!I6-1)/(10-5))+Curve_Shocks_bps!I4/10000)*(10-5))</f>
        <v>0.640620247088319</v>
      </c>
      <c r="J5" s="29" t="n">
        <f aca="false">I5/(1+(((Base_Curves!I6/Base_Curves!J6-1)/(20-10))+Curve_Shocks_bps!J4/10000)*(20-10))</f>
        <v>0.40997371515387</v>
      </c>
      <c r="K5" s="29" t="n">
        <f aca="false">J5/(1+(((Base_Curves!J6/Base_Curves!K6-1)/(30-20))+Curve_Shocks_bps!K4/10000)*(30-20))</f>
        <v>0.262518901935993</v>
      </c>
    </row>
    <row r="6" customFormat="false" ht="15" hidden="false" customHeight="true" outlineLevel="0" collapsed="false">
      <c r="A6" s="4" t="s">
        <v>52</v>
      </c>
      <c r="B6" s="20" t="s">
        <v>43</v>
      </c>
      <c r="C6" s="29" t="n">
        <f aca="false">1/(1+(((1/Base_Curves!C7-1)/(0.25-0))+Curve_Shocks_bps!C5/10000)*(0.25-0))</f>
        <v>0.993145604253917</v>
      </c>
      <c r="D6" s="29" t="n">
        <f aca="false">C6/(1+(((Base_Curves!C7/Base_Curves!D7-1)/(0.5-0.25))+Curve_Shocks_bps!D5/10000)*(0.5-0.25))</f>
        <v>0.984671636516035</v>
      </c>
      <c r="E6" s="29" t="n">
        <f aca="false">D6/(1+(((Base_Curves!D7/Base_Curves!E7-1)/(1-0.5))+Curve_Shocks_bps!E5/10000)*(1-0.5))</f>
        <v>0.968268575053369</v>
      </c>
      <c r="F6" s="29" t="n">
        <f aca="false">E6/(1+(((Base_Curves!E7/Base_Curves!F7-1)/(2-1))+Curve_Shocks_bps!F5/10000)*(2-1))</f>
        <v>0.936629472818505</v>
      </c>
      <c r="G6" s="29" t="n">
        <f aca="false">F6/(1+(((Base_Curves!F7/Base_Curves!G7-1)/(3-2))+Curve_Shocks_bps!G5/10000)*(3-2))</f>
        <v>0.908141511368365</v>
      </c>
      <c r="H6" s="29" t="n">
        <f aca="false">G6/(1+(((Base_Curves!G7/Base_Curves!H7-1)/(5-3))+Curve_Shocks_bps!H5/10000)*(5-3))</f>
        <v>0.850591982350296</v>
      </c>
      <c r="I6" s="29" t="n">
        <f aca="false">H6/(1+(((Base_Curves!H7/Base_Curves!I7-1)/(10-5))+Curve_Shocks_bps!I5/10000)*(10-5))</f>
        <v>0.719457009728903</v>
      </c>
      <c r="J6" s="29" t="n">
        <f aca="false">I6/(1+(((Base_Curves!I7/Base_Curves!J7-1)/(20-10))+Curve_Shocks_bps!J5/10000)*(20-10))</f>
        <v>0.519340036974825</v>
      </c>
      <c r="K6" s="29" t="n">
        <f aca="false">J6/(1+(((Base_Curves!J7/Base_Curves!K7-1)/(30-20))+Curve_Shocks_bps!K5/10000)*(30-20))</f>
        <v>0.375074269735307</v>
      </c>
    </row>
    <row r="7" customFormat="false" ht="15" hidden="false" customHeight="true" outlineLevel="0" collapsed="false">
      <c r="A7" s="4" t="s">
        <v>45</v>
      </c>
      <c r="B7" s="20" t="s">
        <v>38</v>
      </c>
      <c r="C7" s="29" t="n">
        <f aca="false">1/(1+(((1/Base_Curves!C8-1)/(0.25-0))+Curve_Shocks_bps!C6/10000)*(0.25-0))</f>
        <v>0.988325952493749</v>
      </c>
      <c r="D7" s="29" t="n">
        <f aca="false">C7/(1+(((Base_Curves!C8/Base_Curves!D8-1)/(0.5-0.25))+Curve_Shocks_bps!D6/10000)*(0.5-0.25))</f>
        <v>0.976846207381304</v>
      </c>
      <c r="E7" s="29" t="n">
        <f aca="false">D7/(1+(((Base_Curves!D8/Base_Curves!E8-1)/(1-0.5))+Curve_Shocks_bps!E6/10000)*(1-0.5))</f>
        <v>0.958061825595622</v>
      </c>
      <c r="F7" s="29" t="n">
        <f aca="false">E7/(1+(((Base_Curves!E8/Base_Curves!F8-1)/(2-1))+Curve_Shocks_bps!F6/10000)*(2-1))</f>
        <v>0.916346384257527</v>
      </c>
      <c r="G7" s="29" t="n">
        <f aca="false">F7/(1+(((Base_Curves!F8/Base_Curves!G8-1)/(3-2))+Curve_Shocks_bps!G6/10000)*(3-2))</f>
        <v>0.876905146898167</v>
      </c>
      <c r="H7" s="29" t="n">
        <f aca="false">G7/(1+(((Base_Curves!G8/Base_Curves!H8-1)/(5-3))+Curve_Shocks_bps!H6/10000)*(5-3))</f>
        <v>0.80326054142634</v>
      </c>
      <c r="I7" s="29" t="n">
        <f aca="false">H7/(1+(((Base_Curves!H8/Base_Curves!I8-1)/(10-5))+Curve_Shocks_bps!I6/10000)*(10-5))</f>
        <v>0.642770783397353</v>
      </c>
      <c r="J7" s="29" t="n">
        <f aca="false">I7/(1+(((Base_Curves!I8/Base_Curves!J8-1)/(20-10))+Curve_Shocks_bps!J6/10000)*(20-10))</f>
        <v>0.415532027986881</v>
      </c>
      <c r="K7" s="29" t="n">
        <f aca="false">J7/(1+(((Base_Curves!J8/Base_Curves!K8-1)/(30-20))+Curve_Shocks_bps!K6/10000)*(30-20))</f>
        <v>0.268750628063382</v>
      </c>
    </row>
    <row r="8" customFormat="false" ht="15" hidden="false" customHeight="true" outlineLevel="0" collapsed="false">
      <c r="A8" s="4" t="s">
        <v>37</v>
      </c>
      <c r="B8" s="20" t="s">
        <v>38</v>
      </c>
      <c r="C8" s="29" t="n">
        <f aca="false">1/(1+(((1/Base_Curves!C9-1)/(0.25-0))+Curve_Shocks_bps!C7/10000)*(0.25-0))</f>
        <v>0.986723187625324</v>
      </c>
      <c r="D8" s="29" t="n">
        <f aca="false">C8/(1+(((Base_Curves!C9/Base_Curves!D9-1)/(0.5-0.25))+Curve_Shocks_bps!D7/10000)*(0.5-0.25))</f>
        <v>0.973952175411425</v>
      </c>
      <c r="E8" s="29" t="n">
        <f aca="false">D8/(1+(((Base_Curves!D9/Base_Curves!E9-1)/(1-0.5))+Curve_Shocks_bps!E7/10000)*(1-0.5))</f>
        <v>0.949311346582243</v>
      </c>
      <c r="F8" s="29" t="n">
        <f aca="false">E8/(1+(((Base_Curves!E9/Base_Curves!F9-1)/(2-1))+Curve_Shocks_bps!F7/10000)*(2-1))</f>
        <v>0.902407739231667</v>
      </c>
      <c r="G8" s="29" t="n">
        <f aca="false">F8/(1+(((Base_Curves!F9/Base_Curves!G9-1)/(3-2))+Curve_Shocks_bps!G7/10000)*(3-2))</f>
        <v>0.858994702536728</v>
      </c>
      <c r="H8" s="29" t="n">
        <f aca="false">G8/(1+(((Base_Curves!G9/Base_Curves!H9-1)/(5-3))+Curve_Shocks_bps!H7/10000)*(5-3))</f>
        <v>0.779388404169136</v>
      </c>
      <c r="I8" s="29" t="n">
        <f aca="false">H8/(1+(((Base_Curves!H9/Base_Curves!I9-1)/(10-5))+Curve_Shocks_bps!I7/10000)*(10-5))</f>
        <v>0.613817400592048</v>
      </c>
      <c r="J8" s="29" t="n">
        <f aca="false">I8/(1+(((Base_Curves!I9/Base_Curves!J9-1)/(20-10))+Curve_Shocks_bps!J7/10000)*(20-10))</f>
        <v>0.380823931202804</v>
      </c>
      <c r="K8" s="29" t="n">
        <f aca="false">J8/(1+(((Base_Curves!J9/Base_Curves!K9-1)/(30-20))+Curve_Shocks_bps!K7/10000)*(30-20))</f>
        <v>0.236460642536442</v>
      </c>
    </row>
    <row r="9" customFormat="false" ht="15" hidden="false" customHeight="true" outlineLevel="0" collapsed="false">
      <c r="A9" s="4" t="s">
        <v>40</v>
      </c>
      <c r="B9" s="20" t="s">
        <v>38</v>
      </c>
      <c r="C9" s="29" t="n">
        <f aca="false">1/(1+(((1/Base_Curves!C10-1)/(0.25-0))+Curve_Shocks_bps!C8/10000)*(0.25-0))</f>
        <v>0.990184095473313</v>
      </c>
      <c r="D9" s="29" t="n">
        <f aca="false">C9/(1+(((Base_Curves!C10/Base_Curves!D10-1)/(0.5-0.25))+Curve_Shocks_bps!D8/10000)*(0.5-0.25))</f>
        <v>0.980687747225983</v>
      </c>
      <c r="E9" s="29" t="n">
        <f aca="false">D9/(1+(((Base_Curves!D10/Base_Curves!E10-1)/(1-0.5))+Curve_Shocks_bps!E8/10000)*(1-0.5))</f>
        <v>0.962297088758501</v>
      </c>
      <c r="F9" s="29" t="n">
        <f aca="false">E9/(1+(((Base_Curves!E10/Base_Curves!F10-1)/(2-1))+Curve_Shocks_bps!F8/10000)*(2-1))</f>
        <v>0.928127460760787</v>
      </c>
      <c r="G9" s="29" t="n">
        <f aca="false">F9/(1+(((Base_Curves!F10/Base_Curves!G10-1)/(3-2))+Curve_Shocks_bps!G8/10000)*(3-2))</f>
        <v>0.89569838707071</v>
      </c>
      <c r="H9" s="29" t="n">
        <f aca="false">G9/(1+(((Base_Curves!G10/Base_Curves!H10-1)/(5-3))+Curve_Shocks_bps!H8/10000)*(5-3))</f>
        <v>0.834905671905509</v>
      </c>
      <c r="I9" s="29" t="n">
        <f aca="false">H9/(1+(((Base_Curves!H10/Base_Curves!I10-1)/(10-5))+Curve_Shocks_bps!I8/10000)*(10-5))</f>
        <v>0.6984690236456</v>
      </c>
      <c r="J9" s="29" t="n">
        <f aca="false">I9/(1+(((Base_Curves!I10/Base_Curves!J10-1)/(20-10))+Curve_Shocks_bps!J8/10000)*(20-10))</f>
        <v>0.493621379082153</v>
      </c>
      <c r="K9" s="29" t="n">
        <f aca="false">J9/(1+(((Base_Curves!J10/Base_Curves!K10-1)/(30-20))+Curve_Shocks_bps!K8/10000)*(30-20))</f>
        <v>0.350038608450848</v>
      </c>
    </row>
    <row r="10" customFormat="false" ht="15" hidden="false" customHeight="true" outlineLevel="0" collapsed="false">
      <c r="A10" s="4" t="s">
        <v>49</v>
      </c>
      <c r="B10" s="20" t="s">
        <v>50</v>
      </c>
      <c r="C10" s="29" t="n">
        <f aca="false">1/(1+(((1/Base_Curves!C11-1)/(0.25-0))+Curve_Shocks_bps!C9/10000)*(0.25-0))</f>
        <v>0.989455687984974</v>
      </c>
      <c r="D10" s="29" t="n">
        <f aca="false">C10/(1+(((Base_Curves!C11/Base_Curves!D11-1)/(0.5-0.25))+Curve_Shocks_bps!D9/10000)*(0.5-0.25))</f>
        <v>0.978930766579769</v>
      </c>
      <c r="E10" s="29" t="n">
        <f aca="false">D10/(1+(((Base_Curves!D11/Base_Curves!E11-1)/(1-0.5))+Curve_Shocks_bps!E9/10000)*(1-0.5))</f>
        <v>0.958550489609229</v>
      </c>
      <c r="F10" s="29" t="n">
        <f aca="false">E10/(1+(((Base_Curves!E11/Base_Curves!F11-1)/(2-1))+Curve_Shocks_bps!F9/10000)*(2-1))</f>
        <v>0.919112756624303</v>
      </c>
      <c r="G10" s="29" t="n">
        <f aca="false">F10/(1+(((Base_Curves!F11/Base_Curves!G11-1)/(3-2))+Curve_Shocks_bps!G9/10000)*(3-2))</f>
        <v>0.881480618510627</v>
      </c>
      <c r="H10" s="29" t="n">
        <f aca="false">G10/(1+(((Base_Curves!G11/Base_Curves!H11-1)/(5-3))+Curve_Shocks_bps!H9/10000)*(5-3))</f>
        <v>0.810981547863511</v>
      </c>
      <c r="I10" s="29" t="n">
        <f aca="false">H10/(1+(((Base_Curves!H11/Base_Curves!I11-1)/(10-5))+Curve_Shocks_bps!I9/10000)*(10-5))</f>
        <v>0.65564525477019</v>
      </c>
      <c r="J10" s="29" t="n">
        <f aca="false">I10/(1+(((Base_Curves!I11/Base_Curves!J11-1)/(20-10))+Curve_Shocks_bps!J9/10000)*(20-10))</f>
        <v>0.432406354327059</v>
      </c>
      <c r="K10" s="29" t="n">
        <f aca="false">J10/(1+(((Base_Curves!J11/Base_Curves!K11-1)/(30-20))+Curve_Shocks_bps!K9/10000)*(30-20))</f>
        <v>0.285309530116098</v>
      </c>
    </row>
    <row r="12" customFormat="false" ht="15" hidden="false" customHeight="true" outlineLevel="0" collapsed="false">
      <c r="A12" s="19" t="s">
        <v>78</v>
      </c>
      <c r="B12" s="19"/>
      <c r="C12" s="13" t="s">
        <v>56</v>
      </c>
      <c r="D12" s="13" t="s">
        <v>57</v>
      </c>
      <c r="E12" s="13" t="s">
        <v>30</v>
      </c>
      <c r="F12" s="13" t="s">
        <v>58</v>
      </c>
      <c r="G12" s="13" t="s">
        <v>59</v>
      </c>
      <c r="H12" s="13" t="s">
        <v>60</v>
      </c>
      <c r="I12" s="13" t="s">
        <v>61</v>
      </c>
      <c r="J12" s="13" t="s">
        <v>62</v>
      </c>
      <c r="K12" s="13" t="s">
        <v>63</v>
      </c>
    </row>
    <row r="13" customFormat="false" ht="15" hidden="false" customHeight="true" outlineLevel="0" collapsed="false">
      <c r="A13" s="4" t="s">
        <v>42</v>
      </c>
      <c r="B13" s="20" t="s">
        <v>43</v>
      </c>
      <c r="C13" s="29" t="n">
        <f aca="false">1/(1+(((1/Base_Curves!C6-1)/(0.25-0))+Curve_Shocks_bps!C12/10000)*(0.25-0))</f>
        <v>0.988178644385769</v>
      </c>
      <c r="D13" s="29" t="n">
        <f aca="false">C13/(1+(((Base_Curves!C6/Base_Curves!D6-1)/(0.5-0.25))+Curve_Shocks_bps!D12/10000)*(0.5-0.25))</f>
        <v>0.976481972165081</v>
      </c>
      <c r="E13" s="29" t="n">
        <f aca="false">D13/(1+(((Base_Curves!D6/Base_Curves!E6-1)/(1-0.5))+Curve_Shocks_bps!E12/10000)*(1-0.5))</f>
        <v>0.953984470417811</v>
      </c>
      <c r="F13" s="29" t="n">
        <f aca="false">E13/(1+(((Base_Curves!E6/Base_Curves!F6-1)/(2-1))+Curve_Shocks_bps!F12/10000)*(2-1))</f>
        <v>0.911231404751527</v>
      </c>
      <c r="G13" s="29" t="n">
        <f aca="false">F13/(1+(((Base_Curves!F6/Base_Curves!G6-1)/(3-2))+Curve_Shocks_bps!G12/10000)*(3-2))</f>
        <v>0.870990340602817</v>
      </c>
      <c r="H13" s="29" t="n">
        <f aca="false">G13/(1+(((Base_Curves!G6/Base_Curves!H6-1)/(5-3))+Curve_Shocks_bps!H12/10000)*(5-3))</f>
        <v>0.796148964812513</v>
      </c>
      <c r="I13" s="29" t="n">
        <f aca="false">H13/(1+(((Base_Curves!H6/Base_Curves!I6-1)/(10-5))+Curve_Shocks_bps!I12/10000)*(10-5))</f>
        <v>0.63390669321268</v>
      </c>
      <c r="J13" s="29" t="n">
        <f aca="false">I13/(1+(((Base_Curves!I6/Base_Curves!J6-1)/(20-10))+Curve_Shocks_bps!J12/10000)*(20-10))</f>
        <v>0.40559941358199</v>
      </c>
      <c r="K13" s="29" t="n">
        <f aca="false">J13/(1+(((Base_Curves!J6/Base_Curves!K6-1)/(30-20))+Curve_Shocks_bps!K12/10000)*(30-20))</f>
        <v>0.259684643962973</v>
      </c>
    </row>
    <row r="14" customFormat="false" ht="15" hidden="false" customHeight="true" outlineLevel="0" collapsed="false">
      <c r="A14" s="4" t="s">
        <v>52</v>
      </c>
      <c r="B14" s="20" t="s">
        <v>43</v>
      </c>
      <c r="C14" s="29" t="n">
        <f aca="false">1/(1+(((1/Base_Curves!C7-1)/(0.25-0))+Curve_Shocks_bps!C13/10000)*(0.25-0))</f>
        <v>0.99141759260167</v>
      </c>
      <c r="D14" s="29" t="n">
        <f aca="false">C14/(1+(((Base_Curves!C7/Base_Curves!D7-1)/(0.5-0.25))+Curve_Shocks_bps!D13/10000)*(0.5-0.25))</f>
        <v>0.982824383750023</v>
      </c>
      <c r="E14" s="29" t="n">
        <f aca="false">D14/(1+(((Base_Curves!D7/Base_Curves!E7-1)/(1-0.5))+Curve_Shocks_bps!E13/10000)*(1-0.5))</f>
        <v>0.968938897143004</v>
      </c>
      <c r="F14" s="29" t="n">
        <f aca="false">E14/(1+(((Base_Curves!E7/Base_Curves!F7-1)/(2-1))+Curve_Shocks_bps!F13/10000)*(2-1))</f>
        <v>0.937051283433405</v>
      </c>
      <c r="G14" s="29" t="n">
        <f aca="false">F14/(1+(((Base_Curves!F7/Base_Curves!G7-1)/(3-2))+Curve_Shocks_bps!G13/10000)*(3-2))</f>
        <v>0.906835946817593</v>
      </c>
      <c r="H14" s="29" t="n">
        <f aca="false">G14/(1+(((Base_Curves!G7/Base_Curves!H7-1)/(5-3))+Curve_Shocks_bps!H13/10000)*(5-3))</f>
        <v>0.849385063469144</v>
      </c>
      <c r="I14" s="29" t="n">
        <f aca="false">H14/(1+(((Base_Curves!H7/Base_Curves!I7-1)/(10-5))+Curve_Shocks_bps!I13/10000)*(10-5))</f>
        <v>0.720294364531124</v>
      </c>
      <c r="J14" s="29" t="n">
        <f aca="false">I14/(1+(((Base_Curves!I7/Base_Curves!J7-1)/(20-10))+Curve_Shocks_bps!J13/10000)*(20-10))</f>
        <v>0.519869427983886</v>
      </c>
      <c r="K14" s="29" t="n">
        <f aca="false">J14/(1+(((Base_Curves!J7/Base_Curves!K7-1)/(30-20))+Curve_Shocks_bps!K13/10000)*(30-20))</f>
        <v>0.375429488934394</v>
      </c>
    </row>
    <row r="15" customFormat="false" ht="15" hidden="false" customHeight="true" outlineLevel="0" collapsed="false">
      <c r="A15" s="4" t="s">
        <v>45</v>
      </c>
      <c r="B15" s="20" t="s">
        <v>38</v>
      </c>
      <c r="C15" s="29" t="n">
        <f aca="false">1/(1+(((1/Base_Curves!C8-1)/(0.25-0))+Curve_Shocks_bps!C14/10000)*(0.25-0))</f>
        <v>0.988250257207051</v>
      </c>
      <c r="D15" s="29" t="n">
        <f aca="false">C15/(1+(((Base_Curves!C8/Base_Curves!D8-1)/(0.5-0.25))+Curve_Shocks_bps!D14/10000)*(0.5-0.25))</f>
        <v>0.976679684475935</v>
      </c>
      <c r="E15" s="29" t="n">
        <f aca="false">D15/(1+(((Base_Curves!D8/Base_Curves!E8-1)/(1-0.5))+Curve_Shocks_bps!E14/10000)*(1-0.5))</f>
        <v>0.954588922832977</v>
      </c>
      <c r="F15" s="29" t="n">
        <f aca="false">E15/(1+(((Base_Curves!E8/Base_Curves!F8-1)/(2-1))+Curve_Shocks_bps!F14/10000)*(2-1))</f>
        <v>0.912317895550149</v>
      </c>
      <c r="G15" s="29" t="n">
        <f aca="false">F15/(1+(((Base_Curves!F8/Base_Curves!G8-1)/(3-2))+Curve_Shocks_bps!G14/10000)*(3-2))</f>
        <v>0.87274103640811</v>
      </c>
      <c r="H15" s="29" t="n">
        <f aca="false">G15/(1+(((Base_Curves!G8/Base_Curves!H8-1)/(5-3))+Curve_Shocks_bps!H14/10000)*(5-3))</f>
        <v>0.799255788546327</v>
      </c>
      <c r="I15" s="29" t="n">
        <f aca="false">H15/(1+(((Base_Curves!H8/Base_Curves!I8-1)/(10-5))+Curve_Shocks_bps!I14/10000)*(10-5))</f>
        <v>0.639463831614459</v>
      </c>
      <c r="J15" s="29" t="n">
        <f aca="false">I15/(1+(((Base_Curves!I8/Base_Curves!J8-1)/(20-10))+Curve_Shocks_bps!J14/10000)*(20-10))</f>
        <v>0.4133140243345</v>
      </c>
      <c r="K15" s="29" t="n">
        <f aca="false">J15/(1+(((Base_Curves!J8/Base_Curves!K8-1)/(30-20))+Curve_Shocks_bps!K14/10000)*(30-20))</f>
        <v>0.267281532423454</v>
      </c>
    </row>
    <row r="16" customFormat="false" ht="15" hidden="false" customHeight="true" outlineLevel="0" collapsed="false">
      <c r="A16" s="4" t="s">
        <v>37</v>
      </c>
      <c r="B16" s="20" t="s">
        <v>38</v>
      </c>
      <c r="C16" s="29" t="n">
        <f aca="false">1/(1+(((1/Base_Curves!C9-1)/(0.25-0))+Curve_Shocks_bps!C15/10000)*(0.25-0))</f>
        <v>0.986608800226139</v>
      </c>
      <c r="D16" s="29" t="n">
        <f aca="false">C16/(1+(((Base_Curves!C9/Base_Curves!D9-1)/(0.5-0.25))+Curve_Shocks_bps!D15/10000)*(0.5-0.25))</f>
        <v>0.977299953632902</v>
      </c>
      <c r="E16" s="29" t="n">
        <f aca="false">D16/(1+(((Base_Curves!D9/Base_Curves!E9-1)/(1-0.5))+Curve_Shocks_bps!E15/10000)*(1-0.5))</f>
        <v>0.952091864437955</v>
      </c>
      <c r="F16" s="29" t="n">
        <f aca="false">E16/(1+(((Base_Curves!E9/Base_Curves!F9-1)/(2-1))+Curve_Shocks_bps!F15/10000)*(2-1))</f>
        <v>0.912668186063619</v>
      </c>
      <c r="G16" s="29" t="n">
        <f aca="false">F16/(1+(((Base_Curves!F9/Base_Curves!G9-1)/(3-2))+Curve_Shocks_bps!G15/10000)*(3-2))</f>
        <v>0.868199565826666</v>
      </c>
      <c r="H16" s="29" t="n">
        <f aca="false">G16/(1+(((Base_Curves!G9/Base_Curves!H9-1)/(5-3))+Curve_Shocks_bps!H15/10000)*(5-3))</f>
        <v>0.787583007017669</v>
      </c>
      <c r="I16" s="29" t="n">
        <f aca="false">H16/(1+(((Base_Curves!H9/Base_Curves!I9-1)/(10-5))+Curve_Shocks_bps!I15/10000)*(10-5))</f>
        <v>0.616773779165688</v>
      </c>
      <c r="J16" s="29" t="n">
        <f aca="false">I16/(1+(((Base_Curves!I9/Base_Curves!J9-1)/(20-10))+Curve_Shocks_bps!J15/10000)*(20-10))</f>
        <v>0.382563184640624</v>
      </c>
      <c r="K16" s="29" t="n">
        <f aca="false">J16/(1+(((Base_Curves!J9/Base_Curves!K9-1)/(30-20))+Curve_Shocks_bps!K15/10000)*(30-20))</f>
        <v>0.237466853469285</v>
      </c>
    </row>
    <row r="17" customFormat="false" ht="15" hidden="false" customHeight="true" outlineLevel="0" collapsed="false">
      <c r="A17" s="4" t="s">
        <v>40</v>
      </c>
      <c r="B17" s="20" t="s">
        <v>38</v>
      </c>
      <c r="C17" s="29" t="n">
        <f aca="false">1/(1+(((1/Base_Curves!C10-1)/(0.25-0))+Curve_Shocks_bps!C16/10000)*(0.25-0))</f>
        <v>0.989992941796522</v>
      </c>
      <c r="D17" s="29" t="n">
        <f aca="false">C17/(1+(((Base_Curves!C10/Base_Curves!D10-1)/(0.5-0.25))+Curve_Shocks_bps!D16/10000)*(0.5-0.25))</f>
        <v>0.983483895590089</v>
      </c>
      <c r="E17" s="29" t="n">
        <f aca="false">D17/(1+(((Base_Curves!D10/Base_Curves!E10-1)/(1-0.5))+Curve_Shocks_bps!E16/10000)*(1-0.5))</f>
        <v>0.964955584066973</v>
      </c>
      <c r="F17" s="29" t="n">
        <f aca="false">E17/(1+(((Base_Curves!E10/Base_Curves!F10-1)/(2-1))+Curve_Shocks_bps!F16/10000)*(2-1))</f>
        <v>0.929857496195902</v>
      </c>
      <c r="G17" s="29" t="n">
        <f aca="false">F17/(1+(((Base_Curves!F10/Base_Curves!G10-1)/(3-2))+Curve_Shocks_bps!G16/10000)*(3-2))</f>
        <v>0.897246748976098</v>
      </c>
      <c r="H17" s="29" t="n">
        <f aca="false">G17/(1+(((Base_Curves!G10/Base_Curves!H10-1)/(5-3))+Curve_Shocks_bps!H16/10000)*(5-3))</f>
        <v>0.836146300779977</v>
      </c>
      <c r="I17" s="29" t="n">
        <f aca="false">H17/(1+(((Base_Curves!H10/Base_Curves!I10-1)/(10-5))+Curve_Shocks_bps!I16/10000)*(10-5))</f>
        <v>0.699331399440798</v>
      </c>
      <c r="J17" s="29" t="n">
        <f aca="false">I17/(1+(((Base_Curves!I10/Base_Curves!J10-1)/(20-10))+Curve_Shocks_bps!J16/10000)*(20-10))</f>
        <v>0.494230836502455</v>
      </c>
      <c r="K17" s="29" t="n">
        <f aca="false">J17/(1+(((Base_Curves!J10/Base_Curves!K10-1)/(30-20))+Curve_Shocks_bps!K16/10000)*(30-20))</f>
        <v>0.350595096781494</v>
      </c>
    </row>
    <row r="18" customFormat="false" ht="15" hidden="false" customHeight="true" outlineLevel="0" collapsed="false">
      <c r="A18" s="4" t="s">
        <v>49</v>
      </c>
      <c r="B18" s="20" t="s">
        <v>50</v>
      </c>
      <c r="C18" s="29" t="n">
        <f aca="false">1/(1+(((1/Base_Curves!C11-1)/(0.25-0))+Curve_Shocks_bps!C17/10000)*(0.25-0))</f>
        <v>0.989208546534173</v>
      </c>
      <c r="D18" s="29" t="n">
        <f aca="false">C18/(1+(((Base_Curves!C11/Base_Curves!D11-1)/(0.5-0.25))+Curve_Shocks_bps!D17/10000)*(0.5-0.25))</f>
        <v>0.97856039431516</v>
      </c>
      <c r="E18" s="29" t="n">
        <f aca="false">D18/(1+(((Base_Curves!D11/Base_Curves!E11-1)/(1-0.5))+Curve_Shocks_bps!E17/10000)*(1-0.5))</f>
        <v>0.957836117465444</v>
      </c>
      <c r="F18" s="29" t="n">
        <f aca="false">E18/(1+(((Base_Curves!E11/Base_Curves!F11-1)/(2-1))+Curve_Shocks_bps!F17/10000)*(2-1))</f>
        <v>0.918374940551607</v>
      </c>
      <c r="G18" s="29" t="n">
        <f aca="false">F18/(1+(((Base_Curves!F11/Base_Curves!G11-1)/(3-2))+Curve_Shocks_bps!G17/10000)*(3-2))</f>
        <v>0.882660753633322</v>
      </c>
      <c r="H18" s="29" t="n">
        <f aca="false">G18/(1+(((Base_Curves!G11/Base_Curves!H11-1)/(5-3))+Curve_Shocks_bps!H17/10000)*(5-3))</f>
        <v>0.811828290161123</v>
      </c>
      <c r="I18" s="29" t="n">
        <f aca="false">H18/(1+(((Base_Curves!H11/Base_Curves!I11-1)/(10-5))+Curve_Shocks_bps!I17/10000)*(10-5))</f>
        <v>0.656250228420335</v>
      </c>
      <c r="J18" s="29" t="n">
        <f aca="false">I18/(1+(((Base_Curves!I11/Base_Curves!J11-1)/(20-10))+Curve_Shocks_bps!J17/10000)*(20-10))</f>
        <v>0.43269119598514</v>
      </c>
      <c r="K18" s="29" t="n">
        <f aca="false">J18/(1+(((Base_Curves!J11/Base_Curves!K11-1)/(30-20))+Curve_Shocks_bps!K17/10000)*(30-20))</f>
        <v>0.285403316657702</v>
      </c>
    </row>
    <row r="20" customFormat="false" ht="15" hidden="false" customHeight="true" outlineLevel="0" collapsed="false">
      <c r="A20" s="19" t="s">
        <v>79</v>
      </c>
      <c r="B20" s="19"/>
      <c r="C20" s="13" t="s">
        <v>56</v>
      </c>
      <c r="D20" s="13" t="s">
        <v>57</v>
      </c>
      <c r="E20" s="13" t="s">
        <v>30</v>
      </c>
      <c r="F20" s="13" t="s">
        <v>58</v>
      </c>
      <c r="G20" s="13" t="s">
        <v>59</v>
      </c>
      <c r="H20" s="13" t="s">
        <v>60</v>
      </c>
      <c r="I20" s="13" t="s">
        <v>61</v>
      </c>
      <c r="J20" s="13" t="s">
        <v>62</v>
      </c>
      <c r="K20" s="13" t="s">
        <v>63</v>
      </c>
    </row>
    <row r="21" customFormat="false" ht="15" hidden="false" customHeight="true" outlineLevel="0" collapsed="false">
      <c r="A21" s="4" t="s">
        <v>42</v>
      </c>
      <c r="B21" s="20" t="s">
        <v>43</v>
      </c>
      <c r="C21" s="29" t="n">
        <f aca="false">1/(1+(((1/Base_Curves!C6-1)/(0.25-0))+Curve_Shocks_bps!C20/10000)*(0.25-0))</f>
        <v>0.987995585109903</v>
      </c>
      <c r="D21" s="29" t="n">
        <f aca="false">C21/(1+(((Base_Curves!C6/Base_Curves!D6-1)/(0.5-0.25))+Curve_Shocks_bps!D20/10000)*(0.5-0.25))</f>
        <v>0.976308315329167</v>
      </c>
      <c r="E21" s="29" t="n">
        <f aca="false">D21/(1+(((Base_Curves!D6/Base_Curves!E6-1)/(1-0.5))+Curve_Shocks_bps!E20/10000)*(1-0.5))</f>
        <v>0.953428257833193</v>
      </c>
      <c r="F21" s="29" t="n">
        <f aca="false">E21/(1+(((Base_Curves!E6/Base_Curves!F6-1)/(2-1))+Curve_Shocks_bps!F20/10000)*(2-1))</f>
        <v>0.910569654645286</v>
      </c>
      <c r="G21" s="29" t="n">
        <f aca="false">F21/(1+(((Base_Curves!F6/Base_Curves!G6-1)/(3-2))+Curve_Shocks_bps!G20/10000)*(3-2))</f>
        <v>0.870241360704239</v>
      </c>
      <c r="H21" s="29" t="n">
        <f aca="false">G21/(1+(((Base_Curves!G6/Base_Curves!H6-1)/(5-3))+Curve_Shocks_bps!H20/10000)*(5-3))</f>
        <v>0.795333483577944</v>
      </c>
      <c r="I21" s="29" t="n">
        <f aca="false">H21/(1+(((Base_Curves!H6/Base_Curves!I6-1)/(10-5))+Curve_Shocks_bps!I20/10000)*(10-5))</f>
        <v>0.633257393853352</v>
      </c>
      <c r="J21" s="29" t="n">
        <f aca="false">I21/(1+(((Base_Curves!I6/Base_Curves!J6-1)/(20-10))+Curve_Shocks_bps!J20/10000)*(20-10))</f>
        <v>0.405183965311444</v>
      </c>
      <c r="K21" s="29" t="n">
        <f aca="false">J21/(1+(((Base_Curves!J6/Base_Curves!K6-1)/(30-20))+Curve_Shocks_bps!K20/10000)*(30-20))</f>
        <v>0.259352233587901</v>
      </c>
    </row>
    <row r="22" customFormat="false" ht="15" hidden="false" customHeight="true" outlineLevel="0" collapsed="false">
      <c r="A22" s="4" t="s">
        <v>52</v>
      </c>
      <c r="B22" s="20" t="s">
        <v>43</v>
      </c>
      <c r="C22" s="29" t="n">
        <f aca="false">1/(1+(((1/Base_Curves!C7-1)/(0.25-0))+Curve_Shocks_bps!C21/10000)*(0.25-0))</f>
        <v>0.993303443445685</v>
      </c>
      <c r="D22" s="29" t="n">
        <f aca="false">C22/(1+(((Base_Curves!C7/Base_Curves!D7-1)/(0.5-0.25))+Curve_Shocks_bps!D21/10000)*(0.5-0.25))</f>
        <v>0.984571884046208</v>
      </c>
      <c r="E22" s="29" t="n">
        <f aca="false">D22/(1+(((Base_Curves!D7/Base_Curves!E7-1)/(1-0.5))+Curve_Shocks_bps!E21/10000)*(1-0.5))</f>
        <v>0.967699452636081</v>
      </c>
      <c r="F22" s="29" t="n">
        <f aca="false">E22/(1+(((Base_Curves!E7/Base_Curves!F7-1)/(2-1))+Curve_Shocks_bps!F21/10000)*(2-1))</f>
        <v>0.935771181073623</v>
      </c>
      <c r="G22" s="29" t="n">
        <f aca="false">F22/(1+(((Base_Curves!F7/Base_Curves!G7-1)/(3-2))+Curve_Shocks_bps!G21/10000)*(3-2))</f>
        <v>0.905360556404932</v>
      </c>
      <c r="H22" s="29" t="n">
        <f aca="false">G22/(1+(((Base_Curves!G7/Base_Curves!H7-1)/(5-3))+Curve_Shocks_bps!H21/10000)*(5-3))</f>
        <v>0.847828438146959</v>
      </c>
      <c r="I22" s="29" t="n">
        <f aca="false">H22/(1+(((Base_Curves!H7/Base_Curves!I7-1)/(10-5))+Curve_Shocks_bps!I21/10000)*(10-5))</f>
        <v>0.716937596159315</v>
      </c>
      <c r="J22" s="29" t="n">
        <f aca="false">I22/(1+(((Base_Curves!I7/Base_Curves!J7-1)/(20-10))+Curve_Shocks_bps!J21/10000)*(20-10))</f>
        <v>0.517334679291725</v>
      </c>
      <c r="K22" s="29" t="n">
        <f aca="false">J22/(1+(((Base_Curves!J7/Base_Curves!K7-1)/(30-20))+Curve_Shocks_bps!K21/10000)*(30-20))</f>
        <v>0.373545040036198</v>
      </c>
    </row>
    <row r="23" customFormat="false" ht="15" hidden="false" customHeight="true" outlineLevel="0" collapsed="false">
      <c r="A23" s="4" t="s">
        <v>45</v>
      </c>
      <c r="B23" s="20" t="s">
        <v>38</v>
      </c>
      <c r="C23" s="29" t="n">
        <f aca="false">1/(1+(((1/Base_Curves!C8-1)/(0.25-0))+Curve_Shocks_bps!C22/10000)*(0.25-0))</f>
        <v>0.9881574852526</v>
      </c>
      <c r="D23" s="29" t="n">
        <f aca="false">C23/(1+(((Base_Curves!C8/Base_Curves!D8-1)/(0.5-0.25))+Curve_Shocks_bps!D22/10000)*(0.5-0.25))</f>
        <v>0.976300949799881</v>
      </c>
      <c r="E23" s="29" t="n">
        <f aca="false">D23/(1+(((Base_Curves!D8/Base_Curves!E8-1)/(1-0.5))+Curve_Shocks_bps!E22/10000)*(1-0.5))</f>
        <v>0.954008957495664</v>
      </c>
      <c r="F23" s="29" t="n">
        <f aca="false">E23/(1+(((Base_Curves!E8/Base_Curves!F8-1)/(2-1))+Curve_Shocks_bps!F22/10000)*(2-1))</f>
        <v>0.911781040302227</v>
      </c>
      <c r="G23" s="29" t="n">
        <f aca="false">F23/(1+(((Base_Curves!F8/Base_Curves!G8-1)/(3-2))+Curve_Shocks_bps!G22/10000)*(3-2))</f>
        <v>0.871893841999927</v>
      </c>
      <c r="H23" s="29" t="n">
        <f aca="false">G23/(1+(((Base_Curves!G8/Base_Curves!H8-1)/(5-3))+Curve_Shocks_bps!H22/10000)*(5-3))</f>
        <v>0.798216766006532</v>
      </c>
      <c r="I23" s="29" t="n">
        <f aca="false">H23/(1+(((Base_Curves!H8/Base_Curves!I8-1)/(10-5))+Curve_Shocks_bps!I22/10000)*(10-5))</f>
        <v>0.638351635897112</v>
      </c>
      <c r="J23" s="29" t="n">
        <f aca="false">I23/(1+(((Base_Curves!I8/Base_Curves!J8-1)/(20-10))+Curve_Shocks_bps!J22/10000)*(20-10))</f>
        <v>0.412461866326851</v>
      </c>
      <c r="K23" s="29" t="n">
        <f aca="false">J23/(1+(((Base_Curves!J8/Base_Curves!K8-1)/(30-20))+Curve_Shocks_bps!K22/10000)*(30-20))</f>
        <v>0.267283569083221</v>
      </c>
    </row>
    <row r="24" customFormat="false" ht="15" hidden="false" customHeight="true" outlineLevel="0" collapsed="false">
      <c r="A24" s="4" t="s">
        <v>37</v>
      </c>
      <c r="B24" s="20" t="s">
        <v>38</v>
      </c>
      <c r="C24" s="29" t="n">
        <f aca="false">1/(1+(((1/Base_Curves!C9-1)/(0.25-0))+Curve_Shocks_bps!C23/10000)*(0.25-0))</f>
        <v>0.986061568151993</v>
      </c>
      <c r="D24" s="29" t="n">
        <f aca="false">C24/(1+(((Base_Curves!C9/Base_Curves!D9-1)/(0.5-0.25))+Curve_Shocks_bps!D23/10000)*(0.5-0.25))</f>
        <v>0.972581524005963</v>
      </c>
      <c r="E24" s="29" t="n">
        <f aca="false">D24/(1+(((Base_Curves!D9/Base_Curves!E9-1)/(1-0.5))+Curve_Shocks_bps!E23/10000)*(1-0.5))</f>
        <v>0.953612707835657</v>
      </c>
      <c r="F24" s="29" t="n">
        <f aca="false">E24/(1+(((Base_Curves!E9/Base_Curves!F9-1)/(2-1))+Curve_Shocks_bps!F23/10000)*(2-1))</f>
        <v>0.906091756615953</v>
      </c>
      <c r="G24" s="29" t="n">
        <f aca="false">F24/(1+(((Base_Curves!F9/Base_Curves!G9-1)/(3-2))+Curve_Shocks_bps!G23/10000)*(3-2))</f>
        <v>0.861935365323622</v>
      </c>
      <c r="H24" s="29" t="n">
        <f aca="false">G24/(1+(((Base_Curves!G9/Base_Curves!H9-1)/(5-3))+Curve_Shocks_bps!H23/10000)*(5-3))</f>
        <v>0.781432612005374</v>
      </c>
      <c r="I24" s="29" t="n">
        <f aca="false">H24/(1+(((Base_Curves!H9/Base_Curves!I9-1)/(10-5))+Curve_Shocks_bps!I23/10000)*(10-5))</f>
        <v>0.611765633052155</v>
      </c>
      <c r="J24" s="29" t="n">
        <f aca="false">I24/(1+(((Base_Curves!I9/Base_Curves!J9-1)/(20-10))+Curve_Shocks_bps!J23/10000)*(20-10))</f>
        <v>0.379198083293197</v>
      </c>
      <c r="K24" s="29" t="n">
        <f aca="false">J24/(1+(((Base_Curves!J9/Base_Curves!K9-1)/(30-20))+Curve_Shocks_bps!K23/10000)*(30-20))</f>
        <v>0.236361041331527</v>
      </c>
    </row>
    <row r="25" customFormat="false" ht="15" hidden="false" customHeight="true" outlineLevel="0" collapsed="false">
      <c r="A25" s="4" t="s">
        <v>40</v>
      </c>
      <c r="B25" s="20" t="s">
        <v>38</v>
      </c>
      <c r="C25" s="29" t="n">
        <f aca="false">1/(1+(((1/Base_Curves!C10-1)/(0.25-0))+Curve_Shocks_bps!C24/10000)*(0.25-0))</f>
        <v>0.989858198309937</v>
      </c>
      <c r="D25" s="29" t="n">
        <f aca="false">C25/(1+(((Base_Curves!C10/Base_Curves!D10-1)/(0.5-0.25))+Curve_Shocks_bps!D24/10000)*(0.5-0.25))</f>
        <v>0.980141704991619</v>
      </c>
      <c r="E25" s="29" t="n">
        <f aca="false">D25/(1+(((Base_Curves!D10/Base_Curves!E10-1)/(1-0.5))+Curve_Shocks_bps!E24/10000)*(1-0.5))</f>
        <v>0.961223663488055</v>
      </c>
      <c r="F25" s="29" t="n">
        <f aca="false">E25/(1+(((Base_Curves!E10/Base_Curves!F10-1)/(2-1))+Curve_Shocks_bps!F24/10000)*(2-1))</f>
        <v>0.925904425135753</v>
      </c>
      <c r="G25" s="29" t="n">
        <f aca="false">F25/(1+(((Base_Curves!F10/Base_Curves!G10-1)/(3-2))+Curve_Shocks_bps!G24/10000)*(3-2))</f>
        <v>0.897285199554242</v>
      </c>
      <c r="H25" s="29" t="n">
        <f aca="false">G25/(1+(((Base_Curves!G10/Base_Curves!H10-1)/(5-3))+Curve_Shocks_bps!H24/10000)*(5-3))</f>
        <v>0.836057473141918</v>
      </c>
      <c r="I25" s="29" t="n">
        <f aca="false">H25/(1+(((Base_Curves!H10/Base_Curves!I10-1)/(10-5))+Curve_Shocks_bps!I24/10000)*(10-5))</f>
        <v>0.698731145486687</v>
      </c>
      <c r="J25" s="29" t="n">
        <f aca="false">I25/(1+(((Base_Curves!I10/Base_Curves!J10-1)/(20-10))+Curve_Shocks_bps!J24/10000)*(20-10))</f>
        <v>0.493562458584677</v>
      </c>
      <c r="K25" s="29" t="n">
        <f aca="false">J25/(1+(((Base_Curves!J10/Base_Curves!K10-1)/(30-20))+Curve_Shocks_bps!K24/10000)*(30-20))</f>
        <v>0.350170646538948</v>
      </c>
    </row>
    <row r="26" customFormat="false" ht="15" hidden="false" customHeight="true" outlineLevel="0" collapsed="false">
      <c r="A26" s="4" t="s">
        <v>49</v>
      </c>
      <c r="B26" s="20" t="s">
        <v>50</v>
      </c>
      <c r="C26" s="29" t="n">
        <f aca="false">1/(1+(((1/Base_Curves!C11-1)/(0.25-0))+Curve_Shocks_bps!C25/10000)*(0.25-0))</f>
        <v>0.989208546534173</v>
      </c>
      <c r="D26" s="29" t="n">
        <f aca="false">C26/(1+(((Base_Curves!C11/Base_Curves!D11-1)/(0.5-0.25))+Curve_Shocks_bps!D25/10000)*(0.5-0.25))</f>
        <v>0.978485377984527</v>
      </c>
      <c r="E26" s="29" t="n">
        <f aca="false">D26/(1+(((Base_Curves!D11/Base_Curves!E11-1)/(1-0.5))+Curve_Shocks_bps!E25/10000)*(1-0.5))</f>
        <v>0.95758460198965</v>
      </c>
      <c r="F26" s="29" t="n">
        <f aca="false">E26/(1+(((Base_Curves!E11/Base_Curves!F11-1)/(2-1))+Curve_Shocks_bps!F25/10000)*(2-1))</f>
        <v>0.921260691583347</v>
      </c>
      <c r="G26" s="29" t="n">
        <f aca="false">F26/(1+(((Base_Curves!F11/Base_Curves!G11-1)/(3-2))+Curve_Shocks_bps!G25/10000)*(3-2))</f>
        <v>0.883294940950007</v>
      </c>
      <c r="H26" s="29" t="n">
        <f aca="false">G26/(1+(((Base_Curves!G11/Base_Curves!H11-1)/(5-3))+Curve_Shocks_bps!H25/10000)*(5-3))</f>
        <v>0.812262168887263</v>
      </c>
      <c r="I26" s="29" t="n">
        <f aca="false">H26/(1+(((Base_Curves!H11/Base_Curves!I11-1)/(10-5))+Curve_Shocks_bps!I25/10000)*(10-5))</f>
        <v>0.656494822061818</v>
      </c>
      <c r="J26" s="29" t="n">
        <f aca="false">I26/(1+(((Base_Curves!I11/Base_Curves!J11-1)/(20-10))+Curve_Shocks_bps!J25/10000)*(20-10))</f>
        <v>0.432709814876346</v>
      </c>
      <c r="K26" s="29" t="n">
        <f aca="false">J26/(1+(((Base_Curves!J11/Base_Curves!K11-1)/(30-20))+Curve_Shocks_bps!K25/10000)*(30-20))</f>
        <v>0.285377950600986</v>
      </c>
    </row>
    <row r="28" customFormat="false" ht="15" hidden="false" customHeight="true" outlineLevel="0" collapsed="false">
      <c r="A28" s="19" t="s">
        <v>80</v>
      </c>
      <c r="B28" s="19"/>
      <c r="C28" s="13" t="s">
        <v>56</v>
      </c>
      <c r="D28" s="13" t="s">
        <v>57</v>
      </c>
      <c r="E28" s="13" t="s">
        <v>30</v>
      </c>
      <c r="F28" s="13" t="s">
        <v>58</v>
      </c>
      <c r="G28" s="13" t="s">
        <v>59</v>
      </c>
      <c r="H28" s="13" t="s">
        <v>60</v>
      </c>
      <c r="I28" s="13" t="s">
        <v>61</v>
      </c>
      <c r="J28" s="13" t="s">
        <v>62</v>
      </c>
      <c r="K28" s="13" t="s">
        <v>63</v>
      </c>
    </row>
    <row r="29" customFormat="false" ht="15" hidden="false" customHeight="true" outlineLevel="0" collapsed="false">
      <c r="A29" s="4" t="s">
        <v>42</v>
      </c>
      <c r="B29" s="20" t="s">
        <v>43</v>
      </c>
      <c r="C29" s="29" t="n">
        <f aca="false">1/(1+(((1/Base_Curves!C6-1)/(0.25-0))+Curve_Shocks_bps!C28/10000)*(0.25-0))</f>
        <v>0.987958981393207</v>
      </c>
      <c r="D29" s="29" t="n">
        <f aca="false">C29/(1+(((Base_Curves!C6/Base_Curves!D6-1)/(0.5-0.25))+Curve_Shocks_bps!D28/10000)*(0.5-0.25))</f>
        <v>0.976088881540551</v>
      </c>
      <c r="E29" s="29" t="n">
        <f aca="false">D29/(1+(((Base_Curves!D6/Base_Curves!E6-1)/(1-0.5))+Curve_Shocks_bps!E28/10000)*(1-0.5))</f>
        <v>0.953041785744194</v>
      </c>
      <c r="F29" s="29" t="n">
        <f aca="false">E29/(1+(((Base_Curves!E6/Base_Curves!F6-1)/(2-1))+Curve_Shocks_bps!F28/10000)*(2-1))</f>
        <v>0.909800859724724</v>
      </c>
      <c r="G29" s="29" t="n">
        <f aca="false">F29/(1+(((Base_Curves!F6/Base_Curves!G6-1)/(3-2))+Curve_Shocks_bps!G28/10000)*(3-2))</f>
        <v>0.872583845887327</v>
      </c>
      <c r="H29" s="29" t="n">
        <f aca="false">G29/(1+(((Base_Curves!G6/Base_Curves!H6-1)/(5-3))+Curve_Shocks_bps!H28/10000)*(5-3))</f>
        <v>0.797226609128814</v>
      </c>
      <c r="I29" s="29" t="n">
        <f aca="false">H29/(1+(((Base_Curves!H6/Base_Curves!I6-1)/(10-5))+Curve_Shocks_bps!I28/10000)*(10-5))</f>
        <v>0.634613144283944</v>
      </c>
      <c r="J29" s="29" t="n">
        <f aca="false">I29/(1+(((Base_Curves!I6/Base_Curves!J6-1)/(20-10))+Curve_Shocks_bps!J28/10000)*(20-10))</f>
        <v>0.405895604694492</v>
      </c>
      <c r="K29" s="29" t="n">
        <f aca="false">J29/(1+(((Base_Curves!J6/Base_Curves!K6-1)/(30-20))+Curve_Shocks_bps!K28/10000)*(30-20))</f>
        <v>0.259757863235091</v>
      </c>
    </row>
    <row r="30" customFormat="false" ht="15" hidden="false" customHeight="true" outlineLevel="0" collapsed="false">
      <c r="A30" s="4" t="s">
        <v>52</v>
      </c>
      <c r="B30" s="20" t="s">
        <v>43</v>
      </c>
      <c r="C30" s="29" t="n">
        <f aca="false">1/(1+(((1/Base_Curves!C7-1)/(0.25-0))+Curve_Shocks_bps!C29/10000)*(0.25-0))</f>
        <v>0.99114736634431</v>
      </c>
      <c r="D30" s="29" t="n">
        <f aca="false">C30/(1+(((Base_Curves!C7/Base_Curves!D7-1)/(0.5-0.25))+Curve_Shocks_bps!D29/10000)*(0.5-0.25))</f>
        <v>0.982412849795813</v>
      </c>
      <c r="E30" s="29" t="n">
        <f aca="false">D30/(1+(((Base_Curves!D7/Base_Curves!E7-1)/(1-0.5))+Curve_Shocks_bps!E29/10000)*(1-0.5))</f>
        <v>0.965269080950153</v>
      </c>
      <c r="F30" s="29" t="n">
        <f aca="false">E30/(1+(((Base_Curves!E7/Base_Curves!F7-1)/(2-1))+Curve_Shocks_bps!F29/10000)*(2-1))</f>
        <v>0.9330961656065</v>
      </c>
      <c r="G30" s="29" t="n">
        <f aca="false">F30/(1+(((Base_Curves!F7/Base_Curves!G7-1)/(3-2))+Curve_Shocks_bps!G29/10000)*(3-2))</f>
        <v>0.902536707742093</v>
      </c>
      <c r="H30" s="29" t="n">
        <f aca="false">G30/(1+(((Base_Curves!G7/Base_Curves!H7-1)/(5-3))+Curve_Shocks_bps!H29/10000)*(5-3))</f>
        <v>0.847596989990749</v>
      </c>
      <c r="I30" s="29" t="n">
        <f aca="false">H30/(1+(((Base_Curves!H7/Base_Curves!I7-1)/(10-5))+Curve_Shocks_bps!I29/10000)*(10-5))</f>
        <v>0.71646924366174</v>
      </c>
      <c r="J30" s="29" t="n">
        <f aca="false">I30/(1+(((Base_Curves!I7/Base_Curves!J7-1)/(20-10))+Curve_Shocks_bps!J29/10000)*(20-10))</f>
        <v>0.5168848274151</v>
      </c>
      <c r="K30" s="29" t="n">
        <f aca="false">J30/(1+(((Base_Curves!J7/Base_Curves!K7-1)/(30-20))+Curve_Shocks_bps!K29/10000)*(30-20))</f>
        <v>0.373220221414925</v>
      </c>
    </row>
    <row r="31" customFormat="false" ht="15" hidden="false" customHeight="true" outlineLevel="0" collapsed="false">
      <c r="A31" s="4" t="s">
        <v>45</v>
      </c>
      <c r="B31" s="20" t="s">
        <v>38</v>
      </c>
      <c r="C31" s="29" t="n">
        <f aca="false">1/(1+(((1/Base_Curves!C8-1)/(0.25-0))+Curve_Shocks_bps!C30/10000)*(0.25-0))</f>
        <v>0.987789010860488</v>
      </c>
      <c r="D31" s="29" t="n">
        <f aca="false">C31/(1+(((Base_Curves!C8/Base_Curves!D8-1)/(0.5-0.25))+Curve_Shocks_bps!D30/10000)*(0.5-0.25))</f>
        <v>0.975862174725066</v>
      </c>
      <c r="E31" s="29" t="n">
        <f aca="false">D31/(1+(((Base_Curves!D8/Base_Curves!E8-1)/(1-0.5))+Curve_Shocks_bps!E30/10000)*(1-0.5))</f>
        <v>0.95320762385314</v>
      </c>
      <c r="F31" s="29" t="n">
        <f aca="false">E31/(1+(((Base_Curves!E8/Base_Curves!F8-1)/(2-1))+Curve_Shocks_bps!F30/10000)*(2-1))</f>
        <v>0.910684434407317</v>
      </c>
      <c r="G31" s="29" t="n">
        <f aca="false">F31/(1+(((Base_Curves!F8/Base_Curves!G8-1)/(3-2))+Curve_Shocks_bps!G30/10000)*(3-2))</f>
        <v>0.870903505056356</v>
      </c>
      <c r="H31" s="29" t="n">
        <f aca="false">G31/(1+(((Base_Curves!G8/Base_Curves!H8-1)/(5-3))+Curve_Shocks_bps!H30/10000)*(5-3))</f>
        <v>0.797062014001968</v>
      </c>
      <c r="I31" s="29" t="n">
        <f aca="false">H31/(1+(((Base_Curves!H8/Base_Curves!I8-1)/(10-5))+Curve_Shocks_bps!I30/10000)*(10-5))</f>
        <v>0.637275262185611</v>
      </c>
      <c r="J31" s="29" t="n">
        <f aca="false">I31/(1+(((Base_Curves!I8/Base_Curves!J8-1)/(20-10))+Curve_Shocks_bps!J30/10000)*(20-10))</f>
        <v>0.413261712628012</v>
      </c>
      <c r="K31" s="29" t="n">
        <f aca="false">J31/(1+(((Base_Curves!J8/Base_Curves!K8-1)/(30-20))+Curve_Shocks_bps!K30/10000)*(30-20))</f>
        <v>0.267144049656573</v>
      </c>
    </row>
    <row r="32" customFormat="false" ht="15" hidden="false" customHeight="true" outlineLevel="0" collapsed="false">
      <c r="A32" s="4" t="s">
        <v>37</v>
      </c>
      <c r="B32" s="20" t="s">
        <v>38</v>
      </c>
      <c r="C32" s="29" t="n">
        <f aca="false">1/(1+(((1/Base_Curves!C9-1)/(0.25-0))+Curve_Shocks_bps!C31/10000)*(0.25-0))</f>
        <v>0.985983788894309</v>
      </c>
      <c r="D32" s="29" t="n">
        <f aca="false">C32/(1+(((Base_Curves!C9/Base_Curves!D9-1)/(0.5-0.25))+Curve_Shocks_bps!D31/10000)*(0.5-0.25))</f>
        <v>0.972219526745014</v>
      </c>
      <c r="E32" s="29" t="n">
        <f aca="false">D32/(1+(((Base_Curves!D9/Base_Curves!E9-1)/(1-0.5))+Curve_Shocks_bps!E31/10000)*(1-0.5))</f>
        <v>0.946234479809646</v>
      </c>
      <c r="F32" s="29" t="n">
        <f aca="false">E32/(1+(((Base_Curves!E9/Base_Curves!F9-1)/(2-1))+Curve_Shocks_bps!F31/10000)*(2-1))</f>
        <v>0.898270372586212</v>
      </c>
      <c r="G32" s="29" t="n">
        <f aca="false">F32/(1+(((Base_Curves!F9/Base_Curves!G9-1)/(3-2))+Curve_Shocks_bps!G31/10000)*(3-2))</f>
        <v>0.854210735334789</v>
      </c>
      <c r="H32" s="29" t="n">
        <f aca="false">G32/(1+(((Base_Curves!G9/Base_Curves!H9-1)/(5-3))+Curve_Shocks_bps!H31/10000)*(5-3))</f>
        <v>0.773980361309547</v>
      </c>
      <c r="I32" s="29" t="n">
        <f aca="false">H32/(1+(((Base_Curves!H9/Base_Curves!I9-1)/(10-5))+Curve_Shocks_bps!I31/10000)*(10-5))</f>
        <v>0.605575868677362</v>
      </c>
      <c r="J32" s="29" t="n">
        <f aca="false">I32/(1+(((Base_Curves!I9/Base_Curves!J9-1)/(20-10))+Curve_Shocks_bps!J31/10000)*(20-10))</f>
        <v>0.375268364010495</v>
      </c>
      <c r="K32" s="29" t="n">
        <f aca="false">J32/(1+(((Base_Curves!J9/Base_Curves!K9-1)/(30-20))+Curve_Shocks_bps!K31/10000)*(30-20))</f>
        <v>0.232852047449366</v>
      </c>
    </row>
    <row r="33" customFormat="false" ht="15" hidden="false" customHeight="true" outlineLevel="0" collapsed="false">
      <c r="A33" s="4" t="s">
        <v>40</v>
      </c>
      <c r="B33" s="20" t="s">
        <v>38</v>
      </c>
      <c r="C33" s="29" t="n">
        <f aca="false">1/(1+(((1/Base_Curves!C10-1)/(0.25-0))+Curve_Shocks_bps!C32/10000)*(0.25-0))</f>
        <v>0.989613304099382</v>
      </c>
      <c r="D33" s="29" t="n">
        <f aca="false">C33/(1+(((Base_Curves!C10/Base_Curves!D10-1)/(0.5-0.25))+Curve_Shocks_bps!D32/10000)*(0.5-0.25))</f>
        <v>0.979482171635985</v>
      </c>
      <c r="E33" s="29" t="n">
        <f aca="false">D33/(1+(((Base_Curves!D10/Base_Curves!E10-1)/(1-0.5))+Curve_Shocks_bps!E32/10000)*(1-0.5))</f>
        <v>0.960336700770215</v>
      </c>
      <c r="F33" s="29" t="n">
        <f aca="false">E33/(1+(((Base_Curves!E10/Base_Curves!F10-1)/(2-1))+Curve_Shocks_bps!F32/10000)*(2-1))</f>
        <v>0.92477390687557</v>
      </c>
      <c r="G33" s="29" t="n">
        <f aca="false">F33/(1+(((Base_Curves!F10/Base_Curves!G10-1)/(3-2))+Curve_Shocks_bps!G32/10000)*(3-2))</f>
        <v>0.891584366680052</v>
      </c>
      <c r="H33" s="29" t="n">
        <f aca="false">G33/(1+(((Base_Curves!G10/Base_Curves!H10-1)/(5-3))+Curve_Shocks_bps!H32/10000)*(5-3))</f>
        <v>0.830482549451779</v>
      </c>
      <c r="I33" s="29" t="n">
        <f aca="false">H33/(1+(((Base_Curves!H10/Base_Curves!I10-1)/(10-5))+Curve_Shocks_bps!I32/10000)*(10-5))</f>
        <v>0.693926942382383</v>
      </c>
      <c r="J33" s="29" t="n">
        <f aca="false">I33/(1+(((Base_Curves!I10/Base_Curves!J10-1)/(20-10))+Curve_Shocks_bps!J32/10000)*(20-10))</f>
        <v>0.489995856334911</v>
      </c>
      <c r="K33" s="29" t="n">
        <f aca="false">J33/(1+(((Base_Curves!J10/Base_Curves!K10-1)/(30-20))+Curve_Shocks_bps!K32/10000)*(30-20))</f>
        <v>0.346264497086134</v>
      </c>
    </row>
    <row r="34" customFormat="false" ht="15" hidden="false" customHeight="true" outlineLevel="0" collapsed="false">
      <c r="A34" s="4" t="s">
        <v>49</v>
      </c>
      <c r="B34" s="20" t="s">
        <v>50</v>
      </c>
      <c r="C34" s="29" t="n">
        <f aca="false">1/(1+(((1/Base_Curves!C11-1)/(0.25-0))+Curve_Shocks_bps!C33/10000)*(0.25-0))</f>
        <v>0.990965683598615</v>
      </c>
      <c r="D34" s="29" t="n">
        <f aca="false">C34/(1+(((Base_Curves!C11/Base_Curves!D11-1)/(0.5-0.25))+Curve_Shocks_bps!D33/10000)*(0.5-0.25))</f>
        <v>0.980201651957777</v>
      </c>
      <c r="E34" s="29" t="n">
        <f aca="false">D34/(1+(((Base_Curves!D11/Base_Curves!E11-1)/(1-0.5))+Curve_Shocks_bps!E33/10000)*(1-0.5))</f>
        <v>0.962263559855125</v>
      </c>
      <c r="F34" s="29" t="n">
        <f aca="false">E34/(1+(((Base_Curves!E11/Base_Curves!F11-1)/(2-1))+Curve_Shocks_bps!F33/10000)*(2-1))</f>
        <v>0.922213238994581</v>
      </c>
      <c r="G34" s="29" t="n">
        <f aca="false">F34/(1+(((Base_Curves!F11/Base_Curves!G11-1)/(3-2))+Curve_Shocks_bps!G33/10000)*(3-2))</f>
        <v>0.884191278200956</v>
      </c>
      <c r="H34" s="29" t="n">
        <f aca="false">G34/(1+(((Base_Curves!G11/Base_Curves!H11-1)/(5-3))+Curve_Shocks_bps!H33/10000)*(5-3))</f>
        <v>0.812921963872878</v>
      </c>
      <c r="I34" s="29" t="n">
        <f aca="false">H34/(1+(((Base_Curves!H11/Base_Curves!I11-1)/(10-5))+Curve_Shocks_bps!I33/10000)*(10-5))</f>
        <v>0.659479941709994</v>
      </c>
      <c r="J34" s="29" t="n">
        <f aca="false">I34/(1+(((Base_Curves!I11/Base_Curves!J11-1)/(20-10))+Curve_Shocks_bps!J33/10000)*(20-10))</f>
        <v>0.434591436687819</v>
      </c>
      <c r="K34" s="29" t="n">
        <f aca="false">J34/(1+(((Base_Curves!J11/Base_Curves!K11-1)/(30-20))+Curve_Shocks_bps!K33/10000)*(30-20))</f>
        <v>0.286618905527136</v>
      </c>
    </row>
    <row r="36" customFormat="false" ht="15" hidden="false" customHeight="true" outlineLevel="0" collapsed="false">
      <c r="A36" s="19" t="s">
        <v>81</v>
      </c>
      <c r="B36" s="19"/>
      <c r="C36" s="13" t="s">
        <v>56</v>
      </c>
      <c r="D36" s="13" t="s">
        <v>57</v>
      </c>
      <c r="E36" s="13" t="s">
        <v>30</v>
      </c>
      <c r="F36" s="13" t="s">
        <v>58</v>
      </c>
      <c r="G36" s="13" t="s">
        <v>59</v>
      </c>
      <c r="H36" s="13" t="s">
        <v>60</v>
      </c>
      <c r="I36" s="13" t="s">
        <v>61</v>
      </c>
      <c r="J36" s="13" t="s">
        <v>62</v>
      </c>
      <c r="K36" s="13" t="s">
        <v>63</v>
      </c>
    </row>
    <row r="37" customFormat="false" ht="15" hidden="false" customHeight="true" outlineLevel="0" collapsed="false">
      <c r="A37" s="4" t="s">
        <v>42</v>
      </c>
      <c r="B37" s="20" t="s">
        <v>43</v>
      </c>
      <c r="C37" s="29" t="n">
        <f aca="false">1/(1+(((1/Base_Curves!C6-1)/(0.25-0))+Curve_Shocks_bps!C36/10000)*(0.25-0))</f>
        <v>0.987761368180886</v>
      </c>
      <c r="D37" s="29" t="n">
        <f aca="false">C37/(1+(((Base_Curves!C6/Base_Curves!D6-1)/(0.5-0.25))+Curve_Shocks_bps!D36/10000)*(0.5-0.25))</f>
        <v>0.978642009953025</v>
      </c>
      <c r="E37" s="29" t="n">
        <f aca="false">D37/(1+(((Base_Curves!D6/Base_Curves!E6-1)/(1-0.5))+Curve_Shocks_bps!E36/10000)*(1-0.5))</f>
        <v>0.955487984146696</v>
      </c>
      <c r="F37" s="29" t="n">
        <f aca="false">E37/(1+(((Base_Curves!E6/Base_Curves!F6-1)/(2-1))+Curve_Shocks_bps!F36/10000)*(2-1))</f>
        <v>0.911996771561398</v>
      </c>
      <c r="G37" s="29" t="n">
        <f aca="false">F37/(1+(((Base_Curves!F6/Base_Curves!G6-1)/(3-2))+Curve_Shocks_bps!G36/10000)*(3-2))</f>
        <v>0.871080796023236</v>
      </c>
      <c r="H37" s="29" t="n">
        <f aca="false">G37/(1+(((Base_Curves!G6/Base_Curves!H6-1)/(5-3))+Curve_Shocks_bps!H36/10000)*(5-3))</f>
        <v>0.795751580042144</v>
      </c>
      <c r="I37" s="29" t="n">
        <f aca="false">H37/(1+(((Base_Curves!H6/Base_Curves!I6-1)/(10-5))+Curve_Shocks_bps!I36/10000)*(10-5))</f>
        <v>0.633161775419459</v>
      </c>
      <c r="J37" s="29" t="n">
        <f aca="false">I37/(1+(((Base_Curves!I6/Base_Curves!J6-1)/(20-10))+Curve_Shocks_bps!J36/10000)*(20-10))</f>
        <v>0.404863736361447</v>
      </c>
      <c r="K37" s="29" t="n">
        <f aca="false">J37/(1+(((Base_Curves!J6/Base_Curves!K6-1)/(30-20))+Curve_Shocks_bps!K36/10000)*(30-20))</f>
        <v>0.259064348177572</v>
      </c>
    </row>
    <row r="38" customFormat="false" ht="15" hidden="false" customHeight="true" outlineLevel="0" collapsed="false">
      <c r="A38" s="4" t="s">
        <v>52</v>
      </c>
      <c r="B38" s="20" t="s">
        <v>43</v>
      </c>
      <c r="C38" s="29" t="n">
        <f aca="false">1/(1+(((1/Base_Curves!C7-1)/(0.25-0))+Curve_Shocks_bps!C37/10000)*(0.25-0))</f>
        <v>0.990840469806149</v>
      </c>
      <c r="D38" s="29" t="n">
        <f aca="false">C38/(1+(((Base_Curves!C7/Base_Curves!D7-1)/(0.5-0.25))+Curve_Shocks_bps!D37/10000)*(0.5-0.25))</f>
        <v>0.981962661429996</v>
      </c>
      <c r="E38" s="29" t="n">
        <f aca="false">D38/(1+(((Base_Curves!D7/Base_Curves!E7-1)/(1-0.5))+Curve_Shocks_bps!E37/10000)*(1-0.5))</f>
        <v>0.964836228667716</v>
      </c>
      <c r="F38" s="29" t="n">
        <f aca="false">E38/(1+(((Base_Curves!E7/Base_Curves!F7-1)/(2-1))+Curve_Shocks_bps!F37/10000)*(2-1))</f>
        <v>0.932380310327217</v>
      </c>
      <c r="G38" s="29" t="n">
        <f aca="false">F38/(1+(((Base_Curves!F7/Base_Curves!G7-1)/(3-2))+Curve_Shocks_bps!G37/10000)*(3-2))</f>
        <v>0.901774517882615</v>
      </c>
      <c r="H38" s="29" t="n">
        <f aca="false">G38/(1+(((Base_Curves!G7/Base_Curves!H7-1)/(5-3))+Curve_Shocks_bps!H37/10000)*(5-3))</f>
        <v>0.844217295741428</v>
      </c>
      <c r="I38" s="29" t="n">
        <f aca="false">H38/(1+(((Base_Curves!H7/Base_Curves!I7-1)/(10-5))+Curve_Shocks_bps!I37/10000)*(10-5))</f>
        <v>0.713612406024026</v>
      </c>
      <c r="J38" s="29" t="n">
        <f aca="false">I38/(1+(((Base_Curves!I7/Base_Curves!J7-1)/(20-10))+Curve_Shocks_bps!J37/10000)*(20-10))</f>
        <v>0.516425846812637</v>
      </c>
      <c r="K38" s="29" t="n">
        <f aca="false">J38/(1+(((Base_Curves!J7/Base_Curves!K7-1)/(30-20))+Curve_Shocks_bps!K37/10000)*(30-20))</f>
        <v>0.372834969727305</v>
      </c>
    </row>
    <row r="39" customFormat="false" ht="15" hidden="false" customHeight="true" outlineLevel="0" collapsed="false">
      <c r="A39" s="4" t="s">
        <v>45</v>
      </c>
      <c r="B39" s="20" t="s">
        <v>38</v>
      </c>
      <c r="C39" s="29" t="n">
        <f aca="false">1/(1+(((1/Base_Curves!C8-1)/(0.25-0))+Curve_Shocks_bps!C38/10000)*(0.25-0))</f>
        <v>0.991491082363572</v>
      </c>
      <c r="D39" s="29" t="n">
        <f aca="false">C39/(1+(((Base_Curves!C8/Base_Curves!D8-1)/(0.5-0.25))+Curve_Shocks_bps!D38/10000)*(0.5-0.25))</f>
        <v>0.979398599764871</v>
      </c>
      <c r="E39" s="29" t="n">
        <f aca="false">D39/(1+(((Base_Curves!D8/Base_Curves!E8-1)/(1-0.5))+Curve_Shocks_bps!E38/10000)*(1-0.5))</f>
        <v>0.9563957060858</v>
      </c>
      <c r="F39" s="29" t="n">
        <f aca="false">E39/(1+(((Base_Curves!E8/Base_Curves!F8-1)/(2-1))+Curve_Shocks_bps!F38/10000)*(2-1))</f>
        <v>0.913311461622517</v>
      </c>
      <c r="G39" s="29" t="n">
        <f aca="false">F39/(1+(((Base_Curves!F8/Base_Curves!G8-1)/(3-2))+Curve_Shocks_bps!G38/10000)*(3-2))</f>
        <v>0.873040070687825</v>
      </c>
      <c r="H39" s="29" t="n">
        <f aca="false">G39/(1+(((Base_Curves!G8/Base_Curves!H8-1)/(5-3))+Curve_Shocks_bps!H38/10000)*(5-3))</f>
        <v>0.798739639808863</v>
      </c>
      <c r="I39" s="29" t="n">
        <f aca="false">H39/(1+(((Base_Curves!H8/Base_Curves!I8-1)/(10-5))+Curve_Shocks_bps!I38/10000)*(10-5))</f>
        <v>0.641875387588773</v>
      </c>
      <c r="J39" s="29" t="n">
        <f aca="false">I39/(1+(((Base_Curves!I8/Base_Curves!J8-1)/(20-10))+Curve_Shocks_bps!J38/10000)*(20-10))</f>
        <v>0.414604743072572</v>
      </c>
      <c r="K39" s="29" t="n">
        <f aca="false">J39/(1+(((Base_Curves!J8/Base_Curves!K8-1)/(30-20))+Curve_Shocks_bps!K38/10000)*(30-20))</f>
        <v>0.267960257364607</v>
      </c>
    </row>
    <row r="40" customFormat="false" ht="15" hidden="false" customHeight="true" outlineLevel="0" collapsed="false">
      <c r="A40" s="4" t="s">
        <v>37</v>
      </c>
      <c r="B40" s="20" t="s">
        <v>38</v>
      </c>
      <c r="C40" s="29" t="n">
        <f aca="false">1/(1+(((1/Base_Curves!C9-1)/(0.25-0))+Curve_Shocks_bps!C39/10000)*(0.25-0))</f>
        <v>0.985643648863517</v>
      </c>
      <c r="D40" s="29" t="n">
        <f aca="false">C40/(1+(((Base_Curves!C9/Base_Curves!D9-1)/(0.5-0.25))+Curve_Shocks_bps!D39/10000)*(0.5-0.25))</f>
        <v>0.971687719823269</v>
      </c>
      <c r="E40" s="29" t="n">
        <f aca="false">D40/(1+(((Base_Curves!D9/Base_Curves!E9-1)/(1-0.5))+Curve_Shocks_bps!E39/10000)*(1-0.5))</f>
        <v>0.945344255389449</v>
      </c>
      <c r="F40" s="29" t="n">
        <f aca="false">E40/(1+(((Base_Curves!E9/Base_Curves!F9-1)/(2-1))+Curve_Shocks_bps!F39/10000)*(2-1))</f>
        <v>0.908106381997084</v>
      </c>
      <c r="G40" s="29" t="n">
        <f aca="false">F40/(1+(((Base_Curves!F9/Base_Curves!G9-1)/(3-2))+Curve_Shocks_bps!G39/10000)*(3-2))</f>
        <v>0.86308825674416</v>
      </c>
      <c r="H40" s="29" t="n">
        <f aca="false">G40/(1+(((Base_Curves!G9/Base_Curves!H9-1)/(5-3))+Curve_Shocks_bps!H39/10000)*(5-3))</f>
        <v>0.78193905614907</v>
      </c>
      <c r="I40" s="29" t="n">
        <f aca="false">H40/(1+(((Base_Curves!H9/Base_Curves!I9-1)/(10-5))+Curve_Shocks_bps!I39/10000)*(10-5))</f>
        <v>0.616968067233873</v>
      </c>
      <c r="J40" s="29" t="n">
        <f aca="false">I40/(1+(((Base_Curves!I9/Base_Curves!J9-1)/(20-10))+Curve_Shocks_bps!J39/10000)*(20-10))</f>
        <v>0.385288587887378</v>
      </c>
      <c r="K40" s="29" t="n">
        <f aca="false">J40/(1+(((Base_Curves!J9/Base_Curves!K9-1)/(30-20))+Curve_Shocks_bps!K39/10000)*(30-20))</f>
        <v>0.238965749804225</v>
      </c>
    </row>
    <row r="41" customFormat="false" ht="15" hidden="false" customHeight="true" outlineLevel="0" collapsed="false">
      <c r="A41" s="4" t="s">
        <v>40</v>
      </c>
      <c r="B41" s="20" t="s">
        <v>38</v>
      </c>
      <c r="C41" s="29" t="n">
        <f aca="false">1/(1+(((1/Base_Curves!C10-1)/(0.25-0))+Curve_Shocks_bps!C40/10000)*(0.25-0))</f>
        <v>0.989512932495218</v>
      </c>
      <c r="D41" s="29" t="n">
        <f aca="false">C41/(1+(((Base_Curves!C10/Base_Curves!D10-1)/(0.5-0.25))+Curve_Shocks_bps!D40/10000)*(0.5-0.25))</f>
        <v>0.979331939014459</v>
      </c>
      <c r="E41" s="29" t="n">
        <f aca="false">D41/(1+(((Base_Curves!D10/Base_Curves!E10-1)/(1-0.5))+Curve_Shocks_bps!E40/10000)*(1-0.5))</f>
        <v>0.960043506585016</v>
      </c>
      <c r="F41" s="29" t="n">
        <f aca="false">E41/(1+(((Base_Curves!E10/Base_Curves!F10-1)/(2-1))+Curve_Shocks_bps!F40/10000)*(2-1))</f>
        <v>0.924224570417075</v>
      </c>
      <c r="G41" s="29" t="n">
        <f aca="false">F41/(1+(((Base_Curves!F10/Base_Curves!G10-1)/(3-2))+Curve_Shocks_bps!G40/10000)*(3-2))</f>
        <v>0.890797097464492</v>
      </c>
      <c r="H41" s="29" t="n">
        <f aca="false">G41/(1+(((Base_Curves!G10/Base_Curves!H10-1)/(5-3))+Curve_Shocks_bps!H40/10000)*(5-3))</f>
        <v>0.829254881404532</v>
      </c>
      <c r="I41" s="29" t="n">
        <f aca="false">H41/(1+(((Base_Curves!H10/Base_Curves!I10-1)/(10-5))+Curve_Shocks_bps!I40/10000)*(10-5))</f>
        <v>0.697740132296408</v>
      </c>
      <c r="J41" s="29" t="n">
        <f aca="false">I41/(1+(((Base_Curves!I10/Base_Curves!J10-1)/(20-10))+Curve_Shocks_bps!J40/10000)*(20-10))</f>
        <v>0.492723219080562</v>
      </c>
      <c r="K41" s="29" t="n">
        <f aca="false">J41/(1+(((Base_Curves!J10/Base_Curves!K10-1)/(30-20))+Curve_Shocks_bps!K40/10000)*(30-20))</f>
        <v>0.348093443020092</v>
      </c>
    </row>
    <row r="42" customFormat="false" ht="15" hidden="false" customHeight="true" outlineLevel="0" collapsed="false">
      <c r="A42" s="4" t="s">
        <v>49</v>
      </c>
      <c r="B42" s="20" t="s">
        <v>50</v>
      </c>
      <c r="C42" s="29" t="n">
        <f aca="false">1/(1+(((1/Base_Curves!C11-1)/(0.25-0))+Curve_Shocks_bps!C41/10000)*(0.25-0))</f>
        <v>0.988939522991433</v>
      </c>
      <c r="D42" s="29" t="n">
        <f aca="false">C42/(1+(((Base_Curves!C11/Base_Curves!D11-1)/(0.5-0.25))+Curve_Shocks_bps!D41/10000)*(0.5-0.25))</f>
        <v>0.978037876484776</v>
      </c>
      <c r="E42" s="29" t="n">
        <f aca="false">D42/(1+(((Base_Curves!D11/Base_Curves!E11-1)/(1-0.5))+Curve_Shocks_bps!E41/10000)*(1-0.5))</f>
        <v>0.956804885239764</v>
      </c>
      <c r="F42" s="29" t="n">
        <f aca="false">E42/(1+(((Base_Curves!E11/Base_Curves!F11-1)/(2-1))+Curve_Shocks_bps!F41/10000)*(2-1))</f>
        <v>0.916893886397982</v>
      </c>
      <c r="G42" s="29" t="n">
        <f aca="false">F42/(1+(((Base_Curves!F11/Base_Curves!G11-1)/(3-2))+Curve_Shocks_bps!G41/10000)*(3-2))</f>
        <v>0.878964828478632</v>
      </c>
      <c r="H42" s="29" t="n">
        <f aca="false">G42/(1+(((Base_Curves!G11/Base_Curves!H11-1)/(5-3))+Curve_Shocks_bps!H41/10000)*(5-3))</f>
        <v>0.807953364262708</v>
      </c>
      <c r="I42" s="29" t="n">
        <f aca="false">H42/(1+(((Base_Curves!H11/Base_Curves!I11-1)/(10-5))+Curve_Shocks_bps!I41/10000)*(10-5))</f>
        <v>0.652590361406961</v>
      </c>
      <c r="J42" s="29" t="n">
        <f aca="false">I42/(1+(((Base_Curves!I11/Base_Curves!J11-1)/(20-10))+Curve_Shocks_bps!J41/10000)*(20-10))</f>
        <v>0.430051264329722</v>
      </c>
      <c r="K42" s="29" t="n">
        <f aca="false">J42/(1+(((Base_Curves!J11/Base_Curves!K11-1)/(30-20))+Curve_Shocks_bps!K41/10000)*(30-20))</f>
        <v>0.284412410734736</v>
      </c>
    </row>
    <row r="44" customFormat="false" ht="15" hidden="false" customHeight="true" outlineLevel="0" collapsed="false">
      <c r="A44" s="19" t="s">
        <v>82</v>
      </c>
      <c r="B44" s="19"/>
      <c r="C44" s="13" t="s">
        <v>56</v>
      </c>
      <c r="D44" s="13" t="s">
        <v>57</v>
      </c>
      <c r="E44" s="13" t="s">
        <v>30</v>
      </c>
      <c r="F44" s="13" t="s">
        <v>58</v>
      </c>
      <c r="G44" s="13" t="s">
        <v>59</v>
      </c>
      <c r="H44" s="13" t="s">
        <v>60</v>
      </c>
      <c r="I44" s="13" t="s">
        <v>61</v>
      </c>
      <c r="J44" s="13" t="s">
        <v>62</v>
      </c>
      <c r="K44" s="13" t="s">
        <v>63</v>
      </c>
    </row>
    <row r="45" customFormat="false" ht="15" hidden="false" customHeight="true" outlineLevel="0" collapsed="false">
      <c r="A45" s="4" t="s">
        <v>42</v>
      </c>
      <c r="B45" s="20" t="s">
        <v>43</v>
      </c>
      <c r="C45" s="29" t="n">
        <f aca="false">1/(1+(((1/Base_Curves!C6-1)/(0.25-0))+Curve_Shocks_bps!C44/10000)*(0.25-0))</f>
        <v>0.98744925162927</v>
      </c>
      <c r="D45" s="29" t="n">
        <f aca="false">C45/(1+(((Base_Curves!C6/Base_Curves!D6-1)/(0.5-0.25))+Curve_Shocks_bps!D44/10000)*(0.5-0.25))</f>
        <v>0.978390936455875</v>
      </c>
      <c r="E45" s="29" t="n">
        <f aca="false">D45/(1+(((Base_Curves!D6/Base_Curves!E6-1)/(1-0.5))+Curve_Shocks_bps!E44/10000)*(1-0.5))</f>
        <v>0.954991103789659</v>
      </c>
      <c r="F45" s="29" t="n">
        <f aca="false">E45/(1+(((Base_Curves!E6/Base_Curves!F6-1)/(2-1))+Curve_Shocks_bps!F44/10000)*(2-1))</f>
        <v>0.91102685899029</v>
      </c>
      <c r="G45" s="29" t="n">
        <f aca="false">F45/(1+(((Base_Curves!F6/Base_Curves!G6-1)/(3-2))+Curve_Shocks_bps!G44/10000)*(3-2))</f>
        <v>0.874111802463144</v>
      </c>
      <c r="H45" s="29" t="n">
        <f aca="false">G45/(1+(((Base_Curves!G6/Base_Curves!H6-1)/(5-3))+Curve_Shocks_bps!H44/10000)*(5-3))</f>
        <v>0.79834543799367</v>
      </c>
      <c r="I45" s="29" t="n">
        <f aca="false">H45/(1+(((Base_Curves!H6/Base_Curves!I6-1)/(10-5))+Curve_Shocks_bps!I44/10000)*(10-5))</f>
        <v>0.635250923059983</v>
      </c>
      <c r="J45" s="29" t="n">
        <f aca="false">I45/(1+(((Base_Curves!I6/Base_Curves!J6-1)/(20-10))+Curve_Shocks_bps!J44/10000)*(20-10))</f>
        <v>0.406095735473085</v>
      </c>
      <c r="K45" s="29" t="n">
        <f aca="false">J45/(1+(((Base_Curves!J6/Base_Curves!K6-1)/(30-20))+Curve_Shocks_bps!K44/10000)*(30-20))</f>
        <v>0.259852680196834</v>
      </c>
    </row>
    <row r="46" customFormat="false" ht="15" hidden="false" customHeight="true" outlineLevel="0" collapsed="false">
      <c r="A46" s="4" t="s">
        <v>52</v>
      </c>
      <c r="B46" s="20" t="s">
        <v>43</v>
      </c>
      <c r="C46" s="29" t="n">
        <f aca="false">1/(1+(((1/Base_Curves!C7-1)/(0.25-0))+Curve_Shocks_bps!C45/10000)*(0.25-0))</f>
        <v>0.990727579713388</v>
      </c>
      <c r="D46" s="29" t="n">
        <f aca="false">C46/(1+(((Base_Curves!C7/Base_Curves!D7-1)/(0.5-0.25))+Curve_Shocks_bps!D45/10000)*(0.5-0.25))</f>
        <v>0.98173889441551</v>
      </c>
      <c r="E46" s="29" t="n">
        <f aca="false">D46/(1+(((Base_Curves!D7/Base_Curves!E7-1)/(1-0.5))+Curve_Shocks_bps!E45/10000)*(1-0.5))</f>
        <v>0.96434631914572</v>
      </c>
      <c r="F46" s="29" t="n">
        <f aca="false">E46/(1+(((Base_Curves!E7/Base_Curves!F7-1)/(2-1))+Curve_Shocks_bps!F45/10000)*(2-1))</f>
        <v>0.931636791467687</v>
      </c>
      <c r="G46" s="29" t="n">
        <f aca="false">F46/(1+(((Base_Curves!F7/Base_Curves!G7-1)/(3-2))+Curve_Shocks_bps!G45/10000)*(3-2))</f>
        <v>0.901020547589485</v>
      </c>
      <c r="H46" s="29" t="n">
        <f aca="false">G46/(1+(((Base_Curves!G7/Base_Curves!H7-1)/(5-3))+Curve_Shocks_bps!H45/10000)*(5-3))</f>
        <v>0.843258829156853</v>
      </c>
      <c r="I46" s="29" t="n">
        <f aca="false">H46/(1+(((Base_Curves!H7/Base_Curves!I7-1)/(10-5))+Curve_Shocks_bps!I45/10000)*(10-5))</f>
        <v>0.712591396893678</v>
      </c>
      <c r="J46" s="29" t="n">
        <f aca="false">I46/(1+(((Base_Curves!I7/Base_Curves!J7-1)/(20-10))+Curve_Shocks_bps!J45/10000)*(20-10))</f>
        <v>0.513938910244066</v>
      </c>
      <c r="K46" s="29" t="n">
        <f aca="false">J46/(1+(((Base_Curves!J7/Base_Curves!K7-1)/(30-20))+Curve_Shocks_bps!K45/10000)*(30-20))</f>
        <v>0.371012734108747</v>
      </c>
    </row>
    <row r="47" customFormat="false" ht="15" hidden="false" customHeight="true" outlineLevel="0" collapsed="false">
      <c r="A47" s="4" t="s">
        <v>45</v>
      </c>
      <c r="B47" s="20" t="s">
        <v>38</v>
      </c>
      <c r="C47" s="29" t="n">
        <f aca="false">1/(1+(((1/Base_Curves!C8-1)/(0.25-0))+Curve_Shocks_bps!C46/10000)*(0.25-0))</f>
        <v>0.987467125832578</v>
      </c>
      <c r="D47" s="29" t="n">
        <f aca="false">C47/(1+(((Base_Curves!C8/Base_Curves!D8-1)/(0.5-0.25))+Curve_Shocks_bps!D46/10000)*(0.5-0.25))</f>
        <v>0.975243092556967</v>
      </c>
      <c r="E47" s="29" t="n">
        <f aca="false">D47/(1+(((Base_Curves!D8/Base_Curves!E8-1)/(1-0.5))+Curve_Shocks_bps!E46/10000)*(1-0.5))</f>
        <v>0.952137896569466</v>
      </c>
      <c r="F47" s="29" t="n">
        <f aca="false">E47/(1+(((Base_Curves!E8/Base_Curves!F8-1)/(2-1))+Curve_Shocks_bps!F46/10000)*(2-1))</f>
        <v>0.916448055008612</v>
      </c>
      <c r="G47" s="29" t="n">
        <f aca="false">F47/(1+(((Base_Curves!F8/Base_Curves!G8-1)/(3-2))+Curve_Shocks_bps!G46/10000)*(3-2))</f>
        <v>0.875745364048579</v>
      </c>
      <c r="H47" s="29" t="n">
        <f aca="false">G47/(1+(((Base_Curves!G8/Base_Curves!H8-1)/(5-3))+Curve_Shocks_bps!H46/10000)*(5-3))</f>
        <v>0.801126744492871</v>
      </c>
      <c r="I47" s="29" t="n">
        <f aca="false">H47/(1+(((Base_Curves!H8/Base_Curves!I8-1)/(10-5))+Curve_Shocks_bps!I46/10000)*(10-5))</f>
        <v>0.643948934653827</v>
      </c>
      <c r="J47" s="29" t="n">
        <f aca="false">I47/(1+(((Base_Curves!I8/Base_Curves!J8-1)/(20-10))+Curve_Shocks_bps!J46/10000)*(20-10))</f>
        <v>0.415782964125085</v>
      </c>
      <c r="K47" s="29" t="n">
        <f aca="false">J47/(1+(((Base_Curves!J8/Base_Curves!K8-1)/(30-20))+Curve_Shocks_bps!K46/10000)*(30-20))</f>
        <v>0.268721745074863</v>
      </c>
    </row>
    <row r="48" customFormat="false" ht="15" hidden="false" customHeight="true" outlineLevel="0" collapsed="false">
      <c r="A48" s="4" t="s">
        <v>37</v>
      </c>
      <c r="B48" s="20" t="s">
        <v>38</v>
      </c>
      <c r="C48" s="29" t="n">
        <f aca="false">1/(1+(((1/Base_Curves!C9-1)/(0.25-0))+Curve_Shocks_bps!C47/10000)*(0.25-0))</f>
        <v>0.985383842878698</v>
      </c>
      <c r="D48" s="29" t="n">
        <f aca="false">C48/(1+(((Base_Curves!C9/Base_Curves!D9-1)/(0.5-0.25))+Curve_Shocks_bps!D47/10000)*(0.5-0.25))</f>
        <v>0.971108484037313</v>
      </c>
      <c r="E48" s="29" t="n">
        <f aca="false">D48/(1+(((Base_Curves!D9/Base_Curves!E9-1)/(1-0.5))+Curve_Shocks_bps!E47/10000)*(1-0.5))</f>
        <v>0.944482088523894</v>
      </c>
      <c r="F48" s="29" t="n">
        <f aca="false">E48/(1+(((Base_Curves!E9/Base_Curves!F9-1)/(2-1))+Curve_Shocks_bps!F47/10000)*(2-1))</f>
        <v>0.895747962635192</v>
      </c>
      <c r="G48" s="29" t="n">
        <f aca="false">F48/(1+(((Base_Curves!F9/Base_Curves!G9-1)/(3-2))+Curve_Shocks_bps!G47/10000)*(3-2))</f>
        <v>0.8509138616117</v>
      </c>
      <c r="H48" s="29" t="n">
        <f aca="false">G48/(1+(((Base_Curves!G9/Base_Curves!H9-1)/(5-3))+Curve_Shocks_bps!H47/10000)*(5-3))</f>
        <v>0.770434682893803</v>
      </c>
      <c r="I48" s="29" t="n">
        <f aca="false">H48/(1+(((Base_Curves!H9/Base_Curves!I9-1)/(10-5))+Curve_Shocks_bps!I47/10000)*(10-5))</f>
        <v>0.602424589337743</v>
      </c>
      <c r="J48" s="29" t="n">
        <f aca="false">I48/(1+(((Base_Curves!I9/Base_Curves!J9-1)/(20-10))+Curve_Shocks_bps!J47/10000)*(20-10))</f>
        <v>0.373038151724193</v>
      </c>
      <c r="K48" s="29" t="n">
        <f aca="false">J48/(1+(((Base_Curves!J9/Base_Curves!K9-1)/(30-20))+Curve_Shocks_bps!K47/10000)*(30-20))</f>
        <v>0.231267312235389</v>
      </c>
    </row>
    <row r="49" customFormat="false" ht="15" hidden="false" customHeight="true" outlineLevel="0" collapsed="false">
      <c r="A49" s="4" t="s">
        <v>40</v>
      </c>
      <c r="B49" s="20" t="s">
        <v>38</v>
      </c>
      <c r="C49" s="29" t="n">
        <f aca="false">1/(1+(((1/Base_Curves!C10-1)/(0.25-0))+Curve_Shocks_bps!C48/10000)*(0.25-0))</f>
        <v>0.989074963141131</v>
      </c>
      <c r="D49" s="29" t="n">
        <f aca="false">C49/(1+(((Base_Curves!C10/Base_Curves!D10-1)/(0.5-0.25))+Curve_Shocks_bps!D48/10000)*(0.5-0.25))</f>
        <v>0.978561924352935</v>
      </c>
      <c r="E49" s="29" t="n">
        <f aca="false">D49/(1+(((Base_Curves!D10/Base_Curves!E10-1)/(1-0.5))+Curve_Shocks_bps!E48/10000)*(1-0.5))</f>
        <v>0.958612050918359</v>
      </c>
      <c r="F49" s="29" t="n">
        <f aca="false">E49/(1+(((Base_Curves!E10/Base_Curves!F10-1)/(2-1))+Curve_Shocks_bps!F48/10000)*(2-1))</f>
        <v>0.922091986274837</v>
      </c>
      <c r="G49" s="29" t="n">
        <f aca="false">F49/(1+(((Base_Curves!F10/Base_Curves!G10-1)/(3-2))+Curve_Shocks_bps!G48/10000)*(3-2))</f>
        <v>0.894327282677946</v>
      </c>
      <c r="H49" s="29" t="n">
        <f aca="false">G49/(1+(((Base_Curves!G10/Base_Curves!H10-1)/(5-3))+Curve_Shocks_bps!H48/10000)*(5-3))</f>
        <v>0.837923412877144</v>
      </c>
      <c r="I49" s="29" t="n">
        <f aca="false">H49/(1+(((Base_Curves!H10/Base_Curves!I10-1)/(10-5))+Curve_Shocks_bps!I48/10000)*(10-5))</f>
        <v>0.699676606899493</v>
      </c>
      <c r="J49" s="29" t="n">
        <f aca="false">I49/(1+(((Base_Curves!I10/Base_Curves!J10-1)/(20-10))+Curve_Shocks_bps!J48/10000)*(20-10))</f>
        <v>0.493916305081595</v>
      </c>
      <c r="K49" s="29" t="n">
        <f aca="false">J49/(1+(((Base_Curves!J10/Base_Curves!K10-1)/(30-20))+Curve_Shocks_bps!K48/10000)*(30-20))</f>
        <v>0.348911671209494</v>
      </c>
    </row>
    <row r="50" customFormat="false" ht="15" hidden="false" customHeight="true" outlineLevel="0" collapsed="false">
      <c r="A50" s="4" t="s">
        <v>49</v>
      </c>
      <c r="B50" s="20" t="s">
        <v>50</v>
      </c>
      <c r="C50" s="29" t="n">
        <f aca="false">1/(1+(((1/Base_Curves!C11-1)/(0.25-0))+Curve_Shocks_bps!C49/10000)*(0.25-0))</f>
        <v>0.988780623302765</v>
      </c>
      <c r="D50" s="29" t="n">
        <f aca="false">C50/(1+(((Base_Curves!C11/Base_Curves!D11-1)/(0.5-0.25))+Curve_Shocks_bps!D49/10000)*(0.5-0.25))</f>
        <v>0.979998420248893</v>
      </c>
      <c r="E50" s="29" t="n">
        <f aca="false">D50/(1+(((Base_Curves!D11/Base_Curves!E11-1)/(1-0.5))+Curve_Shocks_bps!E49/10000)*(1-0.5))</f>
        <v>0.958736934866277</v>
      </c>
      <c r="F50" s="29" t="n">
        <f aca="false">E50/(1+(((Base_Curves!E11/Base_Curves!F11-1)/(2-1))+Curve_Shocks_bps!F49/10000)*(2-1))</f>
        <v>0.922990898651156</v>
      </c>
      <c r="G50" s="29" t="n">
        <f aca="false">F50/(1+(((Base_Curves!F11/Base_Curves!G11-1)/(3-2))+Curve_Shocks_bps!G49/10000)*(3-2))</f>
        <v>0.884589147160831</v>
      </c>
      <c r="H50" s="29" t="n">
        <f aca="false">G50/(1+(((Base_Curves!G11/Base_Curves!H11-1)/(5-3))+Curve_Shocks_bps!H49/10000)*(5-3))</f>
        <v>0.812884187267349</v>
      </c>
      <c r="I50" s="29" t="n">
        <f aca="false">H50/(1+(((Base_Curves!H11/Base_Curves!I11-1)/(10-5))+Curve_Shocks_bps!I49/10000)*(10-5))</f>
        <v>0.659743663614393</v>
      </c>
      <c r="J50" s="29" t="n">
        <f aca="false">I50/(1+(((Base_Curves!I11/Base_Curves!J11-1)/(20-10))+Curve_Shocks_bps!J49/10000)*(20-10))</f>
        <v>0.43456476505541</v>
      </c>
      <c r="K50" s="29" t="n">
        <f aca="false">J50/(1+(((Base_Curves!J11/Base_Curves!K11-1)/(30-20))+Curve_Shocks_bps!K49/10000)*(30-20))</f>
        <v>0.28648794962965</v>
      </c>
    </row>
    <row r="52" customFormat="false" ht="15" hidden="false" customHeight="true" outlineLevel="0" collapsed="false">
      <c r="A52" s="19" t="s">
        <v>83</v>
      </c>
      <c r="B52" s="19"/>
      <c r="C52" s="13" t="s">
        <v>56</v>
      </c>
      <c r="D52" s="13" t="s">
        <v>57</v>
      </c>
      <c r="E52" s="13" t="s">
        <v>30</v>
      </c>
      <c r="F52" s="13" t="s">
        <v>58</v>
      </c>
      <c r="G52" s="13" t="s">
        <v>59</v>
      </c>
      <c r="H52" s="13" t="s">
        <v>60</v>
      </c>
      <c r="I52" s="13" t="s">
        <v>61</v>
      </c>
      <c r="J52" s="13" t="s">
        <v>62</v>
      </c>
      <c r="K52" s="13" t="s">
        <v>63</v>
      </c>
    </row>
    <row r="53" customFormat="false" ht="15" hidden="false" customHeight="true" outlineLevel="0" collapsed="false">
      <c r="A53" s="4" t="s">
        <v>42</v>
      </c>
      <c r="B53" s="20" t="s">
        <v>43</v>
      </c>
      <c r="C53" s="29" t="n">
        <f aca="false">1/(1+(((1/Base_Curves!C6-1)/(0.25-0))+Curve_Shocks_bps!C52/10000)*(0.25-0))</f>
        <v>0.987371253308857</v>
      </c>
      <c r="D53" s="29" t="n">
        <f aca="false">C53/(1+(((Base_Curves!C6/Base_Curves!D6-1)/(0.5-0.25))+Curve_Shocks_bps!D52/10000)*(0.5-0.25))</f>
        <v>0.978476044906598</v>
      </c>
      <c r="E53" s="29" t="n">
        <f aca="false">D53/(1+(((Base_Curves!D6/Base_Curves!E6-1)/(1-0.5))+Curve_Shocks_bps!E52/10000)*(1-0.5))</f>
        <v>0.954631571739291</v>
      </c>
      <c r="F53" s="29" t="n">
        <f aca="false">E53/(1+(((Base_Curves!E6/Base_Curves!F6-1)/(2-1))+Curve_Shocks_bps!F52/10000)*(2-1))</f>
        <v>0.910458057034101</v>
      </c>
      <c r="G53" s="29" t="n">
        <f aca="false">F53/(1+(((Base_Curves!F6/Base_Curves!G6-1)/(3-2))+Curve_Shocks_bps!G52/10000)*(3-2))</f>
        <v>0.869403515028967</v>
      </c>
      <c r="H53" s="29" t="n">
        <f aca="false">G53/(1+(((Base_Curves!G6/Base_Curves!H6-1)/(5-3))+Curve_Shocks_bps!H52/10000)*(5-3))</f>
        <v>0.797673348018737</v>
      </c>
      <c r="I53" s="29" t="n">
        <f aca="false">H53/(1+(((Base_Curves!H6/Base_Curves!I6-1)/(10-5))+Curve_Shocks_bps!I52/10000)*(10-5))</f>
        <v>0.634463710437603</v>
      </c>
      <c r="J53" s="29" t="n">
        <f aca="false">I53/(1+(((Base_Curves!I6/Base_Curves!J6-1)/(20-10))+Curve_Shocks_bps!J52/10000)*(20-10))</f>
        <v>0.40767741722962</v>
      </c>
      <c r="K53" s="29" t="n">
        <f aca="false">J53/(1+(((Base_Curves!J6/Base_Curves!K6-1)/(30-20))+Curve_Shocks_bps!K52/10000)*(30-20))</f>
        <v>0.260798015458442</v>
      </c>
    </row>
    <row r="54" customFormat="false" ht="15" hidden="false" customHeight="true" outlineLevel="0" collapsed="false">
      <c r="A54" s="4" t="s">
        <v>52</v>
      </c>
      <c r="B54" s="20" t="s">
        <v>43</v>
      </c>
      <c r="C54" s="29" t="n">
        <f aca="false">1/(1+(((1/Base_Curves!C7-1)/(0.25-0))+Curve_Shocks_bps!C53/10000)*(0.25-0))</f>
        <v>0.99059263618971</v>
      </c>
      <c r="D54" s="29" t="n">
        <f aca="false">C54/(1+(((Base_Curves!C7/Base_Curves!D7-1)/(0.5-0.25))+Curve_Shocks_bps!D53/10000)*(0.5-0.25))</f>
        <v>0.981466585135041</v>
      </c>
      <c r="E54" s="29" t="n">
        <f aca="false">D54/(1+(((Base_Curves!D7/Base_Curves!E7-1)/(1-0.5))+Curve_Shocks_bps!E53/10000)*(1-0.5))</f>
        <v>0.963898937861947</v>
      </c>
      <c r="F54" s="29" t="n">
        <f aca="false">E54/(1+(((Base_Curves!E7/Base_Curves!F7-1)/(2-1))+Curve_Shocks_bps!F53/10000)*(2-1))</f>
        <v>0.930898814758972</v>
      </c>
      <c r="G54" s="29" t="n">
        <f aca="false">F54/(1+(((Base_Curves!F7/Base_Curves!G7-1)/(3-2))+Curve_Shocks_bps!G53/10000)*(3-2))</f>
        <v>0.900054384853211</v>
      </c>
      <c r="H54" s="29" t="n">
        <f aca="false">G54/(1+(((Base_Curves!G7/Base_Curves!H7-1)/(5-3))+Curve_Shocks_bps!H53/10000)*(5-3))</f>
        <v>0.842196962959345</v>
      </c>
      <c r="I54" s="29" t="n">
        <f aca="false">H54/(1+(((Base_Curves!H7/Base_Curves!I7-1)/(10-5))+Curve_Shocks_bps!I53/10000)*(10-5))</f>
        <v>0.711664003106313</v>
      </c>
      <c r="J54" s="29" t="n">
        <f aca="false">I54/(1+(((Base_Curves!I7/Base_Curves!J7-1)/(20-10))+Curve_Shocks_bps!J53/10000)*(20-10))</f>
        <v>0.513196024439014</v>
      </c>
      <c r="K54" s="29" t="n">
        <f aca="false">J54/(1+(((Base_Curves!J7/Base_Curves!K7-1)/(30-20))+Curve_Shocks_bps!K53/10000)*(30-20))</f>
        <v>0.371146271163474</v>
      </c>
    </row>
    <row r="55" customFormat="false" ht="15" hidden="false" customHeight="true" outlineLevel="0" collapsed="false">
      <c r="A55" s="4" t="s">
        <v>45</v>
      </c>
      <c r="B55" s="20" t="s">
        <v>38</v>
      </c>
      <c r="C55" s="29" t="n">
        <f aca="false">1/(1+(((1/Base_Curves!C8-1)/(0.25-0))+Curve_Shocks_bps!C54/10000)*(0.25-0))</f>
        <v>0.987425686190395</v>
      </c>
      <c r="D55" s="29" t="n">
        <f aca="false">C55/(1+(((Base_Curves!C8/Base_Curves!D8-1)/(0.5-0.25))+Curve_Shocks_bps!D54/10000)*(0.5-0.25))</f>
        <v>0.974990323340189</v>
      </c>
      <c r="E55" s="29" t="n">
        <f aca="false">D55/(1+(((Base_Curves!D8/Base_Curves!E8-1)/(1-0.5))+Curve_Shocks_bps!E54/10000)*(1-0.5))</f>
        <v>0.951644904713199</v>
      </c>
      <c r="F55" s="29" t="n">
        <f aca="false">E55/(1+(((Base_Curves!E8/Base_Curves!F8-1)/(2-1))+Curve_Shocks_bps!F54/10000)*(2-1))</f>
        <v>0.907976968981165</v>
      </c>
      <c r="G55" s="29" t="n">
        <f aca="false">F55/(1+(((Base_Curves!F8/Base_Curves!G8-1)/(3-2))+Curve_Shocks_bps!G54/10000)*(3-2))</f>
        <v>0.867509582162342</v>
      </c>
      <c r="H55" s="29" t="n">
        <f aca="false">G55/(1+(((Base_Curves!G8/Base_Curves!H8-1)/(5-3))+Curve_Shocks_bps!H54/10000)*(5-3))</f>
        <v>0.793316925079884</v>
      </c>
      <c r="I55" s="29" t="n">
        <f aca="false">H55/(1+(((Base_Curves!H8/Base_Curves!I8-1)/(10-5))+Curve_Shocks_bps!I54/10000)*(10-5))</f>
        <v>0.633799545103656</v>
      </c>
      <c r="J55" s="29" t="n">
        <f aca="false">I55/(1+(((Base_Curves!I8/Base_Curves!J8-1)/(20-10))+Curve_Shocks_bps!J54/10000)*(20-10))</f>
        <v>0.409203316236881</v>
      </c>
      <c r="K55" s="29" t="n">
        <f aca="false">J55/(1+(((Base_Curves!J8/Base_Curves!K8-1)/(30-20))+Curve_Shocks_bps!K54/10000)*(30-20))</f>
        <v>0.264400946170227</v>
      </c>
    </row>
    <row r="56" customFormat="false" ht="15" hidden="false" customHeight="true" outlineLevel="0" collapsed="false">
      <c r="A56" s="4" t="s">
        <v>37</v>
      </c>
      <c r="B56" s="20" t="s">
        <v>38</v>
      </c>
      <c r="C56" s="29" t="n">
        <f aca="false">1/(1+(((1/Base_Curves!C9-1)/(0.25-0))+Curve_Shocks_bps!C55/10000)*(0.25-0))</f>
        <v>0.992257456773841</v>
      </c>
      <c r="D56" s="29" t="n">
        <f aca="false">C56/(1+(((Base_Curves!C9/Base_Curves!D9-1)/(0.5-0.25))+Curve_Shocks_bps!D55/10000)*(0.5-0.25))</f>
        <v>0.977822290638908</v>
      </c>
      <c r="E56" s="29" t="n">
        <f aca="false">D56/(1+(((Base_Curves!D9/Base_Curves!E9-1)/(1-0.5))+Curve_Shocks_bps!E55/10000)*(1-0.5))</f>
        <v>0.950115469489328</v>
      </c>
      <c r="F56" s="29" t="n">
        <f aca="false">E56/(1+(((Base_Curves!E9/Base_Curves!F9-1)/(2-1))+Curve_Shocks_bps!F55/10000)*(2-1))</f>
        <v>0.91372537906029</v>
      </c>
      <c r="G56" s="29" t="n">
        <f aca="false">F56/(1+(((Base_Curves!F9/Base_Curves!G9-1)/(3-2))+Curve_Shocks_bps!G55/10000)*(3-2))</f>
        <v>0.867521732664848</v>
      </c>
      <c r="H56" s="29" t="n">
        <f aca="false">G56/(1+(((Base_Curves!G9/Base_Curves!H9-1)/(5-3))+Curve_Shocks_bps!H55/10000)*(5-3))</f>
        <v>0.785002686604053</v>
      </c>
      <c r="I56" s="29" t="n">
        <f aca="false">H56/(1+(((Base_Curves!H9/Base_Curves!I9-1)/(10-5))+Curve_Shocks_bps!I55/10000)*(10-5))</f>
        <v>0.619947869031123</v>
      </c>
      <c r="J56" s="29" t="n">
        <f aca="false">I56/(1+(((Base_Curves!I9/Base_Curves!J9-1)/(20-10))+Curve_Shocks_bps!J55/10000)*(20-10))</f>
        <v>0.383746480594609</v>
      </c>
      <c r="K56" s="29" t="n">
        <f aca="false">J56/(1+(((Base_Curves!J9/Base_Curves!K9-1)/(30-20))+Curve_Shocks_bps!K55/10000)*(30-20))</f>
        <v>0.23787651242755</v>
      </c>
    </row>
    <row r="57" customFormat="false" ht="15" hidden="false" customHeight="true" outlineLevel="0" collapsed="false">
      <c r="A57" s="4" t="s">
        <v>40</v>
      </c>
      <c r="B57" s="20" t="s">
        <v>38</v>
      </c>
      <c r="C57" s="29" t="n">
        <f aca="false">1/(1+(((1/Base_Curves!C10-1)/(0.25-0))+Curve_Shocks_bps!C56/10000)*(0.25-0))</f>
        <v>0.989006489032163</v>
      </c>
      <c r="D57" s="29" t="n">
        <f aca="false">C57/(1+(((Base_Curves!C10/Base_Curves!D10-1)/(0.5-0.25))+Curve_Shocks_bps!D56/10000)*(0.5-0.25))</f>
        <v>0.978186904869363</v>
      </c>
      <c r="E57" s="29" t="n">
        <f aca="false">D57/(1+(((Base_Curves!D10/Base_Curves!E10-1)/(1-0.5))+Curve_Shocks_bps!E56/10000)*(1-0.5))</f>
        <v>0.957808375985025</v>
      </c>
      <c r="F57" s="29" t="n">
        <f aca="false">E57/(1+(((Base_Curves!E10/Base_Curves!F10-1)/(2-1))+Curve_Shocks_bps!F56/10000)*(2-1))</f>
        <v>0.920902593800176</v>
      </c>
      <c r="G57" s="29" t="n">
        <f aca="false">F57/(1+(((Base_Curves!F10/Base_Curves!G10-1)/(3-2))+Curve_Shocks_bps!G56/10000)*(3-2))</f>
        <v>0.887347246992719</v>
      </c>
      <c r="H57" s="29" t="n">
        <f aca="false">G57/(1+(((Base_Curves!G10/Base_Curves!H10-1)/(5-3))+Curve_Shocks_bps!H56/10000)*(5-3))</f>
        <v>0.825643696245752</v>
      </c>
      <c r="I57" s="29" t="n">
        <f aca="false">H57/(1+(((Base_Curves!H10/Base_Curves!I10-1)/(10-5))+Curve_Shocks_bps!I56/10000)*(10-5))</f>
        <v>0.689020150443237</v>
      </c>
      <c r="J57" s="29" t="n">
        <f aca="false">I57/(1+(((Base_Curves!I10/Base_Curves!J10-1)/(20-10))+Curve_Shocks_bps!J56/10000)*(20-10))</f>
        <v>0.4861534601771</v>
      </c>
      <c r="K57" s="29" t="n">
        <f aca="false">J57/(1+(((Base_Curves!J10/Base_Curves!K10-1)/(30-20))+Curve_Shocks_bps!K56/10000)*(30-20))</f>
        <v>0.345281594501379</v>
      </c>
    </row>
    <row r="58" customFormat="false" ht="15" hidden="false" customHeight="true" outlineLevel="0" collapsed="false">
      <c r="A58" s="4" t="s">
        <v>49</v>
      </c>
      <c r="B58" s="20" t="s">
        <v>50</v>
      </c>
      <c r="C58" s="29" t="n">
        <f aca="false">1/(1+(((1/Base_Curves!C11-1)/(0.25-0))+Curve_Shocks_bps!C57/10000)*(0.25-0))</f>
        <v>0.988773290703735</v>
      </c>
      <c r="D58" s="29" t="n">
        <f aca="false">C58/(1+(((Base_Curves!C11/Base_Curves!D11-1)/(0.5-0.25))+Curve_Shocks_bps!D57/10000)*(0.5-0.25))</f>
        <v>0.977668012414378</v>
      </c>
      <c r="E58" s="29" t="n">
        <f aca="false">D58/(1+(((Base_Curves!D11/Base_Curves!E11-1)/(1-0.5))+Curve_Shocks_bps!E57/10000)*(1-0.5))</f>
        <v>0.956260628257328</v>
      </c>
      <c r="F58" s="29" t="n">
        <f aca="false">E58/(1+(((Base_Curves!E11/Base_Curves!F11-1)/(2-1))+Curve_Shocks_bps!F57/10000)*(2-1))</f>
        <v>0.915863289045974</v>
      </c>
      <c r="G58" s="29" t="n">
        <f aca="false">F58/(1+(((Base_Curves!F11/Base_Curves!G11-1)/(3-2))+Curve_Shocks_bps!G57/10000)*(3-2))</f>
        <v>0.877556236516843</v>
      </c>
      <c r="H58" s="29" t="n">
        <f aca="false">G58/(1+(((Base_Curves!G11/Base_Curves!H11-1)/(5-3))+Curve_Shocks_bps!H57/10000)*(5-3))</f>
        <v>0.806391724642567</v>
      </c>
      <c r="I58" s="29" t="n">
        <f aca="false">H58/(1+(((Base_Curves!H11/Base_Curves!I11-1)/(10-5))+Curve_Shocks_bps!I57/10000)*(10-5))</f>
        <v>0.65111864717443</v>
      </c>
      <c r="J58" s="29" t="n">
        <f aca="false">I58/(1+(((Base_Curves!I11/Base_Curves!J11-1)/(20-10))+Curve_Shocks_bps!J57/10000)*(20-10))</f>
        <v>0.428855328205816</v>
      </c>
      <c r="K58" s="29" t="n">
        <f aca="false">J58/(1+(((Base_Curves!J11/Base_Curves!K11-1)/(30-20))+Curve_Shocks_bps!K57/10000)*(30-20))</f>
        <v>0.282668083662645</v>
      </c>
    </row>
    <row r="60" customFormat="false" ht="15" hidden="false" customHeight="true" outlineLevel="0" collapsed="false">
      <c r="A60" s="19" t="s">
        <v>84</v>
      </c>
      <c r="B60" s="19"/>
      <c r="C60" s="13" t="s">
        <v>56</v>
      </c>
      <c r="D60" s="13" t="s">
        <v>57</v>
      </c>
      <c r="E60" s="13" t="s">
        <v>30</v>
      </c>
      <c r="F60" s="13" t="s">
        <v>58</v>
      </c>
      <c r="G60" s="13" t="s">
        <v>59</v>
      </c>
      <c r="H60" s="13" t="s">
        <v>60</v>
      </c>
      <c r="I60" s="13" t="s">
        <v>61</v>
      </c>
      <c r="J60" s="13" t="s">
        <v>62</v>
      </c>
      <c r="K60" s="13" t="s">
        <v>63</v>
      </c>
    </row>
    <row r="61" customFormat="false" ht="15" hidden="false" customHeight="true" outlineLevel="0" collapsed="false">
      <c r="A61" s="4" t="s">
        <v>42</v>
      </c>
      <c r="B61" s="20" t="s">
        <v>43</v>
      </c>
      <c r="C61" s="29" t="n">
        <f aca="false">1/(1+(((1/Base_Curves!C6-1)/(0.25-0))+Curve_Shocks_bps!C60/10000)*(0.25-0))</f>
        <v>0.987193365749837</v>
      </c>
      <c r="D61" s="29" t="n">
        <f aca="false">C61/(1+(((Base_Curves!C6/Base_Curves!D6-1)/(0.5-0.25))+Curve_Shocks_bps!D60/10000)*(0.5-0.25))</f>
        <v>0.974781107397741</v>
      </c>
      <c r="E61" s="29" t="n">
        <f aca="false">D61/(1+(((Base_Curves!D6/Base_Curves!E6-1)/(1-0.5))+Curve_Shocks_bps!E60/10000)*(1-0.5))</f>
        <v>0.950859692250137</v>
      </c>
      <c r="F61" s="29" t="n">
        <f aca="false">E61/(1+(((Base_Curves!E6/Base_Curves!F6-1)/(2-1))+Curve_Shocks_bps!F60/10000)*(2-1))</f>
        <v>0.906601318034038</v>
      </c>
      <c r="G61" s="29" t="n">
        <f aca="false">F61/(1+(((Base_Curves!F6/Base_Curves!G6-1)/(3-2))+Curve_Shocks_bps!G60/10000)*(3-2))</f>
        <v>0.865406659051048</v>
      </c>
      <c r="H61" s="29" t="n">
        <f aca="false">G61/(1+(((Base_Curves!G6/Base_Curves!H6-1)/(5-3))+Curve_Shocks_bps!H60/10000)*(5-3))</f>
        <v>0.790135046868041</v>
      </c>
      <c r="I61" s="29" t="n">
        <f aca="false">H61/(1+(((Base_Curves!H6/Base_Curves!I6-1)/(10-5))+Curve_Shocks_bps!I60/10000)*(10-5))</f>
        <v>0.628442806344304</v>
      </c>
      <c r="J61" s="29" t="n">
        <f aca="false">I61/(1+(((Base_Curves!I6/Base_Curves!J6-1)/(20-10))+Curve_Shocks_bps!J60/10000)*(20-10))</f>
        <v>0.401615152821491</v>
      </c>
      <c r="K61" s="29" t="n">
        <f aca="false">J61/(1+(((Base_Curves!J6/Base_Curves!K6-1)/(30-20))+Curve_Shocks_bps!K60/10000)*(30-20))</f>
        <v>0.256903449679945</v>
      </c>
    </row>
    <row r="62" customFormat="false" ht="15" hidden="false" customHeight="true" outlineLevel="0" collapsed="false">
      <c r="A62" s="4" t="s">
        <v>52</v>
      </c>
      <c r="B62" s="20" t="s">
        <v>43</v>
      </c>
      <c r="C62" s="29" t="n">
        <f aca="false">1/(1+(((1/Base_Curves!C7-1)/(0.25-0))+Curve_Shocks_bps!C61/10000)*(0.25-0))</f>
        <v>0.994043983929816</v>
      </c>
      <c r="D62" s="29" t="n">
        <f aca="false">C62/(1+(((Base_Curves!C7/Base_Curves!D7-1)/(0.5-0.25))+Curve_Shocks_bps!D61/10000)*(0.5-0.25))</f>
        <v>0.984683697072841</v>
      </c>
      <c r="E62" s="29" t="n">
        <f aca="false">D62/(1+(((Base_Curves!D7/Base_Curves!E7-1)/(1-0.5))+Curve_Shocks_bps!E61/10000)*(1-0.5))</f>
        <v>0.972017712190285</v>
      </c>
      <c r="F62" s="29" t="n">
        <f aca="false">E62/(1+(((Base_Curves!E7/Base_Curves!F7-1)/(2-1))+Curve_Shocks_bps!F61/10000)*(2-1))</f>
        <v>0.938549286485854</v>
      </c>
      <c r="G62" s="29" t="n">
        <f aca="false">F62/(1+(((Base_Curves!F7/Base_Curves!G7-1)/(3-2))+Curve_Shocks_bps!G61/10000)*(3-2))</f>
        <v>0.907284693303094</v>
      </c>
      <c r="H62" s="29" t="n">
        <f aca="false">G62/(1+(((Base_Curves!G7/Base_Curves!H7-1)/(5-3))+Curve_Shocks_bps!H61/10000)*(5-3))</f>
        <v>0.848930717324491</v>
      </c>
      <c r="I62" s="29" t="n">
        <f aca="false">H62/(1+(((Base_Curves!H7/Base_Curves!I7-1)/(10-5))+Curve_Shocks_bps!I61/10000)*(10-5))</f>
        <v>0.717081412958277</v>
      </c>
      <c r="J62" s="29" t="n">
        <f aca="false">I62/(1+(((Base_Curves!I7/Base_Curves!J7-1)/(20-10))+Curve_Shocks_bps!J61/10000)*(20-10))</f>
        <v>0.517028065735622</v>
      </c>
      <c r="K62" s="29" t="n">
        <f aca="false">J62/(1+(((Base_Curves!J7/Base_Curves!K7-1)/(30-20))+Curve_Shocks_bps!K61/10000)*(30-20))</f>
        <v>0.373161981128047</v>
      </c>
    </row>
    <row r="63" customFormat="false" ht="15" hidden="false" customHeight="true" outlineLevel="0" collapsed="false">
      <c r="A63" s="4" t="s">
        <v>45</v>
      </c>
      <c r="B63" s="20" t="s">
        <v>38</v>
      </c>
      <c r="C63" s="29" t="n">
        <f aca="false">1/(1+(((1/Base_Curves!C8-1)/(0.25-0))+Curve_Shocks_bps!C62/10000)*(0.25-0))</f>
        <v>0.986999303737061</v>
      </c>
      <c r="D63" s="29" t="n">
        <f aca="false">C63/(1+(((Base_Curves!C8/Base_Curves!D8-1)/(0.5-0.25))+Curve_Shocks_bps!D62/10000)*(0.5-0.25))</f>
        <v>0.974477901096281</v>
      </c>
      <c r="E63" s="29" t="n">
        <f aca="false">D63/(1+(((Base_Curves!D8/Base_Curves!E8-1)/(1-0.5))+Curve_Shocks_bps!E62/10000)*(1-0.5))</f>
        <v>0.950824572103433</v>
      </c>
      <c r="F63" s="29" t="n">
        <f aca="false">E63/(1+(((Base_Curves!E8/Base_Curves!F8-1)/(2-1))+Curve_Shocks_bps!F62/10000)*(2-1))</f>
        <v>0.906951985044646</v>
      </c>
      <c r="G63" s="29" t="n">
        <f aca="false">F63/(1+(((Base_Curves!F8/Base_Curves!G8-1)/(3-2))+Curve_Shocks_bps!G62/10000)*(3-2))</f>
        <v>0.866447497362752</v>
      </c>
      <c r="H63" s="29" t="n">
        <f aca="false">G63/(1+(((Base_Curves!G8/Base_Curves!H8-1)/(5-3))+Curve_Shocks_bps!H62/10000)*(5-3))</f>
        <v>0.792215270564619</v>
      </c>
      <c r="I63" s="29" t="n">
        <f aca="false">H63/(1+(((Base_Curves!H8/Base_Curves!I8-1)/(10-5))+Curve_Shocks_bps!I62/10000)*(10-5))</f>
        <v>0.637169975538531</v>
      </c>
      <c r="J63" s="29" t="n">
        <f aca="false">I63/(1+(((Base_Curves!I8/Base_Curves!J8-1)/(20-10))+Curve_Shocks_bps!J62/10000)*(20-10))</f>
        <v>0.411273171892197</v>
      </c>
      <c r="K63" s="29" t="n">
        <f aca="false">J63/(1+(((Base_Curves!J8/Base_Curves!K8-1)/(30-20))+Curve_Shocks_bps!K62/10000)*(30-20))</f>
        <v>0.265704018002227</v>
      </c>
    </row>
    <row r="64" customFormat="false" ht="15" hidden="false" customHeight="true" outlineLevel="0" collapsed="false">
      <c r="A64" s="4" t="s">
        <v>37</v>
      </c>
      <c r="B64" s="20" t="s">
        <v>38</v>
      </c>
      <c r="C64" s="29" t="n">
        <f aca="false">1/(1+(((1/Base_Curves!C9-1)/(0.25-0))+Curve_Shocks_bps!C63/10000)*(0.25-0))</f>
        <v>0.984748260337298</v>
      </c>
      <c r="D64" s="29" t="n">
        <f aca="false">C64/(1+(((Base_Curves!C9/Base_Curves!D9-1)/(0.5-0.25))+Curve_Shocks_bps!D63/10000)*(0.5-0.25))</f>
        <v>0.970152255589067</v>
      </c>
      <c r="E64" s="29" t="n">
        <f aca="false">D64/(1+(((Base_Curves!D9/Base_Curves!E9-1)/(1-0.5))+Curve_Shocks_bps!E63/10000)*(1-0.5))</f>
        <v>0.942346869047631</v>
      </c>
      <c r="F64" s="29" t="n">
        <f aca="false">E64/(1+(((Base_Curves!E9/Base_Curves!F9-1)/(2-1))+Curve_Shocks_bps!F63/10000)*(2-1))</f>
        <v>0.907231503443921</v>
      </c>
      <c r="G64" s="29" t="n">
        <f aca="false">F64/(1+(((Base_Curves!F9/Base_Curves!G9-1)/(3-2))+Curve_Shocks_bps!G63/10000)*(3-2))</f>
        <v>0.860963862327311</v>
      </c>
      <c r="H64" s="29" t="n">
        <f aca="false">G64/(1+(((Base_Curves!G9/Base_Curves!H9-1)/(5-3))+Curve_Shocks_bps!H63/10000)*(5-3))</f>
        <v>0.778786720481855</v>
      </c>
      <c r="I64" s="29" t="n">
        <f aca="false">H64/(1+(((Base_Curves!H9/Base_Curves!I9-1)/(10-5))+Curve_Shocks_bps!I63/10000)*(10-5))</f>
        <v>0.608360664953194</v>
      </c>
      <c r="J64" s="29" t="n">
        <f aca="false">I64/(1+(((Base_Curves!I9/Base_Curves!J9-1)/(20-10))+Curve_Shocks_bps!J63/10000)*(20-10))</f>
        <v>0.376224701143073</v>
      </c>
      <c r="K64" s="29" t="n">
        <f aca="false">J64/(1+(((Base_Curves!J9/Base_Curves!K9-1)/(30-20))+Curve_Shocks_bps!K63/10000)*(30-20))</f>
        <v>0.233185007484868</v>
      </c>
    </row>
    <row r="65" customFormat="false" ht="15" hidden="false" customHeight="true" outlineLevel="0" collapsed="false">
      <c r="A65" s="4" t="s">
        <v>40</v>
      </c>
      <c r="B65" s="20" t="s">
        <v>38</v>
      </c>
      <c r="C65" s="29" t="n">
        <f aca="false">1/(1+(((1/Base_Curves!C10-1)/(0.25-0))+Curve_Shocks_bps!C64/10000)*(0.25-0))</f>
        <v>0.988588513537705</v>
      </c>
      <c r="D65" s="29" t="n">
        <f aca="false">C65/(1+(((Base_Curves!C10/Base_Curves!D10-1)/(0.5-0.25))+Curve_Shocks_bps!D64/10000)*(0.5-0.25))</f>
        <v>0.977548708300357</v>
      </c>
      <c r="E65" s="29" t="n">
        <f aca="false">D65/(1+(((Base_Curves!D10/Base_Curves!E10-1)/(1-0.5))+Curve_Shocks_bps!E64/10000)*(1-0.5))</f>
        <v>0.957056963924134</v>
      </c>
      <c r="F65" s="29" t="n">
        <f aca="false">E65/(1+(((Base_Curves!E10/Base_Curves!F10-1)/(2-1))+Curve_Shocks_bps!F64/10000)*(2-1))</f>
        <v>0.919702631599233</v>
      </c>
      <c r="G65" s="29" t="n">
        <f aca="false">F65/(1+(((Base_Curves!F10/Base_Curves!G10-1)/(3-2))+Curve_Shocks_bps!G64/10000)*(3-2))</f>
        <v>0.885696022722474</v>
      </c>
      <c r="H65" s="29" t="n">
        <f aca="false">G65/(1+(((Base_Curves!G10/Base_Curves!H10-1)/(5-3))+Curve_Shocks_bps!H64/10000)*(5-3))</f>
        <v>0.82384666333821</v>
      </c>
      <c r="I65" s="29" t="n">
        <f aca="false">H65/(1+(((Base_Curves!H10/Base_Curves!I10-1)/(10-5))+Curve_Shocks_bps!I64/10000)*(10-5))</f>
        <v>0.687491795445724</v>
      </c>
      <c r="J65" s="29" t="n">
        <f aca="false">I65/(1+(((Base_Curves!I10/Base_Curves!J10-1)/(20-10))+Curve_Shocks_bps!J64/10000)*(20-10))</f>
        <v>0.484904027986479</v>
      </c>
      <c r="K65" s="29" t="n">
        <f aca="false">J65/(1+(((Base_Curves!J10/Base_Curves!K10-1)/(30-20))+Curve_Shocks_bps!K64/10000)*(30-20))</f>
        <v>0.342327587002036</v>
      </c>
    </row>
    <row r="66" customFormat="false" ht="15" hidden="false" customHeight="true" outlineLevel="0" collapsed="false">
      <c r="A66" s="4" t="s">
        <v>49</v>
      </c>
      <c r="B66" s="20" t="s">
        <v>50</v>
      </c>
      <c r="C66" s="29" t="n">
        <f aca="false">1/(1+(((1/Base_Curves!C11-1)/(0.25-0))+Curve_Shocks_bps!C65/10000)*(0.25-0))</f>
        <v>0.988660871135497</v>
      </c>
      <c r="D66" s="29" t="n">
        <f aca="false">C66/(1+(((Base_Curves!C11/Base_Curves!D11-1)/(0.5-0.25))+Curve_Shocks_bps!D65/10000)*(0.5-0.25))</f>
        <v>0.977448127591642</v>
      </c>
      <c r="E66" s="29" t="n">
        <f aca="false">D66/(1+(((Base_Curves!D11/Base_Curves!E11-1)/(1-0.5))+Curve_Shocks_bps!E65/10000)*(1-0.5))</f>
        <v>0.960229712665626</v>
      </c>
      <c r="F66" s="29" t="n">
        <f aca="false">E66/(1+(((Base_Curves!E11/Base_Curves!F11-1)/(2-1))+Curve_Shocks_bps!F65/10000)*(2-1))</f>
        <v>0.919523790486639</v>
      </c>
      <c r="G66" s="29" t="n">
        <f aca="false">F66/(1+(((Base_Curves!F11/Base_Curves!G11-1)/(3-2))+Curve_Shocks_bps!G65/10000)*(3-2))</f>
        <v>0.880903262100167</v>
      </c>
      <c r="H66" s="29" t="n">
        <f aca="false">G66/(1+(((Base_Curves!G11/Base_Curves!H11-1)/(5-3))+Curve_Shocks_bps!H65/10000)*(5-3))</f>
        <v>0.809259109398274</v>
      </c>
      <c r="I66" s="29" t="n">
        <f aca="false">H66/(1+(((Base_Curves!H11/Base_Curves!I11-1)/(10-5))+Curve_Shocks_bps!I65/10000)*(10-5))</f>
        <v>0.653354776224689</v>
      </c>
      <c r="J66" s="29" t="n">
        <f aca="false">I66/(1+(((Base_Curves!I11/Base_Curves!J11-1)/(20-10))+Curve_Shocks_bps!J65/10000)*(20-10))</f>
        <v>0.430158148349435</v>
      </c>
      <c r="K66" s="29" t="n">
        <f aca="false">J66/(1+(((Base_Curves!J11/Base_Curves!K11-1)/(30-20))+Curve_Shocks_bps!K65/10000)*(30-20))</f>
        <v>0.283508114740984</v>
      </c>
    </row>
    <row r="68" customFormat="false" ht="15" hidden="false" customHeight="true" outlineLevel="0" collapsed="false">
      <c r="A68" s="19" t="s">
        <v>85</v>
      </c>
      <c r="B68" s="19"/>
      <c r="C68" s="13" t="s">
        <v>56</v>
      </c>
      <c r="D68" s="13" t="s">
        <v>57</v>
      </c>
      <c r="E68" s="13" t="s">
        <v>30</v>
      </c>
      <c r="F68" s="13" t="s">
        <v>58</v>
      </c>
      <c r="G68" s="13" t="s">
        <v>59</v>
      </c>
      <c r="H68" s="13" t="s">
        <v>60</v>
      </c>
      <c r="I68" s="13" t="s">
        <v>61</v>
      </c>
      <c r="J68" s="13" t="s">
        <v>62</v>
      </c>
      <c r="K68" s="13" t="s">
        <v>63</v>
      </c>
    </row>
    <row r="69" customFormat="false" ht="15" hidden="false" customHeight="true" outlineLevel="0" collapsed="false">
      <c r="A69" s="4" t="s">
        <v>42</v>
      </c>
      <c r="B69" s="20" t="s">
        <v>43</v>
      </c>
      <c r="C69" s="29" t="n">
        <f aca="false">1/(1+(((1/Base_Curves!C6-1)/(0.25-0))+Curve_Shocks_bps!C68/10000)*(0.25-0))</f>
        <v>0.98714951291458</v>
      </c>
      <c r="D69" s="29" t="n">
        <f aca="false">C69/(1+(((Base_Curves!C6/Base_Curves!D6-1)/(0.5-0.25))+Curve_Shocks_bps!D68/10000)*(0.5-0.25))</f>
        <v>0.974569400659733</v>
      </c>
      <c r="E69" s="29" t="n">
        <f aca="false">D69/(1+(((Base_Curves!D6/Base_Curves!E6-1)/(1-0.5))+Curve_Shocks_bps!E68/10000)*(1-0.5))</f>
        <v>0.950629998326299</v>
      </c>
      <c r="F69" s="29" t="n">
        <f aca="false">E69/(1+(((Base_Curves!E6/Base_Curves!F6-1)/(2-1))+Curve_Shocks_bps!F68/10000)*(2-1))</f>
        <v>0.906174956210395</v>
      </c>
      <c r="G69" s="29" t="n">
        <f aca="false">F69/(1+(((Base_Curves!F6/Base_Curves!G6-1)/(3-2))+Curve_Shocks_bps!G68/10000)*(3-2))</f>
        <v>0.869857113033344</v>
      </c>
      <c r="H69" s="29" t="n">
        <f aca="false">G69/(1+(((Base_Curves!G6/Base_Curves!H6-1)/(5-3))+Curve_Shocks_bps!H68/10000)*(5-3))</f>
        <v>0.793937450306756</v>
      </c>
      <c r="I69" s="29" t="n">
        <f aca="false">H69/(1+(((Base_Curves!H6/Base_Curves!I6-1)/(10-5))+Curve_Shocks_bps!I68/10000)*(10-5))</f>
        <v>0.631291354093496</v>
      </c>
      <c r="J69" s="29" t="n">
        <f aca="false">I69/(1+(((Base_Curves!I6/Base_Curves!J6-1)/(20-10))+Curve_Shocks_bps!J68/10000)*(20-10))</f>
        <v>0.403409776580914</v>
      </c>
      <c r="K69" s="29" t="n">
        <f aca="false">J69/(1+(((Base_Curves!J6/Base_Curves!K6-1)/(30-20))+Curve_Shocks_bps!K68/10000)*(30-20))</f>
        <v>0.258018417248357</v>
      </c>
    </row>
    <row r="70" customFormat="false" ht="15" hidden="false" customHeight="true" outlineLevel="0" collapsed="false">
      <c r="A70" s="4" t="s">
        <v>52</v>
      </c>
      <c r="B70" s="20" t="s">
        <v>43</v>
      </c>
      <c r="C70" s="29" t="n">
        <f aca="false">1/(1+(((1/Base_Curves!C7-1)/(0.25-0))+Curve_Shocks_bps!C69/10000)*(0.25-0))</f>
        <v>0.990474897332954</v>
      </c>
      <c r="D70" s="29" t="n">
        <f aca="false">C70/(1+(((Base_Curves!C7/Base_Curves!D7-1)/(0.5-0.25))+Curve_Shocks_bps!D69/10000)*(0.5-0.25))</f>
        <v>0.981043749187381</v>
      </c>
      <c r="E70" s="29" t="n">
        <f aca="false">D70/(1+(((Base_Curves!D7/Base_Curves!E7-1)/(1-0.5))+Curve_Shocks_bps!E69/10000)*(1-0.5))</f>
        <v>0.963171513076289</v>
      </c>
      <c r="F70" s="29" t="n">
        <f aca="false">E70/(1+(((Base_Curves!E7/Base_Curves!F7-1)/(2-1))+Curve_Shocks_bps!F69/10000)*(2-1))</f>
        <v>0.929935845587093</v>
      </c>
      <c r="G70" s="29" t="n">
        <f aca="false">F70/(1+(((Base_Curves!F7/Base_Curves!G7-1)/(3-2))+Curve_Shocks_bps!G69/10000)*(3-2))</f>
        <v>0.898836534760485</v>
      </c>
      <c r="H70" s="29" t="n">
        <f aca="false">G70/(1+(((Base_Curves!G7/Base_Curves!H7-1)/(5-3))+Curve_Shocks_bps!H69/10000)*(5-3))</f>
        <v>0.840884296176745</v>
      </c>
      <c r="I70" s="29" t="n">
        <f aca="false">H70/(1+(((Base_Curves!H7/Base_Curves!I7-1)/(10-5))+Curve_Shocks_bps!I69/10000)*(10-5))</f>
        <v>0.710284699247565</v>
      </c>
      <c r="J70" s="29" t="n">
        <f aca="false">I70/(1+(((Base_Curves!I7/Base_Curves!J7-1)/(20-10))+Curve_Shocks_bps!J69/10000)*(20-10))</f>
        <v>0.512053678025539</v>
      </c>
      <c r="K70" s="29" t="n">
        <f aca="false">J70/(1+(((Base_Curves!J7/Base_Curves!K7-1)/(30-20))+Curve_Shocks_bps!K69/10000)*(30-20))</f>
        <v>0.369545074205724</v>
      </c>
    </row>
    <row r="71" customFormat="false" ht="15" hidden="false" customHeight="true" outlineLevel="0" collapsed="false">
      <c r="A71" s="4" t="s">
        <v>45</v>
      </c>
      <c r="B71" s="20" t="s">
        <v>38</v>
      </c>
      <c r="C71" s="29" t="n">
        <f aca="false">1/(1+(((1/Base_Curves!C8-1)/(0.25-0))+Curve_Shocks_bps!C70/10000)*(0.25-0))</f>
        <v>0.986780164686577</v>
      </c>
      <c r="D71" s="29" t="n">
        <f aca="false">C71/(1+(((Base_Curves!C8/Base_Curves!D8-1)/(0.5-0.25))+Curve_Shocks_bps!D70/10000)*(0.5-0.25))</f>
        <v>0.973912977489715</v>
      </c>
      <c r="E71" s="29" t="n">
        <f aca="false">D71/(1+(((Base_Curves!D8/Base_Curves!E8-1)/(1-0.5))+Curve_Shocks_bps!E70/10000)*(1-0.5))</f>
        <v>0.950069418905633</v>
      </c>
      <c r="F71" s="29" t="n">
        <f aca="false">E71/(1+(((Base_Curves!E8/Base_Curves!F8-1)/(2-1))+Curve_Shocks_bps!F70/10000)*(2-1))</f>
        <v>0.905816945719428</v>
      </c>
      <c r="G71" s="29" t="n">
        <f aca="false">F71/(1+(((Base_Curves!F8/Base_Curves!G8-1)/(3-2))+Curve_Shocks_bps!G70/10000)*(3-2))</f>
        <v>0.865230894561439</v>
      </c>
      <c r="H71" s="29" t="n">
        <f aca="false">G71/(1+(((Base_Curves!G8/Base_Curves!H8-1)/(5-3))+Curve_Shocks_bps!H70/10000)*(5-3))</f>
        <v>0.790929339180539</v>
      </c>
      <c r="I71" s="29" t="n">
        <f aca="false">H71/(1+(((Base_Curves!H8/Base_Curves!I8-1)/(10-5))+Curve_Shocks_bps!I70/10000)*(10-5))</f>
        <v>0.631664953195476</v>
      </c>
      <c r="J71" s="29" t="n">
        <f aca="false">I71/(1+(((Base_Curves!I8/Base_Curves!J8-1)/(20-10))+Curve_Shocks_bps!J70/10000)*(20-10))</f>
        <v>0.407614612211658</v>
      </c>
      <c r="K71" s="29" t="n">
        <f aca="false">J71/(1+(((Base_Curves!J8/Base_Curves!K8-1)/(30-20))+Curve_Shocks_bps!K70/10000)*(30-20))</f>
        <v>0.263306374812826</v>
      </c>
    </row>
    <row r="72" customFormat="false" ht="15" hidden="false" customHeight="true" outlineLevel="0" collapsed="false">
      <c r="A72" s="4" t="s">
        <v>37</v>
      </c>
      <c r="B72" s="20" t="s">
        <v>38</v>
      </c>
      <c r="C72" s="29" t="n">
        <f aca="false">1/(1+(((1/Base_Curves!C9-1)/(0.25-0))+Curve_Shocks_bps!C71/10000)*(0.25-0))</f>
        <v>0.984360521412895</v>
      </c>
      <c r="D72" s="29" t="n">
        <f aca="false">C72/(1+(((Base_Curves!C9/Base_Curves!D9-1)/(0.5-0.25))+Curve_Shocks_bps!D71/10000)*(0.5-0.25))</f>
        <v>0.969328594229379</v>
      </c>
      <c r="E72" s="29" t="n">
        <f aca="false">D72/(1+(((Base_Curves!D9/Base_Curves!E9-1)/(1-0.5))+Curve_Shocks_bps!E71/10000)*(1-0.5))</f>
        <v>0.941085187512815</v>
      </c>
      <c r="F72" s="29" t="n">
        <f aca="false">E72/(1+(((Base_Curves!E9/Base_Curves!F9-1)/(2-1))+Curve_Shocks_bps!F71/10000)*(2-1))</f>
        <v>0.890398311377447</v>
      </c>
      <c r="G72" s="29" t="n">
        <f aca="false">F72/(1+(((Base_Curves!F9/Base_Curves!G9-1)/(3-2))+Curve_Shocks_bps!G71/10000)*(3-2))</f>
        <v>0.844796730266138</v>
      </c>
      <c r="H72" s="29" t="n">
        <f aca="false">G72/(1+(((Base_Curves!G9/Base_Curves!H9-1)/(5-3))+Curve_Shocks_bps!H71/10000)*(5-3))</f>
        <v>0.773581268677914</v>
      </c>
      <c r="I72" s="29" t="n">
        <f aca="false">H72/(1+(((Base_Curves!H9/Base_Curves!I9-1)/(10-5))+Curve_Shocks_bps!I71/10000)*(10-5))</f>
        <v>0.604176359650982</v>
      </c>
      <c r="J72" s="29" t="n">
        <f aca="false">I72/(1+(((Base_Curves!I9/Base_Curves!J9-1)/(20-10))+Curve_Shocks_bps!J71/10000)*(20-10))</f>
        <v>0.377819407093138</v>
      </c>
      <c r="K72" s="29" t="n">
        <f aca="false">J72/(1+(((Base_Curves!J9/Base_Curves!K9-1)/(30-20))+Curve_Shocks_bps!K71/10000)*(30-20))</f>
        <v>0.234057354741949</v>
      </c>
    </row>
    <row r="73" customFormat="false" ht="15" hidden="false" customHeight="true" outlineLevel="0" collapsed="false">
      <c r="A73" s="4" t="s">
        <v>40</v>
      </c>
      <c r="B73" s="20" t="s">
        <v>38</v>
      </c>
      <c r="C73" s="29" t="n">
        <f aca="false">1/(1+(((1/Base_Curves!C10-1)/(0.25-0))+Curve_Shocks_bps!C72/10000)*(0.25-0))</f>
        <v>0.988368668307364</v>
      </c>
      <c r="D73" s="29" t="n">
        <f aca="false">C73/(1+(((Base_Curves!C10/Base_Curves!D10-1)/(0.5-0.25))+Curve_Shocks_bps!D72/10000)*(0.5-0.25))</f>
        <v>0.977133242755414</v>
      </c>
      <c r="E73" s="29" t="n">
        <f aca="false">D73/(1+(((Base_Curves!D10/Base_Curves!E10-1)/(1-0.5))+Curve_Shocks_bps!E72/10000)*(1-0.5))</f>
        <v>0.956168103382636</v>
      </c>
      <c r="F73" s="29" t="n">
        <f aca="false">E73/(1+(((Base_Curves!E10/Base_Curves!F10-1)/(2-1))+Curve_Shocks_bps!F72/10000)*(2-1))</f>
        <v>0.91836307821385</v>
      </c>
      <c r="G73" s="29" t="n">
        <f aca="false">F73/(1+(((Base_Curves!F10/Base_Curves!G10-1)/(3-2))+Curve_Shocks_bps!G72/10000)*(3-2))</f>
        <v>0.891540762250943</v>
      </c>
      <c r="H73" s="29" t="n">
        <f aca="false">G73/(1+(((Base_Curves!G10/Base_Curves!H10-1)/(5-3))+Curve_Shocks_bps!H72/10000)*(5-3))</f>
        <v>0.836378369861739</v>
      </c>
      <c r="I73" s="29" t="n">
        <f aca="false">H73/(1+(((Base_Curves!H10/Base_Curves!I10-1)/(10-5))+Curve_Shocks_bps!I72/10000)*(10-5))</f>
        <v>0.697454663025784</v>
      </c>
      <c r="J73" s="29" t="n">
        <f aca="false">I73/(1+(((Base_Curves!I10/Base_Curves!J10-1)/(20-10))+Curve_Shocks_bps!J72/10000)*(20-10))</f>
        <v>0.491757647213817</v>
      </c>
      <c r="K73" s="29" t="n">
        <f aca="false">J73/(1+(((Base_Curves!J10/Base_Curves!K10-1)/(30-20))+Curve_Shocks_bps!K72/10000)*(30-20))</f>
        <v>0.347092523969173</v>
      </c>
    </row>
    <row r="74" customFormat="false" ht="15" hidden="false" customHeight="true" outlineLevel="0" collapsed="false">
      <c r="A74" s="4" t="s">
        <v>49</v>
      </c>
      <c r="B74" s="20" t="s">
        <v>50</v>
      </c>
      <c r="C74" s="29" t="n">
        <f aca="false">1/(1+(((1/Base_Curves!C11-1)/(0.25-0))+Curve_Shocks_bps!C73/10000)*(0.25-0))</f>
        <v>0.98855580639269</v>
      </c>
      <c r="D74" s="29" t="n">
        <f aca="false">C74/(1+(((Base_Curves!C11/Base_Curves!D11-1)/(0.5-0.25))+Curve_Shocks_bps!D73/10000)*(0.5-0.25))</f>
        <v>0.977346670079891</v>
      </c>
      <c r="E74" s="29" t="n">
        <f aca="false">D74/(1+(((Base_Curves!D11/Base_Curves!E11-1)/(1-0.5))+Curve_Shocks_bps!E73/10000)*(1-0.5))</f>
        <v>0.955591148630945</v>
      </c>
      <c r="F74" s="29" t="n">
        <f aca="false">E74/(1+(((Base_Curves!E11/Base_Curves!F11-1)/(2-1))+Curve_Shocks_bps!F73/10000)*(2-1))</f>
        <v>0.914678947959125</v>
      </c>
      <c r="G74" s="29" t="n">
        <f aca="false">F74/(1+(((Base_Curves!F11/Base_Curves!G11-1)/(3-2))+Curve_Shocks_bps!G73/10000)*(3-2))</f>
        <v>0.876144397331037</v>
      </c>
      <c r="H74" s="29" t="n">
        <f aca="false">G74/(1+(((Base_Curves!G11/Base_Curves!H11-1)/(5-3))+Curve_Shocks_bps!H73/10000)*(5-3))</f>
        <v>0.804872496430588</v>
      </c>
      <c r="I74" s="29" t="n">
        <f aca="false">H74/(1+(((Base_Curves!H11/Base_Curves!I11-1)/(10-5))+Curve_Shocks_bps!I73/10000)*(10-5))</f>
        <v>0.649682117211096</v>
      </c>
      <c r="J74" s="29" t="n">
        <f aca="false">I74/(1+(((Base_Curves!I11/Base_Curves!J11-1)/(20-10))+Curve_Shocks_bps!J73/10000)*(20-10))</f>
        <v>0.427711969584312</v>
      </c>
      <c r="K74" s="29" t="n">
        <f aca="false">J74/(1+(((Base_Curves!J11/Base_Curves!K11-1)/(30-20))+Curve_Shocks_bps!K73/10000)*(30-20))</f>
        <v>0.282996339818064</v>
      </c>
    </row>
    <row r="76" customFormat="false" ht="15" hidden="false" customHeight="true" outlineLevel="0" collapsed="false">
      <c r="A76" s="19" t="s">
        <v>86</v>
      </c>
      <c r="B76" s="19"/>
      <c r="C76" s="13" t="s">
        <v>56</v>
      </c>
      <c r="D76" s="13" t="s">
        <v>57</v>
      </c>
      <c r="E76" s="13" t="s">
        <v>30</v>
      </c>
      <c r="F76" s="13" t="s">
        <v>58</v>
      </c>
      <c r="G76" s="13" t="s">
        <v>59</v>
      </c>
      <c r="H76" s="13" t="s">
        <v>60</v>
      </c>
      <c r="I76" s="13" t="s">
        <v>61</v>
      </c>
      <c r="J76" s="13" t="s">
        <v>62</v>
      </c>
      <c r="K76" s="13" t="s">
        <v>63</v>
      </c>
    </row>
    <row r="77" customFormat="false" ht="15" hidden="false" customHeight="true" outlineLevel="0" collapsed="false">
      <c r="A77" s="4" t="s">
        <v>42</v>
      </c>
      <c r="B77" s="20" t="s">
        <v>43</v>
      </c>
      <c r="C77" s="29" t="n">
        <f aca="false">1/(1+(((1/Base_Curves!C6-1)/(0.25-0))+Curve_Shocks_bps!C76/10000)*(0.25-0))</f>
        <v>0.986806133783587</v>
      </c>
      <c r="D77" s="29" t="n">
        <f aca="false">C77/(1+(((Base_Curves!C6/Base_Curves!D6-1)/(0.5-0.25))+Curve_Shocks_bps!D76/10000)*(0.5-0.25))</f>
        <v>0.974083742814031</v>
      </c>
      <c r="E77" s="29" t="n">
        <f aca="false">D77/(1+(((Base_Curves!D6/Base_Curves!E6-1)/(1-0.5))+Curve_Shocks_bps!E76/10000)*(1-0.5))</f>
        <v>0.949924622570429</v>
      </c>
      <c r="F77" s="29" t="n">
        <f aca="false">E77/(1+(((Base_Curves!E6/Base_Curves!F6-1)/(2-1))+Curve_Shocks_bps!F76/10000)*(2-1))</f>
        <v>0.905321339612534</v>
      </c>
      <c r="G77" s="29" t="n">
        <f aca="false">F77/(1+(((Base_Curves!F6/Base_Curves!G6-1)/(3-2))+Curve_Shocks_bps!G76/10000)*(3-2))</f>
        <v>0.863945681129153</v>
      </c>
      <c r="H77" s="29" t="n">
        <f aca="false">G77/(1+(((Base_Curves!G6/Base_Curves!H6-1)/(5-3))+Curve_Shocks_bps!H76/10000)*(5-3))</f>
        <v>0.788556352865421</v>
      </c>
      <c r="I77" s="29" t="n">
        <f aca="false">H77/(1+(((Base_Curves!H6/Base_Curves!I6-1)/(10-5))+Curve_Shocks_bps!I76/10000)*(10-5))</f>
        <v>0.626788355752388</v>
      </c>
      <c r="J77" s="29" t="n">
        <f aca="false">I77/(1+(((Base_Curves!I6/Base_Curves!J6-1)/(20-10))+Curve_Shocks_bps!J76/10000)*(20-10))</f>
        <v>0.400327601612456</v>
      </c>
      <c r="K77" s="29" t="n">
        <f aca="false">J77/(1+(((Base_Curves!J6/Base_Curves!K6-1)/(30-20))+Curve_Shocks_bps!K76/10000)*(30-20))</f>
        <v>0.255981587353917</v>
      </c>
    </row>
    <row r="78" customFormat="false" ht="15" hidden="false" customHeight="true" outlineLevel="0" collapsed="false">
      <c r="A78" s="4" t="s">
        <v>52</v>
      </c>
      <c r="B78" s="20" t="s">
        <v>43</v>
      </c>
      <c r="C78" s="29" t="n">
        <f aca="false">1/(1+(((1/Base_Curves!C7-1)/(0.25-0))+Curve_Shocks_bps!C77/10000)*(0.25-0))</f>
        <v>0.99428860466474</v>
      </c>
      <c r="D78" s="29" t="n">
        <f aca="false">C78/(1+(((Base_Curves!C7/Base_Curves!D7-1)/(0.5-0.25))+Curve_Shocks_bps!D77/10000)*(0.5-0.25))</f>
        <v>0.984772373214066</v>
      </c>
      <c r="E78" s="29" t="n">
        <f aca="false">D78/(1+(((Base_Curves!D7/Base_Curves!E7-1)/(1-0.5))+Curve_Shocks_bps!E77/10000)*(1-0.5))</f>
        <v>0.972647724846082</v>
      </c>
      <c r="F78" s="29" t="n">
        <f aca="false">E78/(1+(((Base_Curves!E7/Base_Curves!F7-1)/(2-1))+Curve_Shocks_bps!F77/10000)*(2-1))</f>
        <v>0.938831264618829</v>
      </c>
      <c r="G78" s="29" t="n">
        <f aca="false">F78/(1+(((Base_Curves!F7/Base_Curves!G7-1)/(3-2))+Curve_Shocks_bps!G77/10000)*(3-2))</f>
        <v>0.90722401717951</v>
      </c>
      <c r="H78" s="29" t="n">
        <f aca="false">G78/(1+(((Base_Curves!G7/Base_Curves!H7-1)/(5-3))+Curve_Shocks_bps!H77/10000)*(5-3))</f>
        <v>0.848619851226901</v>
      </c>
      <c r="I78" s="29" t="n">
        <f aca="false">H78/(1+(((Base_Curves!H7/Base_Curves!I7-1)/(10-5))+Curve_Shocks_bps!I77/10000)*(10-5))</f>
        <v>0.716637227745561</v>
      </c>
      <c r="J78" s="29" t="n">
        <f aca="false">I78/(1+(((Base_Curves!I7/Base_Curves!J7-1)/(20-10))+Curve_Shocks_bps!J77/10000)*(20-10))</f>
        <v>0.516558821409125</v>
      </c>
      <c r="K78" s="29" t="n">
        <f aca="false">J78/(1+(((Base_Curves!J7/Base_Curves!K7-1)/(30-20))+Curve_Shocks_bps!K77/10000)*(30-20))</f>
        <v>0.37365933474026</v>
      </c>
    </row>
    <row r="79" customFormat="false" ht="15" hidden="false" customHeight="true" outlineLevel="0" collapsed="false">
      <c r="A79" s="4" t="s">
        <v>45</v>
      </c>
      <c r="B79" s="20" t="s">
        <v>38</v>
      </c>
      <c r="C79" s="29" t="n">
        <f aca="false">1/(1+(((1/Base_Curves!C8-1)/(0.25-0))+Curve_Shocks_bps!C78/10000)*(0.25-0))</f>
        <v>0.986631692427526</v>
      </c>
      <c r="D79" s="29" t="n">
        <f aca="false">C79/(1+(((Base_Curves!C8/Base_Curves!D8-1)/(0.5-0.25))+Curve_Shocks_bps!D78/10000)*(0.5-0.25))</f>
        <v>0.973675148254546</v>
      </c>
      <c r="E79" s="29" t="n">
        <f aca="false">D79/(1+(((Base_Curves!D8/Base_Curves!E8-1)/(1-0.5))+Curve_Shocks_bps!E78/10000)*(1-0.5))</f>
        <v>0.957237796944819</v>
      </c>
      <c r="F79" s="29" t="n">
        <f aca="false">E79/(1+(((Base_Curves!E8/Base_Curves!F8-1)/(2-1))+Curve_Shocks_bps!F78/10000)*(2-1))</f>
        <v>0.912260038096439</v>
      </c>
      <c r="G79" s="29" t="n">
        <f aca="false">F79/(1+(((Base_Curves!F8/Base_Curves!G8-1)/(3-2))+Curve_Shocks_bps!G78/10000)*(3-2))</f>
        <v>0.871160623226204</v>
      </c>
      <c r="H79" s="29" t="n">
        <f aca="false">G79/(1+(((Base_Curves!G8/Base_Curves!H8-1)/(5-3))+Curve_Shocks_bps!H78/10000)*(5-3))</f>
        <v>0.796277063717706</v>
      </c>
      <c r="I79" s="29" t="n">
        <f aca="false">H79/(1+(((Base_Curves!H8/Base_Curves!I8-1)/(10-5))+Curve_Shocks_bps!I78/10000)*(10-5))</f>
        <v>0.635783512666307</v>
      </c>
      <c r="J79" s="29" t="n">
        <f aca="false">I79/(1+(((Base_Curves!I8/Base_Curves!J8-1)/(20-10))+Curve_Shocks_bps!J78/10000)*(20-10))</f>
        <v>0.410166454097721</v>
      </c>
      <c r="K79" s="29" t="n">
        <f aca="false">J79/(1+(((Base_Curves!J8/Base_Curves!K8-1)/(30-20))+Curve_Shocks_bps!K78/10000)*(30-20))</f>
        <v>0.264937671234537</v>
      </c>
    </row>
    <row r="80" customFormat="false" ht="15" hidden="false" customHeight="true" outlineLevel="0" collapsed="false">
      <c r="A80" s="4" t="s">
        <v>37</v>
      </c>
      <c r="B80" s="20" t="s">
        <v>38</v>
      </c>
      <c r="C80" s="29" t="n">
        <f aca="false">1/(1+(((1/Base_Curves!C9-1)/(0.25-0))+Curve_Shocks_bps!C79/10000)*(0.25-0))</f>
        <v>0.98435567660856</v>
      </c>
      <c r="D80" s="29" t="n">
        <f aca="false">C80/(1+(((Base_Curves!C9/Base_Curves!D9-1)/(0.5-0.25))+Curve_Shocks_bps!D79/10000)*(0.5-0.25))</f>
        <v>0.976918817599865</v>
      </c>
      <c r="E80" s="29" t="n">
        <f aca="false">D80/(1+(((Base_Curves!D9/Base_Curves!E9-1)/(1-0.5))+Curve_Shocks_bps!E79/10000)*(1-0.5))</f>
        <v>0.94825631913984</v>
      </c>
      <c r="F80" s="29" t="n">
        <f aca="false">E80/(1+(((Base_Curves!E9/Base_Curves!F9-1)/(2-1))+Curve_Shocks_bps!F79/10000)*(2-1))</f>
        <v>0.913985456945558</v>
      </c>
      <c r="G80" s="29" t="n">
        <f aca="false">F80/(1+(((Base_Curves!F9/Base_Curves!G9-1)/(3-2))+Curve_Shocks_bps!G79/10000)*(3-2))</f>
        <v>0.867036017376749</v>
      </c>
      <c r="H80" s="29" t="n">
        <f aca="false">G80/(1+(((Base_Curves!G9/Base_Curves!H9-1)/(5-3))+Curve_Shocks_bps!H79/10000)*(5-3))</f>
        <v>0.783882226519735</v>
      </c>
      <c r="I80" s="29" t="n">
        <f aca="false">H80/(1+(((Base_Curves!H9/Base_Curves!I9-1)/(10-5))+Curve_Shocks_bps!I79/10000)*(10-5))</f>
        <v>0.61974821286839</v>
      </c>
      <c r="J80" s="29" t="n">
        <f aca="false">I80/(1+(((Base_Curves!I9/Base_Curves!J9-1)/(20-10))+Curve_Shocks_bps!J79/10000)*(20-10))</f>
        <v>0.383006485203668</v>
      </c>
      <c r="K80" s="29" t="n">
        <f aca="false">J80/(1+(((Base_Curves!J9/Base_Curves!K9-1)/(30-20))+Curve_Shocks_bps!K79/10000)*(30-20))</f>
        <v>0.237182565265635</v>
      </c>
    </row>
    <row r="81" customFormat="false" ht="15" hidden="false" customHeight="true" outlineLevel="0" collapsed="false">
      <c r="A81" s="4" t="s">
        <v>40</v>
      </c>
      <c r="B81" s="20" t="s">
        <v>38</v>
      </c>
      <c r="C81" s="29" t="n">
        <f aca="false">1/(1+(((1/Base_Curves!C10-1)/(0.25-0))+Curve_Shocks_bps!C80/10000)*(0.25-0))</f>
        <v>0.988039083737581</v>
      </c>
      <c r="D81" s="29" t="n">
        <f aca="false">C81/(1+(((Base_Curves!C10/Base_Curves!D10-1)/(0.5-0.25))+Curve_Shocks_bps!D80/10000)*(0.5-0.25))</f>
        <v>0.976817061915995</v>
      </c>
      <c r="E81" s="29" t="n">
        <f aca="false">D81/(1+(((Base_Curves!D10/Base_Curves!E10-1)/(1-0.5))+Curve_Shocks_bps!E80/10000)*(1-0.5))</f>
        <v>0.966039723186702</v>
      </c>
      <c r="F81" s="29" t="n">
        <f aca="false">E81/(1+(((Base_Curves!E10/Base_Curves!F10-1)/(2-1))+Curve_Shocks_bps!F80/10000)*(2-1))</f>
        <v>0.927416834073202</v>
      </c>
      <c r="G81" s="29" t="n">
        <f aca="false">F81/(1+(((Base_Curves!F10/Base_Curves!G10-1)/(3-2))+Curve_Shocks_bps!G80/10000)*(3-2))</f>
        <v>0.892643590489013</v>
      </c>
      <c r="H81" s="29" t="n">
        <f aca="false">G81/(1+(((Base_Curves!G10/Base_Curves!H10-1)/(5-3))+Curve_Shocks_bps!H80/10000)*(5-3))</f>
        <v>0.837680151791938</v>
      </c>
      <c r="I81" s="29" t="n">
        <f aca="false">H81/(1+(((Base_Curves!H10/Base_Curves!I10-1)/(10-5))+Curve_Shocks_bps!I80/10000)*(10-5))</f>
        <v>0.698452851199759</v>
      </c>
      <c r="J81" s="29" t="n">
        <f aca="false">I81/(1+(((Base_Curves!I10/Base_Curves!J10-1)/(20-10))+Curve_Shocks_bps!J80/10000)*(20-10))</f>
        <v>0.492322594770195</v>
      </c>
      <c r="K81" s="29" t="n">
        <f aca="false">J81/(1+(((Base_Curves!J10/Base_Curves!K10-1)/(30-20))+Curve_Shocks_bps!K80/10000)*(30-20))</f>
        <v>0.349936498991319</v>
      </c>
    </row>
    <row r="82" customFormat="false" ht="15" hidden="false" customHeight="true" outlineLevel="0" collapsed="false">
      <c r="A82" s="4" t="s">
        <v>49</v>
      </c>
      <c r="B82" s="20" t="s">
        <v>50</v>
      </c>
      <c r="C82" s="29" t="n">
        <f aca="false">1/(1+(((1/Base_Curves!C11-1)/(0.25-0))+Curve_Shocks_bps!C81/10000)*(0.25-0))</f>
        <v>0.988492289706173</v>
      </c>
      <c r="D82" s="29" t="n">
        <f aca="false">C82/(1+(((Base_Curves!C11/Base_Curves!D11-1)/(0.5-0.25))+Curve_Shocks_bps!D81/10000)*(0.5-0.25))</f>
        <v>0.977175187904567</v>
      </c>
      <c r="E82" s="29" t="n">
        <f aca="false">D82/(1+(((Base_Curves!D11/Base_Curves!E11-1)/(1-0.5))+Curve_Shocks_bps!E81/10000)*(1-0.5))</f>
        <v>0.955213344747142</v>
      </c>
      <c r="F82" s="29" t="n">
        <f aca="false">E82/(1+(((Base_Curves!E11/Base_Curves!F11-1)/(2-1))+Curve_Shocks_bps!F81/10000)*(2-1))</f>
        <v>0.914212310579586</v>
      </c>
      <c r="G82" s="29" t="n">
        <f aca="false">F82/(1+(((Base_Curves!F11/Base_Curves!G11-1)/(3-2))+Curve_Shocks_bps!G81/10000)*(3-2))</f>
        <v>0.875621932985156</v>
      </c>
      <c r="H82" s="29" t="n">
        <f aca="false">G82/(1+(((Base_Curves!G11/Base_Curves!H11-1)/(5-3))+Curve_Shocks_bps!H81/10000)*(5-3))</f>
        <v>0.808596893129875</v>
      </c>
      <c r="I82" s="29" t="n">
        <f aca="false">H82/(1+(((Base_Curves!H11/Base_Curves!I11-1)/(10-5))+Curve_Shocks_bps!I81/10000)*(10-5))</f>
        <v>0.6523987654336</v>
      </c>
      <c r="J82" s="29" t="n">
        <f aca="false">I82/(1+(((Base_Curves!I11/Base_Curves!J11-1)/(20-10))+Curve_Shocks_bps!J81/10000)*(20-10))</f>
        <v>0.429387375579075</v>
      </c>
      <c r="K82" s="29" t="n">
        <f aca="false">J82/(1+(((Base_Curves!J11/Base_Curves!K11-1)/(30-20))+Curve_Shocks_bps!K81/10000)*(30-20))</f>
        <v>0.282906885786171</v>
      </c>
    </row>
  </sheetData>
  <mergeCells count="12">
    <mergeCell ref="A1:K1"/>
    <mergeCell ref="A2:K2"/>
    <mergeCell ref="A4:B4"/>
    <mergeCell ref="A12:B12"/>
    <mergeCell ref="A20:B20"/>
    <mergeCell ref="A28:B28"/>
    <mergeCell ref="A36:B36"/>
    <mergeCell ref="A44:B44"/>
    <mergeCell ref="A52:B52"/>
    <mergeCell ref="A60:B60"/>
    <mergeCell ref="A68:B68"/>
    <mergeCell ref="A76:B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4"/>
    <col collapsed="false" customWidth="true" hidden="false" outlineLevel="0" max="12" min="3" style="1" width="9"/>
  </cols>
  <sheetData>
    <row r="1" customFormat="false" ht="17.25" hidden="false" customHeight="true" outlineLevel="0" collapsed="false">
      <c r="B1" s="18" t="s">
        <v>111</v>
      </c>
      <c r="C1" s="18"/>
      <c r="D1" s="18"/>
      <c r="E1" s="18"/>
      <c r="F1" s="18"/>
      <c r="G1" s="18"/>
      <c r="H1" s="18"/>
      <c r="I1" s="18"/>
      <c r="J1" s="18"/>
      <c r="K1" s="18"/>
      <c r="L1" s="18"/>
    </row>
    <row r="3" customFormat="false" ht="15" hidden="false" customHeight="true" outlineLevel="0" collapsed="false">
      <c r="B3" s="19" t="s">
        <v>112</v>
      </c>
      <c r="C3" s="19"/>
      <c r="D3" s="19"/>
      <c r="E3" s="19"/>
      <c r="F3" s="19"/>
      <c r="G3" s="19"/>
      <c r="H3" s="19"/>
      <c r="I3" s="19"/>
      <c r="J3" s="19"/>
      <c r="K3" s="19"/>
      <c r="L3" s="19"/>
    </row>
    <row r="4" customFormat="false" ht="15" hidden="false" customHeight="true" outlineLevel="0" collapsed="false">
      <c r="B4" s="12" t="s">
        <v>113</v>
      </c>
      <c r="C4" s="13" t="s">
        <v>114</v>
      </c>
      <c r="D4" s="13" t="s">
        <v>56</v>
      </c>
      <c r="E4" s="13" t="s">
        <v>57</v>
      </c>
      <c r="F4" s="13" t="s">
        <v>30</v>
      </c>
      <c r="G4" s="13" t="s">
        <v>58</v>
      </c>
      <c r="H4" s="13" t="s">
        <v>59</v>
      </c>
      <c r="I4" s="13" t="s">
        <v>60</v>
      </c>
      <c r="J4" s="13" t="s">
        <v>61</v>
      </c>
      <c r="K4" s="13" t="s">
        <v>62</v>
      </c>
      <c r="L4" s="13" t="s">
        <v>63</v>
      </c>
    </row>
    <row r="5" customFormat="false" ht="15" hidden="false" customHeight="true" outlineLevel="0" collapsed="false">
      <c r="B5" s="30" t="s">
        <v>114</v>
      </c>
      <c r="C5" s="31" t="n">
        <v>0.5465</v>
      </c>
      <c r="D5" s="31" t="n">
        <v>0.5264</v>
      </c>
      <c r="E5" s="31" t="n">
        <v>0.5197</v>
      </c>
      <c r="F5" s="31" t="n">
        <v>0.4914</v>
      </c>
      <c r="G5" s="31" t="n">
        <v>0.4841</v>
      </c>
      <c r="H5" s="31" t="n">
        <v>0.464</v>
      </c>
      <c r="I5" s="31" t="n">
        <v>0.4412</v>
      </c>
      <c r="J5" s="31" t="n">
        <v>0.4335</v>
      </c>
      <c r="K5" s="31" t="n">
        <v>0.4074</v>
      </c>
      <c r="L5" s="31" t="n">
        <v>0.3987</v>
      </c>
    </row>
    <row r="6" customFormat="false" ht="15" hidden="false" customHeight="true" outlineLevel="0" collapsed="false">
      <c r="B6" s="30" t="s">
        <v>56</v>
      </c>
      <c r="C6" s="31" t="n">
        <v>0.5247</v>
      </c>
      <c r="D6" s="31" t="n">
        <v>0.5085</v>
      </c>
      <c r="E6" s="31" t="n">
        <v>0.4985</v>
      </c>
      <c r="F6" s="31" t="n">
        <v>0.4899</v>
      </c>
      <c r="G6" s="31" t="n">
        <v>0.4591</v>
      </c>
      <c r="H6" s="31" t="n">
        <v>0.4445</v>
      </c>
      <c r="I6" s="31" t="n">
        <v>0.4359</v>
      </c>
      <c r="J6" s="31" t="n">
        <v>0.4256</v>
      </c>
      <c r="K6" s="31" t="n">
        <v>0.4015</v>
      </c>
      <c r="L6" s="31" t="n">
        <v>0.3813</v>
      </c>
    </row>
    <row r="7" customFormat="false" ht="15" hidden="false" customHeight="true" outlineLevel="0" collapsed="false">
      <c r="B7" s="30" t="s">
        <v>57</v>
      </c>
      <c r="C7" s="31" t="n">
        <v>0.5262</v>
      </c>
      <c r="D7" s="31" t="n">
        <v>0.4909</v>
      </c>
      <c r="E7" s="31" t="n">
        <v>0.4905</v>
      </c>
      <c r="F7" s="31" t="n">
        <v>0.4625</v>
      </c>
      <c r="G7" s="31" t="n">
        <v>0.4429</v>
      </c>
      <c r="H7" s="31" t="n">
        <v>0.4257</v>
      </c>
      <c r="I7" s="31" t="n">
        <v>0.4128</v>
      </c>
      <c r="J7" s="31" t="n">
        <v>0.4063</v>
      </c>
      <c r="K7" s="31" t="n">
        <v>0.3769</v>
      </c>
      <c r="L7" s="31" t="n">
        <v>0.3683</v>
      </c>
    </row>
    <row r="8" customFormat="false" ht="15" hidden="false" customHeight="true" outlineLevel="0" collapsed="false">
      <c r="B8" s="30" t="s">
        <v>30</v>
      </c>
      <c r="C8" s="31" t="n">
        <v>0.5028</v>
      </c>
      <c r="D8" s="31" t="n">
        <v>0.4808</v>
      </c>
      <c r="E8" s="31" t="n">
        <v>0.4676</v>
      </c>
      <c r="F8" s="31" t="n">
        <v>0.4413</v>
      </c>
      <c r="G8" s="31" t="n">
        <v>0.4245</v>
      </c>
      <c r="H8" s="31" t="n">
        <v>0.4108</v>
      </c>
      <c r="I8" s="31" t="n">
        <v>0.4036</v>
      </c>
      <c r="J8" s="31" t="n">
        <v>0.3819</v>
      </c>
      <c r="K8" s="31" t="n">
        <v>0.3629</v>
      </c>
      <c r="L8" s="31" t="n">
        <v>0.3517</v>
      </c>
    </row>
    <row r="9" customFormat="false" ht="15" hidden="false" customHeight="true" outlineLevel="0" collapsed="false">
      <c r="B9" s="30" t="s">
        <v>58</v>
      </c>
      <c r="C9" s="31" t="n">
        <v>0.4824</v>
      </c>
      <c r="D9" s="31" t="n">
        <v>0.4627</v>
      </c>
      <c r="E9" s="31" t="n">
        <v>0.4559</v>
      </c>
      <c r="F9" s="31" t="n">
        <v>0.4373</v>
      </c>
      <c r="G9" s="31" t="n">
        <v>0.4115</v>
      </c>
      <c r="H9" s="31" t="n">
        <v>0.4015</v>
      </c>
      <c r="I9" s="31" t="n">
        <v>0.3838</v>
      </c>
      <c r="J9" s="31" t="n">
        <v>0.3742</v>
      </c>
      <c r="K9" s="31" t="n">
        <v>0.3546</v>
      </c>
      <c r="L9" s="31" t="n">
        <v>0.3291</v>
      </c>
    </row>
    <row r="10" customFormat="false" ht="15" hidden="false" customHeight="true" outlineLevel="0" collapsed="false">
      <c r="B10" s="30" t="s">
        <v>59</v>
      </c>
      <c r="C10" s="31" t="n">
        <v>0.4763</v>
      </c>
      <c r="D10" s="31" t="n">
        <v>0.4424</v>
      </c>
      <c r="E10" s="31" t="n">
        <v>0.4317</v>
      </c>
      <c r="F10" s="31" t="n">
        <v>0.4218</v>
      </c>
      <c r="G10" s="31" t="n">
        <v>0.393</v>
      </c>
      <c r="H10" s="31" t="n">
        <v>0.3831</v>
      </c>
      <c r="I10" s="31" t="n">
        <v>0.3575</v>
      </c>
      <c r="J10" s="31" t="n">
        <v>0.3534</v>
      </c>
      <c r="K10" s="31" t="n">
        <v>0.3386</v>
      </c>
      <c r="L10" s="31" t="n">
        <v>0.3181</v>
      </c>
    </row>
    <row r="11" customFormat="false" ht="15" hidden="false" customHeight="true" outlineLevel="0" collapsed="false">
      <c r="B11" s="30" t="s">
        <v>60</v>
      </c>
      <c r="C11" s="31" t="n">
        <v>0.4575</v>
      </c>
      <c r="D11" s="31" t="n">
        <v>0.4296</v>
      </c>
      <c r="E11" s="31" t="n">
        <v>0.4206</v>
      </c>
      <c r="F11" s="31" t="n">
        <v>0.4019</v>
      </c>
      <c r="G11" s="31" t="n">
        <v>0.3849</v>
      </c>
      <c r="H11" s="31" t="n">
        <v>0.3658</v>
      </c>
      <c r="I11" s="31" t="n">
        <v>0.3568</v>
      </c>
      <c r="J11" s="31" t="n">
        <v>0.3422</v>
      </c>
      <c r="K11" s="31" t="n">
        <v>0.3161</v>
      </c>
      <c r="L11" s="31" t="n">
        <v>0.3033</v>
      </c>
    </row>
    <row r="12" customFormat="false" ht="15" hidden="false" customHeight="true" outlineLevel="0" collapsed="false">
      <c r="B12" s="30" t="s">
        <v>61</v>
      </c>
      <c r="C12" s="31" t="n">
        <v>0.4245</v>
      </c>
      <c r="D12" s="31" t="n">
        <v>0.4207</v>
      </c>
      <c r="E12" s="31" t="n">
        <v>0.4029</v>
      </c>
      <c r="F12" s="31" t="n">
        <v>0.3932</v>
      </c>
      <c r="G12" s="31" t="n">
        <v>0.3731</v>
      </c>
      <c r="H12" s="31" t="n">
        <v>0.3457</v>
      </c>
      <c r="I12" s="31" t="n">
        <v>0.331</v>
      </c>
      <c r="J12" s="31" t="n">
        <v>0.32</v>
      </c>
      <c r="K12" s="31" t="n">
        <v>0.2905</v>
      </c>
      <c r="L12" s="31" t="n">
        <v>0.2826</v>
      </c>
    </row>
    <row r="13" customFormat="false" ht="15" hidden="false" customHeight="true" outlineLevel="0" collapsed="false">
      <c r="B13" s="30" t="s">
        <v>62</v>
      </c>
      <c r="C13" s="31" t="n">
        <v>0.41</v>
      </c>
      <c r="D13" s="31" t="n">
        <v>0.3923</v>
      </c>
      <c r="E13" s="31" t="n">
        <v>0.3745</v>
      </c>
      <c r="F13" s="31" t="n">
        <v>0.372</v>
      </c>
      <c r="G13" s="31" t="n">
        <v>0.3426</v>
      </c>
      <c r="H13" s="31" t="n">
        <v>0.3283</v>
      </c>
      <c r="I13" s="31" t="n">
        <v>0.3145</v>
      </c>
      <c r="J13" s="31" t="n">
        <v>0.3074</v>
      </c>
      <c r="K13" s="31" t="n">
        <v>0.2749</v>
      </c>
      <c r="L13" s="31" t="n">
        <v>0.2657</v>
      </c>
    </row>
    <row r="14" customFormat="false" ht="15" hidden="false" customHeight="true" outlineLevel="0" collapsed="false">
      <c r="B14" s="30" t="s">
        <v>63</v>
      </c>
      <c r="C14" s="31" t="n">
        <v>0.401</v>
      </c>
      <c r="D14" s="31" t="n">
        <v>0.391</v>
      </c>
      <c r="E14" s="31" t="n">
        <v>0.3731</v>
      </c>
      <c r="F14" s="31" t="n">
        <v>0.3573</v>
      </c>
      <c r="G14" s="31" t="n">
        <v>0.3289</v>
      </c>
      <c r="H14" s="31" t="n">
        <v>0.315</v>
      </c>
      <c r="I14" s="31" t="n">
        <v>0.2972</v>
      </c>
      <c r="J14" s="31" t="n">
        <v>0.291</v>
      </c>
      <c r="K14" s="31" t="n">
        <v>0.2758</v>
      </c>
      <c r="L14" s="31" t="n">
        <v>0.243</v>
      </c>
    </row>
    <row r="17" customFormat="false" ht="15" hidden="false" customHeight="true" outlineLevel="0" collapsed="false">
      <c r="B17" s="19" t="s">
        <v>115</v>
      </c>
      <c r="C17" s="19"/>
      <c r="D17" s="19"/>
      <c r="E17" s="19"/>
      <c r="F17" s="19"/>
      <c r="G17" s="19"/>
      <c r="H17" s="19"/>
      <c r="I17" s="19"/>
      <c r="J17" s="19"/>
      <c r="K17" s="19"/>
      <c r="L17" s="19"/>
    </row>
    <row r="18" customFormat="false" ht="15" hidden="false" customHeight="true" outlineLevel="0" collapsed="false">
      <c r="B18" s="12" t="s">
        <v>113</v>
      </c>
      <c r="C18" s="13" t="s">
        <v>114</v>
      </c>
      <c r="D18" s="13" t="s">
        <v>56</v>
      </c>
      <c r="E18" s="13" t="s">
        <v>57</v>
      </c>
      <c r="F18" s="13" t="s">
        <v>30</v>
      </c>
      <c r="G18" s="13" t="s">
        <v>58</v>
      </c>
      <c r="H18" s="13" t="s">
        <v>59</v>
      </c>
      <c r="I18" s="13" t="s">
        <v>60</v>
      </c>
      <c r="J18" s="13" t="s">
        <v>61</v>
      </c>
      <c r="K18" s="13" t="s">
        <v>62</v>
      </c>
      <c r="L18" s="13" t="s">
        <v>63</v>
      </c>
    </row>
    <row r="19" customFormat="false" ht="15" hidden="false" customHeight="true" outlineLevel="0" collapsed="false">
      <c r="B19" s="30" t="s">
        <v>114</v>
      </c>
      <c r="C19" s="31" t="n">
        <v>-0.3565</v>
      </c>
      <c r="D19" s="31" t="n">
        <v>-0.3359</v>
      </c>
      <c r="E19" s="31" t="n">
        <v>-0.3164</v>
      </c>
      <c r="F19" s="31" t="n">
        <v>-0.292</v>
      </c>
      <c r="G19" s="31" t="n">
        <v>-0.2704</v>
      </c>
      <c r="H19" s="31" t="n">
        <v>-0.2575</v>
      </c>
      <c r="I19" s="31" t="n">
        <v>-0.2433</v>
      </c>
      <c r="J19" s="31" t="n">
        <v>-0.2155</v>
      </c>
      <c r="K19" s="31" t="n">
        <v>-0.1971</v>
      </c>
      <c r="L19" s="31" t="n">
        <v>-0.1737</v>
      </c>
    </row>
    <row r="20" customFormat="false" ht="15" hidden="false" customHeight="true" outlineLevel="0" collapsed="false">
      <c r="B20" s="30" t="s">
        <v>56</v>
      </c>
      <c r="C20" s="31" t="n">
        <v>-0.3215</v>
      </c>
      <c r="D20" s="31" t="n">
        <v>-0.3073</v>
      </c>
      <c r="E20" s="31" t="n">
        <v>-0.2914</v>
      </c>
      <c r="F20" s="31" t="n">
        <v>-0.2699</v>
      </c>
      <c r="G20" s="31" t="n">
        <v>-0.2493</v>
      </c>
      <c r="H20" s="31" t="n">
        <v>-0.2423</v>
      </c>
      <c r="I20" s="31" t="n">
        <v>-0.2059</v>
      </c>
      <c r="J20" s="31" t="n">
        <v>-0.1888</v>
      </c>
      <c r="K20" s="31" t="n">
        <v>-0.1675</v>
      </c>
      <c r="L20" s="31" t="n">
        <v>-0.1496</v>
      </c>
    </row>
    <row r="21" customFormat="false" ht="15" hidden="false" customHeight="true" outlineLevel="0" collapsed="false">
      <c r="B21" s="30" t="s">
        <v>57</v>
      </c>
      <c r="C21" s="31" t="n">
        <v>-0.3133</v>
      </c>
      <c r="D21" s="31" t="n">
        <v>-0.2937</v>
      </c>
      <c r="E21" s="31" t="n">
        <v>-0.2802</v>
      </c>
      <c r="F21" s="31" t="n">
        <v>-0.2501</v>
      </c>
      <c r="G21" s="31" t="n">
        <v>-0.2421</v>
      </c>
      <c r="H21" s="31" t="n">
        <v>-0.2225</v>
      </c>
      <c r="I21" s="31" t="n">
        <v>-0.2003</v>
      </c>
      <c r="J21" s="31" t="n">
        <v>-0.1818</v>
      </c>
      <c r="K21" s="31" t="n">
        <v>-0.1588</v>
      </c>
      <c r="L21" s="31" t="n">
        <v>-0.1451</v>
      </c>
    </row>
    <row r="22" customFormat="false" ht="15" hidden="false" customHeight="true" outlineLevel="0" collapsed="false">
      <c r="B22" s="30" t="s">
        <v>30</v>
      </c>
      <c r="C22" s="31" t="n">
        <v>-0.3017</v>
      </c>
      <c r="D22" s="31" t="n">
        <v>-0.2792</v>
      </c>
      <c r="E22" s="31" t="n">
        <v>-0.2607</v>
      </c>
      <c r="F22" s="31" t="n">
        <v>-0.2361</v>
      </c>
      <c r="G22" s="31" t="n">
        <v>-0.2234</v>
      </c>
      <c r="H22" s="31" t="n">
        <v>-0.187</v>
      </c>
      <c r="I22" s="31" t="n">
        <v>-0.1727</v>
      </c>
      <c r="J22" s="31" t="n">
        <v>-0.1626</v>
      </c>
      <c r="K22" s="31" t="n">
        <v>-0.1411</v>
      </c>
      <c r="L22" s="31" t="n">
        <v>-0.1197</v>
      </c>
    </row>
    <row r="23" customFormat="false" ht="15" hidden="false" customHeight="true" outlineLevel="0" collapsed="false">
      <c r="B23" s="30" t="s">
        <v>58</v>
      </c>
      <c r="C23" s="31" t="n">
        <v>-0.2749</v>
      </c>
      <c r="D23" s="31" t="n">
        <v>-0.2603</v>
      </c>
      <c r="E23" s="31" t="n">
        <v>-0.2264</v>
      </c>
      <c r="F23" s="31" t="n">
        <v>-0.204</v>
      </c>
      <c r="G23" s="31" t="n">
        <v>-0.1951</v>
      </c>
      <c r="H23" s="31" t="n">
        <v>-0.1753</v>
      </c>
      <c r="I23" s="31" t="n">
        <v>-0.1638</v>
      </c>
      <c r="J23" s="31" t="n">
        <v>-0.1441</v>
      </c>
      <c r="K23" s="31" t="n">
        <v>-0.1198</v>
      </c>
      <c r="L23" s="31" t="n">
        <v>-0.1019</v>
      </c>
    </row>
    <row r="24" customFormat="false" ht="15" hidden="false" customHeight="true" outlineLevel="0" collapsed="false">
      <c r="B24" s="30" t="s">
        <v>59</v>
      </c>
      <c r="C24" s="31" t="n">
        <v>-0.2462</v>
      </c>
      <c r="D24" s="31" t="n">
        <v>-0.2401</v>
      </c>
      <c r="E24" s="31" t="n">
        <v>-0.2234</v>
      </c>
      <c r="F24" s="31" t="n">
        <v>-0.1854</v>
      </c>
      <c r="G24" s="31" t="n">
        <v>-0.1744</v>
      </c>
      <c r="H24" s="31" t="n">
        <v>-0.1626</v>
      </c>
      <c r="I24" s="31" t="n">
        <v>-0.1352</v>
      </c>
      <c r="J24" s="31" t="n">
        <v>-0.1261</v>
      </c>
      <c r="K24" s="31" t="n">
        <v>-0.0967</v>
      </c>
      <c r="L24" s="31" t="n">
        <v>-0.0682</v>
      </c>
    </row>
    <row r="25" customFormat="false" ht="15" hidden="false" customHeight="true" outlineLevel="0" collapsed="false">
      <c r="B25" s="30" t="s">
        <v>60</v>
      </c>
      <c r="C25" s="31" t="n">
        <v>-0.2261</v>
      </c>
      <c r="D25" s="31" t="n">
        <v>-0.21</v>
      </c>
      <c r="E25" s="31" t="n">
        <v>-0.1992</v>
      </c>
      <c r="F25" s="31" t="n">
        <v>-0.1777</v>
      </c>
      <c r="G25" s="31" t="n">
        <v>-0.1622</v>
      </c>
      <c r="H25" s="31" t="n">
        <v>-0.1307</v>
      </c>
      <c r="I25" s="31" t="n">
        <v>-0.116</v>
      </c>
      <c r="J25" s="31" t="n">
        <v>-0.0916</v>
      </c>
      <c r="K25" s="31" t="n">
        <v>-0.0812</v>
      </c>
      <c r="L25" s="31" t="n">
        <v>-0.0639</v>
      </c>
    </row>
    <row r="26" customFormat="false" ht="15" hidden="false" customHeight="true" outlineLevel="0" collapsed="false">
      <c r="B26" s="30" t="s">
        <v>61</v>
      </c>
      <c r="C26" s="31" t="n">
        <v>-0.2077</v>
      </c>
      <c r="D26" s="31" t="n">
        <v>-0.1847</v>
      </c>
      <c r="E26" s="31" t="n">
        <v>-0.1679</v>
      </c>
      <c r="F26" s="31" t="n">
        <v>-0.1494</v>
      </c>
      <c r="G26" s="31" t="n">
        <v>-0.1297</v>
      </c>
      <c r="H26" s="31" t="n">
        <v>-0.1119</v>
      </c>
      <c r="I26" s="31" t="n">
        <v>-0.1027</v>
      </c>
      <c r="J26" s="31" t="n">
        <v>-0.0774</v>
      </c>
      <c r="K26" s="31" t="n">
        <v>-0.0612</v>
      </c>
      <c r="L26" s="31" t="n">
        <v>-0.0483</v>
      </c>
    </row>
    <row r="27" customFormat="false" ht="15" hidden="false" customHeight="true" outlineLevel="0" collapsed="false">
      <c r="B27" s="30" t="s">
        <v>62</v>
      </c>
      <c r="C27" s="31" t="n">
        <v>-0.2039</v>
      </c>
      <c r="D27" s="31" t="n">
        <v>-0.1794</v>
      </c>
      <c r="E27" s="31" t="n">
        <v>-0.1604</v>
      </c>
      <c r="F27" s="31" t="n">
        <v>-0.1323</v>
      </c>
      <c r="G27" s="31" t="n">
        <v>-0.1075</v>
      </c>
      <c r="H27" s="31" t="n">
        <v>-0.0983</v>
      </c>
      <c r="I27" s="31" t="n">
        <v>-0.069</v>
      </c>
      <c r="J27" s="31" t="n">
        <v>-0.0486</v>
      </c>
      <c r="K27" s="31" t="n">
        <v>-0.0298</v>
      </c>
      <c r="L27" s="31" t="n">
        <v>-0.0222</v>
      </c>
    </row>
    <row r="28" customFormat="false" ht="15" hidden="false" customHeight="true" outlineLevel="0" collapsed="false">
      <c r="B28" s="30" t="s">
        <v>63</v>
      </c>
      <c r="C28" s="31" t="n">
        <v>-0.1806</v>
      </c>
      <c r="D28" s="31" t="n">
        <v>-0.161</v>
      </c>
      <c r="E28" s="31" t="n">
        <v>-0.1422</v>
      </c>
      <c r="F28" s="31" t="n">
        <v>-0.1226</v>
      </c>
      <c r="G28" s="31" t="n">
        <v>-0.0947</v>
      </c>
      <c r="H28" s="31" t="n">
        <v>-0.0698</v>
      </c>
      <c r="I28" s="31" t="n">
        <v>-0.0515</v>
      </c>
      <c r="J28" s="31" t="n">
        <v>-0.0393</v>
      </c>
      <c r="K28" s="31" t="n">
        <v>-0.0164</v>
      </c>
      <c r="L28" s="31" t="n">
        <v>0.006</v>
      </c>
    </row>
    <row r="31" customFormat="false" ht="15" hidden="false" customHeight="true" outlineLevel="0" collapsed="false">
      <c r="B31" s="19" t="s">
        <v>116</v>
      </c>
      <c r="C31" s="19"/>
      <c r="D31" s="19"/>
      <c r="E31" s="19"/>
      <c r="F31" s="19"/>
      <c r="G31" s="19"/>
      <c r="H31" s="19"/>
      <c r="I31" s="19"/>
      <c r="J31" s="19"/>
      <c r="K31" s="19"/>
      <c r="L31" s="19"/>
    </row>
    <row r="32" customFormat="false" ht="15" hidden="false" customHeight="true" outlineLevel="0" collapsed="false">
      <c r="B32" s="12" t="s">
        <v>113</v>
      </c>
      <c r="C32" s="13" t="s">
        <v>114</v>
      </c>
      <c r="D32" s="13" t="s">
        <v>56</v>
      </c>
      <c r="E32" s="13" t="s">
        <v>57</v>
      </c>
      <c r="F32" s="13" t="s">
        <v>30</v>
      </c>
      <c r="G32" s="13" t="s">
        <v>58</v>
      </c>
      <c r="H32" s="13" t="s">
        <v>59</v>
      </c>
      <c r="I32" s="13" t="s">
        <v>60</v>
      </c>
      <c r="J32" s="13" t="s">
        <v>61</v>
      </c>
      <c r="K32" s="13" t="s">
        <v>62</v>
      </c>
      <c r="L32" s="13" t="s">
        <v>63</v>
      </c>
    </row>
    <row r="33" customFormat="false" ht="15" hidden="false" customHeight="true" outlineLevel="0" collapsed="false">
      <c r="B33" s="30" t="s">
        <v>114</v>
      </c>
      <c r="C33" s="31" t="n">
        <v>0.8417</v>
      </c>
      <c r="D33" s="31" t="n">
        <v>0.831</v>
      </c>
      <c r="E33" s="31" t="n">
        <v>0.8138</v>
      </c>
      <c r="F33" s="31" t="n">
        <v>0.789</v>
      </c>
      <c r="G33" s="31" t="n">
        <v>0.7661</v>
      </c>
      <c r="H33" s="31" t="n">
        <v>0.7384</v>
      </c>
      <c r="I33" s="31" t="n">
        <v>0.7102</v>
      </c>
      <c r="J33" s="31" t="n">
        <v>0.7002</v>
      </c>
      <c r="K33" s="31" t="n">
        <v>0.6689</v>
      </c>
      <c r="L33" s="31" t="n">
        <v>0.656</v>
      </c>
    </row>
    <row r="34" customFormat="false" ht="15" hidden="false" customHeight="true" outlineLevel="0" collapsed="false">
      <c r="B34" s="30" t="s">
        <v>56</v>
      </c>
      <c r="C34" s="31" t="n">
        <v>0.8372</v>
      </c>
      <c r="D34" s="31" t="n">
        <v>0.8035</v>
      </c>
      <c r="E34" s="31" t="n">
        <v>0.7814</v>
      </c>
      <c r="F34" s="31" t="n">
        <v>0.77</v>
      </c>
      <c r="G34" s="31" t="n">
        <v>0.7434</v>
      </c>
      <c r="H34" s="31" t="n">
        <v>0.7101</v>
      </c>
      <c r="I34" s="31" t="n">
        <v>0.687</v>
      </c>
      <c r="J34" s="31" t="n">
        <v>0.6652</v>
      </c>
      <c r="K34" s="31" t="n">
        <v>0.6581</v>
      </c>
      <c r="L34" s="31" t="n">
        <v>0.6339</v>
      </c>
    </row>
    <row r="35" customFormat="false" ht="15" hidden="false" customHeight="true" outlineLevel="0" collapsed="false">
      <c r="B35" s="30" t="s">
        <v>57</v>
      </c>
      <c r="C35" s="31" t="n">
        <v>0.7985</v>
      </c>
      <c r="D35" s="31" t="n">
        <v>0.7899</v>
      </c>
      <c r="E35" s="31" t="n">
        <v>0.7707</v>
      </c>
      <c r="F35" s="31" t="n">
        <v>0.742</v>
      </c>
      <c r="G35" s="31" t="n">
        <v>0.7137</v>
      </c>
      <c r="H35" s="31" t="n">
        <v>0.6954</v>
      </c>
      <c r="I35" s="31" t="n">
        <v>0.6648</v>
      </c>
      <c r="J35" s="31" t="n">
        <v>0.6403</v>
      </c>
      <c r="K35" s="31" t="n">
        <v>0.6372</v>
      </c>
      <c r="L35" s="31" t="n">
        <v>0.6085</v>
      </c>
    </row>
    <row r="36" customFormat="false" ht="15" hidden="false" customHeight="true" outlineLevel="0" collapsed="false">
      <c r="B36" s="30" t="s">
        <v>30</v>
      </c>
      <c r="C36" s="31" t="n">
        <v>0.7839</v>
      </c>
      <c r="D36" s="31" t="n">
        <v>0.7698</v>
      </c>
      <c r="E36" s="31" t="n">
        <v>0.7376</v>
      </c>
      <c r="F36" s="31" t="n">
        <v>0.7241</v>
      </c>
      <c r="G36" s="31" t="n">
        <v>0.701</v>
      </c>
      <c r="H36" s="31" t="n">
        <v>0.6664</v>
      </c>
      <c r="I36" s="31" t="n">
        <v>0.645</v>
      </c>
      <c r="J36" s="31" t="n">
        <v>0.6236</v>
      </c>
      <c r="K36" s="31" t="n">
        <v>0.6004</v>
      </c>
      <c r="L36" s="31" t="n">
        <v>0.5851</v>
      </c>
    </row>
    <row r="37" customFormat="false" ht="15" hidden="false" customHeight="true" outlineLevel="0" collapsed="false">
      <c r="B37" s="30" t="s">
        <v>58</v>
      </c>
      <c r="C37" s="31" t="n">
        <v>0.7563</v>
      </c>
      <c r="D37" s="31" t="n">
        <v>0.7373</v>
      </c>
      <c r="E37" s="31" t="n">
        <v>0.7093</v>
      </c>
      <c r="F37" s="31" t="n">
        <v>0.7026</v>
      </c>
      <c r="G37" s="31" t="n">
        <v>0.6693</v>
      </c>
      <c r="H37" s="31" t="n">
        <v>0.6492</v>
      </c>
      <c r="I37" s="31" t="n">
        <v>0.6294</v>
      </c>
      <c r="J37" s="31" t="n">
        <v>0.6136</v>
      </c>
      <c r="K37" s="31" t="n">
        <v>0.5817</v>
      </c>
      <c r="L37" s="31" t="n">
        <v>0.5695</v>
      </c>
    </row>
    <row r="38" customFormat="false" ht="15" hidden="false" customHeight="true" outlineLevel="0" collapsed="false">
      <c r="B38" s="30" t="s">
        <v>59</v>
      </c>
      <c r="C38" s="31" t="n">
        <v>0.7389</v>
      </c>
      <c r="D38" s="31" t="n">
        <v>0.7173</v>
      </c>
      <c r="E38" s="31" t="n">
        <v>0.6949</v>
      </c>
      <c r="F38" s="31" t="n">
        <v>0.6626</v>
      </c>
      <c r="G38" s="31" t="n">
        <v>0.6488</v>
      </c>
      <c r="H38" s="31" t="n">
        <v>0.6214</v>
      </c>
      <c r="I38" s="31" t="n">
        <v>0.5956</v>
      </c>
      <c r="J38" s="31" t="n">
        <v>0.5893</v>
      </c>
      <c r="K38" s="31" t="n">
        <v>0.5546</v>
      </c>
      <c r="L38" s="31" t="n">
        <v>0.5384</v>
      </c>
    </row>
    <row r="39" customFormat="false" ht="15" hidden="false" customHeight="true" outlineLevel="0" collapsed="false">
      <c r="B39" s="30" t="s">
        <v>60</v>
      </c>
      <c r="C39" s="31" t="n">
        <v>0.7212</v>
      </c>
      <c r="D39" s="31" t="n">
        <v>0.6956</v>
      </c>
      <c r="E39" s="31" t="n">
        <v>0.6687</v>
      </c>
      <c r="F39" s="31" t="n">
        <v>0.6504</v>
      </c>
      <c r="G39" s="31" t="n">
        <v>0.6289</v>
      </c>
      <c r="H39" s="31" t="n">
        <v>0.6112</v>
      </c>
      <c r="I39" s="31" t="n">
        <v>0.5755</v>
      </c>
      <c r="J39" s="31" t="n">
        <v>0.5623</v>
      </c>
      <c r="K39" s="31" t="n">
        <v>0.5339</v>
      </c>
      <c r="L39" s="31" t="n">
        <v>0.5122</v>
      </c>
    </row>
    <row r="40" customFormat="false" ht="15" hidden="false" customHeight="true" outlineLevel="0" collapsed="false">
      <c r="B40" s="30" t="s">
        <v>61</v>
      </c>
      <c r="C40" s="31" t="n">
        <v>0.6999</v>
      </c>
      <c r="D40" s="31" t="n">
        <v>0.6724</v>
      </c>
      <c r="E40" s="31" t="n">
        <v>0.6512</v>
      </c>
      <c r="F40" s="31" t="n">
        <v>0.633</v>
      </c>
      <c r="G40" s="31" t="n">
        <v>0.6138</v>
      </c>
      <c r="H40" s="31" t="n">
        <v>0.5822</v>
      </c>
      <c r="I40" s="31" t="n">
        <v>0.5634</v>
      </c>
      <c r="J40" s="31" t="n">
        <v>0.539</v>
      </c>
      <c r="K40" s="31" t="n">
        <v>0.5169</v>
      </c>
      <c r="L40" s="31" t="n">
        <v>0.4983</v>
      </c>
    </row>
    <row r="41" customFormat="false" ht="15" hidden="false" customHeight="true" outlineLevel="0" collapsed="false">
      <c r="B41" s="30" t="s">
        <v>62</v>
      </c>
      <c r="C41" s="31" t="n">
        <v>0.6713</v>
      </c>
      <c r="D41" s="31" t="n">
        <v>0.6507</v>
      </c>
      <c r="E41" s="31" t="n">
        <v>0.6273</v>
      </c>
      <c r="F41" s="31" t="n">
        <v>0.6144</v>
      </c>
      <c r="G41" s="31" t="n">
        <v>0.5873</v>
      </c>
      <c r="H41" s="31" t="n">
        <v>0.5686</v>
      </c>
      <c r="I41" s="31" t="n">
        <v>0.5477</v>
      </c>
      <c r="J41" s="31" t="n">
        <v>0.5119</v>
      </c>
      <c r="K41" s="31" t="n">
        <v>0.4956</v>
      </c>
      <c r="L41" s="31" t="n">
        <v>0.4811</v>
      </c>
    </row>
    <row r="42" customFormat="false" ht="15" hidden="false" customHeight="true" outlineLevel="0" collapsed="false">
      <c r="B42" s="30" t="s">
        <v>63</v>
      </c>
      <c r="C42" s="31" t="n">
        <v>0.6568</v>
      </c>
      <c r="D42" s="31" t="n">
        <v>0.6205</v>
      </c>
      <c r="E42" s="31" t="n">
        <v>0.598</v>
      </c>
      <c r="F42" s="31" t="n">
        <v>0.5822</v>
      </c>
      <c r="G42" s="31" t="n">
        <v>0.5526</v>
      </c>
      <c r="H42" s="31" t="n">
        <v>0.5337</v>
      </c>
      <c r="I42" s="31" t="n">
        <v>0.5081</v>
      </c>
      <c r="J42" s="31" t="n">
        <v>0.4978</v>
      </c>
      <c r="K42" s="31" t="n">
        <v>0.4779</v>
      </c>
      <c r="L42" s="31" t="n">
        <v>0.4579</v>
      </c>
    </row>
  </sheetData>
  <mergeCells count="4">
    <mergeCell ref="B1:L1"/>
    <mergeCell ref="B3:L3"/>
    <mergeCell ref="B17:L17"/>
    <mergeCell ref="B31:L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4"/>
    <col collapsed="false" customWidth="true" hidden="false" outlineLevel="0" max="12" min="3" style="1" width="9"/>
  </cols>
  <sheetData>
    <row r="1" customFormat="false" ht="17.25" hidden="false" customHeight="true" outlineLevel="0" collapsed="false">
      <c r="B1" s="18" t="s">
        <v>117</v>
      </c>
      <c r="C1" s="18"/>
      <c r="D1" s="18"/>
      <c r="E1" s="18"/>
      <c r="F1" s="18"/>
      <c r="G1" s="18"/>
      <c r="H1" s="18"/>
      <c r="I1" s="18"/>
      <c r="J1" s="18"/>
      <c r="K1" s="18"/>
      <c r="L1" s="18"/>
    </row>
    <row r="2" customFormat="false" ht="27.75" hidden="false" customHeight="true" outlineLevel="0" collapsed="false">
      <c r="B2" s="22" t="s">
        <v>118</v>
      </c>
      <c r="C2" s="22"/>
      <c r="D2" s="22"/>
      <c r="E2" s="22"/>
      <c r="F2" s="22"/>
      <c r="G2" s="22"/>
      <c r="H2" s="22"/>
      <c r="I2" s="22"/>
      <c r="J2" s="22"/>
      <c r="K2" s="22"/>
      <c r="L2" s="22"/>
    </row>
    <row r="4" customFormat="false" ht="15" hidden="false" customHeight="true" outlineLevel="0" collapsed="false">
      <c r="B4" s="19" t="s">
        <v>119</v>
      </c>
      <c r="C4" s="19"/>
      <c r="D4" s="19"/>
      <c r="E4" s="19"/>
    </row>
    <row r="5" customFormat="false" ht="15" hidden="false" customHeight="true" outlineLevel="0" collapsed="false">
      <c r="B5" s="12" t="s">
        <v>120</v>
      </c>
      <c r="C5" s="13" t="s">
        <v>121</v>
      </c>
      <c r="D5" s="13" t="s">
        <v>122</v>
      </c>
      <c r="E5" s="13" t="s">
        <v>123</v>
      </c>
    </row>
    <row r="6" customFormat="false" ht="15" hidden="false" customHeight="true" outlineLevel="0" collapsed="false">
      <c r="B6" s="9" t="s">
        <v>77</v>
      </c>
      <c r="C6" s="31" t="n">
        <v>0.0099</v>
      </c>
      <c r="D6" s="31" t="n">
        <v>0.0057</v>
      </c>
      <c r="E6" s="31" t="n">
        <v>0.0224</v>
      </c>
    </row>
    <row r="7" customFormat="false" ht="15" hidden="false" customHeight="true" outlineLevel="0" collapsed="false">
      <c r="B7" s="9" t="s">
        <v>78</v>
      </c>
      <c r="C7" s="31" t="n">
        <v>0.0125</v>
      </c>
      <c r="D7" s="31" t="n">
        <v>0.0065</v>
      </c>
      <c r="E7" s="31" t="n">
        <v>0.0206</v>
      </c>
    </row>
    <row r="8" customFormat="false" ht="15" hidden="false" customHeight="true" outlineLevel="0" collapsed="false">
      <c r="B8" s="9" t="s">
        <v>79</v>
      </c>
      <c r="C8" s="31" t="n">
        <v>0.012</v>
      </c>
      <c r="D8" s="31" t="n">
        <v>0.0077</v>
      </c>
      <c r="E8" s="31" t="n">
        <v>0.0249</v>
      </c>
    </row>
    <row r="9" customFormat="false" ht="15" hidden="false" customHeight="true" outlineLevel="0" collapsed="false">
      <c r="B9" s="9" t="s">
        <v>80</v>
      </c>
      <c r="C9" s="31" t="n">
        <v>0.0205</v>
      </c>
      <c r="D9" s="31" t="n">
        <v>0.0056</v>
      </c>
      <c r="E9" s="31" t="n">
        <v>0.0233</v>
      </c>
    </row>
    <row r="10" customFormat="false" ht="15" hidden="false" customHeight="true" outlineLevel="0" collapsed="false">
      <c r="B10" s="9" t="s">
        <v>81</v>
      </c>
      <c r="C10" s="31" t="n">
        <v>0.0159</v>
      </c>
      <c r="D10" s="31" t="n">
        <v>0.0125</v>
      </c>
      <c r="E10" s="31" t="n">
        <v>0.0331</v>
      </c>
    </row>
    <row r="11" customFormat="false" ht="15" hidden="false" customHeight="true" outlineLevel="0" collapsed="false">
      <c r="B11" s="9" t="s">
        <v>82</v>
      </c>
      <c r="C11" s="31" t="n">
        <v>0.0178</v>
      </c>
      <c r="D11" s="31" t="n">
        <v>0.0151</v>
      </c>
      <c r="E11" s="31" t="n">
        <v>0.041</v>
      </c>
    </row>
    <row r="12" customFormat="false" ht="15" hidden="false" customHeight="true" outlineLevel="0" collapsed="false">
      <c r="B12" s="9" t="s">
        <v>83</v>
      </c>
      <c r="C12" s="31" t="n">
        <v>0.0263</v>
      </c>
      <c r="D12" s="31" t="n">
        <v>0.0133</v>
      </c>
      <c r="E12" s="31" t="n">
        <v>0.0317</v>
      </c>
    </row>
    <row r="13" customFormat="false" ht="15" hidden="false" customHeight="true" outlineLevel="0" collapsed="false">
      <c r="B13" s="9" t="s">
        <v>84</v>
      </c>
      <c r="C13" s="31" t="n">
        <v>0.0224</v>
      </c>
      <c r="D13" s="31" t="n">
        <v>0.0138</v>
      </c>
      <c r="E13" s="31" t="n">
        <v>0.0338</v>
      </c>
    </row>
    <row r="14" customFormat="false" ht="15" hidden="false" customHeight="true" outlineLevel="0" collapsed="false">
      <c r="B14" s="9" t="s">
        <v>85</v>
      </c>
      <c r="C14" s="31" t="n">
        <v>0.0265</v>
      </c>
      <c r="D14" s="31" t="n">
        <v>0.0127</v>
      </c>
      <c r="E14" s="31" t="n">
        <v>0.0369</v>
      </c>
    </row>
    <row r="15" customFormat="false" ht="15" hidden="false" customHeight="true" outlineLevel="0" collapsed="false">
      <c r="B15" s="9" t="s">
        <v>86</v>
      </c>
      <c r="C15" s="31" t="n">
        <v>0.0316</v>
      </c>
      <c r="D15" s="31" t="n">
        <v>0.0155</v>
      </c>
      <c r="E15" s="31" t="n">
        <v>0.0535</v>
      </c>
    </row>
    <row r="18" customFormat="false" ht="15" hidden="false" customHeight="true" outlineLevel="0" collapsed="false">
      <c r="B18" s="19" t="s">
        <v>124</v>
      </c>
      <c r="C18" s="19"/>
      <c r="D18" s="19"/>
      <c r="E18" s="19"/>
      <c r="F18" s="19"/>
      <c r="G18" s="19"/>
      <c r="H18" s="19"/>
      <c r="I18" s="19"/>
      <c r="J18" s="19"/>
      <c r="K18" s="19"/>
      <c r="L18" s="19"/>
    </row>
    <row r="19" customFormat="false" ht="15" hidden="false" customHeight="true" outlineLevel="0" collapsed="false">
      <c r="B19" s="12" t="s">
        <v>113</v>
      </c>
      <c r="C19" s="13" t="s">
        <v>114</v>
      </c>
      <c r="D19" s="13" t="s">
        <v>56</v>
      </c>
      <c r="E19" s="13" t="s">
        <v>57</v>
      </c>
      <c r="F19" s="13" t="s">
        <v>30</v>
      </c>
      <c r="G19" s="13" t="s">
        <v>58</v>
      </c>
      <c r="H19" s="13" t="s">
        <v>59</v>
      </c>
      <c r="I19" s="13" t="s">
        <v>60</v>
      </c>
      <c r="J19" s="13" t="s">
        <v>61</v>
      </c>
      <c r="K19" s="13" t="s">
        <v>62</v>
      </c>
      <c r="L19" s="13" t="s">
        <v>63</v>
      </c>
    </row>
    <row r="20" customFormat="false" ht="15" hidden="false" customHeight="true" outlineLevel="0" collapsed="false">
      <c r="B20" s="30" t="s">
        <v>114</v>
      </c>
      <c r="C20" s="32" t="n">
        <v>1.601</v>
      </c>
      <c r="D20" s="32" t="n">
        <v>1.518</v>
      </c>
      <c r="E20" s="32" t="n">
        <v>1.42</v>
      </c>
      <c r="F20" s="32" t="n">
        <v>1.34</v>
      </c>
      <c r="G20" s="32" t="n">
        <v>1.237</v>
      </c>
      <c r="H20" s="32" t="n">
        <v>1.137</v>
      </c>
      <c r="I20" s="32" t="n">
        <v>1.09</v>
      </c>
      <c r="J20" s="32" t="n">
        <v>1</v>
      </c>
      <c r="K20" s="32" t="n">
        <v>0.9</v>
      </c>
      <c r="L20" s="32" t="n">
        <v>0.802</v>
      </c>
    </row>
    <row r="21" customFormat="false" ht="15" hidden="false" customHeight="true" outlineLevel="0" collapsed="false">
      <c r="B21" s="30" t="s">
        <v>56</v>
      </c>
      <c r="C21" s="32" t="n">
        <v>1.499</v>
      </c>
      <c r="D21" s="32" t="n">
        <v>1.404</v>
      </c>
      <c r="E21" s="32" t="n">
        <v>1.317</v>
      </c>
      <c r="F21" s="32" t="n">
        <v>1.214</v>
      </c>
      <c r="G21" s="32" t="n">
        <v>1.166</v>
      </c>
      <c r="H21" s="32" t="n">
        <v>1.054</v>
      </c>
      <c r="I21" s="32" t="n">
        <v>0.991</v>
      </c>
      <c r="J21" s="32" t="n">
        <v>0.873</v>
      </c>
      <c r="K21" s="32" t="n">
        <v>0.817</v>
      </c>
      <c r="L21" s="32" t="n">
        <v>0.721</v>
      </c>
    </row>
    <row r="22" customFormat="false" ht="15" hidden="false" customHeight="true" outlineLevel="0" collapsed="false">
      <c r="B22" s="30" t="s">
        <v>57</v>
      </c>
      <c r="C22" s="32" t="n">
        <v>1.39</v>
      </c>
      <c r="D22" s="32" t="n">
        <v>1.313</v>
      </c>
      <c r="E22" s="32" t="n">
        <v>1.265</v>
      </c>
      <c r="F22" s="32" t="n">
        <v>1.148</v>
      </c>
      <c r="G22" s="32" t="n">
        <v>1.089</v>
      </c>
      <c r="H22" s="32" t="n">
        <v>0.964</v>
      </c>
      <c r="I22" s="32" t="n">
        <v>0.854</v>
      </c>
      <c r="J22" s="32" t="n">
        <v>0.798</v>
      </c>
      <c r="K22" s="32" t="n">
        <v>0.717</v>
      </c>
      <c r="L22" s="32" t="n">
        <v>0.596</v>
      </c>
    </row>
    <row r="23" customFormat="false" ht="15" hidden="false" customHeight="true" outlineLevel="0" collapsed="false">
      <c r="B23" s="30" t="s">
        <v>30</v>
      </c>
      <c r="C23" s="32" t="n">
        <v>1.305</v>
      </c>
      <c r="D23" s="32" t="n">
        <v>1.23</v>
      </c>
      <c r="E23" s="32" t="n">
        <v>1.178</v>
      </c>
      <c r="F23" s="32" t="n">
        <v>1.075</v>
      </c>
      <c r="G23" s="32" t="n">
        <v>0.947</v>
      </c>
      <c r="H23" s="32" t="n">
        <v>0.865</v>
      </c>
      <c r="I23" s="32" t="n">
        <v>0.766</v>
      </c>
      <c r="J23" s="32" t="n">
        <v>0.674</v>
      </c>
      <c r="K23" s="32" t="n">
        <v>0.628</v>
      </c>
      <c r="L23" s="32" t="n">
        <v>0.501</v>
      </c>
    </row>
    <row r="24" customFormat="false" ht="15" hidden="false" customHeight="true" outlineLevel="0" collapsed="false">
      <c r="B24" s="30" t="s">
        <v>58</v>
      </c>
      <c r="C24" s="32" t="n">
        <v>1.244</v>
      </c>
      <c r="D24" s="32" t="n">
        <v>1.147</v>
      </c>
      <c r="E24" s="32" t="n">
        <v>1.041</v>
      </c>
      <c r="F24" s="32" t="n">
        <v>0.984</v>
      </c>
      <c r="G24" s="32" t="n">
        <v>0.858</v>
      </c>
      <c r="H24" s="32" t="n">
        <v>0.799</v>
      </c>
      <c r="I24" s="32" t="n">
        <v>0.677</v>
      </c>
      <c r="J24" s="32" t="n">
        <v>0.605</v>
      </c>
      <c r="K24" s="32" t="n">
        <v>0.503</v>
      </c>
      <c r="L24" s="32" t="n">
        <v>0.416</v>
      </c>
    </row>
    <row r="25" customFormat="false" ht="15" hidden="false" customHeight="true" outlineLevel="0" collapsed="false">
      <c r="B25" s="30" t="s">
        <v>59</v>
      </c>
      <c r="C25" s="32" t="n">
        <v>1.178</v>
      </c>
      <c r="D25" s="32" t="n">
        <v>1.078</v>
      </c>
      <c r="E25" s="32" t="n">
        <v>0.958</v>
      </c>
      <c r="F25" s="32" t="n">
        <v>0.903</v>
      </c>
      <c r="G25" s="32" t="n">
        <v>0.773</v>
      </c>
      <c r="H25" s="32" t="n">
        <v>0.694</v>
      </c>
      <c r="I25" s="32" t="n">
        <v>0.631</v>
      </c>
      <c r="J25" s="32" t="n">
        <v>0.529</v>
      </c>
      <c r="K25" s="32" t="n">
        <v>0.406</v>
      </c>
      <c r="L25" s="32" t="n">
        <v>0.369</v>
      </c>
    </row>
    <row r="26" customFormat="false" ht="15" hidden="false" customHeight="true" outlineLevel="0" collapsed="false">
      <c r="B26" s="30" t="s">
        <v>60</v>
      </c>
      <c r="C26" s="32" t="n">
        <v>1.043</v>
      </c>
      <c r="D26" s="32" t="n">
        <v>0.955</v>
      </c>
      <c r="E26" s="32" t="n">
        <v>0.896</v>
      </c>
      <c r="F26" s="32" t="n">
        <v>0.78</v>
      </c>
      <c r="G26" s="32" t="n">
        <v>0.688</v>
      </c>
      <c r="H26" s="32" t="n">
        <v>0.584</v>
      </c>
      <c r="I26" s="32" t="n">
        <v>0.495</v>
      </c>
      <c r="J26" s="32" t="n">
        <v>0.435</v>
      </c>
      <c r="K26" s="32" t="n">
        <v>0.325</v>
      </c>
      <c r="L26" s="32" t="n">
        <v>0.256</v>
      </c>
    </row>
    <row r="27" customFormat="false" ht="15" hidden="false" customHeight="true" outlineLevel="0" collapsed="false">
      <c r="B27" s="30" t="s">
        <v>61</v>
      </c>
      <c r="C27" s="32" t="n">
        <v>0.962</v>
      </c>
      <c r="D27" s="32" t="n">
        <v>0.877</v>
      </c>
      <c r="E27" s="32" t="n">
        <v>0.818</v>
      </c>
      <c r="F27" s="32" t="n">
        <v>0.699</v>
      </c>
      <c r="G27" s="32" t="n">
        <v>0.614</v>
      </c>
      <c r="H27" s="32" t="n">
        <v>0.542</v>
      </c>
      <c r="I27" s="32" t="n">
        <v>0.411</v>
      </c>
      <c r="J27" s="32" t="n">
        <v>0.319</v>
      </c>
      <c r="K27" s="32" t="n">
        <v>0.275</v>
      </c>
      <c r="L27" s="32" t="n">
        <v>0.179</v>
      </c>
    </row>
    <row r="28" customFormat="false" ht="15" hidden="false" customHeight="true" outlineLevel="0" collapsed="false">
      <c r="B28" s="30" t="s">
        <v>62</v>
      </c>
      <c r="C28" s="32" t="n">
        <v>0.865</v>
      </c>
      <c r="D28" s="32" t="n">
        <v>0.771</v>
      </c>
      <c r="E28" s="32" t="n">
        <v>0.714</v>
      </c>
      <c r="F28" s="32" t="n">
        <v>0.636</v>
      </c>
      <c r="G28" s="32" t="n">
        <v>0.502</v>
      </c>
      <c r="H28" s="32" t="n">
        <v>0.457</v>
      </c>
      <c r="I28" s="32" t="n">
        <v>0.363</v>
      </c>
      <c r="J28" s="32" t="n">
        <v>0.256</v>
      </c>
      <c r="K28" s="32" t="n">
        <v>0.155</v>
      </c>
      <c r="L28" s="32" t="n">
        <v>0.15</v>
      </c>
    </row>
    <row r="29" customFormat="false" ht="15" hidden="false" customHeight="true" outlineLevel="0" collapsed="false">
      <c r="B29" s="30" t="s">
        <v>63</v>
      </c>
      <c r="C29" s="32" t="n">
        <v>0.762</v>
      </c>
      <c r="D29" s="32" t="n">
        <v>0.728</v>
      </c>
      <c r="E29" s="32" t="n">
        <v>0.594</v>
      </c>
      <c r="F29" s="32" t="n">
        <v>0.532</v>
      </c>
      <c r="G29" s="32" t="n">
        <v>0.415</v>
      </c>
      <c r="H29" s="32" t="n">
        <v>0.359</v>
      </c>
      <c r="I29" s="32" t="n">
        <v>0.256</v>
      </c>
      <c r="J29" s="32" t="n">
        <v>0.15</v>
      </c>
      <c r="K29" s="32" t="n">
        <v>0.15</v>
      </c>
      <c r="L29" s="32" t="n">
        <v>0.15</v>
      </c>
    </row>
  </sheetData>
  <mergeCells count="4">
    <mergeCell ref="B1:L1"/>
    <mergeCell ref="B2:L2"/>
    <mergeCell ref="B4:E4"/>
    <mergeCell ref="B18:L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4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4"/>
    <col collapsed="false" customWidth="true" hidden="false" outlineLevel="0" max="12" min="3" style="1" width="9"/>
  </cols>
  <sheetData>
    <row r="1" customFormat="false" ht="17.25" hidden="false" customHeight="true" outlineLevel="0" collapsed="false">
      <c r="B1" s="18" t="s">
        <v>125</v>
      </c>
      <c r="C1" s="18"/>
      <c r="D1" s="18"/>
      <c r="E1" s="18"/>
      <c r="F1" s="18"/>
      <c r="G1" s="18"/>
      <c r="H1" s="18"/>
      <c r="I1" s="18"/>
      <c r="J1" s="18"/>
      <c r="K1" s="18"/>
      <c r="L1" s="18"/>
    </row>
    <row r="2" customFormat="false" ht="15" hidden="false" customHeight="true" outlineLevel="0" collapsed="false">
      <c r="B2" s="33" t="s">
        <v>126</v>
      </c>
      <c r="C2" s="33"/>
      <c r="D2" s="33"/>
      <c r="E2" s="33"/>
      <c r="F2" s="33"/>
      <c r="G2" s="33"/>
      <c r="H2" s="33"/>
      <c r="I2" s="33"/>
      <c r="J2" s="33"/>
      <c r="K2" s="33"/>
      <c r="L2" s="33"/>
    </row>
    <row r="4" customFormat="false" ht="15" hidden="false" customHeight="true" outlineLevel="0" collapsed="false">
      <c r="B4" s="19" t="s">
        <v>127</v>
      </c>
      <c r="C4" s="19"/>
      <c r="D4" s="19"/>
      <c r="E4" s="19"/>
      <c r="F4" s="19"/>
      <c r="G4" s="19"/>
      <c r="H4" s="19"/>
      <c r="I4" s="19"/>
      <c r="J4" s="19"/>
      <c r="K4" s="19"/>
      <c r="L4" s="19"/>
    </row>
    <row r="5" customFormat="false" ht="15" hidden="false" customHeight="true" outlineLevel="0" collapsed="false">
      <c r="B5" s="34" t="s">
        <v>112</v>
      </c>
      <c r="C5" s="34"/>
      <c r="D5" s="34"/>
      <c r="E5" s="34"/>
      <c r="F5" s="34"/>
      <c r="G5" s="34"/>
      <c r="H5" s="34"/>
      <c r="I5" s="34"/>
      <c r="J5" s="34"/>
      <c r="K5" s="34"/>
      <c r="L5" s="34"/>
    </row>
    <row r="6" customFormat="false" ht="15" hidden="false" customHeight="true" outlineLevel="0" collapsed="false">
      <c r="B6" s="12" t="s">
        <v>113</v>
      </c>
      <c r="C6" s="13" t="s">
        <v>114</v>
      </c>
      <c r="D6" s="13" t="s">
        <v>56</v>
      </c>
      <c r="E6" s="13" t="s">
        <v>57</v>
      </c>
      <c r="F6" s="13" t="s">
        <v>30</v>
      </c>
      <c r="G6" s="13" t="s">
        <v>58</v>
      </c>
      <c r="H6" s="13" t="s">
        <v>59</v>
      </c>
      <c r="I6" s="13" t="s">
        <v>60</v>
      </c>
      <c r="J6" s="13" t="s">
        <v>61</v>
      </c>
      <c r="K6" s="13" t="s">
        <v>62</v>
      </c>
      <c r="L6" s="13" t="s">
        <v>63</v>
      </c>
    </row>
    <row r="7" customFormat="false" ht="15" hidden="false" customHeight="true" outlineLevel="0" collapsed="false">
      <c r="B7" s="30" t="s">
        <v>114</v>
      </c>
      <c r="C7" s="25" t="n">
        <f aca="false">SABR_Base!C5+SABR_Shocks!$C$6*SABR_Shocks!C20</f>
        <v>0.5623499</v>
      </c>
      <c r="D7" s="25" t="n">
        <f aca="false">SABR_Base!D5+SABR_Shocks!$C$6*SABR_Shocks!D20</f>
        <v>0.5414282</v>
      </c>
      <c r="E7" s="25" t="n">
        <f aca="false">SABR_Base!E5+SABR_Shocks!$C$6*SABR_Shocks!E20</f>
        <v>0.533758</v>
      </c>
      <c r="F7" s="25" t="n">
        <f aca="false">SABR_Base!F5+SABR_Shocks!$C$6*SABR_Shocks!F20</f>
        <v>0.504666</v>
      </c>
      <c r="G7" s="25" t="n">
        <f aca="false">SABR_Base!G5+SABR_Shocks!$C$6*SABR_Shocks!G20</f>
        <v>0.4963463</v>
      </c>
      <c r="H7" s="25" t="n">
        <f aca="false">SABR_Base!H5+SABR_Shocks!$C$6*SABR_Shocks!H20</f>
        <v>0.4752563</v>
      </c>
      <c r="I7" s="25" t="n">
        <f aca="false">SABR_Base!I5+SABR_Shocks!$C$6*SABR_Shocks!I20</f>
        <v>0.451991</v>
      </c>
      <c r="J7" s="25" t="n">
        <f aca="false">SABR_Base!J5+SABR_Shocks!$C$6*SABR_Shocks!J20</f>
        <v>0.4434</v>
      </c>
      <c r="K7" s="25" t="n">
        <f aca="false">SABR_Base!K5+SABR_Shocks!$C$6*SABR_Shocks!K20</f>
        <v>0.41631</v>
      </c>
      <c r="L7" s="25" t="n">
        <f aca="false">SABR_Base!L5+SABR_Shocks!$C$6*SABR_Shocks!L20</f>
        <v>0.4066398</v>
      </c>
    </row>
    <row r="8" customFormat="false" ht="15" hidden="false" customHeight="true" outlineLevel="0" collapsed="false">
      <c r="B8" s="30" t="s">
        <v>56</v>
      </c>
      <c r="C8" s="25" t="n">
        <f aca="false">SABR_Base!C6+SABR_Shocks!$C$6*SABR_Shocks!C21</f>
        <v>0.5395401</v>
      </c>
      <c r="D8" s="25" t="n">
        <f aca="false">SABR_Base!D6+SABR_Shocks!$C$6*SABR_Shocks!D21</f>
        <v>0.5223996</v>
      </c>
      <c r="E8" s="25" t="n">
        <f aca="false">SABR_Base!E6+SABR_Shocks!$C$6*SABR_Shocks!E21</f>
        <v>0.5115383</v>
      </c>
      <c r="F8" s="25" t="n">
        <f aca="false">SABR_Base!F6+SABR_Shocks!$C$6*SABR_Shocks!F21</f>
        <v>0.5019186</v>
      </c>
      <c r="G8" s="25" t="n">
        <f aca="false">SABR_Base!G6+SABR_Shocks!$C$6*SABR_Shocks!G21</f>
        <v>0.4706434</v>
      </c>
      <c r="H8" s="25" t="n">
        <f aca="false">SABR_Base!H6+SABR_Shocks!$C$6*SABR_Shocks!H21</f>
        <v>0.4549346</v>
      </c>
      <c r="I8" s="25" t="n">
        <f aca="false">SABR_Base!I6+SABR_Shocks!$C$6*SABR_Shocks!I21</f>
        <v>0.4457109</v>
      </c>
      <c r="J8" s="25" t="n">
        <f aca="false">SABR_Base!J6+SABR_Shocks!$C$6*SABR_Shocks!J21</f>
        <v>0.4342427</v>
      </c>
      <c r="K8" s="25" t="n">
        <f aca="false">SABR_Base!K6+SABR_Shocks!$C$6*SABR_Shocks!K21</f>
        <v>0.4095883</v>
      </c>
      <c r="L8" s="25" t="n">
        <f aca="false">SABR_Base!L6+SABR_Shocks!$C$6*SABR_Shocks!L21</f>
        <v>0.3884379</v>
      </c>
    </row>
    <row r="9" customFormat="false" ht="15" hidden="false" customHeight="true" outlineLevel="0" collapsed="false">
      <c r="B9" s="30" t="s">
        <v>57</v>
      </c>
      <c r="C9" s="25" t="n">
        <f aca="false">SABR_Base!C7+SABR_Shocks!$C$6*SABR_Shocks!C22</f>
        <v>0.539961</v>
      </c>
      <c r="D9" s="25" t="n">
        <f aca="false">SABR_Base!D7+SABR_Shocks!$C$6*SABR_Shocks!D22</f>
        <v>0.5038987</v>
      </c>
      <c r="E9" s="25" t="n">
        <f aca="false">SABR_Base!E7+SABR_Shocks!$C$6*SABR_Shocks!E22</f>
        <v>0.5030235</v>
      </c>
      <c r="F9" s="25" t="n">
        <f aca="false">SABR_Base!F7+SABR_Shocks!$C$6*SABR_Shocks!F22</f>
        <v>0.4738652</v>
      </c>
      <c r="G9" s="25" t="n">
        <f aca="false">SABR_Base!G7+SABR_Shocks!$C$6*SABR_Shocks!G22</f>
        <v>0.4536811</v>
      </c>
      <c r="H9" s="25" t="n">
        <f aca="false">SABR_Base!H7+SABR_Shocks!$C$6*SABR_Shocks!H22</f>
        <v>0.4352436</v>
      </c>
      <c r="I9" s="25" t="n">
        <f aca="false">SABR_Base!I7+SABR_Shocks!$C$6*SABR_Shocks!I22</f>
        <v>0.4212546</v>
      </c>
      <c r="J9" s="25" t="n">
        <f aca="false">SABR_Base!J7+SABR_Shocks!$C$6*SABR_Shocks!J22</f>
        <v>0.4142002</v>
      </c>
      <c r="K9" s="25" t="n">
        <f aca="false">SABR_Base!K7+SABR_Shocks!$C$6*SABR_Shocks!K22</f>
        <v>0.3839983</v>
      </c>
      <c r="L9" s="25" t="n">
        <f aca="false">SABR_Base!L7+SABR_Shocks!$C$6*SABR_Shocks!L22</f>
        <v>0.3742004</v>
      </c>
    </row>
    <row r="10" customFormat="false" ht="15" hidden="false" customHeight="true" outlineLevel="0" collapsed="false">
      <c r="B10" s="30" t="s">
        <v>30</v>
      </c>
      <c r="C10" s="25" t="n">
        <f aca="false">SABR_Base!C8+SABR_Shocks!$C$6*SABR_Shocks!C23</f>
        <v>0.5157195</v>
      </c>
      <c r="D10" s="25" t="n">
        <f aca="false">SABR_Base!D8+SABR_Shocks!$C$6*SABR_Shocks!D23</f>
        <v>0.492977</v>
      </c>
      <c r="E10" s="25" t="n">
        <f aca="false">SABR_Base!E8+SABR_Shocks!$C$6*SABR_Shocks!E23</f>
        <v>0.4792622</v>
      </c>
      <c r="F10" s="25" t="n">
        <f aca="false">SABR_Base!F8+SABR_Shocks!$C$6*SABR_Shocks!F23</f>
        <v>0.4519425</v>
      </c>
      <c r="G10" s="25" t="n">
        <f aca="false">SABR_Base!G8+SABR_Shocks!$C$6*SABR_Shocks!G23</f>
        <v>0.4338753</v>
      </c>
      <c r="H10" s="25" t="n">
        <f aca="false">SABR_Base!H8+SABR_Shocks!$C$6*SABR_Shocks!H23</f>
        <v>0.4193635</v>
      </c>
      <c r="I10" s="25" t="n">
        <f aca="false">SABR_Base!I8+SABR_Shocks!$C$6*SABR_Shocks!I23</f>
        <v>0.4111834</v>
      </c>
      <c r="J10" s="25" t="n">
        <f aca="false">SABR_Base!J8+SABR_Shocks!$C$6*SABR_Shocks!J23</f>
        <v>0.3885726</v>
      </c>
      <c r="K10" s="25" t="n">
        <f aca="false">SABR_Base!K8+SABR_Shocks!$C$6*SABR_Shocks!K23</f>
        <v>0.3691172</v>
      </c>
      <c r="L10" s="25" t="n">
        <f aca="false">SABR_Base!L8+SABR_Shocks!$C$6*SABR_Shocks!L23</f>
        <v>0.3566599</v>
      </c>
    </row>
    <row r="11" customFormat="false" ht="15" hidden="false" customHeight="true" outlineLevel="0" collapsed="false">
      <c r="B11" s="30" t="s">
        <v>58</v>
      </c>
      <c r="C11" s="25" t="n">
        <f aca="false">SABR_Base!C9+SABR_Shocks!$C$6*SABR_Shocks!C24</f>
        <v>0.4947156</v>
      </c>
      <c r="D11" s="25" t="n">
        <f aca="false">SABR_Base!D9+SABR_Shocks!$C$6*SABR_Shocks!D24</f>
        <v>0.4740553</v>
      </c>
      <c r="E11" s="25" t="n">
        <f aca="false">SABR_Base!E9+SABR_Shocks!$C$6*SABR_Shocks!E24</f>
        <v>0.4662059</v>
      </c>
      <c r="F11" s="25" t="n">
        <f aca="false">SABR_Base!F9+SABR_Shocks!$C$6*SABR_Shocks!F24</f>
        <v>0.4470416</v>
      </c>
      <c r="G11" s="25" t="n">
        <f aca="false">SABR_Base!G9+SABR_Shocks!$C$6*SABR_Shocks!G24</f>
        <v>0.4199942</v>
      </c>
      <c r="H11" s="25" t="n">
        <f aca="false">SABR_Base!H9+SABR_Shocks!$C$6*SABR_Shocks!H24</f>
        <v>0.4094101</v>
      </c>
      <c r="I11" s="25" t="n">
        <f aca="false">SABR_Base!I9+SABR_Shocks!$C$6*SABR_Shocks!I24</f>
        <v>0.3905023</v>
      </c>
      <c r="J11" s="25" t="n">
        <f aca="false">SABR_Base!J9+SABR_Shocks!$C$6*SABR_Shocks!J24</f>
        <v>0.3801895</v>
      </c>
      <c r="K11" s="25" t="n">
        <f aca="false">SABR_Base!K9+SABR_Shocks!$C$6*SABR_Shocks!K24</f>
        <v>0.3595797</v>
      </c>
      <c r="L11" s="25" t="n">
        <f aca="false">SABR_Base!L9+SABR_Shocks!$C$6*SABR_Shocks!L24</f>
        <v>0.3332184</v>
      </c>
    </row>
    <row r="12" customFormat="false" ht="15" hidden="false" customHeight="true" outlineLevel="0" collapsed="false">
      <c r="B12" s="30" t="s">
        <v>59</v>
      </c>
      <c r="C12" s="25" t="n">
        <f aca="false">SABR_Base!C10+SABR_Shocks!$C$6*SABR_Shocks!C25</f>
        <v>0.4879622</v>
      </c>
      <c r="D12" s="25" t="n">
        <f aca="false">SABR_Base!D10+SABR_Shocks!$C$6*SABR_Shocks!D25</f>
        <v>0.4530722</v>
      </c>
      <c r="E12" s="25" t="n">
        <f aca="false">SABR_Base!E10+SABR_Shocks!$C$6*SABR_Shocks!E25</f>
        <v>0.4411842</v>
      </c>
      <c r="F12" s="25" t="n">
        <f aca="false">SABR_Base!F10+SABR_Shocks!$C$6*SABR_Shocks!F25</f>
        <v>0.4307397</v>
      </c>
      <c r="G12" s="25" t="n">
        <f aca="false">SABR_Base!G10+SABR_Shocks!$C$6*SABR_Shocks!G25</f>
        <v>0.4006527</v>
      </c>
      <c r="H12" s="25" t="n">
        <f aca="false">SABR_Base!H10+SABR_Shocks!$C$6*SABR_Shocks!H25</f>
        <v>0.3899706</v>
      </c>
      <c r="I12" s="25" t="n">
        <f aca="false">SABR_Base!I10+SABR_Shocks!$C$6*SABR_Shocks!I25</f>
        <v>0.3637469</v>
      </c>
      <c r="J12" s="25" t="n">
        <f aca="false">SABR_Base!J10+SABR_Shocks!$C$6*SABR_Shocks!J25</f>
        <v>0.3586371</v>
      </c>
      <c r="K12" s="25" t="n">
        <f aca="false">SABR_Base!K10+SABR_Shocks!$C$6*SABR_Shocks!K25</f>
        <v>0.3426194</v>
      </c>
      <c r="L12" s="25" t="n">
        <f aca="false">SABR_Base!L10+SABR_Shocks!$C$6*SABR_Shocks!L25</f>
        <v>0.3217531</v>
      </c>
    </row>
    <row r="13" customFormat="false" ht="15" hidden="false" customHeight="true" outlineLevel="0" collapsed="false">
      <c r="B13" s="30" t="s">
        <v>60</v>
      </c>
      <c r="C13" s="25" t="n">
        <f aca="false">SABR_Base!C11+SABR_Shocks!$C$6*SABR_Shocks!C26</f>
        <v>0.4678257</v>
      </c>
      <c r="D13" s="25" t="n">
        <f aca="false">SABR_Base!D11+SABR_Shocks!$C$6*SABR_Shocks!D26</f>
        <v>0.4390545</v>
      </c>
      <c r="E13" s="25" t="n">
        <f aca="false">SABR_Base!E11+SABR_Shocks!$C$6*SABR_Shocks!E26</f>
        <v>0.4294704</v>
      </c>
      <c r="F13" s="25" t="n">
        <f aca="false">SABR_Base!F11+SABR_Shocks!$C$6*SABR_Shocks!F26</f>
        <v>0.409622</v>
      </c>
      <c r="G13" s="25" t="n">
        <f aca="false">SABR_Base!G11+SABR_Shocks!$C$6*SABR_Shocks!G26</f>
        <v>0.3917112</v>
      </c>
      <c r="H13" s="25" t="n">
        <f aca="false">SABR_Base!H11+SABR_Shocks!$C$6*SABR_Shocks!H26</f>
        <v>0.3715816</v>
      </c>
      <c r="I13" s="25" t="n">
        <f aca="false">SABR_Base!I11+SABR_Shocks!$C$6*SABR_Shocks!I26</f>
        <v>0.3617005</v>
      </c>
      <c r="J13" s="25" t="n">
        <f aca="false">SABR_Base!J11+SABR_Shocks!$C$6*SABR_Shocks!J26</f>
        <v>0.3465065</v>
      </c>
      <c r="K13" s="25" t="n">
        <f aca="false">SABR_Base!K11+SABR_Shocks!$C$6*SABR_Shocks!K26</f>
        <v>0.3193175</v>
      </c>
      <c r="L13" s="25" t="n">
        <f aca="false">SABR_Base!L11+SABR_Shocks!$C$6*SABR_Shocks!L26</f>
        <v>0.3058344</v>
      </c>
    </row>
    <row r="14" customFormat="false" ht="15" hidden="false" customHeight="true" outlineLevel="0" collapsed="false">
      <c r="B14" s="30" t="s">
        <v>61</v>
      </c>
      <c r="C14" s="25" t="n">
        <f aca="false">SABR_Base!C12+SABR_Shocks!$C$6*SABR_Shocks!C27</f>
        <v>0.4340238</v>
      </c>
      <c r="D14" s="25" t="n">
        <f aca="false">SABR_Base!D12+SABR_Shocks!$C$6*SABR_Shocks!D27</f>
        <v>0.4293823</v>
      </c>
      <c r="E14" s="25" t="n">
        <f aca="false">SABR_Base!E12+SABR_Shocks!$C$6*SABR_Shocks!E27</f>
        <v>0.4109982</v>
      </c>
      <c r="F14" s="25" t="n">
        <f aca="false">SABR_Base!F12+SABR_Shocks!$C$6*SABR_Shocks!F27</f>
        <v>0.4001201</v>
      </c>
      <c r="G14" s="25" t="n">
        <f aca="false">SABR_Base!G12+SABR_Shocks!$C$6*SABR_Shocks!G27</f>
        <v>0.3791786</v>
      </c>
      <c r="H14" s="25" t="n">
        <f aca="false">SABR_Base!H12+SABR_Shocks!$C$6*SABR_Shocks!H27</f>
        <v>0.3510658</v>
      </c>
      <c r="I14" s="25" t="n">
        <f aca="false">SABR_Base!I12+SABR_Shocks!$C$6*SABR_Shocks!I27</f>
        <v>0.3350689</v>
      </c>
      <c r="J14" s="25" t="n">
        <f aca="false">SABR_Base!J12+SABR_Shocks!$C$6*SABR_Shocks!J27</f>
        <v>0.3231581</v>
      </c>
      <c r="K14" s="25" t="n">
        <f aca="false">SABR_Base!K12+SABR_Shocks!$C$6*SABR_Shocks!K27</f>
        <v>0.2932225</v>
      </c>
      <c r="L14" s="25" t="n">
        <f aca="false">SABR_Base!L12+SABR_Shocks!$C$6*SABR_Shocks!L27</f>
        <v>0.2843721</v>
      </c>
    </row>
    <row r="15" customFormat="false" ht="15" hidden="false" customHeight="true" outlineLevel="0" collapsed="false">
      <c r="B15" s="30" t="s">
        <v>62</v>
      </c>
      <c r="C15" s="25" t="n">
        <f aca="false">SABR_Base!C13+SABR_Shocks!$C$6*SABR_Shocks!C28</f>
        <v>0.4185635</v>
      </c>
      <c r="D15" s="25" t="n">
        <f aca="false">SABR_Base!D13+SABR_Shocks!$C$6*SABR_Shocks!D28</f>
        <v>0.3999329</v>
      </c>
      <c r="E15" s="25" t="n">
        <f aca="false">SABR_Base!E13+SABR_Shocks!$C$6*SABR_Shocks!E28</f>
        <v>0.3815686</v>
      </c>
      <c r="F15" s="25" t="n">
        <f aca="false">SABR_Base!F13+SABR_Shocks!$C$6*SABR_Shocks!F28</f>
        <v>0.3782964</v>
      </c>
      <c r="G15" s="25" t="n">
        <f aca="false">SABR_Base!G13+SABR_Shocks!$C$6*SABR_Shocks!G28</f>
        <v>0.3475698</v>
      </c>
      <c r="H15" s="25" t="n">
        <f aca="false">SABR_Base!H13+SABR_Shocks!$C$6*SABR_Shocks!H28</f>
        <v>0.3328243</v>
      </c>
      <c r="I15" s="25" t="n">
        <f aca="false">SABR_Base!I13+SABR_Shocks!$C$6*SABR_Shocks!I28</f>
        <v>0.3180937</v>
      </c>
      <c r="J15" s="25" t="n">
        <f aca="false">SABR_Base!J13+SABR_Shocks!$C$6*SABR_Shocks!J28</f>
        <v>0.3099344</v>
      </c>
      <c r="K15" s="25" t="n">
        <f aca="false">SABR_Base!K13+SABR_Shocks!$C$6*SABR_Shocks!K28</f>
        <v>0.2764345</v>
      </c>
      <c r="L15" s="25" t="n">
        <f aca="false">SABR_Base!L13+SABR_Shocks!$C$6*SABR_Shocks!L28</f>
        <v>0.267185</v>
      </c>
    </row>
    <row r="16" customFormat="false" ht="15" hidden="false" customHeight="true" outlineLevel="0" collapsed="false">
      <c r="B16" s="30" t="s">
        <v>63</v>
      </c>
      <c r="C16" s="25" t="n">
        <f aca="false">SABR_Base!C14+SABR_Shocks!$C$6*SABR_Shocks!C29</f>
        <v>0.4085438</v>
      </c>
      <c r="D16" s="25" t="n">
        <f aca="false">SABR_Base!D14+SABR_Shocks!$C$6*SABR_Shocks!D29</f>
        <v>0.3982072</v>
      </c>
      <c r="E16" s="25" t="n">
        <f aca="false">SABR_Base!E14+SABR_Shocks!$C$6*SABR_Shocks!E29</f>
        <v>0.3789806</v>
      </c>
      <c r="F16" s="25" t="n">
        <f aca="false">SABR_Base!F14+SABR_Shocks!$C$6*SABR_Shocks!F29</f>
        <v>0.3625668</v>
      </c>
      <c r="G16" s="25" t="n">
        <f aca="false">SABR_Base!G14+SABR_Shocks!$C$6*SABR_Shocks!G29</f>
        <v>0.3330085</v>
      </c>
      <c r="H16" s="25" t="n">
        <f aca="false">SABR_Base!H14+SABR_Shocks!$C$6*SABR_Shocks!H29</f>
        <v>0.3185541</v>
      </c>
      <c r="I16" s="25" t="n">
        <f aca="false">SABR_Base!I14+SABR_Shocks!$C$6*SABR_Shocks!I29</f>
        <v>0.2997344</v>
      </c>
      <c r="J16" s="25" t="n">
        <f aca="false">SABR_Base!J14+SABR_Shocks!$C$6*SABR_Shocks!J29</f>
        <v>0.292485</v>
      </c>
      <c r="K16" s="25" t="n">
        <f aca="false">SABR_Base!K14+SABR_Shocks!$C$6*SABR_Shocks!K29</f>
        <v>0.277285</v>
      </c>
      <c r="L16" s="25" t="n">
        <f aca="false">SABR_Base!L14+SABR_Shocks!$C$6*SABR_Shocks!L29</f>
        <v>0.244485</v>
      </c>
    </row>
    <row r="18" customFormat="false" ht="15" hidden="false" customHeight="true" outlineLevel="0" collapsed="false">
      <c r="B18" s="34" t="s">
        <v>115</v>
      </c>
      <c r="C18" s="34"/>
      <c r="D18" s="34"/>
      <c r="E18" s="34"/>
      <c r="F18" s="34"/>
      <c r="G18" s="34"/>
      <c r="H18" s="34"/>
      <c r="I18" s="34"/>
      <c r="J18" s="34"/>
      <c r="K18" s="34"/>
      <c r="L18" s="34"/>
    </row>
    <row r="19" customFormat="false" ht="15" hidden="false" customHeight="true" outlineLevel="0" collapsed="false">
      <c r="B19" s="12" t="s">
        <v>113</v>
      </c>
      <c r="C19" s="13" t="s">
        <v>114</v>
      </c>
      <c r="D19" s="13" t="s">
        <v>56</v>
      </c>
      <c r="E19" s="13" t="s">
        <v>57</v>
      </c>
      <c r="F19" s="13" t="s">
        <v>30</v>
      </c>
      <c r="G19" s="13" t="s">
        <v>58</v>
      </c>
      <c r="H19" s="13" t="s">
        <v>59</v>
      </c>
      <c r="I19" s="13" t="s">
        <v>60</v>
      </c>
      <c r="J19" s="13" t="s">
        <v>61</v>
      </c>
      <c r="K19" s="13" t="s">
        <v>62</v>
      </c>
      <c r="L19" s="13" t="s">
        <v>63</v>
      </c>
    </row>
    <row r="20" customFormat="false" ht="15" hidden="false" customHeight="true" outlineLevel="0" collapsed="false">
      <c r="B20" s="30" t="s">
        <v>114</v>
      </c>
      <c r="C20" s="25" t="n">
        <f aca="false">SABR_Base!C19+SABR_Shocks!$D$6*SABR_Shocks!C20</f>
        <v>-0.3473743</v>
      </c>
      <c r="D20" s="25" t="n">
        <f aca="false">SABR_Base!D19+SABR_Shocks!$D$6*SABR_Shocks!D20</f>
        <v>-0.3272474</v>
      </c>
      <c r="E20" s="25" t="n">
        <f aca="false">SABR_Base!E19+SABR_Shocks!$D$6*SABR_Shocks!E20</f>
        <v>-0.308306</v>
      </c>
      <c r="F20" s="25" t="n">
        <f aca="false">SABR_Base!F19+SABR_Shocks!$D$6*SABR_Shocks!F20</f>
        <v>-0.284362</v>
      </c>
      <c r="G20" s="25" t="n">
        <f aca="false">SABR_Base!G19+SABR_Shocks!$D$6*SABR_Shocks!G20</f>
        <v>-0.2633491</v>
      </c>
      <c r="H20" s="25" t="n">
        <f aca="false">SABR_Base!H19+SABR_Shocks!$D$6*SABR_Shocks!H20</f>
        <v>-0.2510191</v>
      </c>
      <c r="I20" s="25" t="n">
        <f aca="false">SABR_Base!I19+SABR_Shocks!$D$6*SABR_Shocks!I20</f>
        <v>-0.237087</v>
      </c>
      <c r="J20" s="25" t="n">
        <f aca="false">SABR_Base!J19+SABR_Shocks!$D$6*SABR_Shocks!J20</f>
        <v>-0.2098</v>
      </c>
      <c r="K20" s="25" t="n">
        <f aca="false">SABR_Base!K19+SABR_Shocks!$D$6*SABR_Shocks!K20</f>
        <v>-0.19197</v>
      </c>
      <c r="L20" s="25" t="n">
        <f aca="false">SABR_Base!L19+SABR_Shocks!$D$6*SABR_Shocks!L20</f>
        <v>-0.1691286</v>
      </c>
    </row>
    <row r="21" customFormat="false" ht="15" hidden="false" customHeight="true" outlineLevel="0" collapsed="false">
      <c r="B21" s="30" t="s">
        <v>56</v>
      </c>
      <c r="C21" s="25" t="n">
        <f aca="false">SABR_Base!C20+SABR_Shocks!$D$6*SABR_Shocks!C21</f>
        <v>-0.3129557</v>
      </c>
      <c r="D21" s="25" t="n">
        <f aca="false">SABR_Base!D20+SABR_Shocks!$D$6*SABR_Shocks!D21</f>
        <v>-0.2992972</v>
      </c>
      <c r="E21" s="25" t="n">
        <f aca="false">SABR_Base!E20+SABR_Shocks!$D$6*SABR_Shocks!E21</f>
        <v>-0.2838931</v>
      </c>
      <c r="F21" s="25" t="n">
        <f aca="false">SABR_Base!F20+SABR_Shocks!$D$6*SABR_Shocks!F21</f>
        <v>-0.2629802</v>
      </c>
      <c r="G21" s="25" t="n">
        <f aca="false">SABR_Base!G20+SABR_Shocks!$D$6*SABR_Shocks!G21</f>
        <v>-0.2426538</v>
      </c>
      <c r="H21" s="25" t="n">
        <f aca="false">SABR_Base!H20+SABR_Shocks!$D$6*SABR_Shocks!H21</f>
        <v>-0.2362922</v>
      </c>
      <c r="I21" s="25" t="n">
        <f aca="false">SABR_Base!I20+SABR_Shocks!$D$6*SABR_Shocks!I21</f>
        <v>-0.2002513</v>
      </c>
      <c r="J21" s="25" t="n">
        <f aca="false">SABR_Base!J20+SABR_Shocks!$D$6*SABR_Shocks!J21</f>
        <v>-0.1838239</v>
      </c>
      <c r="K21" s="25" t="n">
        <f aca="false">SABR_Base!K20+SABR_Shocks!$D$6*SABR_Shocks!K21</f>
        <v>-0.1628431</v>
      </c>
      <c r="L21" s="25" t="n">
        <f aca="false">SABR_Base!L20+SABR_Shocks!$D$6*SABR_Shocks!L21</f>
        <v>-0.1454903</v>
      </c>
    </row>
    <row r="22" customFormat="false" ht="15" hidden="false" customHeight="true" outlineLevel="0" collapsed="false">
      <c r="B22" s="30" t="s">
        <v>57</v>
      </c>
      <c r="C22" s="25" t="n">
        <f aca="false">SABR_Base!C21+SABR_Shocks!$D$6*SABR_Shocks!C22</f>
        <v>-0.305377</v>
      </c>
      <c r="D22" s="25" t="n">
        <f aca="false">SABR_Base!D21+SABR_Shocks!$D$6*SABR_Shocks!D22</f>
        <v>-0.2862159</v>
      </c>
      <c r="E22" s="25" t="n">
        <f aca="false">SABR_Base!E21+SABR_Shocks!$D$6*SABR_Shocks!E22</f>
        <v>-0.2729895</v>
      </c>
      <c r="F22" s="25" t="n">
        <f aca="false">SABR_Base!F21+SABR_Shocks!$D$6*SABR_Shocks!F22</f>
        <v>-0.2435564</v>
      </c>
      <c r="G22" s="25" t="n">
        <f aca="false">SABR_Base!G21+SABR_Shocks!$D$6*SABR_Shocks!G22</f>
        <v>-0.2358927</v>
      </c>
      <c r="H22" s="25" t="n">
        <f aca="false">SABR_Base!H21+SABR_Shocks!$D$6*SABR_Shocks!H22</f>
        <v>-0.2170052</v>
      </c>
      <c r="I22" s="25" t="n">
        <f aca="false">SABR_Base!I21+SABR_Shocks!$D$6*SABR_Shocks!I22</f>
        <v>-0.1954322</v>
      </c>
      <c r="J22" s="25" t="n">
        <f aca="false">SABR_Base!J21+SABR_Shocks!$D$6*SABR_Shocks!J22</f>
        <v>-0.1772514</v>
      </c>
      <c r="K22" s="25" t="n">
        <f aca="false">SABR_Base!K21+SABR_Shocks!$D$6*SABR_Shocks!K22</f>
        <v>-0.1547131</v>
      </c>
      <c r="L22" s="25" t="n">
        <f aca="false">SABR_Base!L21+SABR_Shocks!$D$6*SABR_Shocks!L22</f>
        <v>-0.1417028</v>
      </c>
    </row>
    <row r="23" customFormat="false" ht="15" hidden="false" customHeight="true" outlineLevel="0" collapsed="false">
      <c r="B23" s="30" t="s">
        <v>30</v>
      </c>
      <c r="C23" s="25" t="n">
        <f aca="false">SABR_Base!C22+SABR_Shocks!$D$6*SABR_Shocks!C23</f>
        <v>-0.2942615</v>
      </c>
      <c r="D23" s="25" t="n">
        <f aca="false">SABR_Base!D22+SABR_Shocks!$D$6*SABR_Shocks!D23</f>
        <v>-0.272189</v>
      </c>
      <c r="E23" s="25" t="n">
        <f aca="false">SABR_Base!E22+SABR_Shocks!$D$6*SABR_Shocks!E23</f>
        <v>-0.2539854</v>
      </c>
      <c r="F23" s="25" t="n">
        <f aca="false">SABR_Base!F22+SABR_Shocks!$D$6*SABR_Shocks!F23</f>
        <v>-0.2299725</v>
      </c>
      <c r="G23" s="25" t="n">
        <f aca="false">SABR_Base!G22+SABR_Shocks!$D$6*SABR_Shocks!G23</f>
        <v>-0.2180021</v>
      </c>
      <c r="H23" s="25" t="n">
        <f aca="false">SABR_Base!H22+SABR_Shocks!$D$6*SABR_Shocks!H23</f>
        <v>-0.1820695</v>
      </c>
      <c r="I23" s="25" t="n">
        <f aca="false">SABR_Base!I22+SABR_Shocks!$D$6*SABR_Shocks!I23</f>
        <v>-0.1683338</v>
      </c>
      <c r="J23" s="25" t="n">
        <f aca="false">SABR_Base!J22+SABR_Shocks!$D$6*SABR_Shocks!J23</f>
        <v>-0.1587582</v>
      </c>
      <c r="K23" s="25" t="n">
        <f aca="false">SABR_Base!K22+SABR_Shocks!$D$6*SABR_Shocks!K23</f>
        <v>-0.1375204</v>
      </c>
      <c r="L23" s="25" t="n">
        <f aca="false">SABR_Base!L22+SABR_Shocks!$D$6*SABR_Shocks!L23</f>
        <v>-0.1168443</v>
      </c>
    </row>
    <row r="24" customFormat="false" ht="15" hidden="false" customHeight="true" outlineLevel="0" collapsed="false">
      <c r="B24" s="30" t="s">
        <v>58</v>
      </c>
      <c r="C24" s="25" t="n">
        <f aca="false">SABR_Base!C23+SABR_Shocks!$D$6*SABR_Shocks!C24</f>
        <v>-0.2678092</v>
      </c>
      <c r="D24" s="25" t="n">
        <f aca="false">SABR_Base!D23+SABR_Shocks!$D$6*SABR_Shocks!D24</f>
        <v>-0.2537621</v>
      </c>
      <c r="E24" s="25" t="n">
        <f aca="false">SABR_Base!E23+SABR_Shocks!$D$6*SABR_Shocks!E24</f>
        <v>-0.2204663</v>
      </c>
      <c r="F24" s="25" t="n">
        <f aca="false">SABR_Base!F23+SABR_Shocks!$D$6*SABR_Shocks!F24</f>
        <v>-0.1983912</v>
      </c>
      <c r="G24" s="25" t="n">
        <f aca="false">SABR_Base!G23+SABR_Shocks!$D$6*SABR_Shocks!G24</f>
        <v>-0.1902094</v>
      </c>
      <c r="H24" s="25" t="n">
        <f aca="false">SABR_Base!H23+SABR_Shocks!$D$6*SABR_Shocks!H24</f>
        <v>-0.1707457</v>
      </c>
      <c r="I24" s="25" t="n">
        <f aca="false">SABR_Base!I23+SABR_Shocks!$D$6*SABR_Shocks!I24</f>
        <v>-0.1599411</v>
      </c>
      <c r="J24" s="25" t="n">
        <f aca="false">SABR_Base!J23+SABR_Shocks!$D$6*SABR_Shocks!J24</f>
        <v>-0.1406515</v>
      </c>
      <c r="K24" s="25" t="n">
        <f aca="false">SABR_Base!K23+SABR_Shocks!$D$6*SABR_Shocks!K24</f>
        <v>-0.1169329</v>
      </c>
      <c r="L24" s="25" t="n">
        <f aca="false">SABR_Base!L23+SABR_Shocks!$D$6*SABR_Shocks!L24</f>
        <v>-0.0995288</v>
      </c>
    </row>
    <row r="25" customFormat="false" ht="15" hidden="false" customHeight="true" outlineLevel="0" collapsed="false">
      <c r="B25" s="30" t="s">
        <v>59</v>
      </c>
      <c r="C25" s="25" t="n">
        <f aca="false">SABR_Base!C24+SABR_Shocks!$D$6*SABR_Shocks!C25</f>
        <v>-0.2394854</v>
      </c>
      <c r="D25" s="25" t="n">
        <f aca="false">SABR_Base!D24+SABR_Shocks!$D$6*SABR_Shocks!D25</f>
        <v>-0.2339554</v>
      </c>
      <c r="E25" s="25" t="n">
        <f aca="false">SABR_Base!E24+SABR_Shocks!$D$6*SABR_Shocks!E25</f>
        <v>-0.2179394</v>
      </c>
      <c r="F25" s="25" t="n">
        <f aca="false">SABR_Base!F24+SABR_Shocks!$D$6*SABR_Shocks!F25</f>
        <v>-0.1802529</v>
      </c>
      <c r="G25" s="25" t="n">
        <f aca="false">SABR_Base!G24+SABR_Shocks!$D$6*SABR_Shocks!G25</f>
        <v>-0.1699939</v>
      </c>
      <c r="H25" s="25" t="n">
        <f aca="false">SABR_Base!H24+SABR_Shocks!$D$6*SABR_Shocks!H25</f>
        <v>-0.1586442</v>
      </c>
      <c r="I25" s="25" t="n">
        <f aca="false">SABR_Base!I24+SABR_Shocks!$D$6*SABR_Shocks!I25</f>
        <v>-0.1316033</v>
      </c>
      <c r="J25" s="25" t="n">
        <f aca="false">SABR_Base!J24+SABR_Shocks!$D$6*SABR_Shocks!J25</f>
        <v>-0.1230847</v>
      </c>
      <c r="K25" s="25" t="n">
        <f aca="false">SABR_Base!K24+SABR_Shocks!$D$6*SABR_Shocks!K25</f>
        <v>-0.0943858</v>
      </c>
      <c r="L25" s="25" t="n">
        <f aca="false">SABR_Base!L24+SABR_Shocks!$D$6*SABR_Shocks!L25</f>
        <v>-0.0660967</v>
      </c>
    </row>
    <row r="26" customFormat="false" ht="15" hidden="false" customHeight="true" outlineLevel="0" collapsed="false">
      <c r="B26" s="30" t="s">
        <v>60</v>
      </c>
      <c r="C26" s="25" t="n">
        <f aca="false">SABR_Base!C25+SABR_Shocks!$D$6*SABR_Shocks!C26</f>
        <v>-0.2201549</v>
      </c>
      <c r="D26" s="25" t="n">
        <f aca="false">SABR_Base!D25+SABR_Shocks!$D$6*SABR_Shocks!D26</f>
        <v>-0.2045565</v>
      </c>
      <c r="E26" s="25" t="n">
        <f aca="false">SABR_Base!E25+SABR_Shocks!$D$6*SABR_Shocks!E26</f>
        <v>-0.1940928</v>
      </c>
      <c r="F26" s="25" t="n">
        <f aca="false">SABR_Base!F25+SABR_Shocks!$D$6*SABR_Shocks!F26</f>
        <v>-0.173254</v>
      </c>
      <c r="G26" s="25" t="n">
        <f aca="false">SABR_Base!G25+SABR_Shocks!$D$6*SABR_Shocks!G26</f>
        <v>-0.1582784</v>
      </c>
      <c r="H26" s="25" t="n">
        <f aca="false">SABR_Base!H25+SABR_Shocks!$D$6*SABR_Shocks!H26</f>
        <v>-0.1273712</v>
      </c>
      <c r="I26" s="25" t="n">
        <f aca="false">SABR_Base!I25+SABR_Shocks!$D$6*SABR_Shocks!I26</f>
        <v>-0.1131785</v>
      </c>
      <c r="J26" s="25" t="n">
        <f aca="false">SABR_Base!J25+SABR_Shocks!$D$6*SABR_Shocks!J26</f>
        <v>-0.0891205</v>
      </c>
      <c r="K26" s="25" t="n">
        <f aca="false">SABR_Base!K25+SABR_Shocks!$D$6*SABR_Shocks!K26</f>
        <v>-0.0793475</v>
      </c>
      <c r="L26" s="25" t="n">
        <f aca="false">SABR_Base!L25+SABR_Shocks!$D$6*SABR_Shocks!L26</f>
        <v>-0.0624408</v>
      </c>
    </row>
    <row r="27" customFormat="false" ht="15" hidden="false" customHeight="true" outlineLevel="0" collapsed="false">
      <c r="B27" s="30" t="s">
        <v>61</v>
      </c>
      <c r="C27" s="25" t="n">
        <f aca="false">SABR_Base!C26+SABR_Shocks!$D$6*SABR_Shocks!C27</f>
        <v>-0.2022166</v>
      </c>
      <c r="D27" s="25" t="n">
        <f aca="false">SABR_Base!D26+SABR_Shocks!$D$6*SABR_Shocks!D27</f>
        <v>-0.1797011</v>
      </c>
      <c r="E27" s="25" t="n">
        <f aca="false">SABR_Base!E26+SABR_Shocks!$D$6*SABR_Shocks!E27</f>
        <v>-0.1632374</v>
      </c>
      <c r="F27" s="25" t="n">
        <f aca="false">SABR_Base!F26+SABR_Shocks!$D$6*SABR_Shocks!F27</f>
        <v>-0.1454157</v>
      </c>
      <c r="G27" s="25" t="n">
        <f aca="false">SABR_Base!G26+SABR_Shocks!$D$6*SABR_Shocks!G27</f>
        <v>-0.1262002</v>
      </c>
      <c r="H27" s="25" t="n">
        <f aca="false">SABR_Base!H26+SABR_Shocks!$D$6*SABR_Shocks!H27</f>
        <v>-0.1088106</v>
      </c>
      <c r="I27" s="25" t="n">
        <f aca="false">SABR_Base!I26+SABR_Shocks!$D$6*SABR_Shocks!I27</f>
        <v>-0.1003573</v>
      </c>
      <c r="J27" s="25" t="n">
        <f aca="false">SABR_Base!J26+SABR_Shocks!$D$6*SABR_Shocks!J27</f>
        <v>-0.0755817</v>
      </c>
      <c r="K27" s="25" t="n">
        <f aca="false">SABR_Base!K26+SABR_Shocks!$D$6*SABR_Shocks!K27</f>
        <v>-0.0596325</v>
      </c>
      <c r="L27" s="25" t="n">
        <f aca="false">SABR_Base!L26+SABR_Shocks!$D$6*SABR_Shocks!L27</f>
        <v>-0.0472797</v>
      </c>
    </row>
    <row r="28" customFormat="false" ht="15" hidden="false" customHeight="true" outlineLevel="0" collapsed="false">
      <c r="B28" s="30" t="s">
        <v>62</v>
      </c>
      <c r="C28" s="25" t="n">
        <f aca="false">SABR_Base!C27+SABR_Shocks!$D$6*SABR_Shocks!C28</f>
        <v>-0.1989695</v>
      </c>
      <c r="D28" s="25" t="n">
        <f aca="false">SABR_Base!D27+SABR_Shocks!$D$6*SABR_Shocks!D28</f>
        <v>-0.1750053</v>
      </c>
      <c r="E28" s="25" t="n">
        <f aca="false">SABR_Base!E27+SABR_Shocks!$D$6*SABR_Shocks!E28</f>
        <v>-0.1563302</v>
      </c>
      <c r="F28" s="25" t="n">
        <f aca="false">SABR_Base!F27+SABR_Shocks!$D$6*SABR_Shocks!F28</f>
        <v>-0.1286748</v>
      </c>
      <c r="G28" s="25" t="n">
        <f aca="false">SABR_Base!G27+SABR_Shocks!$D$6*SABR_Shocks!G28</f>
        <v>-0.1046386</v>
      </c>
      <c r="H28" s="25" t="n">
        <f aca="false">SABR_Base!H27+SABR_Shocks!$D$6*SABR_Shocks!H28</f>
        <v>-0.0956951</v>
      </c>
      <c r="I28" s="25" t="n">
        <f aca="false">SABR_Base!I27+SABR_Shocks!$D$6*SABR_Shocks!I28</f>
        <v>-0.0669309</v>
      </c>
      <c r="J28" s="25" t="n">
        <f aca="false">SABR_Base!J27+SABR_Shocks!$D$6*SABR_Shocks!J28</f>
        <v>-0.0471408</v>
      </c>
      <c r="K28" s="25" t="n">
        <f aca="false">SABR_Base!K27+SABR_Shocks!$D$6*SABR_Shocks!K28</f>
        <v>-0.0289165</v>
      </c>
      <c r="L28" s="25" t="n">
        <f aca="false">SABR_Base!L27+SABR_Shocks!$D$6*SABR_Shocks!L28</f>
        <v>-0.021345</v>
      </c>
    </row>
    <row r="29" customFormat="false" ht="15" hidden="false" customHeight="true" outlineLevel="0" collapsed="false">
      <c r="B29" s="30" t="s">
        <v>63</v>
      </c>
      <c r="C29" s="25" t="n">
        <f aca="false">SABR_Base!C28+SABR_Shocks!$D$6*SABR_Shocks!C29</f>
        <v>-0.1762566</v>
      </c>
      <c r="D29" s="25" t="n">
        <f aca="false">SABR_Base!D28+SABR_Shocks!$D$6*SABR_Shocks!D29</f>
        <v>-0.1568504</v>
      </c>
      <c r="E29" s="25" t="n">
        <f aca="false">SABR_Base!E28+SABR_Shocks!$D$6*SABR_Shocks!E29</f>
        <v>-0.1388142</v>
      </c>
      <c r="F29" s="25" t="n">
        <f aca="false">SABR_Base!F28+SABR_Shocks!$D$6*SABR_Shocks!F29</f>
        <v>-0.1195676</v>
      </c>
      <c r="G29" s="25" t="n">
        <f aca="false">SABR_Base!G28+SABR_Shocks!$D$6*SABR_Shocks!G29</f>
        <v>-0.0923345</v>
      </c>
      <c r="H29" s="25" t="n">
        <f aca="false">SABR_Base!H28+SABR_Shocks!$D$6*SABR_Shocks!H29</f>
        <v>-0.0677537</v>
      </c>
      <c r="I29" s="25" t="n">
        <f aca="false">SABR_Base!I28+SABR_Shocks!$D$6*SABR_Shocks!I29</f>
        <v>-0.0500408</v>
      </c>
      <c r="J29" s="25" t="n">
        <f aca="false">SABR_Base!J28+SABR_Shocks!$D$6*SABR_Shocks!J29</f>
        <v>-0.038445</v>
      </c>
      <c r="K29" s="25" t="n">
        <f aca="false">SABR_Base!K28+SABR_Shocks!$D$6*SABR_Shocks!K29</f>
        <v>-0.015545</v>
      </c>
      <c r="L29" s="25" t="n">
        <f aca="false">SABR_Base!L28+SABR_Shocks!$D$6*SABR_Shocks!L29</f>
        <v>0.006855</v>
      </c>
    </row>
    <row r="31" customFormat="false" ht="15" hidden="false" customHeight="true" outlineLevel="0" collapsed="false">
      <c r="B31" s="34" t="s">
        <v>116</v>
      </c>
      <c r="C31" s="34"/>
      <c r="D31" s="34"/>
      <c r="E31" s="34"/>
      <c r="F31" s="34"/>
      <c r="G31" s="34"/>
      <c r="H31" s="34"/>
      <c r="I31" s="34"/>
      <c r="J31" s="34"/>
      <c r="K31" s="34"/>
      <c r="L31" s="34"/>
    </row>
    <row r="32" customFormat="false" ht="15" hidden="false" customHeight="true" outlineLevel="0" collapsed="false">
      <c r="B32" s="12" t="s">
        <v>113</v>
      </c>
      <c r="C32" s="13" t="s">
        <v>114</v>
      </c>
      <c r="D32" s="13" t="s">
        <v>56</v>
      </c>
      <c r="E32" s="13" t="s">
        <v>57</v>
      </c>
      <c r="F32" s="13" t="s">
        <v>30</v>
      </c>
      <c r="G32" s="13" t="s">
        <v>58</v>
      </c>
      <c r="H32" s="13" t="s">
        <v>59</v>
      </c>
      <c r="I32" s="13" t="s">
        <v>60</v>
      </c>
      <c r="J32" s="13" t="s">
        <v>61</v>
      </c>
      <c r="K32" s="13" t="s">
        <v>62</v>
      </c>
      <c r="L32" s="13" t="s">
        <v>63</v>
      </c>
    </row>
    <row r="33" customFormat="false" ht="15" hidden="false" customHeight="true" outlineLevel="0" collapsed="false">
      <c r="B33" s="30" t="s">
        <v>114</v>
      </c>
      <c r="C33" s="25" t="n">
        <f aca="false">SABR_Base!C33+SABR_Shocks!$E$6*SABR_Shocks!C20</f>
        <v>0.8775624</v>
      </c>
      <c r="D33" s="25" t="n">
        <f aca="false">SABR_Base!D33+SABR_Shocks!$E$6*SABR_Shocks!D20</f>
        <v>0.8650032</v>
      </c>
      <c r="E33" s="25" t="n">
        <f aca="false">SABR_Base!E33+SABR_Shocks!$E$6*SABR_Shocks!E20</f>
        <v>0.845608</v>
      </c>
      <c r="F33" s="25" t="n">
        <f aca="false">SABR_Base!F33+SABR_Shocks!$E$6*SABR_Shocks!F20</f>
        <v>0.819016</v>
      </c>
      <c r="G33" s="25" t="n">
        <f aca="false">SABR_Base!G33+SABR_Shocks!$E$6*SABR_Shocks!G20</f>
        <v>0.7938088</v>
      </c>
      <c r="H33" s="25" t="n">
        <f aca="false">SABR_Base!H33+SABR_Shocks!$E$6*SABR_Shocks!H20</f>
        <v>0.7638688</v>
      </c>
      <c r="I33" s="25" t="n">
        <f aca="false">SABR_Base!I33+SABR_Shocks!$E$6*SABR_Shocks!I20</f>
        <v>0.734616</v>
      </c>
      <c r="J33" s="25" t="n">
        <f aca="false">SABR_Base!J33+SABR_Shocks!$E$6*SABR_Shocks!J20</f>
        <v>0.7226</v>
      </c>
      <c r="K33" s="25" t="n">
        <f aca="false">SABR_Base!K33+SABR_Shocks!$E$6*SABR_Shocks!K20</f>
        <v>0.68906</v>
      </c>
      <c r="L33" s="25" t="n">
        <f aca="false">SABR_Base!L33+SABR_Shocks!$E$6*SABR_Shocks!L20</f>
        <v>0.6739648</v>
      </c>
    </row>
    <row r="34" customFormat="false" ht="15" hidden="false" customHeight="true" outlineLevel="0" collapsed="false">
      <c r="B34" s="30" t="s">
        <v>56</v>
      </c>
      <c r="C34" s="25" t="n">
        <f aca="false">SABR_Base!C34+SABR_Shocks!$E$6*SABR_Shocks!C21</f>
        <v>0.8707776</v>
      </c>
      <c r="D34" s="25" t="n">
        <f aca="false">SABR_Base!D34+SABR_Shocks!$E$6*SABR_Shocks!D21</f>
        <v>0.8349496</v>
      </c>
      <c r="E34" s="25" t="n">
        <f aca="false">SABR_Base!E34+SABR_Shocks!$E$6*SABR_Shocks!E21</f>
        <v>0.8109008</v>
      </c>
      <c r="F34" s="25" t="n">
        <f aca="false">SABR_Base!F34+SABR_Shocks!$E$6*SABR_Shocks!F21</f>
        <v>0.7971936</v>
      </c>
      <c r="G34" s="25" t="n">
        <f aca="false">SABR_Base!G34+SABR_Shocks!$E$6*SABR_Shocks!G21</f>
        <v>0.7695184</v>
      </c>
      <c r="H34" s="25" t="n">
        <f aca="false">SABR_Base!H34+SABR_Shocks!$E$6*SABR_Shocks!H21</f>
        <v>0.7337096</v>
      </c>
      <c r="I34" s="25" t="n">
        <f aca="false">SABR_Base!I34+SABR_Shocks!$E$6*SABR_Shocks!I21</f>
        <v>0.7091984</v>
      </c>
      <c r="J34" s="25" t="n">
        <f aca="false">SABR_Base!J34+SABR_Shocks!$E$6*SABR_Shocks!J21</f>
        <v>0.6847552</v>
      </c>
      <c r="K34" s="25" t="n">
        <f aca="false">SABR_Base!K34+SABR_Shocks!$E$6*SABR_Shocks!K21</f>
        <v>0.6764008</v>
      </c>
      <c r="L34" s="25" t="n">
        <f aca="false">SABR_Base!L34+SABR_Shocks!$E$6*SABR_Shocks!L21</f>
        <v>0.6500504</v>
      </c>
    </row>
    <row r="35" customFormat="false" ht="15" hidden="false" customHeight="true" outlineLevel="0" collapsed="false">
      <c r="B35" s="30" t="s">
        <v>57</v>
      </c>
      <c r="C35" s="25" t="n">
        <f aca="false">SABR_Base!C35+SABR_Shocks!$E$6*SABR_Shocks!C22</f>
        <v>0.829636</v>
      </c>
      <c r="D35" s="25" t="n">
        <f aca="false">SABR_Base!D35+SABR_Shocks!$E$6*SABR_Shocks!D22</f>
        <v>0.8193112</v>
      </c>
      <c r="E35" s="25" t="n">
        <f aca="false">SABR_Base!E35+SABR_Shocks!$E$6*SABR_Shocks!E22</f>
        <v>0.799036</v>
      </c>
      <c r="F35" s="25" t="n">
        <f aca="false">SABR_Base!F35+SABR_Shocks!$E$6*SABR_Shocks!F22</f>
        <v>0.7677152</v>
      </c>
      <c r="G35" s="25" t="n">
        <f aca="false">SABR_Base!G35+SABR_Shocks!$E$6*SABR_Shocks!G22</f>
        <v>0.7380936</v>
      </c>
      <c r="H35" s="25" t="n">
        <f aca="false">SABR_Base!H35+SABR_Shocks!$E$6*SABR_Shocks!H22</f>
        <v>0.7169936</v>
      </c>
      <c r="I35" s="25" t="n">
        <f aca="false">SABR_Base!I35+SABR_Shocks!$E$6*SABR_Shocks!I22</f>
        <v>0.6839296</v>
      </c>
      <c r="J35" s="25" t="n">
        <f aca="false">SABR_Base!J35+SABR_Shocks!$E$6*SABR_Shocks!J22</f>
        <v>0.6581752</v>
      </c>
      <c r="K35" s="25" t="n">
        <f aca="false">SABR_Base!K35+SABR_Shocks!$E$6*SABR_Shocks!K22</f>
        <v>0.6532608</v>
      </c>
      <c r="L35" s="25" t="n">
        <f aca="false">SABR_Base!L35+SABR_Shocks!$E$6*SABR_Shocks!L22</f>
        <v>0.6218504</v>
      </c>
    </row>
    <row r="36" customFormat="false" ht="15" hidden="false" customHeight="true" outlineLevel="0" collapsed="false">
      <c r="B36" s="30" t="s">
        <v>30</v>
      </c>
      <c r="C36" s="25" t="n">
        <f aca="false">SABR_Base!C36+SABR_Shocks!$E$6*SABR_Shocks!C23</f>
        <v>0.813132</v>
      </c>
      <c r="D36" s="25" t="n">
        <f aca="false">SABR_Base!D36+SABR_Shocks!$E$6*SABR_Shocks!D23</f>
        <v>0.797352</v>
      </c>
      <c r="E36" s="25" t="n">
        <f aca="false">SABR_Base!E36+SABR_Shocks!$E$6*SABR_Shocks!E23</f>
        <v>0.7639872</v>
      </c>
      <c r="F36" s="25" t="n">
        <f aca="false">SABR_Base!F36+SABR_Shocks!$E$6*SABR_Shocks!F23</f>
        <v>0.74818</v>
      </c>
      <c r="G36" s="25" t="n">
        <f aca="false">SABR_Base!G36+SABR_Shocks!$E$6*SABR_Shocks!G23</f>
        <v>0.7222128</v>
      </c>
      <c r="H36" s="25" t="n">
        <f aca="false">SABR_Base!H36+SABR_Shocks!$E$6*SABR_Shocks!H23</f>
        <v>0.685776</v>
      </c>
      <c r="I36" s="25" t="n">
        <f aca="false">SABR_Base!I36+SABR_Shocks!$E$6*SABR_Shocks!I23</f>
        <v>0.6621584</v>
      </c>
      <c r="J36" s="25" t="n">
        <f aca="false">SABR_Base!J36+SABR_Shocks!$E$6*SABR_Shocks!J23</f>
        <v>0.6386976</v>
      </c>
      <c r="K36" s="25" t="n">
        <f aca="false">SABR_Base!K36+SABR_Shocks!$E$6*SABR_Shocks!K23</f>
        <v>0.6144672</v>
      </c>
      <c r="L36" s="25" t="n">
        <f aca="false">SABR_Base!L36+SABR_Shocks!$E$6*SABR_Shocks!L23</f>
        <v>0.5963224</v>
      </c>
    </row>
    <row r="37" customFormat="false" ht="15" hidden="false" customHeight="true" outlineLevel="0" collapsed="false">
      <c r="B37" s="30" t="s">
        <v>58</v>
      </c>
      <c r="C37" s="25" t="n">
        <f aca="false">SABR_Base!C37+SABR_Shocks!$E$6*SABR_Shocks!C24</f>
        <v>0.7841656</v>
      </c>
      <c r="D37" s="25" t="n">
        <f aca="false">SABR_Base!D37+SABR_Shocks!$E$6*SABR_Shocks!D24</f>
        <v>0.7629928</v>
      </c>
      <c r="E37" s="25" t="n">
        <f aca="false">SABR_Base!E37+SABR_Shocks!$E$6*SABR_Shocks!E24</f>
        <v>0.7326184</v>
      </c>
      <c r="F37" s="25" t="n">
        <f aca="false">SABR_Base!F37+SABR_Shocks!$E$6*SABR_Shocks!F24</f>
        <v>0.7246416</v>
      </c>
      <c r="G37" s="25" t="n">
        <f aca="false">SABR_Base!G37+SABR_Shocks!$E$6*SABR_Shocks!G24</f>
        <v>0.6885192</v>
      </c>
      <c r="H37" s="25" t="n">
        <f aca="false">SABR_Base!H37+SABR_Shocks!$E$6*SABR_Shocks!H24</f>
        <v>0.6670976</v>
      </c>
      <c r="I37" s="25" t="n">
        <f aca="false">SABR_Base!I37+SABR_Shocks!$E$6*SABR_Shocks!I24</f>
        <v>0.6445648</v>
      </c>
      <c r="J37" s="25" t="n">
        <f aca="false">SABR_Base!J37+SABR_Shocks!$E$6*SABR_Shocks!J24</f>
        <v>0.627152</v>
      </c>
      <c r="K37" s="25" t="n">
        <f aca="false">SABR_Base!K37+SABR_Shocks!$E$6*SABR_Shocks!K24</f>
        <v>0.5929672</v>
      </c>
      <c r="L37" s="25" t="n">
        <f aca="false">SABR_Base!L37+SABR_Shocks!$E$6*SABR_Shocks!L24</f>
        <v>0.5788184</v>
      </c>
    </row>
    <row r="38" customFormat="false" ht="15" hidden="false" customHeight="true" outlineLevel="0" collapsed="false">
      <c r="B38" s="30" t="s">
        <v>59</v>
      </c>
      <c r="C38" s="25" t="n">
        <f aca="false">SABR_Base!C38+SABR_Shocks!$E$6*SABR_Shocks!C25</f>
        <v>0.7652872</v>
      </c>
      <c r="D38" s="25" t="n">
        <f aca="false">SABR_Base!D38+SABR_Shocks!$E$6*SABR_Shocks!D25</f>
        <v>0.7414472</v>
      </c>
      <c r="E38" s="25" t="n">
        <f aca="false">SABR_Base!E38+SABR_Shocks!$E$6*SABR_Shocks!E25</f>
        <v>0.7163592</v>
      </c>
      <c r="F38" s="25" t="n">
        <f aca="false">SABR_Base!F38+SABR_Shocks!$E$6*SABR_Shocks!F25</f>
        <v>0.6828272</v>
      </c>
      <c r="G38" s="25" t="n">
        <f aca="false">SABR_Base!G38+SABR_Shocks!$E$6*SABR_Shocks!G25</f>
        <v>0.6661152</v>
      </c>
      <c r="H38" s="25" t="n">
        <f aca="false">SABR_Base!H38+SABR_Shocks!$E$6*SABR_Shocks!H25</f>
        <v>0.6369456</v>
      </c>
      <c r="I38" s="25" t="n">
        <f aca="false">SABR_Base!I38+SABR_Shocks!$E$6*SABR_Shocks!I25</f>
        <v>0.6097344</v>
      </c>
      <c r="J38" s="25" t="n">
        <f aca="false">SABR_Base!J38+SABR_Shocks!$E$6*SABR_Shocks!J25</f>
        <v>0.6011496</v>
      </c>
      <c r="K38" s="25" t="n">
        <f aca="false">SABR_Base!K38+SABR_Shocks!$E$6*SABR_Shocks!K25</f>
        <v>0.5636944</v>
      </c>
      <c r="L38" s="25" t="n">
        <f aca="false">SABR_Base!L38+SABR_Shocks!$E$6*SABR_Shocks!L25</f>
        <v>0.5466656</v>
      </c>
    </row>
    <row r="39" customFormat="false" ht="15" hidden="false" customHeight="true" outlineLevel="0" collapsed="false">
      <c r="B39" s="30" t="s">
        <v>60</v>
      </c>
      <c r="C39" s="25" t="n">
        <f aca="false">SABR_Base!C39+SABR_Shocks!$E$6*SABR_Shocks!C26</f>
        <v>0.7445632</v>
      </c>
      <c r="D39" s="25" t="n">
        <f aca="false">SABR_Base!D39+SABR_Shocks!$E$6*SABR_Shocks!D26</f>
        <v>0.716992</v>
      </c>
      <c r="E39" s="25" t="n">
        <f aca="false">SABR_Base!E39+SABR_Shocks!$E$6*SABR_Shocks!E26</f>
        <v>0.6887704</v>
      </c>
      <c r="F39" s="25" t="n">
        <f aca="false">SABR_Base!F39+SABR_Shocks!$E$6*SABR_Shocks!F26</f>
        <v>0.667872</v>
      </c>
      <c r="G39" s="25" t="n">
        <f aca="false">SABR_Base!G39+SABR_Shocks!$E$6*SABR_Shocks!G26</f>
        <v>0.6443112</v>
      </c>
      <c r="H39" s="25" t="n">
        <f aca="false">SABR_Base!H39+SABR_Shocks!$E$6*SABR_Shocks!H26</f>
        <v>0.6242816</v>
      </c>
      <c r="I39" s="25" t="n">
        <f aca="false">SABR_Base!I39+SABR_Shocks!$E$6*SABR_Shocks!I26</f>
        <v>0.586588</v>
      </c>
      <c r="J39" s="25" t="n">
        <f aca="false">SABR_Base!J39+SABR_Shocks!$E$6*SABR_Shocks!J26</f>
        <v>0.572044</v>
      </c>
      <c r="K39" s="25" t="n">
        <f aca="false">SABR_Base!K39+SABR_Shocks!$E$6*SABR_Shocks!K26</f>
        <v>0.54118</v>
      </c>
      <c r="L39" s="25" t="n">
        <f aca="false">SABR_Base!L39+SABR_Shocks!$E$6*SABR_Shocks!L26</f>
        <v>0.5179344</v>
      </c>
    </row>
    <row r="40" customFormat="false" ht="15" hidden="false" customHeight="true" outlineLevel="0" collapsed="false">
      <c r="B40" s="30" t="s">
        <v>61</v>
      </c>
      <c r="C40" s="25" t="n">
        <f aca="false">SABR_Base!C40+SABR_Shocks!$E$6*SABR_Shocks!C27</f>
        <v>0.7214488</v>
      </c>
      <c r="D40" s="25" t="n">
        <f aca="false">SABR_Base!D40+SABR_Shocks!$E$6*SABR_Shocks!D27</f>
        <v>0.6920448</v>
      </c>
      <c r="E40" s="25" t="n">
        <f aca="false">SABR_Base!E40+SABR_Shocks!$E$6*SABR_Shocks!E27</f>
        <v>0.6695232</v>
      </c>
      <c r="F40" s="25" t="n">
        <f aca="false">SABR_Base!F40+SABR_Shocks!$E$6*SABR_Shocks!F27</f>
        <v>0.6486576</v>
      </c>
      <c r="G40" s="25" t="n">
        <f aca="false">SABR_Base!G40+SABR_Shocks!$E$6*SABR_Shocks!G27</f>
        <v>0.6275536</v>
      </c>
      <c r="H40" s="25" t="n">
        <f aca="false">SABR_Base!H40+SABR_Shocks!$E$6*SABR_Shocks!H27</f>
        <v>0.5943408</v>
      </c>
      <c r="I40" s="25" t="n">
        <f aca="false">SABR_Base!I40+SABR_Shocks!$E$6*SABR_Shocks!I27</f>
        <v>0.5726064</v>
      </c>
      <c r="J40" s="25" t="n">
        <f aca="false">SABR_Base!J40+SABR_Shocks!$E$6*SABR_Shocks!J27</f>
        <v>0.5461456</v>
      </c>
      <c r="K40" s="25" t="n">
        <f aca="false">SABR_Base!K40+SABR_Shocks!$E$6*SABR_Shocks!K27</f>
        <v>0.52306</v>
      </c>
      <c r="L40" s="25" t="n">
        <f aca="false">SABR_Base!L40+SABR_Shocks!$E$6*SABR_Shocks!L27</f>
        <v>0.5023096</v>
      </c>
    </row>
    <row r="41" customFormat="false" ht="15" hidden="false" customHeight="true" outlineLevel="0" collapsed="false">
      <c r="B41" s="30" t="s">
        <v>62</v>
      </c>
      <c r="C41" s="25" t="n">
        <f aca="false">SABR_Base!C41+SABR_Shocks!$E$6*SABR_Shocks!C28</f>
        <v>0.690676</v>
      </c>
      <c r="D41" s="25" t="n">
        <f aca="false">SABR_Base!D41+SABR_Shocks!$E$6*SABR_Shocks!D28</f>
        <v>0.6679704</v>
      </c>
      <c r="E41" s="25" t="n">
        <f aca="false">SABR_Base!E41+SABR_Shocks!$E$6*SABR_Shocks!E28</f>
        <v>0.6432936</v>
      </c>
      <c r="F41" s="25" t="n">
        <f aca="false">SABR_Base!F41+SABR_Shocks!$E$6*SABR_Shocks!F28</f>
        <v>0.6286464</v>
      </c>
      <c r="G41" s="25" t="n">
        <f aca="false">SABR_Base!G41+SABR_Shocks!$E$6*SABR_Shocks!G28</f>
        <v>0.5985448</v>
      </c>
      <c r="H41" s="25" t="n">
        <f aca="false">SABR_Base!H41+SABR_Shocks!$E$6*SABR_Shocks!H28</f>
        <v>0.5788368</v>
      </c>
      <c r="I41" s="25" t="n">
        <f aca="false">SABR_Base!I41+SABR_Shocks!$E$6*SABR_Shocks!I28</f>
        <v>0.5558312</v>
      </c>
      <c r="J41" s="25" t="n">
        <f aca="false">SABR_Base!J41+SABR_Shocks!$E$6*SABR_Shocks!J28</f>
        <v>0.5176344</v>
      </c>
      <c r="K41" s="25" t="n">
        <f aca="false">SABR_Base!K41+SABR_Shocks!$E$6*SABR_Shocks!K28</f>
        <v>0.499072</v>
      </c>
      <c r="L41" s="25" t="n">
        <f aca="false">SABR_Base!L41+SABR_Shocks!$E$6*SABR_Shocks!L28</f>
        <v>0.48446</v>
      </c>
    </row>
    <row r="42" customFormat="false" ht="15" hidden="false" customHeight="true" outlineLevel="0" collapsed="false">
      <c r="B42" s="30" t="s">
        <v>63</v>
      </c>
      <c r="C42" s="25" t="n">
        <f aca="false">SABR_Base!C42+SABR_Shocks!$E$6*SABR_Shocks!C29</f>
        <v>0.6738688</v>
      </c>
      <c r="D42" s="25" t="n">
        <f aca="false">SABR_Base!D42+SABR_Shocks!$E$6*SABR_Shocks!D29</f>
        <v>0.6368072</v>
      </c>
      <c r="E42" s="25" t="n">
        <f aca="false">SABR_Base!E42+SABR_Shocks!$E$6*SABR_Shocks!E29</f>
        <v>0.6113056</v>
      </c>
      <c r="F42" s="25" t="n">
        <f aca="false">SABR_Base!F42+SABR_Shocks!$E$6*SABR_Shocks!F29</f>
        <v>0.5941168</v>
      </c>
      <c r="G42" s="25" t="n">
        <f aca="false">SABR_Base!G42+SABR_Shocks!$E$6*SABR_Shocks!G29</f>
        <v>0.561896</v>
      </c>
      <c r="H42" s="25" t="n">
        <f aca="false">SABR_Base!H42+SABR_Shocks!$E$6*SABR_Shocks!H29</f>
        <v>0.5417416</v>
      </c>
      <c r="I42" s="25" t="n">
        <f aca="false">SABR_Base!I42+SABR_Shocks!$E$6*SABR_Shocks!I29</f>
        <v>0.5138344</v>
      </c>
      <c r="J42" s="25" t="n">
        <f aca="false">SABR_Base!J42+SABR_Shocks!$E$6*SABR_Shocks!J29</f>
        <v>0.50116</v>
      </c>
      <c r="K42" s="25" t="n">
        <f aca="false">SABR_Base!K42+SABR_Shocks!$E$6*SABR_Shocks!K29</f>
        <v>0.48126</v>
      </c>
      <c r="L42" s="25" t="n">
        <f aca="false">SABR_Base!L42+SABR_Shocks!$E$6*SABR_Shocks!L29</f>
        <v>0.46126</v>
      </c>
    </row>
    <row r="45" customFormat="false" ht="15" hidden="false" customHeight="true" outlineLevel="0" collapsed="false">
      <c r="B45" s="19" t="s">
        <v>128</v>
      </c>
      <c r="C45" s="19"/>
      <c r="D45" s="19"/>
      <c r="E45" s="19"/>
      <c r="F45" s="19"/>
      <c r="G45" s="19"/>
      <c r="H45" s="19"/>
      <c r="I45" s="19"/>
      <c r="J45" s="19"/>
      <c r="K45" s="19"/>
      <c r="L45" s="19"/>
    </row>
    <row r="46" customFormat="false" ht="15" hidden="false" customHeight="true" outlineLevel="0" collapsed="false">
      <c r="B46" s="34" t="s">
        <v>112</v>
      </c>
      <c r="C46" s="34"/>
      <c r="D46" s="34"/>
      <c r="E46" s="34"/>
      <c r="F46" s="34"/>
      <c r="G46" s="34"/>
      <c r="H46" s="34"/>
      <c r="I46" s="34"/>
      <c r="J46" s="34"/>
      <c r="K46" s="34"/>
      <c r="L46" s="34"/>
    </row>
    <row r="47" customFormat="false" ht="15" hidden="false" customHeight="true" outlineLevel="0" collapsed="false">
      <c r="B47" s="12" t="s">
        <v>113</v>
      </c>
      <c r="C47" s="13" t="s">
        <v>114</v>
      </c>
      <c r="D47" s="13" t="s">
        <v>56</v>
      </c>
      <c r="E47" s="13" t="s">
        <v>57</v>
      </c>
      <c r="F47" s="13" t="s">
        <v>30</v>
      </c>
      <c r="G47" s="13" t="s">
        <v>58</v>
      </c>
      <c r="H47" s="13" t="s">
        <v>59</v>
      </c>
      <c r="I47" s="13" t="s">
        <v>60</v>
      </c>
      <c r="J47" s="13" t="s">
        <v>61</v>
      </c>
      <c r="K47" s="13" t="s">
        <v>62</v>
      </c>
      <c r="L47" s="13" t="s">
        <v>63</v>
      </c>
    </row>
    <row r="48" customFormat="false" ht="15" hidden="false" customHeight="true" outlineLevel="0" collapsed="false">
      <c r="B48" s="30" t="s">
        <v>114</v>
      </c>
      <c r="C48" s="25" t="n">
        <f aca="false">SABR_Base!C5+SABR_Shocks!$C$7*SABR_Shocks!C20</f>
        <v>0.5665125</v>
      </c>
      <c r="D48" s="25" t="n">
        <f aca="false">SABR_Base!D5+SABR_Shocks!$C$7*SABR_Shocks!D20</f>
        <v>0.545375</v>
      </c>
      <c r="E48" s="25" t="n">
        <f aca="false">SABR_Base!E5+SABR_Shocks!$C$7*SABR_Shocks!E20</f>
        <v>0.53745</v>
      </c>
      <c r="F48" s="25" t="n">
        <f aca="false">SABR_Base!F5+SABR_Shocks!$C$7*SABR_Shocks!F20</f>
        <v>0.50815</v>
      </c>
      <c r="G48" s="25" t="n">
        <f aca="false">SABR_Base!G5+SABR_Shocks!$C$7*SABR_Shocks!G20</f>
        <v>0.4995625</v>
      </c>
      <c r="H48" s="25" t="n">
        <f aca="false">SABR_Base!H5+SABR_Shocks!$C$7*SABR_Shocks!H20</f>
        <v>0.4782125</v>
      </c>
      <c r="I48" s="25" t="n">
        <f aca="false">SABR_Base!I5+SABR_Shocks!$C$7*SABR_Shocks!I20</f>
        <v>0.454825</v>
      </c>
      <c r="J48" s="25" t="n">
        <f aca="false">SABR_Base!J5+SABR_Shocks!$C$7*SABR_Shocks!J20</f>
        <v>0.446</v>
      </c>
      <c r="K48" s="25" t="n">
        <f aca="false">SABR_Base!K5+SABR_Shocks!$C$7*SABR_Shocks!K20</f>
        <v>0.41865</v>
      </c>
      <c r="L48" s="25" t="n">
        <f aca="false">SABR_Base!L5+SABR_Shocks!$C$7*SABR_Shocks!L20</f>
        <v>0.408725</v>
      </c>
    </row>
    <row r="49" customFormat="false" ht="15" hidden="false" customHeight="true" outlineLevel="0" collapsed="false">
      <c r="B49" s="30" t="s">
        <v>56</v>
      </c>
      <c r="C49" s="25" t="n">
        <f aca="false">SABR_Base!C6+SABR_Shocks!$C$7*SABR_Shocks!C21</f>
        <v>0.5434375</v>
      </c>
      <c r="D49" s="25" t="n">
        <f aca="false">SABR_Base!D6+SABR_Shocks!$C$7*SABR_Shocks!D21</f>
        <v>0.52605</v>
      </c>
      <c r="E49" s="25" t="n">
        <f aca="false">SABR_Base!E6+SABR_Shocks!$C$7*SABR_Shocks!E21</f>
        <v>0.5149625</v>
      </c>
      <c r="F49" s="25" t="n">
        <f aca="false">SABR_Base!F6+SABR_Shocks!$C$7*SABR_Shocks!F21</f>
        <v>0.505075</v>
      </c>
      <c r="G49" s="25" t="n">
        <f aca="false">SABR_Base!G6+SABR_Shocks!$C$7*SABR_Shocks!G21</f>
        <v>0.473675</v>
      </c>
      <c r="H49" s="25" t="n">
        <f aca="false">SABR_Base!H6+SABR_Shocks!$C$7*SABR_Shocks!H21</f>
        <v>0.457675</v>
      </c>
      <c r="I49" s="25" t="n">
        <f aca="false">SABR_Base!I6+SABR_Shocks!$C$7*SABR_Shocks!I21</f>
        <v>0.4482875</v>
      </c>
      <c r="J49" s="25" t="n">
        <f aca="false">SABR_Base!J6+SABR_Shocks!$C$7*SABR_Shocks!J21</f>
        <v>0.4365125</v>
      </c>
      <c r="K49" s="25" t="n">
        <f aca="false">SABR_Base!K6+SABR_Shocks!$C$7*SABR_Shocks!K21</f>
        <v>0.4117125</v>
      </c>
      <c r="L49" s="25" t="n">
        <f aca="false">SABR_Base!L6+SABR_Shocks!$C$7*SABR_Shocks!L21</f>
        <v>0.3903125</v>
      </c>
    </row>
    <row r="50" customFormat="false" ht="15" hidden="false" customHeight="true" outlineLevel="0" collapsed="false">
      <c r="B50" s="30" t="s">
        <v>57</v>
      </c>
      <c r="C50" s="25" t="n">
        <f aca="false">SABR_Base!C7+SABR_Shocks!$C$7*SABR_Shocks!C22</f>
        <v>0.543575</v>
      </c>
      <c r="D50" s="25" t="n">
        <f aca="false">SABR_Base!D7+SABR_Shocks!$C$7*SABR_Shocks!D22</f>
        <v>0.5073125</v>
      </c>
      <c r="E50" s="25" t="n">
        <f aca="false">SABR_Base!E7+SABR_Shocks!$C$7*SABR_Shocks!E22</f>
        <v>0.5063125</v>
      </c>
      <c r="F50" s="25" t="n">
        <f aca="false">SABR_Base!F7+SABR_Shocks!$C$7*SABR_Shocks!F22</f>
        <v>0.47685</v>
      </c>
      <c r="G50" s="25" t="n">
        <f aca="false">SABR_Base!G7+SABR_Shocks!$C$7*SABR_Shocks!G22</f>
        <v>0.4565125</v>
      </c>
      <c r="H50" s="25" t="n">
        <f aca="false">SABR_Base!H7+SABR_Shocks!$C$7*SABR_Shocks!H22</f>
        <v>0.43775</v>
      </c>
      <c r="I50" s="25" t="n">
        <f aca="false">SABR_Base!I7+SABR_Shocks!$C$7*SABR_Shocks!I22</f>
        <v>0.423475</v>
      </c>
      <c r="J50" s="25" t="n">
        <f aca="false">SABR_Base!J7+SABR_Shocks!$C$7*SABR_Shocks!J22</f>
        <v>0.416275</v>
      </c>
      <c r="K50" s="25" t="n">
        <f aca="false">SABR_Base!K7+SABR_Shocks!$C$7*SABR_Shocks!K22</f>
        <v>0.3858625</v>
      </c>
      <c r="L50" s="25" t="n">
        <f aca="false">SABR_Base!L7+SABR_Shocks!$C$7*SABR_Shocks!L22</f>
        <v>0.37575</v>
      </c>
    </row>
    <row r="51" customFormat="false" ht="15" hidden="false" customHeight="true" outlineLevel="0" collapsed="false">
      <c r="B51" s="30" t="s">
        <v>30</v>
      </c>
      <c r="C51" s="25" t="n">
        <f aca="false">SABR_Base!C8+SABR_Shocks!$C$7*SABR_Shocks!C23</f>
        <v>0.5191125</v>
      </c>
      <c r="D51" s="25" t="n">
        <f aca="false">SABR_Base!D8+SABR_Shocks!$C$7*SABR_Shocks!D23</f>
        <v>0.496175</v>
      </c>
      <c r="E51" s="25" t="n">
        <f aca="false">SABR_Base!E8+SABR_Shocks!$C$7*SABR_Shocks!E23</f>
        <v>0.482325</v>
      </c>
      <c r="F51" s="25" t="n">
        <f aca="false">SABR_Base!F8+SABR_Shocks!$C$7*SABR_Shocks!F23</f>
        <v>0.4547375</v>
      </c>
      <c r="G51" s="25" t="n">
        <f aca="false">SABR_Base!G8+SABR_Shocks!$C$7*SABR_Shocks!G23</f>
        <v>0.4363375</v>
      </c>
      <c r="H51" s="25" t="n">
        <f aca="false">SABR_Base!H8+SABR_Shocks!$C$7*SABR_Shocks!H23</f>
        <v>0.4216125</v>
      </c>
      <c r="I51" s="25" t="n">
        <f aca="false">SABR_Base!I8+SABR_Shocks!$C$7*SABR_Shocks!I23</f>
        <v>0.413175</v>
      </c>
      <c r="J51" s="25" t="n">
        <f aca="false">SABR_Base!J8+SABR_Shocks!$C$7*SABR_Shocks!J23</f>
        <v>0.390325</v>
      </c>
      <c r="K51" s="25" t="n">
        <f aca="false">SABR_Base!K8+SABR_Shocks!$C$7*SABR_Shocks!K23</f>
        <v>0.37075</v>
      </c>
      <c r="L51" s="25" t="n">
        <f aca="false">SABR_Base!L8+SABR_Shocks!$C$7*SABR_Shocks!L23</f>
        <v>0.3579625</v>
      </c>
    </row>
    <row r="52" customFormat="false" ht="15" hidden="false" customHeight="true" outlineLevel="0" collapsed="false">
      <c r="B52" s="30" t="s">
        <v>58</v>
      </c>
      <c r="C52" s="25" t="n">
        <f aca="false">SABR_Base!C9+SABR_Shocks!$C$7*SABR_Shocks!C24</f>
        <v>0.49795</v>
      </c>
      <c r="D52" s="25" t="n">
        <f aca="false">SABR_Base!D9+SABR_Shocks!$C$7*SABR_Shocks!D24</f>
        <v>0.4770375</v>
      </c>
      <c r="E52" s="25" t="n">
        <f aca="false">SABR_Base!E9+SABR_Shocks!$C$7*SABR_Shocks!E24</f>
        <v>0.4689125</v>
      </c>
      <c r="F52" s="25" t="n">
        <f aca="false">SABR_Base!F9+SABR_Shocks!$C$7*SABR_Shocks!F24</f>
        <v>0.4496</v>
      </c>
      <c r="G52" s="25" t="n">
        <f aca="false">SABR_Base!G9+SABR_Shocks!$C$7*SABR_Shocks!G24</f>
        <v>0.422225</v>
      </c>
      <c r="H52" s="25" t="n">
        <f aca="false">SABR_Base!H9+SABR_Shocks!$C$7*SABR_Shocks!H24</f>
        <v>0.4114875</v>
      </c>
      <c r="I52" s="25" t="n">
        <f aca="false">SABR_Base!I9+SABR_Shocks!$C$7*SABR_Shocks!I24</f>
        <v>0.3922625</v>
      </c>
      <c r="J52" s="25" t="n">
        <f aca="false">SABR_Base!J9+SABR_Shocks!$C$7*SABR_Shocks!J24</f>
        <v>0.3817625</v>
      </c>
      <c r="K52" s="25" t="n">
        <f aca="false">SABR_Base!K9+SABR_Shocks!$C$7*SABR_Shocks!K24</f>
        <v>0.3608875</v>
      </c>
      <c r="L52" s="25" t="n">
        <f aca="false">SABR_Base!L9+SABR_Shocks!$C$7*SABR_Shocks!L24</f>
        <v>0.3343</v>
      </c>
    </row>
    <row r="53" customFormat="false" ht="15" hidden="false" customHeight="true" outlineLevel="0" collapsed="false">
      <c r="B53" s="30" t="s">
        <v>59</v>
      </c>
      <c r="C53" s="25" t="n">
        <f aca="false">SABR_Base!C10+SABR_Shocks!$C$7*SABR_Shocks!C25</f>
        <v>0.491025</v>
      </c>
      <c r="D53" s="25" t="n">
        <f aca="false">SABR_Base!D10+SABR_Shocks!$C$7*SABR_Shocks!D25</f>
        <v>0.455875</v>
      </c>
      <c r="E53" s="25" t="n">
        <f aca="false">SABR_Base!E10+SABR_Shocks!$C$7*SABR_Shocks!E25</f>
        <v>0.443675</v>
      </c>
      <c r="F53" s="25" t="n">
        <f aca="false">SABR_Base!F10+SABR_Shocks!$C$7*SABR_Shocks!F25</f>
        <v>0.4330875</v>
      </c>
      <c r="G53" s="25" t="n">
        <f aca="false">SABR_Base!G10+SABR_Shocks!$C$7*SABR_Shocks!G25</f>
        <v>0.4026625</v>
      </c>
      <c r="H53" s="25" t="n">
        <f aca="false">SABR_Base!H10+SABR_Shocks!$C$7*SABR_Shocks!H25</f>
        <v>0.391775</v>
      </c>
      <c r="I53" s="25" t="n">
        <f aca="false">SABR_Base!I10+SABR_Shocks!$C$7*SABR_Shocks!I25</f>
        <v>0.3653875</v>
      </c>
      <c r="J53" s="25" t="n">
        <f aca="false">SABR_Base!J10+SABR_Shocks!$C$7*SABR_Shocks!J25</f>
        <v>0.3600125</v>
      </c>
      <c r="K53" s="25" t="n">
        <f aca="false">SABR_Base!K10+SABR_Shocks!$C$7*SABR_Shocks!K25</f>
        <v>0.343675</v>
      </c>
      <c r="L53" s="25" t="n">
        <f aca="false">SABR_Base!L10+SABR_Shocks!$C$7*SABR_Shocks!L25</f>
        <v>0.3227125</v>
      </c>
    </row>
    <row r="54" customFormat="false" ht="15" hidden="false" customHeight="true" outlineLevel="0" collapsed="false">
      <c r="B54" s="30" t="s">
        <v>60</v>
      </c>
      <c r="C54" s="25" t="n">
        <f aca="false">SABR_Base!C11+SABR_Shocks!$C$7*SABR_Shocks!C26</f>
        <v>0.4705375</v>
      </c>
      <c r="D54" s="25" t="n">
        <f aca="false">SABR_Base!D11+SABR_Shocks!$C$7*SABR_Shocks!D26</f>
        <v>0.4415375</v>
      </c>
      <c r="E54" s="25" t="n">
        <f aca="false">SABR_Base!E11+SABR_Shocks!$C$7*SABR_Shocks!E26</f>
        <v>0.4318</v>
      </c>
      <c r="F54" s="25" t="n">
        <f aca="false">SABR_Base!F11+SABR_Shocks!$C$7*SABR_Shocks!F26</f>
        <v>0.41165</v>
      </c>
      <c r="G54" s="25" t="n">
        <f aca="false">SABR_Base!G11+SABR_Shocks!$C$7*SABR_Shocks!G26</f>
        <v>0.3935</v>
      </c>
      <c r="H54" s="25" t="n">
        <f aca="false">SABR_Base!H11+SABR_Shocks!$C$7*SABR_Shocks!H26</f>
        <v>0.3731</v>
      </c>
      <c r="I54" s="25" t="n">
        <f aca="false">SABR_Base!I11+SABR_Shocks!$C$7*SABR_Shocks!I26</f>
        <v>0.3629875</v>
      </c>
      <c r="J54" s="25" t="n">
        <f aca="false">SABR_Base!J11+SABR_Shocks!$C$7*SABR_Shocks!J26</f>
        <v>0.3476375</v>
      </c>
      <c r="K54" s="25" t="n">
        <f aca="false">SABR_Base!K11+SABR_Shocks!$C$7*SABR_Shocks!K26</f>
        <v>0.3201625</v>
      </c>
      <c r="L54" s="25" t="n">
        <f aca="false">SABR_Base!L11+SABR_Shocks!$C$7*SABR_Shocks!L26</f>
        <v>0.3065</v>
      </c>
    </row>
    <row r="55" customFormat="false" ht="15" hidden="false" customHeight="true" outlineLevel="0" collapsed="false">
      <c r="B55" s="30" t="s">
        <v>61</v>
      </c>
      <c r="C55" s="25" t="n">
        <f aca="false">SABR_Base!C12+SABR_Shocks!$C$7*SABR_Shocks!C27</f>
        <v>0.436525</v>
      </c>
      <c r="D55" s="25" t="n">
        <f aca="false">SABR_Base!D12+SABR_Shocks!$C$7*SABR_Shocks!D27</f>
        <v>0.4316625</v>
      </c>
      <c r="E55" s="25" t="n">
        <f aca="false">SABR_Base!E12+SABR_Shocks!$C$7*SABR_Shocks!E27</f>
        <v>0.413125</v>
      </c>
      <c r="F55" s="25" t="n">
        <f aca="false">SABR_Base!F12+SABR_Shocks!$C$7*SABR_Shocks!F27</f>
        <v>0.4019375</v>
      </c>
      <c r="G55" s="25" t="n">
        <f aca="false">SABR_Base!G12+SABR_Shocks!$C$7*SABR_Shocks!G27</f>
        <v>0.380775</v>
      </c>
      <c r="H55" s="25" t="n">
        <f aca="false">SABR_Base!H12+SABR_Shocks!$C$7*SABR_Shocks!H27</f>
        <v>0.352475</v>
      </c>
      <c r="I55" s="25" t="n">
        <f aca="false">SABR_Base!I12+SABR_Shocks!$C$7*SABR_Shocks!I27</f>
        <v>0.3361375</v>
      </c>
      <c r="J55" s="25" t="n">
        <f aca="false">SABR_Base!J12+SABR_Shocks!$C$7*SABR_Shocks!J27</f>
        <v>0.3239875</v>
      </c>
      <c r="K55" s="25" t="n">
        <f aca="false">SABR_Base!K12+SABR_Shocks!$C$7*SABR_Shocks!K27</f>
        <v>0.2939375</v>
      </c>
      <c r="L55" s="25" t="n">
        <f aca="false">SABR_Base!L12+SABR_Shocks!$C$7*SABR_Shocks!L27</f>
        <v>0.2848375</v>
      </c>
    </row>
    <row r="56" customFormat="false" ht="15" hidden="false" customHeight="true" outlineLevel="0" collapsed="false">
      <c r="B56" s="30" t="s">
        <v>62</v>
      </c>
      <c r="C56" s="25" t="n">
        <f aca="false">SABR_Base!C13+SABR_Shocks!$C$7*SABR_Shocks!C28</f>
        <v>0.4208125</v>
      </c>
      <c r="D56" s="25" t="n">
        <f aca="false">SABR_Base!D13+SABR_Shocks!$C$7*SABR_Shocks!D28</f>
        <v>0.4019375</v>
      </c>
      <c r="E56" s="25" t="n">
        <f aca="false">SABR_Base!E13+SABR_Shocks!$C$7*SABR_Shocks!E28</f>
        <v>0.383425</v>
      </c>
      <c r="F56" s="25" t="n">
        <f aca="false">SABR_Base!F13+SABR_Shocks!$C$7*SABR_Shocks!F28</f>
        <v>0.37995</v>
      </c>
      <c r="G56" s="25" t="n">
        <f aca="false">SABR_Base!G13+SABR_Shocks!$C$7*SABR_Shocks!G28</f>
        <v>0.348875</v>
      </c>
      <c r="H56" s="25" t="n">
        <f aca="false">SABR_Base!H13+SABR_Shocks!$C$7*SABR_Shocks!H28</f>
        <v>0.3340125</v>
      </c>
      <c r="I56" s="25" t="n">
        <f aca="false">SABR_Base!I13+SABR_Shocks!$C$7*SABR_Shocks!I28</f>
        <v>0.3190375</v>
      </c>
      <c r="J56" s="25" t="n">
        <f aca="false">SABR_Base!J13+SABR_Shocks!$C$7*SABR_Shocks!J28</f>
        <v>0.3106</v>
      </c>
      <c r="K56" s="25" t="n">
        <f aca="false">SABR_Base!K13+SABR_Shocks!$C$7*SABR_Shocks!K28</f>
        <v>0.2768375</v>
      </c>
      <c r="L56" s="25" t="n">
        <f aca="false">SABR_Base!L13+SABR_Shocks!$C$7*SABR_Shocks!L28</f>
        <v>0.267575</v>
      </c>
    </row>
    <row r="57" customFormat="false" ht="15" hidden="false" customHeight="true" outlineLevel="0" collapsed="false">
      <c r="B57" s="30" t="s">
        <v>63</v>
      </c>
      <c r="C57" s="25" t="n">
        <f aca="false">SABR_Base!C14+SABR_Shocks!$C$7*SABR_Shocks!C29</f>
        <v>0.410525</v>
      </c>
      <c r="D57" s="25" t="n">
        <f aca="false">SABR_Base!D14+SABR_Shocks!$C$7*SABR_Shocks!D29</f>
        <v>0.4001</v>
      </c>
      <c r="E57" s="25" t="n">
        <f aca="false">SABR_Base!E14+SABR_Shocks!$C$7*SABR_Shocks!E29</f>
        <v>0.380525</v>
      </c>
      <c r="F57" s="25" t="n">
        <f aca="false">SABR_Base!F14+SABR_Shocks!$C$7*SABR_Shocks!F29</f>
        <v>0.36395</v>
      </c>
      <c r="G57" s="25" t="n">
        <f aca="false">SABR_Base!G14+SABR_Shocks!$C$7*SABR_Shocks!G29</f>
        <v>0.3340875</v>
      </c>
      <c r="H57" s="25" t="n">
        <f aca="false">SABR_Base!H14+SABR_Shocks!$C$7*SABR_Shocks!H29</f>
        <v>0.3194875</v>
      </c>
      <c r="I57" s="25" t="n">
        <f aca="false">SABR_Base!I14+SABR_Shocks!$C$7*SABR_Shocks!I29</f>
        <v>0.3004</v>
      </c>
      <c r="J57" s="25" t="n">
        <f aca="false">SABR_Base!J14+SABR_Shocks!$C$7*SABR_Shocks!J29</f>
        <v>0.292875</v>
      </c>
      <c r="K57" s="25" t="n">
        <f aca="false">SABR_Base!K14+SABR_Shocks!$C$7*SABR_Shocks!K29</f>
        <v>0.277675</v>
      </c>
      <c r="L57" s="25" t="n">
        <f aca="false">SABR_Base!L14+SABR_Shocks!$C$7*SABR_Shocks!L29</f>
        <v>0.244875</v>
      </c>
    </row>
    <row r="59" customFormat="false" ht="15" hidden="false" customHeight="true" outlineLevel="0" collapsed="false">
      <c r="B59" s="34" t="s">
        <v>115</v>
      </c>
      <c r="C59" s="34"/>
      <c r="D59" s="34"/>
      <c r="E59" s="34"/>
      <c r="F59" s="34"/>
      <c r="G59" s="34"/>
      <c r="H59" s="34"/>
      <c r="I59" s="34"/>
      <c r="J59" s="34"/>
      <c r="K59" s="34"/>
      <c r="L59" s="34"/>
    </row>
    <row r="60" customFormat="false" ht="15" hidden="false" customHeight="true" outlineLevel="0" collapsed="false">
      <c r="B60" s="12" t="s">
        <v>113</v>
      </c>
      <c r="C60" s="13" t="s">
        <v>114</v>
      </c>
      <c r="D60" s="13" t="s">
        <v>56</v>
      </c>
      <c r="E60" s="13" t="s">
        <v>57</v>
      </c>
      <c r="F60" s="13" t="s">
        <v>30</v>
      </c>
      <c r="G60" s="13" t="s">
        <v>58</v>
      </c>
      <c r="H60" s="13" t="s">
        <v>59</v>
      </c>
      <c r="I60" s="13" t="s">
        <v>60</v>
      </c>
      <c r="J60" s="13" t="s">
        <v>61</v>
      </c>
      <c r="K60" s="13" t="s">
        <v>62</v>
      </c>
      <c r="L60" s="13" t="s">
        <v>63</v>
      </c>
    </row>
    <row r="61" customFormat="false" ht="15" hidden="false" customHeight="true" outlineLevel="0" collapsed="false">
      <c r="B61" s="30" t="s">
        <v>114</v>
      </c>
      <c r="C61" s="25" t="n">
        <f aca="false">SABR_Base!C19+SABR_Shocks!$D$7*SABR_Shocks!C20</f>
        <v>-0.3460935</v>
      </c>
      <c r="D61" s="25" t="n">
        <f aca="false">SABR_Base!D19+SABR_Shocks!$D$7*SABR_Shocks!D20</f>
        <v>-0.326033</v>
      </c>
      <c r="E61" s="25" t="n">
        <f aca="false">SABR_Base!E19+SABR_Shocks!$D$7*SABR_Shocks!E20</f>
        <v>-0.30717</v>
      </c>
      <c r="F61" s="25" t="n">
        <f aca="false">SABR_Base!F19+SABR_Shocks!$D$7*SABR_Shocks!F20</f>
        <v>-0.28329</v>
      </c>
      <c r="G61" s="25" t="n">
        <f aca="false">SABR_Base!G19+SABR_Shocks!$D$7*SABR_Shocks!G20</f>
        <v>-0.2623595</v>
      </c>
      <c r="H61" s="25" t="n">
        <f aca="false">SABR_Base!H19+SABR_Shocks!$D$7*SABR_Shocks!H20</f>
        <v>-0.2501095</v>
      </c>
      <c r="I61" s="25" t="n">
        <f aca="false">SABR_Base!I19+SABR_Shocks!$D$7*SABR_Shocks!I20</f>
        <v>-0.236215</v>
      </c>
      <c r="J61" s="25" t="n">
        <f aca="false">SABR_Base!J19+SABR_Shocks!$D$7*SABR_Shocks!J20</f>
        <v>-0.209</v>
      </c>
      <c r="K61" s="25" t="n">
        <f aca="false">SABR_Base!K19+SABR_Shocks!$D$7*SABR_Shocks!K20</f>
        <v>-0.19125</v>
      </c>
      <c r="L61" s="25" t="n">
        <f aca="false">SABR_Base!L19+SABR_Shocks!$D$7*SABR_Shocks!L20</f>
        <v>-0.168487</v>
      </c>
    </row>
    <row r="62" customFormat="false" ht="15" hidden="false" customHeight="true" outlineLevel="0" collapsed="false">
      <c r="B62" s="30" t="s">
        <v>56</v>
      </c>
      <c r="C62" s="25" t="n">
        <f aca="false">SABR_Base!C20+SABR_Shocks!$D$7*SABR_Shocks!C21</f>
        <v>-0.3117565</v>
      </c>
      <c r="D62" s="25" t="n">
        <f aca="false">SABR_Base!D20+SABR_Shocks!$D$7*SABR_Shocks!D21</f>
        <v>-0.298174</v>
      </c>
      <c r="E62" s="25" t="n">
        <f aca="false">SABR_Base!E20+SABR_Shocks!$D$7*SABR_Shocks!E21</f>
        <v>-0.2828395</v>
      </c>
      <c r="F62" s="25" t="n">
        <f aca="false">SABR_Base!F20+SABR_Shocks!$D$7*SABR_Shocks!F21</f>
        <v>-0.262009</v>
      </c>
      <c r="G62" s="25" t="n">
        <f aca="false">SABR_Base!G20+SABR_Shocks!$D$7*SABR_Shocks!G21</f>
        <v>-0.241721</v>
      </c>
      <c r="H62" s="25" t="n">
        <f aca="false">SABR_Base!H20+SABR_Shocks!$D$7*SABR_Shocks!H21</f>
        <v>-0.235449</v>
      </c>
      <c r="I62" s="25" t="n">
        <f aca="false">SABR_Base!I20+SABR_Shocks!$D$7*SABR_Shocks!I21</f>
        <v>-0.1994585</v>
      </c>
      <c r="J62" s="25" t="n">
        <f aca="false">SABR_Base!J20+SABR_Shocks!$D$7*SABR_Shocks!J21</f>
        <v>-0.1831255</v>
      </c>
      <c r="K62" s="25" t="n">
        <f aca="false">SABR_Base!K20+SABR_Shocks!$D$7*SABR_Shocks!K21</f>
        <v>-0.1621895</v>
      </c>
      <c r="L62" s="25" t="n">
        <f aca="false">SABR_Base!L20+SABR_Shocks!$D$7*SABR_Shocks!L21</f>
        <v>-0.1449135</v>
      </c>
    </row>
    <row r="63" customFormat="false" ht="15" hidden="false" customHeight="true" outlineLevel="0" collapsed="false">
      <c r="B63" s="30" t="s">
        <v>57</v>
      </c>
      <c r="C63" s="25" t="n">
        <f aca="false">SABR_Base!C21+SABR_Shocks!$D$7*SABR_Shocks!C22</f>
        <v>-0.304265</v>
      </c>
      <c r="D63" s="25" t="n">
        <f aca="false">SABR_Base!D21+SABR_Shocks!$D$7*SABR_Shocks!D22</f>
        <v>-0.2851655</v>
      </c>
      <c r="E63" s="25" t="n">
        <f aca="false">SABR_Base!E21+SABR_Shocks!$D$7*SABR_Shocks!E22</f>
        <v>-0.2719775</v>
      </c>
      <c r="F63" s="25" t="n">
        <f aca="false">SABR_Base!F21+SABR_Shocks!$D$7*SABR_Shocks!F22</f>
        <v>-0.242638</v>
      </c>
      <c r="G63" s="25" t="n">
        <f aca="false">SABR_Base!G21+SABR_Shocks!$D$7*SABR_Shocks!G22</f>
        <v>-0.2350215</v>
      </c>
      <c r="H63" s="25" t="n">
        <f aca="false">SABR_Base!H21+SABR_Shocks!$D$7*SABR_Shocks!H22</f>
        <v>-0.216234</v>
      </c>
      <c r="I63" s="25" t="n">
        <f aca="false">SABR_Base!I21+SABR_Shocks!$D$7*SABR_Shocks!I22</f>
        <v>-0.194749</v>
      </c>
      <c r="J63" s="25" t="n">
        <f aca="false">SABR_Base!J21+SABR_Shocks!$D$7*SABR_Shocks!J22</f>
        <v>-0.176613</v>
      </c>
      <c r="K63" s="25" t="n">
        <f aca="false">SABR_Base!K21+SABR_Shocks!$D$7*SABR_Shocks!K22</f>
        <v>-0.1541395</v>
      </c>
      <c r="L63" s="25" t="n">
        <f aca="false">SABR_Base!L21+SABR_Shocks!$D$7*SABR_Shocks!L22</f>
        <v>-0.141226</v>
      </c>
    </row>
    <row r="64" customFormat="false" ht="15" hidden="false" customHeight="true" outlineLevel="0" collapsed="false">
      <c r="B64" s="30" t="s">
        <v>30</v>
      </c>
      <c r="C64" s="25" t="n">
        <f aca="false">SABR_Base!C22+SABR_Shocks!$D$7*SABR_Shocks!C23</f>
        <v>-0.2932175</v>
      </c>
      <c r="D64" s="25" t="n">
        <f aca="false">SABR_Base!D22+SABR_Shocks!$D$7*SABR_Shocks!D23</f>
        <v>-0.271205</v>
      </c>
      <c r="E64" s="25" t="n">
        <f aca="false">SABR_Base!E22+SABR_Shocks!$D$7*SABR_Shocks!E23</f>
        <v>-0.253043</v>
      </c>
      <c r="F64" s="25" t="n">
        <f aca="false">SABR_Base!F22+SABR_Shocks!$D$7*SABR_Shocks!F23</f>
        <v>-0.2291125</v>
      </c>
      <c r="G64" s="25" t="n">
        <f aca="false">SABR_Base!G22+SABR_Shocks!$D$7*SABR_Shocks!G23</f>
        <v>-0.2172445</v>
      </c>
      <c r="H64" s="25" t="n">
        <f aca="false">SABR_Base!H22+SABR_Shocks!$D$7*SABR_Shocks!H23</f>
        <v>-0.1813775</v>
      </c>
      <c r="I64" s="25" t="n">
        <f aca="false">SABR_Base!I22+SABR_Shocks!$D$7*SABR_Shocks!I23</f>
        <v>-0.167721</v>
      </c>
      <c r="J64" s="25" t="n">
        <f aca="false">SABR_Base!J22+SABR_Shocks!$D$7*SABR_Shocks!J23</f>
        <v>-0.158219</v>
      </c>
      <c r="K64" s="25" t="n">
        <f aca="false">SABR_Base!K22+SABR_Shocks!$D$7*SABR_Shocks!K23</f>
        <v>-0.137018</v>
      </c>
      <c r="L64" s="25" t="n">
        <f aca="false">SABR_Base!L22+SABR_Shocks!$D$7*SABR_Shocks!L23</f>
        <v>-0.1164435</v>
      </c>
    </row>
    <row r="65" customFormat="false" ht="15" hidden="false" customHeight="true" outlineLevel="0" collapsed="false">
      <c r="B65" s="30" t="s">
        <v>58</v>
      </c>
      <c r="C65" s="25" t="n">
        <f aca="false">SABR_Base!C23+SABR_Shocks!$D$7*SABR_Shocks!C24</f>
        <v>-0.266814</v>
      </c>
      <c r="D65" s="25" t="n">
        <f aca="false">SABR_Base!D23+SABR_Shocks!$D$7*SABR_Shocks!D24</f>
        <v>-0.2528445</v>
      </c>
      <c r="E65" s="25" t="n">
        <f aca="false">SABR_Base!E23+SABR_Shocks!$D$7*SABR_Shocks!E24</f>
        <v>-0.2196335</v>
      </c>
      <c r="F65" s="25" t="n">
        <f aca="false">SABR_Base!F23+SABR_Shocks!$D$7*SABR_Shocks!F24</f>
        <v>-0.197604</v>
      </c>
      <c r="G65" s="25" t="n">
        <f aca="false">SABR_Base!G23+SABR_Shocks!$D$7*SABR_Shocks!G24</f>
        <v>-0.189523</v>
      </c>
      <c r="H65" s="25" t="n">
        <f aca="false">SABR_Base!H23+SABR_Shocks!$D$7*SABR_Shocks!H24</f>
        <v>-0.1701065</v>
      </c>
      <c r="I65" s="25" t="n">
        <f aca="false">SABR_Base!I23+SABR_Shocks!$D$7*SABR_Shocks!I24</f>
        <v>-0.1593995</v>
      </c>
      <c r="J65" s="25" t="n">
        <f aca="false">SABR_Base!J23+SABR_Shocks!$D$7*SABR_Shocks!J24</f>
        <v>-0.1401675</v>
      </c>
      <c r="K65" s="25" t="n">
        <f aca="false">SABR_Base!K23+SABR_Shocks!$D$7*SABR_Shocks!K24</f>
        <v>-0.1165305</v>
      </c>
      <c r="L65" s="25" t="n">
        <f aca="false">SABR_Base!L23+SABR_Shocks!$D$7*SABR_Shocks!L24</f>
        <v>-0.099196</v>
      </c>
    </row>
    <row r="66" customFormat="false" ht="15" hidden="false" customHeight="true" outlineLevel="0" collapsed="false">
      <c r="B66" s="30" t="s">
        <v>59</v>
      </c>
      <c r="C66" s="25" t="n">
        <f aca="false">SABR_Base!C24+SABR_Shocks!$D$7*SABR_Shocks!C25</f>
        <v>-0.238543</v>
      </c>
      <c r="D66" s="25" t="n">
        <f aca="false">SABR_Base!D24+SABR_Shocks!$D$7*SABR_Shocks!D25</f>
        <v>-0.233093</v>
      </c>
      <c r="E66" s="25" t="n">
        <f aca="false">SABR_Base!E24+SABR_Shocks!$D$7*SABR_Shocks!E25</f>
        <v>-0.217173</v>
      </c>
      <c r="F66" s="25" t="n">
        <f aca="false">SABR_Base!F24+SABR_Shocks!$D$7*SABR_Shocks!F25</f>
        <v>-0.1795305</v>
      </c>
      <c r="G66" s="25" t="n">
        <f aca="false">SABR_Base!G24+SABR_Shocks!$D$7*SABR_Shocks!G25</f>
        <v>-0.1693755</v>
      </c>
      <c r="H66" s="25" t="n">
        <f aca="false">SABR_Base!H24+SABR_Shocks!$D$7*SABR_Shocks!H25</f>
        <v>-0.158089</v>
      </c>
      <c r="I66" s="25" t="n">
        <f aca="false">SABR_Base!I24+SABR_Shocks!$D$7*SABR_Shocks!I25</f>
        <v>-0.1310985</v>
      </c>
      <c r="J66" s="25" t="n">
        <f aca="false">SABR_Base!J24+SABR_Shocks!$D$7*SABR_Shocks!J25</f>
        <v>-0.1226615</v>
      </c>
      <c r="K66" s="25" t="n">
        <f aca="false">SABR_Base!K24+SABR_Shocks!$D$7*SABR_Shocks!K25</f>
        <v>-0.094061</v>
      </c>
      <c r="L66" s="25" t="n">
        <f aca="false">SABR_Base!L24+SABR_Shocks!$D$7*SABR_Shocks!L25</f>
        <v>-0.0658015</v>
      </c>
    </row>
    <row r="67" customFormat="false" ht="15" hidden="false" customHeight="true" outlineLevel="0" collapsed="false">
      <c r="B67" s="30" t="s">
        <v>60</v>
      </c>
      <c r="C67" s="25" t="n">
        <f aca="false">SABR_Base!C25+SABR_Shocks!$D$7*SABR_Shocks!C26</f>
        <v>-0.2193205</v>
      </c>
      <c r="D67" s="25" t="n">
        <f aca="false">SABR_Base!D25+SABR_Shocks!$D$7*SABR_Shocks!D26</f>
        <v>-0.2037925</v>
      </c>
      <c r="E67" s="25" t="n">
        <f aca="false">SABR_Base!E25+SABR_Shocks!$D$7*SABR_Shocks!E26</f>
        <v>-0.193376</v>
      </c>
      <c r="F67" s="25" t="n">
        <f aca="false">SABR_Base!F25+SABR_Shocks!$D$7*SABR_Shocks!F26</f>
        <v>-0.17263</v>
      </c>
      <c r="G67" s="25" t="n">
        <f aca="false">SABR_Base!G25+SABR_Shocks!$D$7*SABR_Shocks!G26</f>
        <v>-0.157728</v>
      </c>
      <c r="H67" s="25" t="n">
        <f aca="false">SABR_Base!H25+SABR_Shocks!$D$7*SABR_Shocks!H26</f>
        <v>-0.126904</v>
      </c>
      <c r="I67" s="25" t="n">
        <f aca="false">SABR_Base!I25+SABR_Shocks!$D$7*SABR_Shocks!I26</f>
        <v>-0.1127825</v>
      </c>
      <c r="J67" s="25" t="n">
        <f aca="false">SABR_Base!J25+SABR_Shocks!$D$7*SABR_Shocks!J26</f>
        <v>-0.0887725</v>
      </c>
      <c r="K67" s="25" t="n">
        <f aca="false">SABR_Base!K25+SABR_Shocks!$D$7*SABR_Shocks!K26</f>
        <v>-0.0790875</v>
      </c>
      <c r="L67" s="25" t="n">
        <f aca="false">SABR_Base!L25+SABR_Shocks!$D$7*SABR_Shocks!L26</f>
        <v>-0.062236</v>
      </c>
    </row>
    <row r="68" customFormat="false" ht="15" hidden="false" customHeight="true" outlineLevel="0" collapsed="false">
      <c r="B68" s="30" t="s">
        <v>61</v>
      </c>
      <c r="C68" s="25" t="n">
        <f aca="false">SABR_Base!C26+SABR_Shocks!$D$7*SABR_Shocks!C27</f>
        <v>-0.201447</v>
      </c>
      <c r="D68" s="25" t="n">
        <f aca="false">SABR_Base!D26+SABR_Shocks!$D$7*SABR_Shocks!D27</f>
        <v>-0.1789995</v>
      </c>
      <c r="E68" s="25" t="n">
        <f aca="false">SABR_Base!E26+SABR_Shocks!$D$7*SABR_Shocks!E27</f>
        <v>-0.162583</v>
      </c>
      <c r="F68" s="25" t="n">
        <f aca="false">SABR_Base!F26+SABR_Shocks!$D$7*SABR_Shocks!F27</f>
        <v>-0.1448565</v>
      </c>
      <c r="G68" s="25" t="n">
        <f aca="false">SABR_Base!G26+SABR_Shocks!$D$7*SABR_Shocks!G27</f>
        <v>-0.125709</v>
      </c>
      <c r="H68" s="25" t="n">
        <f aca="false">SABR_Base!H26+SABR_Shocks!$D$7*SABR_Shocks!H27</f>
        <v>-0.108377</v>
      </c>
      <c r="I68" s="25" t="n">
        <f aca="false">SABR_Base!I26+SABR_Shocks!$D$7*SABR_Shocks!I27</f>
        <v>-0.1000285</v>
      </c>
      <c r="J68" s="25" t="n">
        <f aca="false">SABR_Base!J26+SABR_Shocks!$D$7*SABR_Shocks!J27</f>
        <v>-0.0753265</v>
      </c>
      <c r="K68" s="25" t="n">
        <f aca="false">SABR_Base!K26+SABR_Shocks!$D$7*SABR_Shocks!K27</f>
        <v>-0.0594125</v>
      </c>
      <c r="L68" s="25" t="n">
        <f aca="false">SABR_Base!L26+SABR_Shocks!$D$7*SABR_Shocks!L27</f>
        <v>-0.0471365</v>
      </c>
    </row>
    <row r="69" customFormat="false" ht="15" hidden="false" customHeight="true" outlineLevel="0" collapsed="false">
      <c r="B69" s="30" t="s">
        <v>62</v>
      </c>
      <c r="C69" s="25" t="n">
        <f aca="false">SABR_Base!C27+SABR_Shocks!$D$7*SABR_Shocks!C28</f>
        <v>-0.1982775</v>
      </c>
      <c r="D69" s="25" t="n">
        <f aca="false">SABR_Base!D27+SABR_Shocks!$D$7*SABR_Shocks!D28</f>
        <v>-0.1743885</v>
      </c>
      <c r="E69" s="25" t="n">
        <f aca="false">SABR_Base!E27+SABR_Shocks!$D$7*SABR_Shocks!E28</f>
        <v>-0.155759</v>
      </c>
      <c r="F69" s="25" t="n">
        <f aca="false">SABR_Base!F27+SABR_Shocks!$D$7*SABR_Shocks!F28</f>
        <v>-0.128166</v>
      </c>
      <c r="G69" s="25" t="n">
        <f aca="false">SABR_Base!G27+SABR_Shocks!$D$7*SABR_Shocks!G28</f>
        <v>-0.104237</v>
      </c>
      <c r="H69" s="25" t="n">
        <f aca="false">SABR_Base!H27+SABR_Shocks!$D$7*SABR_Shocks!H28</f>
        <v>-0.0953295</v>
      </c>
      <c r="I69" s="25" t="n">
        <f aca="false">SABR_Base!I27+SABR_Shocks!$D$7*SABR_Shocks!I28</f>
        <v>-0.0666405</v>
      </c>
      <c r="J69" s="25" t="n">
        <f aca="false">SABR_Base!J27+SABR_Shocks!$D$7*SABR_Shocks!J28</f>
        <v>-0.046936</v>
      </c>
      <c r="K69" s="25" t="n">
        <f aca="false">SABR_Base!K27+SABR_Shocks!$D$7*SABR_Shocks!K28</f>
        <v>-0.0287925</v>
      </c>
      <c r="L69" s="25" t="n">
        <f aca="false">SABR_Base!L27+SABR_Shocks!$D$7*SABR_Shocks!L28</f>
        <v>-0.021225</v>
      </c>
    </row>
    <row r="70" customFormat="false" ht="15" hidden="false" customHeight="true" outlineLevel="0" collapsed="false">
      <c r="B70" s="30" t="s">
        <v>63</v>
      </c>
      <c r="C70" s="25" t="n">
        <f aca="false">SABR_Base!C28+SABR_Shocks!$D$7*SABR_Shocks!C29</f>
        <v>-0.175647</v>
      </c>
      <c r="D70" s="25" t="n">
        <f aca="false">SABR_Base!D28+SABR_Shocks!$D$7*SABR_Shocks!D29</f>
        <v>-0.156268</v>
      </c>
      <c r="E70" s="25" t="n">
        <f aca="false">SABR_Base!E28+SABR_Shocks!$D$7*SABR_Shocks!E29</f>
        <v>-0.138339</v>
      </c>
      <c r="F70" s="25" t="n">
        <f aca="false">SABR_Base!F28+SABR_Shocks!$D$7*SABR_Shocks!F29</f>
        <v>-0.119142</v>
      </c>
      <c r="G70" s="25" t="n">
        <f aca="false">SABR_Base!G28+SABR_Shocks!$D$7*SABR_Shocks!G29</f>
        <v>-0.0920025</v>
      </c>
      <c r="H70" s="25" t="n">
        <f aca="false">SABR_Base!H28+SABR_Shocks!$D$7*SABR_Shocks!H29</f>
        <v>-0.0674665</v>
      </c>
      <c r="I70" s="25" t="n">
        <f aca="false">SABR_Base!I28+SABR_Shocks!$D$7*SABR_Shocks!I29</f>
        <v>-0.049836</v>
      </c>
      <c r="J70" s="25" t="n">
        <f aca="false">SABR_Base!J28+SABR_Shocks!$D$7*SABR_Shocks!J29</f>
        <v>-0.038325</v>
      </c>
      <c r="K70" s="25" t="n">
        <f aca="false">SABR_Base!K28+SABR_Shocks!$D$7*SABR_Shocks!K29</f>
        <v>-0.015425</v>
      </c>
      <c r="L70" s="25" t="n">
        <f aca="false">SABR_Base!L28+SABR_Shocks!$D$7*SABR_Shocks!L29</f>
        <v>0.006975</v>
      </c>
    </row>
    <row r="72" customFormat="false" ht="15" hidden="false" customHeight="true" outlineLevel="0" collapsed="false">
      <c r="B72" s="34" t="s">
        <v>116</v>
      </c>
      <c r="C72" s="34"/>
      <c r="D72" s="34"/>
      <c r="E72" s="34"/>
      <c r="F72" s="34"/>
      <c r="G72" s="34"/>
      <c r="H72" s="34"/>
      <c r="I72" s="34"/>
      <c r="J72" s="34"/>
      <c r="K72" s="34"/>
      <c r="L72" s="34"/>
    </row>
    <row r="73" customFormat="false" ht="15" hidden="false" customHeight="true" outlineLevel="0" collapsed="false">
      <c r="B73" s="12" t="s">
        <v>113</v>
      </c>
      <c r="C73" s="13" t="s">
        <v>114</v>
      </c>
      <c r="D73" s="13" t="s">
        <v>56</v>
      </c>
      <c r="E73" s="13" t="s">
        <v>57</v>
      </c>
      <c r="F73" s="13" t="s">
        <v>30</v>
      </c>
      <c r="G73" s="13" t="s">
        <v>58</v>
      </c>
      <c r="H73" s="13" t="s">
        <v>59</v>
      </c>
      <c r="I73" s="13" t="s">
        <v>60</v>
      </c>
      <c r="J73" s="13" t="s">
        <v>61</v>
      </c>
      <c r="K73" s="13" t="s">
        <v>62</v>
      </c>
      <c r="L73" s="13" t="s">
        <v>63</v>
      </c>
    </row>
    <row r="74" customFormat="false" ht="15" hidden="false" customHeight="true" outlineLevel="0" collapsed="false">
      <c r="B74" s="30" t="s">
        <v>114</v>
      </c>
      <c r="C74" s="25" t="n">
        <f aca="false">SABR_Base!C33+SABR_Shocks!$E$7*SABR_Shocks!C20</f>
        <v>0.8746806</v>
      </c>
      <c r="D74" s="25" t="n">
        <f aca="false">SABR_Base!D33+SABR_Shocks!$E$7*SABR_Shocks!D20</f>
        <v>0.8622708</v>
      </c>
      <c r="E74" s="25" t="n">
        <f aca="false">SABR_Base!E33+SABR_Shocks!$E$7*SABR_Shocks!E20</f>
        <v>0.843052</v>
      </c>
      <c r="F74" s="25" t="n">
        <f aca="false">SABR_Base!F33+SABR_Shocks!$E$7*SABR_Shocks!F20</f>
        <v>0.816604</v>
      </c>
      <c r="G74" s="25" t="n">
        <f aca="false">SABR_Base!G33+SABR_Shocks!$E$7*SABR_Shocks!G20</f>
        <v>0.7915822</v>
      </c>
      <c r="H74" s="25" t="n">
        <f aca="false">SABR_Base!H33+SABR_Shocks!$E$7*SABR_Shocks!H20</f>
        <v>0.7618222</v>
      </c>
      <c r="I74" s="25" t="n">
        <f aca="false">SABR_Base!I33+SABR_Shocks!$E$7*SABR_Shocks!I20</f>
        <v>0.732654</v>
      </c>
      <c r="J74" s="25" t="n">
        <f aca="false">SABR_Base!J33+SABR_Shocks!$E$7*SABR_Shocks!J20</f>
        <v>0.7208</v>
      </c>
      <c r="K74" s="25" t="n">
        <f aca="false">SABR_Base!K33+SABR_Shocks!$E$7*SABR_Shocks!K20</f>
        <v>0.68744</v>
      </c>
      <c r="L74" s="25" t="n">
        <f aca="false">SABR_Base!L33+SABR_Shocks!$E$7*SABR_Shocks!L20</f>
        <v>0.6725212</v>
      </c>
    </row>
    <row r="75" customFormat="false" ht="15" hidden="false" customHeight="true" outlineLevel="0" collapsed="false">
      <c r="B75" s="30" t="s">
        <v>56</v>
      </c>
      <c r="C75" s="25" t="n">
        <f aca="false">SABR_Base!C34+SABR_Shocks!$E$7*SABR_Shocks!C21</f>
        <v>0.8680794</v>
      </c>
      <c r="D75" s="25" t="n">
        <f aca="false">SABR_Base!D34+SABR_Shocks!$E$7*SABR_Shocks!D21</f>
        <v>0.8324224</v>
      </c>
      <c r="E75" s="25" t="n">
        <f aca="false">SABR_Base!E34+SABR_Shocks!$E$7*SABR_Shocks!E21</f>
        <v>0.8085302</v>
      </c>
      <c r="F75" s="25" t="n">
        <f aca="false">SABR_Base!F34+SABR_Shocks!$E$7*SABR_Shocks!F21</f>
        <v>0.7950084</v>
      </c>
      <c r="G75" s="25" t="n">
        <f aca="false">SABR_Base!G34+SABR_Shocks!$E$7*SABR_Shocks!G21</f>
        <v>0.7674196</v>
      </c>
      <c r="H75" s="25" t="n">
        <f aca="false">SABR_Base!H34+SABR_Shocks!$E$7*SABR_Shocks!H21</f>
        <v>0.7318124</v>
      </c>
      <c r="I75" s="25" t="n">
        <f aca="false">SABR_Base!I34+SABR_Shocks!$E$7*SABR_Shocks!I21</f>
        <v>0.7074146</v>
      </c>
      <c r="J75" s="25" t="n">
        <f aca="false">SABR_Base!J34+SABR_Shocks!$E$7*SABR_Shocks!J21</f>
        <v>0.6831838</v>
      </c>
      <c r="K75" s="25" t="n">
        <f aca="false">SABR_Base!K34+SABR_Shocks!$E$7*SABR_Shocks!K21</f>
        <v>0.6749302</v>
      </c>
      <c r="L75" s="25" t="n">
        <f aca="false">SABR_Base!L34+SABR_Shocks!$E$7*SABR_Shocks!L21</f>
        <v>0.6487526</v>
      </c>
    </row>
    <row r="76" customFormat="false" ht="15" hidden="false" customHeight="true" outlineLevel="0" collapsed="false">
      <c r="B76" s="30" t="s">
        <v>57</v>
      </c>
      <c r="C76" s="25" t="n">
        <f aca="false">SABR_Base!C35+SABR_Shocks!$E$7*SABR_Shocks!C22</f>
        <v>0.827134</v>
      </c>
      <c r="D76" s="25" t="n">
        <f aca="false">SABR_Base!D35+SABR_Shocks!$E$7*SABR_Shocks!D22</f>
        <v>0.8169478</v>
      </c>
      <c r="E76" s="25" t="n">
        <f aca="false">SABR_Base!E35+SABR_Shocks!$E$7*SABR_Shocks!E22</f>
        <v>0.796759</v>
      </c>
      <c r="F76" s="25" t="n">
        <f aca="false">SABR_Base!F35+SABR_Shocks!$E$7*SABR_Shocks!F22</f>
        <v>0.7656488</v>
      </c>
      <c r="G76" s="25" t="n">
        <f aca="false">SABR_Base!G35+SABR_Shocks!$E$7*SABR_Shocks!G22</f>
        <v>0.7361334</v>
      </c>
      <c r="H76" s="25" t="n">
        <f aca="false">SABR_Base!H35+SABR_Shocks!$E$7*SABR_Shocks!H22</f>
        <v>0.7152584</v>
      </c>
      <c r="I76" s="25" t="n">
        <f aca="false">SABR_Base!I35+SABR_Shocks!$E$7*SABR_Shocks!I22</f>
        <v>0.6823924</v>
      </c>
      <c r="J76" s="25" t="n">
        <f aca="false">SABR_Base!J35+SABR_Shocks!$E$7*SABR_Shocks!J22</f>
        <v>0.6567388</v>
      </c>
      <c r="K76" s="25" t="n">
        <f aca="false">SABR_Base!K35+SABR_Shocks!$E$7*SABR_Shocks!K22</f>
        <v>0.6519702</v>
      </c>
      <c r="L76" s="25" t="n">
        <f aca="false">SABR_Base!L35+SABR_Shocks!$E$7*SABR_Shocks!L22</f>
        <v>0.6207776</v>
      </c>
    </row>
    <row r="77" customFormat="false" ht="15" hidden="false" customHeight="true" outlineLevel="0" collapsed="false">
      <c r="B77" s="30" t="s">
        <v>30</v>
      </c>
      <c r="C77" s="25" t="n">
        <f aca="false">SABR_Base!C36+SABR_Shocks!$E$7*SABR_Shocks!C23</f>
        <v>0.810783</v>
      </c>
      <c r="D77" s="25" t="n">
        <f aca="false">SABR_Base!D36+SABR_Shocks!$E$7*SABR_Shocks!D23</f>
        <v>0.795138</v>
      </c>
      <c r="E77" s="25" t="n">
        <f aca="false">SABR_Base!E36+SABR_Shocks!$E$7*SABR_Shocks!E23</f>
        <v>0.7618668</v>
      </c>
      <c r="F77" s="25" t="n">
        <f aca="false">SABR_Base!F36+SABR_Shocks!$E$7*SABR_Shocks!F23</f>
        <v>0.746245</v>
      </c>
      <c r="G77" s="25" t="n">
        <f aca="false">SABR_Base!G36+SABR_Shocks!$E$7*SABR_Shocks!G23</f>
        <v>0.7205082</v>
      </c>
      <c r="H77" s="25" t="n">
        <f aca="false">SABR_Base!H36+SABR_Shocks!$E$7*SABR_Shocks!H23</f>
        <v>0.684219</v>
      </c>
      <c r="I77" s="25" t="n">
        <f aca="false">SABR_Base!I36+SABR_Shocks!$E$7*SABR_Shocks!I23</f>
        <v>0.6607796</v>
      </c>
      <c r="J77" s="25" t="n">
        <f aca="false">SABR_Base!J36+SABR_Shocks!$E$7*SABR_Shocks!J23</f>
        <v>0.6374844</v>
      </c>
      <c r="K77" s="25" t="n">
        <f aca="false">SABR_Base!K36+SABR_Shocks!$E$7*SABR_Shocks!K23</f>
        <v>0.6133368</v>
      </c>
      <c r="L77" s="25" t="n">
        <f aca="false">SABR_Base!L36+SABR_Shocks!$E$7*SABR_Shocks!L23</f>
        <v>0.5954206</v>
      </c>
    </row>
    <row r="78" customFormat="false" ht="15" hidden="false" customHeight="true" outlineLevel="0" collapsed="false">
      <c r="B78" s="30" t="s">
        <v>58</v>
      </c>
      <c r="C78" s="25" t="n">
        <f aca="false">SABR_Base!C37+SABR_Shocks!$E$7*SABR_Shocks!C24</f>
        <v>0.7819264</v>
      </c>
      <c r="D78" s="25" t="n">
        <f aca="false">SABR_Base!D37+SABR_Shocks!$E$7*SABR_Shocks!D24</f>
        <v>0.7609282</v>
      </c>
      <c r="E78" s="25" t="n">
        <f aca="false">SABR_Base!E37+SABR_Shocks!$E$7*SABR_Shocks!E24</f>
        <v>0.7307446</v>
      </c>
      <c r="F78" s="25" t="n">
        <f aca="false">SABR_Base!F37+SABR_Shocks!$E$7*SABR_Shocks!F24</f>
        <v>0.7228704</v>
      </c>
      <c r="G78" s="25" t="n">
        <f aca="false">SABR_Base!G37+SABR_Shocks!$E$7*SABR_Shocks!G24</f>
        <v>0.6869748</v>
      </c>
      <c r="H78" s="25" t="n">
        <f aca="false">SABR_Base!H37+SABR_Shocks!$E$7*SABR_Shocks!H24</f>
        <v>0.6656594</v>
      </c>
      <c r="I78" s="25" t="n">
        <f aca="false">SABR_Base!I37+SABR_Shocks!$E$7*SABR_Shocks!I24</f>
        <v>0.6433462</v>
      </c>
      <c r="J78" s="25" t="n">
        <f aca="false">SABR_Base!J37+SABR_Shocks!$E$7*SABR_Shocks!J24</f>
        <v>0.626063</v>
      </c>
      <c r="K78" s="25" t="n">
        <f aca="false">SABR_Base!K37+SABR_Shocks!$E$7*SABR_Shocks!K24</f>
        <v>0.5920618</v>
      </c>
      <c r="L78" s="25" t="n">
        <f aca="false">SABR_Base!L37+SABR_Shocks!$E$7*SABR_Shocks!L24</f>
        <v>0.5780696</v>
      </c>
    </row>
    <row r="79" customFormat="false" ht="15" hidden="false" customHeight="true" outlineLevel="0" collapsed="false">
      <c r="B79" s="30" t="s">
        <v>59</v>
      </c>
      <c r="C79" s="25" t="n">
        <f aca="false">SABR_Base!C38+SABR_Shocks!$E$7*SABR_Shocks!C25</f>
        <v>0.7631668</v>
      </c>
      <c r="D79" s="25" t="n">
        <f aca="false">SABR_Base!D38+SABR_Shocks!$E$7*SABR_Shocks!D25</f>
        <v>0.7395068</v>
      </c>
      <c r="E79" s="25" t="n">
        <f aca="false">SABR_Base!E38+SABR_Shocks!$E$7*SABR_Shocks!E25</f>
        <v>0.7146348</v>
      </c>
      <c r="F79" s="25" t="n">
        <f aca="false">SABR_Base!F38+SABR_Shocks!$E$7*SABR_Shocks!F25</f>
        <v>0.6812018</v>
      </c>
      <c r="G79" s="25" t="n">
        <f aca="false">SABR_Base!G38+SABR_Shocks!$E$7*SABR_Shocks!G25</f>
        <v>0.6647238</v>
      </c>
      <c r="H79" s="25" t="n">
        <f aca="false">SABR_Base!H38+SABR_Shocks!$E$7*SABR_Shocks!H25</f>
        <v>0.6356964</v>
      </c>
      <c r="I79" s="25" t="n">
        <f aca="false">SABR_Base!I38+SABR_Shocks!$E$7*SABR_Shocks!I25</f>
        <v>0.6085986</v>
      </c>
      <c r="J79" s="25" t="n">
        <f aca="false">SABR_Base!J38+SABR_Shocks!$E$7*SABR_Shocks!J25</f>
        <v>0.6001974</v>
      </c>
      <c r="K79" s="25" t="n">
        <f aca="false">SABR_Base!K38+SABR_Shocks!$E$7*SABR_Shocks!K25</f>
        <v>0.5629636</v>
      </c>
      <c r="L79" s="25" t="n">
        <f aca="false">SABR_Base!L38+SABR_Shocks!$E$7*SABR_Shocks!L25</f>
        <v>0.5460014</v>
      </c>
    </row>
    <row r="80" customFormat="false" ht="15" hidden="false" customHeight="true" outlineLevel="0" collapsed="false">
      <c r="B80" s="30" t="s">
        <v>60</v>
      </c>
      <c r="C80" s="25" t="n">
        <f aca="false">SABR_Base!C39+SABR_Shocks!$E$7*SABR_Shocks!C26</f>
        <v>0.7426858</v>
      </c>
      <c r="D80" s="25" t="n">
        <f aca="false">SABR_Base!D39+SABR_Shocks!$E$7*SABR_Shocks!D26</f>
        <v>0.715273</v>
      </c>
      <c r="E80" s="25" t="n">
        <f aca="false">SABR_Base!E39+SABR_Shocks!$E$7*SABR_Shocks!E26</f>
        <v>0.6871576</v>
      </c>
      <c r="F80" s="25" t="n">
        <f aca="false">SABR_Base!F39+SABR_Shocks!$E$7*SABR_Shocks!F26</f>
        <v>0.666468</v>
      </c>
      <c r="G80" s="25" t="n">
        <f aca="false">SABR_Base!G39+SABR_Shocks!$E$7*SABR_Shocks!G26</f>
        <v>0.6430728</v>
      </c>
      <c r="H80" s="25" t="n">
        <f aca="false">SABR_Base!H39+SABR_Shocks!$E$7*SABR_Shocks!H26</f>
        <v>0.6232304</v>
      </c>
      <c r="I80" s="25" t="n">
        <f aca="false">SABR_Base!I39+SABR_Shocks!$E$7*SABR_Shocks!I26</f>
        <v>0.585697</v>
      </c>
      <c r="J80" s="25" t="n">
        <f aca="false">SABR_Base!J39+SABR_Shocks!$E$7*SABR_Shocks!J26</f>
        <v>0.571261</v>
      </c>
      <c r="K80" s="25" t="n">
        <f aca="false">SABR_Base!K39+SABR_Shocks!$E$7*SABR_Shocks!K26</f>
        <v>0.540595</v>
      </c>
      <c r="L80" s="25" t="n">
        <f aca="false">SABR_Base!L39+SABR_Shocks!$E$7*SABR_Shocks!L26</f>
        <v>0.5174736</v>
      </c>
    </row>
    <row r="81" customFormat="false" ht="15" hidden="false" customHeight="true" outlineLevel="0" collapsed="false">
      <c r="B81" s="30" t="s">
        <v>61</v>
      </c>
      <c r="C81" s="25" t="n">
        <f aca="false">SABR_Base!C40+SABR_Shocks!$E$7*SABR_Shocks!C27</f>
        <v>0.7197172</v>
      </c>
      <c r="D81" s="25" t="n">
        <f aca="false">SABR_Base!D40+SABR_Shocks!$E$7*SABR_Shocks!D27</f>
        <v>0.6904662</v>
      </c>
      <c r="E81" s="25" t="n">
        <f aca="false">SABR_Base!E40+SABR_Shocks!$E$7*SABR_Shocks!E27</f>
        <v>0.6680508</v>
      </c>
      <c r="F81" s="25" t="n">
        <f aca="false">SABR_Base!F40+SABR_Shocks!$E$7*SABR_Shocks!F27</f>
        <v>0.6473994</v>
      </c>
      <c r="G81" s="25" t="n">
        <f aca="false">SABR_Base!G40+SABR_Shocks!$E$7*SABR_Shocks!G27</f>
        <v>0.6264484</v>
      </c>
      <c r="H81" s="25" t="n">
        <f aca="false">SABR_Base!H40+SABR_Shocks!$E$7*SABR_Shocks!H27</f>
        <v>0.5933652</v>
      </c>
      <c r="I81" s="25" t="n">
        <f aca="false">SABR_Base!I40+SABR_Shocks!$E$7*SABR_Shocks!I27</f>
        <v>0.5718666</v>
      </c>
      <c r="J81" s="25" t="n">
        <f aca="false">SABR_Base!J40+SABR_Shocks!$E$7*SABR_Shocks!J27</f>
        <v>0.5455714</v>
      </c>
      <c r="K81" s="25" t="n">
        <f aca="false">SABR_Base!K40+SABR_Shocks!$E$7*SABR_Shocks!K27</f>
        <v>0.522565</v>
      </c>
      <c r="L81" s="25" t="n">
        <f aca="false">SABR_Base!L40+SABR_Shocks!$E$7*SABR_Shocks!L27</f>
        <v>0.5019874</v>
      </c>
    </row>
    <row r="82" customFormat="false" ht="15" hidden="false" customHeight="true" outlineLevel="0" collapsed="false">
      <c r="B82" s="30" t="s">
        <v>62</v>
      </c>
      <c r="C82" s="25" t="n">
        <f aca="false">SABR_Base!C41+SABR_Shocks!$E$7*SABR_Shocks!C28</f>
        <v>0.689119</v>
      </c>
      <c r="D82" s="25" t="n">
        <f aca="false">SABR_Base!D41+SABR_Shocks!$E$7*SABR_Shocks!D28</f>
        <v>0.6665826</v>
      </c>
      <c r="E82" s="25" t="n">
        <f aca="false">SABR_Base!E41+SABR_Shocks!$E$7*SABR_Shocks!E28</f>
        <v>0.6420084</v>
      </c>
      <c r="F82" s="25" t="n">
        <f aca="false">SABR_Base!F41+SABR_Shocks!$E$7*SABR_Shocks!F28</f>
        <v>0.6275016</v>
      </c>
      <c r="G82" s="25" t="n">
        <f aca="false">SABR_Base!G41+SABR_Shocks!$E$7*SABR_Shocks!G28</f>
        <v>0.5976412</v>
      </c>
      <c r="H82" s="25" t="n">
        <f aca="false">SABR_Base!H41+SABR_Shocks!$E$7*SABR_Shocks!H28</f>
        <v>0.5780142</v>
      </c>
      <c r="I82" s="25" t="n">
        <f aca="false">SABR_Base!I41+SABR_Shocks!$E$7*SABR_Shocks!I28</f>
        <v>0.5551778</v>
      </c>
      <c r="J82" s="25" t="n">
        <f aca="false">SABR_Base!J41+SABR_Shocks!$E$7*SABR_Shocks!J28</f>
        <v>0.5171736</v>
      </c>
      <c r="K82" s="25" t="n">
        <f aca="false">SABR_Base!K41+SABR_Shocks!$E$7*SABR_Shocks!K28</f>
        <v>0.498793</v>
      </c>
      <c r="L82" s="25" t="n">
        <f aca="false">SABR_Base!L41+SABR_Shocks!$E$7*SABR_Shocks!L28</f>
        <v>0.48419</v>
      </c>
    </row>
    <row r="83" customFormat="false" ht="15" hidden="false" customHeight="true" outlineLevel="0" collapsed="false">
      <c r="B83" s="30" t="s">
        <v>63</v>
      </c>
      <c r="C83" s="25" t="n">
        <f aca="false">SABR_Base!C42+SABR_Shocks!$E$7*SABR_Shocks!C29</f>
        <v>0.6724972</v>
      </c>
      <c r="D83" s="25" t="n">
        <f aca="false">SABR_Base!D42+SABR_Shocks!$E$7*SABR_Shocks!D29</f>
        <v>0.6354968</v>
      </c>
      <c r="E83" s="25" t="n">
        <f aca="false">SABR_Base!E42+SABR_Shocks!$E$7*SABR_Shocks!E29</f>
        <v>0.6102364</v>
      </c>
      <c r="F83" s="25" t="n">
        <f aca="false">SABR_Base!F42+SABR_Shocks!$E$7*SABR_Shocks!F29</f>
        <v>0.5931592</v>
      </c>
      <c r="G83" s="25" t="n">
        <f aca="false">SABR_Base!G42+SABR_Shocks!$E$7*SABR_Shocks!G29</f>
        <v>0.561149</v>
      </c>
      <c r="H83" s="25" t="n">
        <f aca="false">SABR_Base!H42+SABR_Shocks!$E$7*SABR_Shocks!H29</f>
        <v>0.5410954</v>
      </c>
      <c r="I83" s="25" t="n">
        <f aca="false">SABR_Base!I42+SABR_Shocks!$E$7*SABR_Shocks!I29</f>
        <v>0.5133736</v>
      </c>
      <c r="J83" s="25" t="n">
        <f aca="false">SABR_Base!J42+SABR_Shocks!$E$7*SABR_Shocks!J29</f>
        <v>0.50089</v>
      </c>
      <c r="K83" s="25" t="n">
        <f aca="false">SABR_Base!K42+SABR_Shocks!$E$7*SABR_Shocks!K29</f>
        <v>0.48099</v>
      </c>
      <c r="L83" s="25" t="n">
        <f aca="false">SABR_Base!L42+SABR_Shocks!$E$7*SABR_Shocks!L29</f>
        <v>0.46099</v>
      </c>
    </row>
    <row r="86" customFormat="false" ht="15" hidden="false" customHeight="true" outlineLevel="0" collapsed="false">
      <c r="B86" s="19" t="s">
        <v>129</v>
      </c>
      <c r="C86" s="19"/>
      <c r="D86" s="19"/>
      <c r="E86" s="19"/>
      <c r="F86" s="19"/>
      <c r="G86" s="19"/>
      <c r="H86" s="19"/>
      <c r="I86" s="19"/>
      <c r="J86" s="19"/>
      <c r="K86" s="19"/>
      <c r="L86" s="19"/>
    </row>
    <row r="87" customFormat="false" ht="15" hidden="false" customHeight="true" outlineLevel="0" collapsed="false">
      <c r="B87" s="34" t="s">
        <v>112</v>
      </c>
      <c r="C87" s="34"/>
      <c r="D87" s="34"/>
      <c r="E87" s="34"/>
      <c r="F87" s="34"/>
      <c r="G87" s="34"/>
      <c r="H87" s="34"/>
      <c r="I87" s="34"/>
      <c r="J87" s="34"/>
      <c r="K87" s="34"/>
      <c r="L87" s="34"/>
    </row>
    <row r="88" customFormat="false" ht="15" hidden="false" customHeight="true" outlineLevel="0" collapsed="false">
      <c r="B88" s="12" t="s">
        <v>113</v>
      </c>
      <c r="C88" s="13" t="s">
        <v>114</v>
      </c>
      <c r="D88" s="13" t="s">
        <v>56</v>
      </c>
      <c r="E88" s="13" t="s">
        <v>57</v>
      </c>
      <c r="F88" s="13" t="s">
        <v>30</v>
      </c>
      <c r="G88" s="13" t="s">
        <v>58</v>
      </c>
      <c r="H88" s="13" t="s">
        <v>59</v>
      </c>
      <c r="I88" s="13" t="s">
        <v>60</v>
      </c>
      <c r="J88" s="13" t="s">
        <v>61</v>
      </c>
      <c r="K88" s="13" t="s">
        <v>62</v>
      </c>
      <c r="L88" s="13" t="s">
        <v>63</v>
      </c>
    </row>
    <row r="89" customFormat="false" ht="15" hidden="false" customHeight="true" outlineLevel="0" collapsed="false">
      <c r="B89" s="30" t="s">
        <v>114</v>
      </c>
      <c r="C89" s="25" t="n">
        <f aca="false">SABR_Base!C5+SABR_Shocks!$C$8*SABR_Shocks!C20</f>
        <v>0.565712</v>
      </c>
      <c r="D89" s="25" t="n">
        <f aca="false">SABR_Base!D5+SABR_Shocks!$C$8*SABR_Shocks!D20</f>
        <v>0.544616</v>
      </c>
      <c r="E89" s="25" t="n">
        <f aca="false">SABR_Base!E5+SABR_Shocks!$C$8*SABR_Shocks!E20</f>
        <v>0.53674</v>
      </c>
      <c r="F89" s="25" t="n">
        <f aca="false">SABR_Base!F5+SABR_Shocks!$C$8*SABR_Shocks!F20</f>
        <v>0.50748</v>
      </c>
      <c r="G89" s="25" t="n">
        <f aca="false">SABR_Base!G5+SABR_Shocks!$C$8*SABR_Shocks!G20</f>
        <v>0.498944</v>
      </c>
      <c r="H89" s="25" t="n">
        <f aca="false">SABR_Base!H5+SABR_Shocks!$C$8*SABR_Shocks!H20</f>
        <v>0.477644</v>
      </c>
      <c r="I89" s="25" t="n">
        <f aca="false">SABR_Base!I5+SABR_Shocks!$C$8*SABR_Shocks!I20</f>
        <v>0.45428</v>
      </c>
      <c r="J89" s="25" t="n">
        <f aca="false">SABR_Base!J5+SABR_Shocks!$C$8*SABR_Shocks!J20</f>
        <v>0.4455</v>
      </c>
      <c r="K89" s="25" t="n">
        <f aca="false">SABR_Base!K5+SABR_Shocks!$C$8*SABR_Shocks!K20</f>
        <v>0.4182</v>
      </c>
      <c r="L89" s="25" t="n">
        <f aca="false">SABR_Base!L5+SABR_Shocks!$C$8*SABR_Shocks!L20</f>
        <v>0.408324</v>
      </c>
    </row>
    <row r="90" customFormat="false" ht="15" hidden="false" customHeight="true" outlineLevel="0" collapsed="false">
      <c r="B90" s="30" t="s">
        <v>56</v>
      </c>
      <c r="C90" s="25" t="n">
        <f aca="false">SABR_Base!C6+SABR_Shocks!$C$8*SABR_Shocks!C21</f>
        <v>0.542688</v>
      </c>
      <c r="D90" s="25" t="n">
        <f aca="false">SABR_Base!D6+SABR_Shocks!$C$8*SABR_Shocks!D21</f>
        <v>0.525348</v>
      </c>
      <c r="E90" s="25" t="n">
        <f aca="false">SABR_Base!E6+SABR_Shocks!$C$8*SABR_Shocks!E21</f>
        <v>0.514304</v>
      </c>
      <c r="F90" s="25" t="n">
        <f aca="false">SABR_Base!F6+SABR_Shocks!$C$8*SABR_Shocks!F21</f>
        <v>0.504468</v>
      </c>
      <c r="G90" s="25" t="n">
        <f aca="false">SABR_Base!G6+SABR_Shocks!$C$8*SABR_Shocks!G21</f>
        <v>0.473092</v>
      </c>
      <c r="H90" s="25" t="n">
        <f aca="false">SABR_Base!H6+SABR_Shocks!$C$8*SABR_Shocks!H21</f>
        <v>0.457148</v>
      </c>
      <c r="I90" s="25" t="n">
        <f aca="false">SABR_Base!I6+SABR_Shocks!$C$8*SABR_Shocks!I21</f>
        <v>0.447792</v>
      </c>
      <c r="J90" s="25" t="n">
        <f aca="false">SABR_Base!J6+SABR_Shocks!$C$8*SABR_Shocks!J21</f>
        <v>0.436076</v>
      </c>
      <c r="K90" s="25" t="n">
        <f aca="false">SABR_Base!K6+SABR_Shocks!$C$8*SABR_Shocks!K21</f>
        <v>0.411304</v>
      </c>
      <c r="L90" s="25" t="n">
        <f aca="false">SABR_Base!L6+SABR_Shocks!$C$8*SABR_Shocks!L21</f>
        <v>0.389952</v>
      </c>
    </row>
    <row r="91" customFormat="false" ht="15" hidden="false" customHeight="true" outlineLevel="0" collapsed="false">
      <c r="B91" s="30" t="s">
        <v>57</v>
      </c>
      <c r="C91" s="25" t="n">
        <f aca="false">SABR_Base!C7+SABR_Shocks!$C$8*SABR_Shocks!C22</f>
        <v>0.54288</v>
      </c>
      <c r="D91" s="25" t="n">
        <f aca="false">SABR_Base!D7+SABR_Shocks!$C$8*SABR_Shocks!D22</f>
        <v>0.506656</v>
      </c>
      <c r="E91" s="25" t="n">
        <f aca="false">SABR_Base!E7+SABR_Shocks!$C$8*SABR_Shocks!E22</f>
        <v>0.50568</v>
      </c>
      <c r="F91" s="25" t="n">
        <f aca="false">SABR_Base!F7+SABR_Shocks!$C$8*SABR_Shocks!F22</f>
        <v>0.476276</v>
      </c>
      <c r="G91" s="25" t="n">
        <f aca="false">SABR_Base!G7+SABR_Shocks!$C$8*SABR_Shocks!G22</f>
        <v>0.455968</v>
      </c>
      <c r="H91" s="25" t="n">
        <f aca="false">SABR_Base!H7+SABR_Shocks!$C$8*SABR_Shocks!H22</f>
        <v>0.437268</v>
      </c>
      <c r="I91" s="25" t="n">
        <f aca="false">SABR_Base!I7+SABR_Shocks!$C$8*SABR_Shocks!I22</f>
        <v>0.423048</v>
      </c>
      <c r="J91" s="25" t="n">
        <f aca="false">SABR_Base!J7+SABR_Shocks!$C$8*SABR_Shocks!J22</f>
        <v>0.415876</v>
      </c>
      <c r="K91" s="25" t="n">
        <f aca="false">SABR_Base!K7+SABR_Shocks!$C$8*SABR_Shocks!K22</f>
        <v>0.385504</v>
      </c>
      <c r="L91" s="25" t="n">
        <f aca="false">SABR_Base!L7+SABR_Shocks!$C$8*SABR_Shocks!L22</f>
        <v>0.375452</v>
      </c>
    </row>
    <row r="92" customFormat="false" ht="15" hidden="false" customHeight="true" outlineLevel="0" collapsed="false">
      <c r="B92" s="30" t="s">
        <v>30</v>
      </c>
      <c r="C92" s="25" t="n">
        <f aca="false">SABR_Base!C8+SABR_Shocks!$C$8*SABR_Shocks!C23</f>
        <v>0.51846</v>
      </c>
      <c r="D92" s="25" t="n">
        <f aca="false">SABR_Base!D8+SABR_Shocks!$C$8*SABR_Shocks!D23</f>
        <v>0.49556</v>
      </c>
      <c r="E92" s="25" t="n">
        <f aca="false">SABR_Base!E8+SABR_Shocks!$C$8*SABR_Shocks!E23</f>
        <v>0.481736</v>
      </c>
      <c r="F92" s="25" t="n">
        <f aca="false">SABR_Base!F8+SABR_Shocks!$C$8*SABR_Shocks!F23</f>
        <v>0.4542</v>
      </c>
      <c r="G92" s="25" t="n">
        <f aca="false">SABR_Base!G8+SABR_Shocks!$C$8*SABR_Shocks!G23</f>
        <v>0.435864</v>
      </c>
      <c r="H92" s="25" t="n">
        <f aca="false">SABR_Base!H8+SABR_Shocks!$C$8*SABR_Shocks!H23</f>
        <v>0.42118</v>
      </c>
      <c r="I92" s="25" t="n">
        <f aca="false">SABR_Base!I8+SABR_Shocks!$C$8*SABR_Shocks!I23</f>
        <v>0.412792</v>
      </c>
      <c r="J92" s="25" t="n">
        <f aca="false">SABR_Base!J8+SABR_Shocks!$C$8*SABR_Shocks!J23</f>
        <v>0.389988</v>
      </c>
      <c r="K92" s="25" t="n">
        <f aca="false">SABR_Base!K8+SABR_Shocks!$C$8*SABR_Shocks!K23</f>
        <v>0.370436</v>
      </c>
      <c r="L92" s="25" t="n">
        <f aca="false">SABR_Base!L8+SABR_Shocks!$C$8*SABR_Shocks!L23</f>
        <v>0.357712</v>
      </c>
    </row>
    <row r="93" customFormat="false" ht="15" hidden="false" customHeight="true" outlineLevel="0" collapsed="false">
      <c r="B93" s="30" t="s">
        <v>58</v>
      </c>
      <c r="C93" s="25" t="n">
        <f aca="false">SABR_Base!C9+SABR_Shocks!$C$8*SABR_Shocks!C24</f>
        <v>0.497328</v>
      </c>
      <c r="D93" s="25" t="n">
        <f aca="false">SABR_Base!D9+SABR_Shocks!$C$8*SABR_Shocks!D24</f>
        <v>0.476464</v>
      </c>
      <c r="E93" s="25" t="n">
        <f aca="false">SABR_Base!E9+SABR_Shocks!$C$8*SABR_Shocks!E24</f>
        <v>0.468392</v>
      </c>
      <c r="F93" s="25" t="n">
        <f aca="false">SABR_Base!F9+SABR_Shocks!$C$8*SABR_Shocks!F24</f>
        <v>0.449108</v>
      </c>
      <c r="G93" s="25" t="n">
        <f aca="false">SABR_Base!G9+SABR_Shocks!$C$8*SABR_Shocks!G24</f>
        <v>0.421796</v>
      </c>
      <c r="H93" s="25" t="n">
        <f aca="false">SABR_Base!H9+SABR_Shocks!$C$8*SABR_Shocks!H24</f>
        <v>0.411088</v>
      </c>
      <c r="I93" s="25" t="n">
        <f aca="false">SABR_Base!I9+SABR_Shocks!$C$8*SABR_Shocks!I24</f>
        <v>0.391924</v>
      </c>
      <c r="J93" s="25" t="n">
        <f aca="false">SABR_Base!J9+SABR_Shocks!$C$8*SABR_Shocks!J24</f>
        <v>0.38146</v>
      </c>
      <c r="K93" s="25" t="n">
        <f aca="false">SABR_Base!K9+SABR_Shocks!$C$8*SABR_Shocks!K24</f>
        <v>0.360636</v>
      </c>
      <c r="L93" s="25" t="n">
        <f aca="false">SABR_Base!L9+SABR_Shocks!$C$8*SABR_Shocks!L24</f>
        <v>0.334092</v>
      </c>
    </row>
    <row r="94" customFormat="false" ht="15" hidden="false" customHeight="true" outlineLevel="0" collapsed="false">
      <c r="B94" s="30" t="s">
        <v>59</v>
      </c>
      <c r="C94" s="25" t="n">
        <f aca="false">SABR_Base!C10+SABR_Shocks!$C$8*SABR_Shocks!C25</f>
        <v>0.490436</v>
      </c>
      <c r="D94" s="25" t="n">
        <f aca="false">SABR_Base!D10+SABR_Shocks!$C$8*SABR_Shocks!D25</f>
        <v>0.455336</v>
      </c>
      <c r="E94" s="25" t="n">
        <f aca="false">SABR_Base!E10+SABR_Shocks!$C$8*SABR_Shocks!E25</f>
        <v>0.443196</v>
      </c>
      <c r="F94" s="25" t="n">
        <f aca="false">SABR_Base!F10+SABR_Shocks!$C$8*SABR_Shocks!F25</f>
        <v>0.432636</v>
      </c>
      <c r="G94" s="25" t="n">
        <f aca="false">SABR_Base!G10+SABR_Shocks!$C$8*SABR_Shocks!G25</f>
        <v>0.402276</v>
      </c>
      <c r="H94" s="25" t="n">
        <f aca="false">SABR_Base!H10+SABR_Shocks!$C$8*SABR_Shocks!H25</f>
        <v>0.391428</v>
      </c>
      <c r="I94" s="25" t="n">
        <f aca="false">SABR_Base!I10+SABR_Shocks!$C$8*SABR_Shocks!I25</f>
        <v>0.365072</v>
      </c>
      <c r="J94" s="25" t="n">
        <f aca="false">SABR_Base!J10+SABR_Shocks!$C$8*SABR_Shocks!J25</f>
        <v>0.359748</v>
      </c>
      <c r="K94" s="25" t="n">
        <f aca="false">SABR_Base!K10+SABR_Shocks!$C$8*SABR_Shocks!K25</f>
        <v>0.343472</v>
      </c>
      <c r="L94" s="25" t="n">
        <f aca="false">SABR_Base!L10+SABR_Shocks!$C$8*SABR_Shocks!L25</f>
        <v>0.322528</v>
      </c>
    </row>
    <row r="95" customFormat="false" ht="15" hidden="false" customHeight="true" outlineLevel="0" collapsed="false">
      <c r="B95" s="30" t="s">
        <v>60</v>
      </c>
      <c r="C95" s="25" t="n">
        <f aca="false">SABR_Base!C11+SABR_Shocks!$C$8*SABR_Shocks!C26</f>
        <v>0.470016</v>
      </c>
      <c r="D95" s="25" t="n">
        <f aca="false">SABR_Base!D11+SABR_Shocks!$C$8*SABR_Shocks!D26</f>
        <v>0.44106</v>
      </c>
      <c r="E95" s="25" t="n">
        <f aca="false">SABR_Base!E11+SABR_Shocks!$C$8*SABR_Shocks!E26</f>
        <v>0.431352</v>
      </c>
      <c r="F95" s="25" t="n">
        <f aca="false">SABR_Base!F11+SABR_Shocks!$C$8*SABR_Shocks!F26</f>
        <v>0.41126</v>
      </c>
      <c r="G95" s="25" t="n">
        <f aca="false">SABR_Base!G11+SABR_Shocks!$C$8*SABR_Shocks!G26</f>
        <v>0.393156</v>
      </c>
      <c r="H95" s="25" t="n">
        <f aca="false">SABR_Base!H11+SABR_Shocks!$C$8*SABR_Shocks!H26</f>
        <v>0.372808</v>
      </c>
      <c r="I95" s="25" t="n">
        <f aca="false">SABR_Base!I11+SABR_Shocks!$C$8*SABR_Shocks!I26</f>
        <v>0.36274</v>
      </c>
      <c r="J95" s="25" t="n">
        <f aca="false">SABR_Base!J11+SABR_Shocks!$C$8*SABR_Shocks!J26</f>
        <v>0.34742</v>
      </c>
      <c r="K95" s="25" t="n">
        <f aca="false">SABR_Base!K11+SABR_Shocks!$C$8*SABR_Shocks!K26</f>
        <v>0.32</v>
      </c>
      <c r="L95" s="25" t="n">
        <f aca="false">SABR_Base!L11+SABR_Shocks!$C$8*SABR_Shocks!L26</f>
        <v>0.306372</v>
      </c>
    </row>
    <row r="96" customFormat="false" ht="15" hidden="false" customHeight="true" outlineLevel="0" collapsed="false">
      <c r="B96" s="30" t="s">
        <v>61</v>
      </c>
      <c r="C96" s="25" t="n">
        <f aca="false">SABR_Base!C12+SABR_Shocks!$C$8*SABR_Shocks!C27</f>
        <v>0.436044</v>
      </c>
      <c r="D96" s="25" t="n">
        <f aca="false">SABR_Base!D12+SABR_Shocks!$C$8*SABR_Shocks!D27</f>
        <v>0.431224</v>
      </c>
      <c r="E96" s="25" t="n">
        <f aca="false">SABR_Base!E12+SABR_Shocks!$C$8*SABR_Shocks!E27</f>
        <v>0.412716</v>
      </c>
      <c r="F96" s="25" t="n">
        <f aca="false">SABR_Base!F12+SABR_Shocks!$C$8*SABR_Shocks!F27</f>
        <v>0.401588</v>
      </c>
      <c r="G96" s="25" t="n">
        <f aca="false">SABR_Base!G12+SABR_Shocks!$C$8*SABR_Shocks!G27</f>
        <v>0.380468</v>
      </c>
      <c r="H96" s="25" t="n">
        <f aca="false">SABR_Base!H12+SABR_Shocks!$C$8*SABR_Shocks!H27</f>
        <v>0.352204</v>
      </c>
      <c r="I96" s="25" t="n">
        <f aca="false">SABR_Base!I12+SABR_Shocks!$C$8*SABR_Shocks!I27</f>
        <v>0.335932</v>
      </c>
      <c r="J96" s="25" t="n">
        <f aca="false">SABR_Base!J12+SABR_Shocks!$C$8*SABR_Shocks!J27</f>
        <v>0.323828</v>
      </c>
      <c r="K96" s="25" t="n">
        <f aca="false">SABR_Base!K12+SABR_Shocks!$C$8*SABR_Shocks!K27</f>
        <v>0.2938</v>
      </c>
      <c r="L96" s="25" t="n">
        <f aca="false">SABR_Base!L12+SABR_Shocks!$C$8*SABR_Shocks!L27</f>
        <v>0.284748</v>
      </c>
    </row>
    <row r="97" customFormat="false" ht="15" hidden="false" customHeight="true" outlineLevel="0" collapsed="false">
      <c r="B97" s="30" t="s">
        <v>62</v>
      </c>
      <c r="C97" s="25" t="n">
        <f aca="false">SABR_Base!C13+SABR_Shocks!$C$8*SABR_Shocks!C28</f>
        <v>0.42038</v>
      </c>
      <c r="D97" s="25" t="n">
        <f aca="false">SABR_Base!D13+SABR_Shocks!$C$8*SABR_Shocks!D28</f>
        <v>0.401552</v>
      </c>
      <c r="E97" s="25" t="n">
        <f aca="false">SABR_Base!E13+SABR_Shocks!$C$8*SABR_Shocks!E28</f>
        <v>0.383068</v>
      </c>
      <c r="F97" s="25" t="n">
        <f aca="false">SABR_Base!F13+SABR_Shocks!$C$8*SABR_Shocks!F28</f>
        <v>0.379632</v>
      </c>
      <c r="G97" s="25" t="n">
        <f aca="false">SABR_Base!G13+SABR_Shocks!$C$8*SABR_Shocks!G28</f>
        <v>0.348624</v>
      </c>
      <c r="H97" s="25" t="n">
        <f aca="false">SABR_Base!H13+SABR_Shocks!$C$8*SABR_Shocks!H28</f>
        <v>0.333784</v>
      </c>
      <c r="I97" s="25" t="n">
        <f aca="false">SABR_Base!I13+SABR_Shocks!$C$8*SABR_Shocks!I28</f>
        <v>0.318856</v>
      </c>
      <c r="J97" s="25" t="n">
        <f aca="false">SABR_Base!J13+SABR_Shocks!$C$8*SABR_Shocks!J28</f>
        <v>0.310472</v>
      </c>
      <c r="K97" s="25" t="n">
        <f aca="false">SABR_Base!K13+SABR_Shocks!$C$8*SABR_Shocks!K28</f>
        <v>0.27676</v>
      </c>
      <c r="L97" s="25" t="n">
        <f aca="false">SABR_Base!L13+SABR_Shocks!$C$8*SABR_Shocks!L28</f>
        <v>0.2675</v>
      </c>
    </row>
    <row r="98" customFormat="false" ht="15" hidden="false" customHeight="true" outlineLevel="0" collapsed="false">
      <c r="B98" s="30" t="s">
        <v>63</v>
      </c>
      <c r="C98" s="25" t="n">
        <f aca="false">SABR_Base!C14+SABR_Shocks!$C$8*SABR_Shocks!C29</f>
        <v>0.410144</v>
      </c>
      <c r="D98" s="25" t="n">
        <f aca="false">SABR_Base!D14+SABR_Shocks!$C$8*SABR_Shocks!D29</f>
        <v>0.399736</v>
      </c>
      <c r="E98" s="25" t="n">
        <f aca="false">SABR_Base!E14+SABR_Shocks!$C$8*SABR_Shocks!E29</f>
        <v>0.380228</v>
      </c>
      <c r="F98" s="25" t="n">
        <f aca="false">SABR_Base!F14+SABR_Shocks!$C$8*SABR_Shocks!F29</f>
        <v>0.363684</v>
      </c>
      <c r="G98" s="25" t="n">
        <f aca="false">SABR_Base!G14+SABR_Shocks!$C$8*SABR_Shocks!G29</f>
        <v>0.33388</v>
      </c>
      <c r="H98" s="25" t="n">
        <f aca="false">SABR_Base!H14+SABR_Shocks!$C$8*SABR_Shocks!H29</f>
        <v>0.319308</v>
      </c>
      <c r="I98" s="25" t="n">
        <f aca="false">SABR_Base!I14+SABR_Shocks!$C$8*SABR_Shocks!I29</f>
        <v>0.300272</v>
      </c>
      <c r="J98" s="25" t="n">
        <f aca="false">SABR_Base!J14+SABR_Shocks!$C$8*SABR_Shocks!J29</f>
        <v>0.2928</v>
      </c>
      <c r="K98" s="25" t="n">
        <f aca="false">SABR_Base!K14+SABR_Shocks!$C$8*SABR_Shocks!K29</f>
        <v>0.2776</v>
      </c>
      <c r="L98" s="25" t="n">
        <f aca="false">SABR_Base!L14+SABR_Shocks!$C$8*SABR_Shocks!L29</f>
        <v>0.2448</v>
      </c>
    </row>
    <row r="100" customFormat="false" ht="15" hidden="false" customHeight="true" outlineLevel="0" collapsed="false">
      <c r="B100" s="34" t="s">
        <v>115</v>
      </c>
      <c r="C100" s="34"/>
      <c r="D100" s="34"/>
      <c r="E100" s="34"/>
      <c r="F100" s="34"/>
      <c r="G100" s="34"/>
      <c r="H100" s="34"/>
      <c r="I100" s="34"/>
      <c r="J100" s="34"/>
      <c r="K100" s="34"/>
      <c r="L100" s="34"/>
    </row>
    <row r="101" customFormat="false" ht="15" hidden="false" customHeight="true" outlineLevel="0" collapsed="false">
      <c r="B101" s="12" t="s">
        <v>113</v>
      </c>
      <c r="C101" s="13" t="s">
        <v>114</v>
      </c>
      <c r="D101" s="13" t="s">
        <v>56</v>
      </c>
      <c r="E101" s="13" t="s">
        <v>57</v>
      </c>
      <c r="F101" s="13" t="s">
        <v>30</v>
      </c>
      <c r="G101" s="13" t="s">
        <v>58</v>
      </c>
      <c r="H101" s="13" t="s">
        <v>59</v>
      </c>
      <c r="I101" s="13" t="s">
        <v>60</v>
      </c>
      <c r="J101" s="13" t="s">
        <v>61</v>
      </c>
      <c r="K101" s="13" t="s">
        <v>62</v>
      </c>
      <c r="L101" s="13" t="s">
        <v>63</v>
      </c>
    </row>
    <row r="102" customFormat="false" ht="15" hidden="false" customHeight="true" outlineLevel="0" collapsed="false">
      <c r="B102" s="30" t="s">
        <v>114</v>
      </c>
      <c r="C102" s="25" t="n">
        <f aca="false">SABR_Base!C19+SABR_Shocks!$D$8*SABR_Shocks!C20</f>
        <v>-0.3441723</v>
      </c>
      <c r="D102" s="25" t="n">
        <f aca="false">SABR_Base!D19+SABR_Shocks!$D$8*SABR_Shocks!D20</f>
        <v>-0.3242114</v>
      </c>
      <c r="E102" s="25" t="n">
        <f aca="false">SABR_Base!E19+SABR_Shocks!$D$8*SABR_Shocks!E20</f>
        <v>-0.305466</v>
      </c>
      <c r="F102" s="25" t="n">
        <f aca="false">SABR_Base!F19+SABR_Shocks!$D$8*SABR_Shocks!F20</f>
        <v>-0.281682</v>
      </c>
      <c r="G102" s="25" t="n">
        <f aca="false">SABR_Base!G19+SABR_Shocks!$D$8*SABR_Shocks!G20</f>
        <v>-0.2608751</v>
      </c>
      <c r="H102" s="25" t="n">
        <f aca="false">SABR_Base!H19+SABR_Shocks!$D$8*SABR_Shocks!H20</f>
        <v>-0.2487451</v>
      </c>
      <c r="I102" s="25" t="n">
        <f aca="false">SABR_Base!I19+SABR_Shocks!$D$8*SABR_Shocks!I20</f>
        <v>-0.234907</v>
      </c>
      <c r="J102" s="25" t="n">
        <f aca="false">SABR_Base!J19+SABR_Shocks!$D$8*SABR_Shocks!J20</f>
        <v>-0.2078</v>
      </c>
      <c r="K102" s="25" t="n">
        <f aca="false">SABR_Base!K19+SABR_Shocks!$D$8*SABR_Shocks!K20</f>
        <v>-0.19017</v>
      </c>
      <c r="L102" s="25" t="n">
        <f aca="false">SABR_Base!L19+SABR_Shocks!$D$8*SABR_Shocks!L20</f>
        <v>-0.1675246</v>
      </c>
    </row>
    <row r="103" customFormat="false" ht="15" hidden="false" customHeight="true" outlineLevel="0" collapsed="false">
      <c r="B103" s="30" t="s">
        <v>56</v>
      </c>
      <c r="C103" s="25" t="n">
        <f aca="false">SABR_Base!C20+SABR_Shocks!$D$8*SABR_Shocks!C21</f>
        <v>-0.3099577</v>
      </c>
      <c r="D103" s="25" t="n">
        <f aca="false">SABR_Base!D20+SABR_Shocks!$D$8*SABR_Shocks!D21</f>
        <v>-0.2964892</v>
      </c>
      <c r="E103" s="25" t="n">
        <f aca="false">SABR_Base!E20+SABR_Shocks!$D$8*SABR_Shocks!E21</f>
        <v>-0.2812591</v>
      </c>
      <c r="F103" s="25" t="n">
        <f aca="false">SABR_Base!F20+SABR_Shocks!$D$8*SABR_Shocks!F21</f>
        <v>-0.2605522</v>
      </c>
      <c r="G103" s="25" t="n">
        <f aca="false">SABR_Base!G20+SABR_Shocks!$D$8*SABR_Shocks!G21</f>
        <v>-0.2403218</v>
      </c>
      <c r="H103" s="25" t="n">
        <f aca="false">SABR_Base!H20+SABR_Shocks!$D$8*SABR_Shocks!H21</f>
        <v>-0.2341842</v>
      </c>
      <c r="I103" s="25" t="n">
        <f aca="false">SABR_Base!I20+SABR_Shocks!$D$8*SABR_Shocks!I21</f>
        <v>-0.1982693</v>
      </c>
      <c r="J103" s="25" t="n">
        <f aca="false">SABR_Base!J20+SABR_Shocks!$D$8*SABR_Shocks!J21</f>
        <v>-0.1820779</v>
      </c>
      <c r="K103" s="25" t="n">
        <f aca="false">SABR_Base!K20+SABR_Shocks!$D$8*SABR_Shocks!K21</f>
        <v>-0.1612091</v>
      </c>
      <c r="L103" s="25" t="n">
        <f aca="false">SABR_Base!L20+SABR_Shocks!$D$8*SABR_Shocks!L21</f>
        <v>-0.1440483</v>
      </c>
    </row>
    <row r="104" customFormat="false" ht="15" hidden="false" customHeight="true" outlineLevel="0" collapsed="false">
      <c r="B104" s="30" t="s">
        <v>57</v>
      </c>
      <c r="C104" s="25" t="n">
        <f aca="false">SABR_Base!C21+SABR_Shocks!$D$8*SABR_Shocks!C22</f>
        <v>-0.302597</v>
      </c>
      <c r="D104" s="25" t="n">
        <f aca="false">SABR_Base!D21+SABR_Shocks!$D$8*SABR_Shocks!D22</f>
        <v>-0.2835899</v>
      </c>
      <c r="E104" s="25" t="n">
        <f aca="false">SABR_Base!E21+SABR_Shocks!$D$8*SABR_Shocks!E22</f>
        <v>-0.2704595</v>
      </c>
      <c r="F104" s="25" t="n">
        <f aca="false">SABR_Base!F21+SABR_Shocks!$D$8*SABR_Shocks!F22</f>
        <v>-0.2412604</v>
      </c>
      <c r="G104" s="25" t="n">
        <f aca="false">SABR_Base!G21+SABR_Shocks!$D$8*SABR_Shocks!G22</f>
        <v>-0.2337147</v>
      </c>
      <c r="H104" s="25" t="n">
        <f aca="false">SABR_Base!H21+SABR_Shocks!$D$8*SABR_Shocks!H22</f>
        <v>-0.2150772</v>
      </c>
      <c r="I104" s="25" t="n">
        <f aca="false">SABR_Base!I21+SABR_Shocks!$D$8*SABR_Shocks!I22</f>
        <v>-0.1937242</v>
      </c>
      <c r="J104" s="25" t="n">
        <f aca="false">SABR_Base!J21+SABR_Shocks!$D$8*SABR_Shocks!J22</f>
        <v>-0.1756554</v>
      </c>
      <c r="K104" s="25" t="n">
        <f aca="false">SABR_Base!K21+SABR_Shocks!$D$8*SABR_Shocks!K22</f>
        <v>-0.1532791</v>
      </c>
      <c r="L104" s="25" t="n">
        <f aca="false">SABR_Base!L21+SABR_Shocks!$D$8*SABR_Shocks!L22</f>
        <v>-0.1405108</v>
      </c>
    </row>
    <row r="105" customFormat="false" ht="15" hidden="false" customHeight="true" outlineLevel="0" collapsed="false">
      <c r="B105" s="30" t="s">
        <v>30</v>
      </c>
      <c r="C105" s="25" t="n">
        <f aca="false">SABR_Base!C22+SABR_Shocks!$D$8*SABR_Shocks!C23</f>
        <v>-0.2916515</v>
      </c>
      <c r="D105" s="25" t="n">
        <f aca="false">SABR_Base!D22+SABR_Shocks!$D$8*SABR_Shocks!D23</f>
        <v>-0.269729</v>
      </c>
      <c r="E105" s="25" t="n">
        <f aca="false">SABR_Base!E22+SABR_Shocks!$D$8*SABR_Shocks!E23</f>
        <v>-0.2516294</v>
      </c>
      <c r="F105" s="25" t="n">
        <f aca="false">SABR_Base!F22+SABR_Shocks!$D$8*SABR_Shocks!F23</f>
        <v>-0.2278225</v>
      </c>
      <c r="G105" s="25" t="n">
        <f aca="false">SABR_Base!G22+SABR_Shocks!$D$8*SABR_Shocks!G23</f>
        <v>-0.2161081</v>
      </c>
      <c r="H105" s="25" t="n">
        <f aca="false">SABR_Base!H22+SABR_Shocks!$D$8*SABR_Shocks!H23</f>
        <v>-0.1803395</v>
      </c>
      <c r="I105" s="25" t="n">
        <f aca="false">SABR_Base!I22+SABR_Shocks!$D$8*SABR_Shocks!I23</f>
        <v>-0.1668018</v>
      </c>
      <c r="J105" s="25" t="n">
        <f aca="false">SABR_Base!J22+SABR_Shocks!$D$8*SABR_Shocks!J23</f>
        <v>-0.1574102</v>
      </c>
      <c r="K105" s="25" t="n">
        <f aca="false">SABR_Base!K22+SABR_Shocks!$D$8*SABR_Shocks!K23</f>
        <v>-0.1362644</v>
      </c>
      <c r="L105" s="25" t="n">
        <f aca="false">SABR_Base!L22+SABR_Shocks!$D$8*SABR_Shocks!L23</f>
        <v>-0.1158423</v>
      </c>
    </row>
    <row r="106" customFormat="false" ht="15" hidden="false" customHeight="true" outlineLevel="0" collapsed="false">
      <c r="B106" s="30" t="s">
        <v>58</v>
      </c>
      <c r="C106" s="25" t="n">
        <f aca="false">SABR_Base!C23+SABR_Shocks!$D$8*SABR_Shocks!C24</f>
        <v>-0.2653212</v>
      </c>
      <c r="D106" s="25" t="n">
        <f aca="false">SABR_Base!D23+SABR_Shocks!$D$8*SABR_Shocks!D24</f>
        <v>-0.2514681</v>
      </c>
      <c r="E106" s="25" t="n">
        <f aca="false">SABR_Base!E23+SABR_Shocks!$D$8*SABR_Shocks!E24</f>
        <v>-0.2183843</v>
      </c>
      <c r="F106" s="25" t="n">
        <f aca="false">SABR_Base!F23+SABR_Shocks!$D$8*SABR_Shocks!F24</f>
        <v>-0.1964232</v>
      </c>
      <c r="G106" s="25" t="n">
        <f aca="false">SABR_Base!G23+SABR_Shocks!$D$8*SABR_Shocks!G24</f>
        <v>-0.1884934</v>
      </c>
      <c r="H106" s="25" t="n">
        <f aca="false">SABR_Base!H23+SABR_Shocks!$D$8*SABR_Shocks!H24</f>
        <v>-0.1691477</v>
      </c>
      <c r="I106" s="25" t="n">
        <f aca="false">SABR_Base!I23+SABR_Shocks!$D$8*SABR_Shocks!I24</f>
        <v>-0.1585871</v>
      </c>
      <c r="J106" s="25" t="n">
        <f aca="false">SABR_Base!J23+SABR_Shocks!$D$8*SABR_Shocks!J24</f>
        <v>-0.1394415</v>
      </c>
      <c r="K106" s="25" t="n">
        <f aca="false">SABR_Base!K23+SABR_Shocks!$D$8*SABR_Shocks!K24</f>
        <v>-0.1159269</v>
      </c>
      <c r="L106" s="25" t="n">
        <f aca="false">SABR_Base!L23+SABR_Shocks!$D$8*SABR_Shocks!L24</f>
        <v>-0.0986968</v>
      </c>
    </row>
    <row r="107" customFormat="false" ht="15" hidden="false" customHeight="true" outlineLevel="0" collapsed="false">
      <c r="B107" s="30" t="s">
        <v>59</v>
      </c>
      <c r="C107" s="25" t="n">
        <f aca="false">SABR_Base!C24+SABR_Shocks!$D$8*SABR_Shocks!C25</f>
        <v>-0.2371294</v>
      </c>
      <c r="D107" s="25" t="n">
        <f aca="false">SABR_Base!D24+SABR_Shocks!$D$8*SABR_Shocks!D25</f>
        <v>-0.2317994</v>
      </c>
      <c r="E107" s="25" t="n">
        <f aca="false">SABR_Base!E24+SABR_Shocks!$D$8*SABR_Shocks!E25</f>
        <v>-0.2160234</v>
      </c>
      <c r="F107" s="25" t="n">
        <f aca="false">SABR_Base!F24+SABR_Shocks!$D$8*SABR_Shocks!F25</f>
        <v>-0.1784469</v>
      </c>
      <c r="G107" s="25" t="n">
        <f aca="false">SABR_Base!G24+SABR_Shocks!$D$8*SABR_Shocks!G25</f>
        <v>-0.1684479</v>
      </c>
      <c r="H107" s="25" t="n">
        <f aca="false">SABR_Base!H24+SABR_Shocks!$D$8*SABR_Shocks!H25</f>
        <v>-0.1572562</v>
      </c>
      <c r="I107" s="25" t="n">
        <f aca="false">SABR_Base!I24+SABR_Shocks!$D$8*SABR_Shocks!I25</f>
        <v>-0.1303413</v>
      </c>
      <c r="J107" s="25" t="n">
        <f aca="false">SABR_Base!J24+SABR_Shocks!$D$8*SABR_Shocks!J25</f>
        <v>-0.1220267</v>
      </c>
      <c r="K107" s="25" t="n">
        <f aca="false">SABR_Base!K24+SABR_Shocks!$D$8*SABR_Shocks!K25</f>
        <v>-0.0935738</v>
      </c>
      <c r="L107" s="25" t="n">
        <f aca="false">SABR_Base!L24+SABR_Shocks!$D$8*SABR_Shocks!L25</f>
        <v>-0.0653587</v>
      </c>
    </row>
    <row r="108" customFormat="false" ht="15" hidden="false" customHeight="true" outlineLevel="0" collapsed="false">
      <c r="B108" s="30" t="s">
        <v>60</v>
      </c>
      <c r="C108" s="25" t="n">
        <f aca="false">SABR_Base!C25+SABR_Shocks!$D$8*SABR_Shocks!C26</f>
        <v>-0.2180689</v>
      </c>
      <c r="D108" s="25" t="n">
        <f aca="false">SABR_Base!D25+SABR_Shocks!$D$8*SABR_Shocks!D26</f>
        <v>-0.2026465</v>
      </c>
      <c r="E108" s="25" t="n">
        <f aca="false">SABR_Base!E25+SABR_Shocks!$D$8*SABR_Shocks!E26</f>
        <v>-0.1923008</v>
      </c>
      <c r="F108" s="25" t="n">
        <f aca="false">SABR_Base!F25+SABR_Shocks!$D$8*SABR_Shocks!F26</f>
        <v>-0.171694</v>
      </c>
      <c r="G108" s="25" t="n">
        <f aca="false">SABR_Base!G25+SABR_Shocks!$D$8*SABR_Shocks!G26</f>
        <v>-0.1569024</v>
      </c>
      <c r="H108" s="25" t="n">
        <f aca="false">SABR_Base!H25+SABR_Shocks!$D$8*SABR_Shocks!H26</f>
        <v>-0.1262032</v>
      </c>
      <c r="I108" s="25" t="n">
        <f aca="false">SABR_Base!I25+SABR_Shocks!$D$8*SABR_Shocks!I26</f>
        <v>-0.1121885</v>
      </c>
      <c r="J108" s="25" t="n">
        <f aca="false">SABR_Base!J25+SABR_Shocks!$D$8*SABR_Shocks!J26</f>
        <v>-0.0882505</v>
      </c>
      <c r="K108" s="25" t="n">
        <f aca="false">SABR_Base!K25+SABR_Shocks!$D$8*SABR_Shocks!K26</f>
        <v>-0.0786975</v>
      </c>
      <c r="L108" s="25" t="n">
        <f aca="false">SABR_Base!L25+SABR_Shocks!$D$8*SABR_Shocks!L26</f>
        <v>-0.0619288</v>
      </c>
    </row>
    <row r="109" customFormat="false" ht="15" hidden="false" customHeight="true" outlineLevel="0" collapsed="false">
      <c r="B109" s="30" t="s">
        <v>61</v>
      </c>
      <c r="C109" s="25" t="n">
        <f aca="false">SABR_Base!C26+SABR_Shocks!$D$8*SABR_Shocks!C27</f>
        <v>-0.2002926</v>
      </c>
      <c r="D109" s="25" t="n">
        <f aca="false">SABR_Base!D26+SABR_Shocks!$D$8*SABR_Shocks!D27</f>
        <v>-0.1779471</v>
      </c>
      <c r="E109" s="25" t="n">
        <f aca="false">SABR_Base!E26+SABR_Shocks!$D$8*SABR_Shocks!E27</f>
        <v>-0.1616014</v>
      </c>
      <c r="F109" s="25" t="n">
        <f aca="false">SABR_Base!F26+SABR_Shocks!$D$8*SABR_Shocks!F27</f>
        <v>-0.1440177</v>
      </c>
      <c r="G109" s="25" t="n">
        <f aca="false">SABR_Base!G26+SABR_Shocks!$D$8*SABR_Shocks!G27</f>
        <v>-0.1249722</v>
      </c>
      <c r="H109" s="25" t="n">
        <f aca="false">SABR_Base!H26+SABR_Shocks!$D$8*SABR_Shocks!H27</f>
        <v>-0.1077266</v>
      </c>
      <c r="I109" s="25" t="n">
        <f aca="false">SABR_Base!I26+SABR_Shocks!$D$8*SABR_Shocks!I27</f>
        <v>-0.0995353</v>
      </c>
      <c r="J109" s="25" t="n">
        <f aca="false">SABR_Base!J26+SABR_Shocks!$D$8*SABR_Shocks!J27</f>
        <v>-0.0749437</v>
      </c>
      <c r="K109" s="25" t="n">
        <f aca="false">SABR_Base!K26+SABR_Shocks!$D$8*SABR_Shocks!K27</f>
        <v>-0.0590825</v>
      </c>
      <c r="L109" s="25" t="n">
        <f aca="false">SABR_Base!L26+SABR_Shocks!$D$8*SABR_Shocks!L27</f>
        <v>-0.0469217</v>
      </c>
    </row>
    <row r="110" customFormat="false" ht="15" hidden="false" customHeight="true" outlineLevel="0" collapsed="false">
      <c r="B110" s="30" t="s">
        <v>62</v>
      </c>
      <c r="C110" s="25" t="n">
        <f aca="false">SABR_Base!C27+SABR_Shocks!$D$8*SABR_Shocks!C28</f>
        <v>-0.1972395</v>
      </c>
      <c r="D110" s="25" t="n">
        <f aca="false">SABR_Base!D27+SABR_Shocks!$D$8*SABR_Shocks!D28</f>
        <v>-0.1734633</v>
      </c>
      <c r="E110" s="25" t="n">
        <f aca="false">SABR_Base!E27+SABR_Shocks!$D$8*SABR_Shocks!E28</f>
        <v>-0.1549022</v>
      </c>
      <c r="F110" s="25" t="n">
        <f aca="false">SABR_Base!F27+SABR_Shocks!$D$8*SABR_Shocks!F28</f>
        <v>-0.1274028</v>
      </c>
      <c r="G110" s="25" t="n">
        <f aca="false">SABR_Base!G27+SABR_Shocks!$D$8*SABR_Shocks!G28</f>
        <v>-0.1036346</v>
      </c>
      <c r="H110" s="25" t="n">
        <f aca="false">SABR_Base!H27+SABR_Shocks!$D$8*SABR_Shocks!H28</f>
        <v>-0.0947811</v>
      </c>
      <c r="I110" s="25" t="n">
        <f aca="false">SABR_Base!I27+SABR_Shocks!$D$8*SABR_Shocks!I28</f>
        <v>-0.0662049</v>
      </c>
      <c r="J110" s="25" t="n">
        <f aca="false">SABR_Base!J27+SABR_Shocks!$D$8*SABR_Shocks!J28</f>
        <v>-0.0466288</v>
      </c>
      <c r="K110" s="25" t="n">
        <f aca="false">SABR_Base!K27+SABR_Shocks!$D$8*SABR_Shocks!K28</f>
        <v>-0.0286065</v>
      </c>
      <c r="L110" s="25" t="n">
        <f aca="false">SABR_Base!L27+SABR_Shocks!$D$8*SABR_Shocks!L28</f>
        <v>-0.021045</v>
      </c>
    </row>
    <row r="111" customFormat="false" ht="15" hidden="false" customHeight="true" outlineLevel="0" collapsed="false">
      <c r="B111" s="30" t="s">
        <v>63</v>
      </c>
      <c r="C111" s="25" t="n">
        <f aca="false">SABR_Base!C28+SABR_Shocks!$D$8*SABR_Shocks!C29</f>
        <v>-0.1747326</v>
      </c>
      <c r="D111" s="25" t="n">
        <f aca="false">SABR_Base!D28+SABR_Shocks!$D$8*SABR_Shocks!D29</f>
        <v>-0.1553944</v>
      </c>
      <c r="E111" s="25" t="n">
        <f aca="false">SABR_Base!E28+SABR_Shocks!$D$8*SABR_Shocks!E29</f>
        <v>-0.1376262</v>
      </c>
      <c r="F111" s="25" t="n">
        <f aca="false">SABR_Base!F28+SABR_Shocks!$D$8*SABR_Shocks!F29</f>
        <v>-0.1185036</v>
      </c>
      <c r="G111" s="25" t="n">
        <f aca="false">SABR_Base!G28+SABR_Shocks!$D$8*SABR_Shocks!G29</f>
        <v>-0.0915045</v>
      </c>
      <c r="H111" s="25" t="n">
        <f aca="false">SABR_Base!H28+SABR_Shocks!$D$8*SABR_Shocks!H29</f>
        <v>-0.0670357</v>
      </c>
      <c r="I111" s="25" t="n">
        <f aca="false">SABR_Base!I28+SABR_Shocks!$D$8*SABR_Shocks!I29</f>
        <v>-0.0495288</v>
      </c>
      <c r="J111" s="25" t="n">
        <f aca="false">SABR_Base!J28+SABR_Shocks!$D$8*SABR_Shocks!J29</f>
        <v>-0.038145</v>
      </c>
      <c r="K111" s="25" t="n">
        <f aca="false">SABR_Base!K28+SABR_Shocks!$D$8*SABR_Shocks!K29</f>
        <v>-0.015245</v>
      </c>
      <c r="L111" s="25" t="n">
        <f aca="false">SABR_Base!L28+SABR_Shocks!$D$8*SABR_Shocks!L29</f>
        <v>0.007155</v>
      </c>
    </row>
    <row r="113" customFormat="false" ht="15" hidden="false" customHeight="true" outlineLevel="0" collapsed="false">
      <c r="B113" s="34" t="s">
        <v>116</v>
      </c>
      <c r="C113" s="34"/>
      <c r="D113" s="34"/>
      <c r="E113" s="34"/>
      <c r="F113" s="34"/>
      <c r="G113" s="34"/>
      <c r="H113" s="34"/>
      <c r="I113" s="34"/>
      <c r="J113" s="34"/>
      <c r="K113" s="34"/>
      <c r="L113" s="34"/>
    </row>
    <row r="114" customFormat="false" ht="15" hidden="false" customHeight="true" outlineLevel="0" collapsed="false">
      <c r="B114" s="12" t="s">
        <v>113</v>
      </c>
      <c r="C114" s="13" t="s">
        <v>114</v>
      </c>
      <c r="D114" s="13" t="s">
        <v>56</v>
      </c>
      <c r="E114" s="13" t="s">
        <v>57</v>
      </c>
      <c r="F114" s="13" t="s">
        <v>30</v>
      </c>
      <c r="G114" s="13" t="s">
        <v>58</v>
      </c>
      <c r="H114" s="13" t="s">
        <v>59</v>
      </c>
      <c r="I114" s="13" t="s">
        <v>60</v>
      </c>
      <c r="J114" s="13" t="s">
        <v>61</v>
      </c>
      <c r="K114" s="13" t="s">
        <v>62</v>
      </c>
      <c r="L114" s="13" t="s">
        <v>63</v>
      </c>
    </row>
    <row r="115" customFormat="false" ht="15" hidden="false" customHeight="true" outlineLevel="0" collapsed="false">
      <c r="B115" s="30" t="s">
        <v>114</v>
      </c>
      <c r="C115" s="25" t="n">
        <f aca="false">SABR_Base!C33+SABR_Shocks!$E$8*SABR_Shocks!C20</f>
        <v>0.8815649</v>
      </c>
      <c r="D115" s="25" t="n">
        <f aca="false">SABR_Base!D33+SABR_Shocks!$E$8*SABR_Shocks!D20</f>
        <v>0.8687982</v>
      </c>
      <c r="E115" s="25" t="n">
        <f aca="false">SABR_Base!E33+SABR_Shocks!$E$8*SABR_Shocks!E20</f>
        <v>0.849158</v>
      </c>
      <c r="F115" s="25" t="n">
        <f aca="false">SABR_Base!F33+SABR_Shocks!$E$8*SABR_Shocks!F20</f>
        <v>0.822366</v>
      </c>
      <c r="G115" s="25" t="n">
        <f aca="false">SABR_Base!G33+SABR_Shocks!$E$8*SABR_Shocks!G20</f>
        <v>0.7969013</v>
      </c>
      <c r="H115" s="25" t="n">
        <f aca="false">SABR_Base!H33+SABR_Shocks!$E$8*SABR_Shocks!H20</f>
        <v>0.7667113</v>
      </c>
      <c r="I115" s="25" t="n">
        <f aca="false">SABR_Base!I33+SABR_Shocks!$E$8*SABR_Shocks!I20</f>
        <v>0.737341</v>
      </c>
      <c r="J115" s="25" t="n">
        <f aca="false">SABR_Base!J33+SABR_Shocks!$E$8*SABR_Shocks!J20</f>
        <v>0.7251</v>
      </c>
      <c r="K115" s="25" t="n">
        <f aca="false">SABR_Base!K33+SABR_Shocks!$E$8*SABR_Shocks!K20</f>
        <v>0.69131</v>
      </c>
      <c r="L115" s="25" t="n">
        <f aca="false">SABR_Base!L33+SABR_Shocks!$E$8*SABR_Shocks!L20</f>
        <v>0.6759698</v>
      </c>
    </row>
    <row r="116" customFormat="false" ht="15" hidden="false" customHeight="true" outlineLevel="0" collapsed="false">
      <c r="B116" s="30" t="s">
        <v>56</v>
      </c>
      <c r="C116" s="25" t="n">
        <f aca="false">SABR_Base!C34+SABR_Shocks!$E$8*SABR_Shocks!C21</f>
        <v>0.8745251</v>
      </c>
      <c r="D116" s="25" t="n">
        <f aca="false">SABR_Base!D34+SABR_Shocks!$E$8*SABR_Shocks!D21</f>
        <v>0.8384596</v>
      </c>
      <c r="E116" s="25" t="n">
        <f aca="false">SABR_Base!E34+SABR_Shocks!$E$8*SABR_Shocks!E21</f>
        <v>0.8141933</v>
      </c>
      <c r="F116" s="25" t="n">
        <f aca="false">SABR_Base!F34+SABR_Shocks!$E$8*SABR_Shocks!F21</f>
        <v>0.8002286</v>
      </c>
      <c r="G116" s="25" t="n">
        <f aca="false">SABR_Base!G34+SABR_Shocks!$E$8*SABR_Shocks!G21</f>
        <v>0.7724334</v>
      </c>
      <c r="H116" s="25" t="n">
        <f aca="false">SABR_Base!H34+SABR_Shocks!$E$8*SABR_Shocks!H21</f>
        <v>0.7363446</v>
      </c>
      <c r="I116" s="25" t="n">
        <f aca="false">SABR_Base!I34+SABR_Shocks!$E$8*SABR_Shocks!I21</f>
        <v>0.7116759</v>
      </c>
      <c r="J116" s="25" t="n">
        <f aca="false">SABR_Base!J34+SABR_Shocks!$E$8*SABR_Shocks!J21</f>
        <v>0.6869377</v>
      </c>
      <c r="K116" s="25" t="n">
        <f aca="false">SABR_Base!K34+SABR_Shocks!$E$8*SABR_Shocks!K21</f>
        <v>0.6784433</v>
      </c>
      <c r="L116" s="25" t="n">
        <f aca="false">SABR_Base!L34+SABR_Shocks!$E$8*SABR_Shocks!L21</f>
        <v>0.6518529</v>
      </c>
    </row>
    <row r="117" customFormat="false" ht="15" hidden="false" customHeight="true" outlineLevel="0" collapsed="false">
      <c r="B117" s="30" t="s">
        <v>57</v>
      </c>
      <c r="C117" s="25" t="n">
        <f aca="false">SABR_Base!C35+SABR_Shocks!$E$8*SABR_Shocks!C22</f>
        <v>0.833111</v>
      </c>
      <c r="D117" s="25" t="n">
        <f aca="false">SABR_Base!D35+SABR_Shocks!$E$8*SABR_Shocks!D22</f>
        <v>0.8225937</v>
      </c>
      <c r="E117" s="25" t="n">
        <f aca="false">SABR_Base!E35+SABR_Shocks!$E$8*SABR_Shocks!E22</f>
        <v>0.8021985</v>
      </c>
      <c r="F117" s="25" t="n">
        <f aca="false">SABR_Base!F35+SABR_Shocks!$E$8*SABR_Shocks!F22</f>
        <v>0.7705852</v>
      </c>
      <c r="G117" s="25" t="n">
        <f aca="false">SABR_Base!G35+SABR_Shocks!$E$8*SABR_Shocks!G22</f>
        <v>0.7408161</v>
      </c>
      <c r="H117" s="25" t="n">
        <f aca="false">SABR_Base!H35+SABR_Shocks!$E$8*SABR_Shocks!H22</f>
        <v>0.7194036</v>
      </c>
      <c r="I117" s="25" t="n">
        <f aca="false">SABR_Base!I35+SABR_Shocks!$E$8*SABR_Shocks!I22</f>
        <v>0.6860646</v>
      </c>
      <c r="J117" s="25" t="n">
        <f aca="false">SABR_Base!J35+SABR_Shocks!$E$8*SABR_Shocks!J22</f>
        <v>0.6601702</v>
      </c>
      <c r="K117" s="25" t="n">
        <f aca="false">SABR_Base!K35+SABR_Shocks!$E$8*SABR_Shocks!K22</f>
        <v>0.6550533</v>
      </c>
      <c r="L117" s="25" t="n">
        <f aca="false">SABR_Base!L35+SABR_Shocks!$E$8*SABR_Shocks!L22</f>
        <v>0.6233404</v>
      </c>
    </row>
    <row r="118" customFormat="false" ht="15" hidden="false" customHeight="true" outlineLevel="0" collapsed="false">
      <c r="B118" s="30" t="s">
        <v>30</v>
      </c>
      <c r="C118" s="25" t="n">
        <f aca="false">SABR_Base!C36+SABR_Shocks!$E$8*SABR_Shocks!C23</f>
        <v>0.8163945</v>
      </c>
      <c r="D118" s="25" t="n">
        <f aca="false">SABR_Base!D36+SABR_Shocks!$E$8*SABR_Shocks!D23</f>
        <v>0.800427</v>
      </c>
      <c r="E118" s="25" t="n">
        <f aca="false">SABR_Base!E36+SABR_Shocks!$E$8*SABR_Shocks!E23</f>
        <v>0.7669322</v>
      </c>
      <c r="F118" s="25" t="n">
        <f aca="false">SABR_Base!F36+SABR_Shocks!$E$8*SABR_Shocks!F23</f>
        <v>0.7508675</v>
      </c>
      <c r="G118" s="25" t="n">
        <f aca="false">SABR_Base!G36+SABR_Shocks!$E$8*SABR_Shocks!G23</f>
        <v>0.7245803</v>
      </c>
      <c r="H118" s="25" t="n">
        <f aca="false">SABR_Base!H36+SABR_Shocks!$E$8*SABR_Shocks!H23</f>
        <v>0.6879385</v>
      </c>
      <c r="I118" s="25" t="n">
        <f aca="false">SABR_Base!I36+SABR_Shocks!$E$8*SABR_Shocks!I23</f>
        <v>0.6640734</v>
      </c>
      <c r="J118" s="25" t="n">
        <f aca="false">SABR_Base!J36+SABR_Shocks!$E$8*SABR_Shocks!J23</f>
        <v>0.6403826</v>
      </c>
      <c r="K118" s="25" t="n">
        <f aca="false">SABR_Base!K36+SABR_Shocks!$E$8*SABR_Shocks!K23</f>
        <v>0.6160372</v>
      </c>
      <c r="L118" s="25" t="n">
        <f aca="false">SABR_Base!L36+SABR_Shocks!$E$8*SABR_Shocks!L23</f>
        <v>0.5975749</v>
      </c>
    </row>
    <row r="119" customFormat="false" ht="15" hidden="false" customHeight="true" outlineLevel="0" collapsed="false">
      <c r="B119" s="30" t="s">
        <v>58</v>
      </c>
      <c r="C119" s="25" t="n">
        <f aca="false">SABR_Base!C37+SABR_Shocks!$E$8*SABR_Shocks!C24</f>
        <v>0.7872756</v>
      </c>
      <c r="D119" s="25" t="n">
        <f aca="false">SABR_Base!D37+SABR_Shocks!$E$8*SABR_Shocks!D24</f>
        <v>0.7658603</v>
      </c>
      <c r="E119" s="25" t="n">
        <f aca="false">SABR_Base!E37+SABR_Shocks!$E$8*SABR_Shocks!E24</f>
        <v>0.7352209</v>
      </c>
      <c r="F119" s="25" t="n">
        <f aca="false">SABR_Base!F37+SABR_Shocks!$E$8*SABR_Shocks!F24</f>
        <v>0.7271016</v>
      </c>
      <c r="G119" s="25" t="n">
        <f aca="false">SABR_Base!G37+SABR_Shocks!$E$8*SABR_Shocks!G24</f>
        <v>0.6906642</v>
      </c>
      <c r="H119" s="25" t="n">
        <f aca="false">SABR_Base!H37+SABR_Shocks!$E$8*SABR_Shocks!H24</f>
        <v>0.6690951</v>
      </c>
      <c r="I119" s="25" t="n">
        <f aca="false">SABR_Base!I37+SABR_Shocks!$E$8*SABR_Shocks!I24</f>
        <v>0.6462573</v>
      </c>
      <c r="J119" s="25" t="n">
        <f aca="false">SABR_Base!J37+SABR_Shocks!$E$8*SABR_Shocks!J24</f>
        <v>0.6286645</v>
      </c>
      <c r="K119" s="25" t="n">
        <f aca="false">SABR_Base!K37+SABR_Shocks!$E$8*SABR_Shocks!K24</f>
        <v>0.5942247</v>
      </c>
      <c r="L119" s="25" t="n">
        <f aca="false">SABR_Base!L37+SABR_Shocks!$E$8*SABR_Shocks!L24</f>
        <v>0.5798584</v>
      </c>
    </row>
    <row r="120" customFormat="false" ht="15" hidden="false" customHeight="true" outlineLevel="0" collapsed="false">
      <c r="B120" s="30" t="s">
        <v>59</v>
      </c>
      <c r="C120" s="25" t="n">
        <f aca="false">SABR_Base!C38+SABR_Shocks!$E$8*SABR_Shocks!C25</f>
        <v>0.7682322</v>
      </c>
      <c r="D120" s="25" t="n">
        <f aca="false">SABR_Base!D38+SABR_Shocks!$E$8*SABR_Shocks!D25</f>
        <v>0.7441422</v>
      </c>
      <c r="E120" s="25" t="n">
        <f aca="false">SABR_Base!E38+SABR_Shocks!$E$8*SABR_Shocks!E25</f>
        <v>0.7187542</v>
      </c>
      <c r="F120" s="25" t="n">
        <f aca="false">SABR_Base!F38+SABR_Shocks!$E$8*SABR_Shocks!F25</f>
        <v>0.6850847</v>
      </c>
      <c r="G120" s="25" t="n">
        <f aca="false">SABR_Base!G38+SABR_Shocks!$E$8*SABR_Shocks!G25</f>
        <v>0.6680477</v>
      </c>
      <c r="H120" s="25" t="n">
        <f aca="false">SABR_Base!H38+SABR_Shocks!$E$8*SABR_Shocks!H25</f>
        <v>0.6386806</v>
      </c>
      <c r="I120" s="25" t="n">
        <f aca="false">SABR_Base!I38+SABR_Shocks!$E$8*SABR_Shocks!I25</f>
        <v>0.6113119</v>
      </c>
      <c r="J120" s="25" t="n">
        <f aca="false">SABR_Base!J38+SABR_Shocks!$E$8*SABR_Shocks!J25</f>
        <v>0.6024721</v>
      </c>
      <c r="K120" s="25" t="n">
        <f aca="false">SABR_Base!K38+SABR_Shocks!$E$8*SABR_Shocks!K25</f>
        <v>0.5647094</v>
      </c>
      <c r="L120" s="25" t="n">
        <f aca="false">SABR_Base!L38+SABR_Shocks!$E$8*SABR_Shocks!L25</f>
        <v>0.5475881</v>
      </c>
    </row>
    <row r="121" customFormat="false" ht="15" hidden="false" customHeight="true" outlineLevel="0" collapsed="false">
      <c r="B121" s="30" t="s">
        <v>60</v>
      </c>
      <c r="C121" s="25" t="n">
        <f aca="false">SABR_Base!C39+SABR_Shocks!$E$8*SABR_Shocks!C26</f>
        <v>0.7471707</v>
      </c>
      <c r="D121" s="25" t="n">
        <f aca="false">SABR_Base!D39+SABR_Shocks!$E$8*SABR_Shocks!D26</f>
        <v>0.7193795</v>
      </c>
      <c r="E121" s="25" t="n">
        <f aca="false">SABR_Base!E39+SABR_Shocks!$E$8*SABR_Shocks!E26</f>
        <v>0.6910104</v>
      </c>
      <c r="F121" s="25" t="n">
        <f aca="false">SABR_Base!F39+SABR_Shocks!$E$8*SABR_Shocks!F26</f>
        <v>0.669822</v>
      </c>
      <c r="G121" s="25" t="n">
        <f aca="false">SABR_Base!G39+SABR_Shocks!$E$8*SABR_Shocks!G26</f>
        <v>0.6460312</v>
      </c>
      <c r="H121" s="25" t="n">
        <f aca="false">SABR_Base!H39+SABR_Shocks!$E$8*SABR_Shocks!H26</f>
        <v>0.6257416</v>
      </c>
      <c r="I121" s="25" t="n">
        <f aca="false">SABR_Base!I39+SABR_Shocks!$E$8*SABR_Shocks!I26</f>
        <v>0.5878255</v>
      </c>
      <c r="J121" s="25" t="n">
        <f aca="false">SABR_Base!J39+SABR_Shocks!$E$8*SABR_Shocks!J26</f>
        <v>0.5731315</v>
      </c>
      <c r="K121" s="25" t="n">
        <f aca="false">SABR_Base!K39+SABR_Shocks!$E$8*SABR_Shocks!K26</f>
        <v>0.5419925</v>
      </c>
      <c r="L121" s="25" t="n">
        <f aca="false">SABR_Base!L39+SABR_Shocks!$E$8*SABR_Shocks!L26</f>
        <v>0.5185744</v>
      </c>
    </row>
    <row r="122" customFormat="false" ht="15" hidden="false" customHeight="true" outlineLevel="0" collapsed="false">
      <c r="B122" s="30" t="s">
        <v>61</v>
      </c>
      <c r="C122" s="25" t="n">
        <f aca="false">SABR_Base!C40+SABR_Shocks!$E$8*SABR_Shocks!C27</f>
        <v>0.7238538</v>
      </c>
      <c r="D122" s="25" t="n">
        <f aca="false">SABR_Base!D40+SABR_Shocks!$E$8*SABR_Shocks!D27</f>
        <v>0.6942373</v>
      </c>
      <c r="E122" s="25" t="n">
        <f aca="false">SABR_Base!E40+SABR_Shocks!$E$8*SABR_Shocks!E27</f>
        <v>0.6715682</v>
      </c>
      <c r="F122" s="25" t="n">
        <f aca="false">SABR_Base!F40+SABR_Shocks!$E$8*SABR_Shocks!F27</f>
        <v>0.6504051</v>
      </c>
      <c r="G122" s="25" t="n">
        <f aca="false">SABR_Base!G40+SABR_Shocks!$E$8*SABR_Shocks!G27</f>
        <v>0.6290886</v>
      </c>
      <c r="H122" s="25" t="n">
        <f aca="false">SABR_Base!H40+SABR_Shocks!$E$8*SABR_Shocks!H27</f>
        <v>0.5956958</v>
      </c>
      <c r="I122" s="25" t="n">
        <f aca="false">SABR_Base!I40+SABR_Shocks!$E$8*SABR_Shocks!I27</f>
        <v>0.5736339</v>
      </c>
      <c r="J122" s="25" t="n">
        <f aca="false">SABR_Base!J40+SABR_Shocks!$E$8*SABR_Shocks!J27</f>
        <v>0.5469431</v>
      </c>
      <c r="K122" s="25" t="n">
        <f aca="false">SABR_Base!K40+SABR_Shocks!$E$8*SABR_Shocks!K27</f>
        <v>0.5237475</v>
      </c>
      <c r="L122" s="25" t="n">
        <f aca="false">SABR_Base!L40+SABR_Shocks!$E$8*SABR_Shocks!L27</f>
        <v>0.5027571</v>
      </c>
    </row>
    <row r="123" customFormat="false" ht="15" hidden="false" customHeight="true" outlineLevel="0" collapsed="false">
      <c r="B123" s="30" t="s">
        <v>62</v>
      </c>
      <c r="C123" s="25" t="n">
        <f aca="false">SABR_Base!C41+SABR_Shocks!$E$8*SABR_Shocks!C28</f>
        <v>0.6928385</v>
      </c>
      <c r="D123" s="25" t="n">
        <f aca="false">SABR_Base!D41+SABR_Shocks!$E$8*SABR_Shocks!D28</f>
        <v>0.6698979</v>
      </c>
      <c r="E123" s="25" t="n">
        <f aca="false">SABR_Base!E41+SABR_Shocks!$E$8*SABR_Shocks!E28</f>
        <v>0.6450786</v>
      </c>
      <c r="F123" s="25" t="n">
        <f aca="false">SABR_Base!F41+SABR_Shocks!$E$8*SABR_Shocks!F28</f>
        <v>0.6302364</v>
      </c>
      <c r="G123" s="25" t="n">
        <f aca="false">SABR_Base!G41+SABR_Shocks!$E$8*SABR_Shocks!G28</f>
        <v>0.5997998</v>
      </c>
      <c r="H123" s="25" t="n">
        <f aca="false">SABR_Base!H41+SABR_Shocks!$E$8*SABR_Shocks!H28</f>
        <v>0.5799793</v>
      </c>
      <c r="I123" s="25" t="n">
        <f aca="false">SABR_Base!I41+SABR_Shocks!$E$8*SABR_Shocks!I28</f>
        <v>0.5567387</v>
      </c>
      <c r="J123" s="25" t="n">
        <f aca="false">SABR_Base!J41+SABR_Shocks!$E$8*SABR_Shocks!J28</f>
        <v>0.5182744</v>
      </c>
      <c r="K123" s="25" t="n">
        <f aca="false">SABR_Base!K41+SABR_Shocks!$E$8*SABR_Shocks!K28</f>
        <v>0.4994595</v>
      </c>
      <c r="L123" s="25" t="n">
        <f aca="false">SABR_Base!L41+SABR_Shocks!$E$8*SABR_Shocks!L28</f>
        <v>0.484835</v>
      </c>
    </row>
    <row r="124" customFormat="false" ht="15" hidden="false" customHeight="true" outlineLevel="0" collapsed="false">
      <c r="B124" s="30" t="s">
        <v>63</v>
      </c>
      <c r="C124" s="25" t="n">
        <f aca="false">SABR_Base!C42+SABR_Shocks!$E$8*SABR_Shocks!C29</f>
        <v>0.6757738</v>
      </c>
      <c r="D124" s="25" t="n">
        <f aca="false">SABR_Base!D42+SABR_Shocks!$E$8*SABR_Shocks!D29</f>
        <v>0.6386272</v>
      </c>
      <c r="E124" s="25" t="n">
        <f aca="false">SABR_Base!E42+SABR_Shocks!$E$8*SABR_Shocks!E29</f>
        <v>0.6127906</v>
      </c>
      <c r="F124" s="25" t="n">
        <f aca="false">SABR_Base!F42+SABR_Shocks!$E$8*SABR_Shocks!F29</f>
        <v>0.5954468</v>
      </c>
      <c r="G124" s="25" t="n">
        <f aca="false">SABR_Base!G42+SABR_Shocks!$E$8*SABR_Shocks!G29</f>
        <v>0.5629335</v>
      </c>
      <c r="H124" s="25" t="n">
        <f aca="false">SABR_Base!H42+SABR_Shocks!$E$8*SABR_Shocks!H29</f>
        <v>0.5426391</v>
      </c>
      <c r="I124" s="25" t="n">
        <f aca="false">SABR_Base!I42+SABR_Shocks!$E$8*SABR_Shocks!I29</f>
        <v>0.5144744</v>
      </c>
      <c r="J124" s="25" t="n">
        <f aca="false">SABR_Base!J42+SABR_Shocks!$E$8*SABR_Shocks!J29</f>
        <v>0.501535</v>
      </c>
      <c r="K124" s="25" t="n">
        <f aca="false">SABR_Base!K42+SABR_Shocks!$E$8*SABR_Shocks!K29</f>
        <v>0.481635</v>
      </c>
      <c r="L124" s="25" t="n">
        <f aca="false">SABR_Base!L42+SABR_Shocks!$E$8*SABR_Shocks!L29</f>
        <v>0.461635</v>
      </c>
    </row>
    <row r="127" customFormat="false" ht="15" hidden="false" customHeight="true" outlineLevel="0" collapsed="false">
      <c r="B127" s="19" t="s">
        <v>130</v>
      </c>
      <c r="C127" s="19"/>
      <c r="D127" s="19"/>
      <c r="E127" s="19"/>
      <c r="F127" s="19"/>
      <c r="G127" s="19"/>
      <c r="H127" s="19"/>
      <c r="I127" s="19"/>
      <c r="J127" s="19"/>
      <c r="K127" s="19"/>
      <c r="L127" s="19"/>
    </row>
    <row r="128" customFormat="false" ht="15" hidden="false" customHeight="true" outlineLevel="0" collapsed="false">
      <c r="B128" s="34" t="s">
        <v>112</v>
      </c>
      <c r="C128" s="34"/>
      <c r="D128" s="34"/>
      <c r="E128" s="34"/>
      <c r="F128" s="34"/>
      <c r="G128" s="34"/>
      <c r="H128" s="34"/>
      <c r="I128" s="34"/>
      <c r="J128" s="34"/>
      <c r="K128" s="34"/>
      <c r="L128" s="34"/>
    </row>
    <row r="129" customFormat="false" ht="15" hidden="false" customHeight="true" outlineLevel="0" collapsed="false">
      <c r="B129" s="12" t="s">
        <v>113</v>
      </c>
      <c r="C129" s="13" t="s">
        <v>114</v>
      </c>
      <c r="D129" s="13" t="s">
        <v>56</v>
      </c>
      <c r="E129" s="13" t="s">
        <v>57</v>
      </c>
      <c r="F129" s="13" t="s">
        <v>30</v>
      </c>
      <c r="G129" s="13" t="s">
        <v>58</v>
      </c>
      <c r="H129" s="13" t="s">
        <v>59</v>
      </c>
      <c r="I129" s="13" t="s">
        <v>60</v>
      </c>
      <c r="J129" s="13" t="s">
        <v>61</v>
      </c>
      <c r="K129" s="13" t="s">
        <v>62</v>
      </c>
      <c r="L129" s="13" t="s">
        <v>63</v>
      </c>
    </row>
    <row r="130" customFormat="false" ht="15" hidden="false" customHeight="true" outlineLevel="0" collapsed="false">
      <c r="B130" s="30" t="s">
        <v>114</v>
      </c>
      <c r="C130" s="25" t="n">
        <f aca="false">SABR_Base!C5+SABR_Shocks!$C$9*SABR_Shocks!C20</f>
        <v>0.5793205</v>
      </c>
      <c r="D130" s="25" t="n">
        <f aca="false">SABR_Base!D5+SABR_Shocks!$C$9*SABR_Shocks!D20</f>
        <v>0.557519</v>
      </c>
      <c r="E130" s="25" t="n">
        <f aca="false">SABR_Base!E5+SABR_Shocks!$C$9*SABR_Shocks!E20</f>
        <v>0.54881</v>
      </c>
      <c r="F130" s="25" t="n">
        <f aca="false">SABR_Base!F5+SABR_Shocks!$C$9*SABR_Shocks!F20</f>
        <v>0.51887</v>
      </c>
      <c r="G130" s="25" t="n">
        <f aca="false">SABR_Base!G5+SABR_Shocks!$C$9*SABR_Shocks!G20</f>
        <v>0.5094585</v>
      </c>
      <c r="H130" s="25" t="n">
        <f aca="false">SABR_Base!H5+SABR_Shocks!$C$9*SABR_Shocks!H20</f>
        <v>0.4873085</v>
      </c>
      <c r="I130" s="25" t="n">
        <f aca="false">SABR_Base!I5+SABR_Shocks!$C$9*SABR_Shocks!I20</f>
        <v>0.463545</v>
      </c>
      <c r="J130" s="25" t="n">
        <f aca="false">SABR_Base!J5+SABR_Shocks!$C$9*SABR_Shocks!J20</f>
        <v>0.454</v>
      </c>
      <c r="K130" s="25" t="n">
        <f aca="false">SABR_Base!K5+SABR_Shocks!$C$9*SABR_Shocks!K20</f>
        <v>0.42585</v>
      </c>
      <c r="L130" s="25" t="n">
        <f aca="false">SABR_Base!L5+SABR_Shocks!$C$9*SABR_Shocks!L20</f>
        <v>0.415141</v>
      </c>
    </row>
    <row r="131" customFormat="false" ht="15" hidden="false" customHeight="true" outlineLevel="0" collapsed="false">
      <c r="B131" s="30" t="s">
        <v>56</v>
      </c>
      <c r="C131" s="25" t="n">
        <f aca="false">SABR_Base!C6+SABR_Shocks!$C$9*SABR_Shocks!C21</f>
        <v>0.5554295</v>
      </c>
      <c r="D131" s="25" t="n">
        <f aca="false">SABR_Base!D6+SABR_Shocks!$C$9*SABR_Shocks!D21</f>
        <v>0.537282</v>
      </c>
      <c r="E131" s="25" t="n">
        <f aca="false">SABR_Base!E6+SABR_Shocks!$C$9*SABR_Shocks!E21</f>
        <v>0.5254985</v>
      </c>
      <c r="F131" s="25" t="n">
        <f aca="false">SABR_Base!F6+SABR_Shocks!$C$9*SABR_Shocks!F21</f>
        <v>0.514787</v>
      </c>
      <c r="G131" s="25" t="n">
        <f aca="false">SABR_Base!G6+SABR_Shocks!$C$9*SABR_Shocks!G21</f>
        <v>0.483003</v>
      </c>
      <c r="H131" s="25" t="n">
        <f aca="false">SABR_Base!H6+SABR_Shocks!$C$9*SABR_Shocks!H21</f>
        <v>0.466107</v>
      </c>
      <c r="I131" s="25" t="n">
        <f aca="false">SABR_Base!I6+SABR_Shocks!$C$9*SABR_Shocks!I21</f>
        <v>0.4562155</v>
      </c>
      <c r="J131" s="25" t="n">
        <f aca="false">SABR_Base!J6+SABR_Shocks!$C$9*SABR_Shocks!J21</f>
        <v>0.4434965</v>
      </c>
      <c r="K131" s="25" t="n">
        <f aca="false">SABR_Base!K6+SABR_Shocks!$C$9*SABR_Shocks!K21</f>
        <v>0.4182485</v>
      </c>
      <c r="L131" s="25" t="n">
        <f aca="false">SABR_Base!L6+SABR_Shocks!$C$9*SABR_Shocks!L21</f>
        <v>0.3960805</v>
      </c>
    </row>
    <row r="132" customFormat="false" ht="15" hidden="false" customHeight="true" outlineLevel="0" collapsed="false">
      <c r="B132" s="30" t="s">
        <v>57</v>
      </c>
      <c r="C132" s="25" t="n">
        <f aca="false">SABR_Base!C7+SABR_Shocks!$C$9*SABR_Shocks!C22</f>
        <v>0.554695</v>
      </c>
      <c r="D132" s="25" t="n">
        <f aca="false">SABR_Base!D7+SABR_Shocks!$C$9*SABR_Shocks!D22</f>
        <v>0.5178165</v>
      </c>
      <c r="E132" s="25" t="n">
        <f aca="false">SABR_Base!E7+SABR_Shocks!$C$9*SABR_Shocks!E22</f>
        <v>0.5164325</v>
      </c>
      <c r="F132" s="25" t="n">
        <f aca="false">SABR_Base!F7+SABR_Shocks!$C$9*SABR_Shocks!F22</f>
        <v>0.486034</v>
      </c>
      <c r="G132" s="25" t="n">
        <f aca="false">SABR_Base!G7+SABR_Shocks!$C$9*SABR_Shocks!G22</f>
        <v>0.4652245</v>
      </c>
      <c r="H132" s="25" t="n">
        <f aca="false">SABR_Base!H7+SABR_Shocks!$C$9*SABR_Shocks!H22</f>
        <v>0.445462</v>
      </c>
      <c r="I132" s="25" t="n">
        <f aca="false">SABR_Base!I7+SABR_Shocks!$C$9*SABR_Shocks!I22</f>
        <v>0.430307</v>
      </c>
      <c r="J132" s="25" t="n">
        <f aca="false">SABR_Base!J7+SABR_Shocks!$C$9*SABR_Shocks!J22</f>
        <v>0.422659</v>
      </c>
      <c r="K132" s="25" t="n">
        <f aca="false">SABR_Base!K7+SABR_Shocks!$C$9*SABR_Shocks!K22</f>
        <v>0.3915985</v>
      </c>
      <c r="L132" s="25" t="n">
        <f aca="false">SABR_Base!L7+SABR_Shocks!$C$9*SABR_Shocks!L22</f>
        <v>0.380518</v>
      </c>
    </row>
    <row r="133" customFormat="false" ht="15" hidden="false" customHeight="true" outlineLevel="0" collapsed="false">
      <c r="B133" s="30" t="s">
        <v>30</v>
      </c>
      <c r="C133" s="25" t="n">
        <f aca="false">SABR_Base!C8+SABR_Shocks!$C$9*SABR_Shocks!C23</f>
        <v>0.5295525</v>
      </c>
      <c r="D133" s="25" t="n">
        <f aca="false">SABR_Base!D8+SABR_Shocks!$C$9*SABR_Shocks!D23</f>
        <v>0.506015</v>
      </c>
      <c r="E133" s="25" t="n">
        <f aca="false">SABR_Base!E8+SABR_Shocks!$C$9*SABR_Shocks!E23</f>
        <v>0.491749</v>
      </c>
      <c r="F133" s="25" t="n">
        <f aca="false">SABR_Base!F8+SABR_Shocks!$C$9*SABR_Shocks!F23</f>
        <v>0.4633375</v>
      </c>
      <c r="G133" s="25" t="n">
        <f aca="false">SABR_Base!G8+SABR_Shocks!$C$9*SABR_Shocks!G23</f>
        <v>0.4439135</v>
      </c>
      <c r="H133" s="25" t="n">
        <f aca="false">SABR_Base!H8+SABR_Shocks!$C$9*SABR_Shocks!H23</f>
        <v>0.4285325</v>
      </c>
      <c r="I133" s="25" t="n">
        <f aca="false">SABR_Base!I8+SABR_Shocks!$C$9*SABR_Shocks!I23</f>
        <v>0.419303</v>
      </c>
      <c r="J133" s="25" t="n">
        <f aca="false">SABR_Base!J8+SABR_Shocks!$C$9*SABR_Shocks!J23</f>
        <v>0.395717</v>
      </c>
      <c r="K133" s="25" t="n">
        <f aca="false">SABR_Base!K8+SABR_Shocks!$C$9*SABR_Shocks!K23</f>
        <v>0.375774</v>
      </c>
      <c r="L133" s="25" t="n">
        <f aca="false">SABR_Base!L8+SABR_Shocks!$C$9*SABR_Shocks!L23</f>
        <v>0.3619705</v>
      </c>
    </row>
    <row r="134" customFormat="false" ht="15" hidden="false" customHeight="true" outlineLevel="0" collapsed="false">
      <c r="B134" s="30" t="s">
        <v>58</v>
      </c>
      <c r="C134" s="25" t="n">
        <f aca="false">SABR_Base!C9+SABR_Shocks!$C$9*SABR_Shocks!C24</f>
        <v>0.507902</v>
      </c>
      <c r="D134" s="25" t="n">
        <f aca="false">SABR_Base!D9+SABR_Shocks!$C$9*SABR_Shocks!D24</f>
        <v>0.4862135</v>
      </c>
      <c r="E134" s="25" t="n">
        <f aca="false">SABR_Base!E9+SABR_Shocks!$C$9*SABR_Shocks!E24</f>
        <v>0.4772405</v>
      </c>
      <c r="F134" s="25" t="n">
        <f aca="false">SABR_Base!F9+SABR_Shocks!$C$9*SABR_Shocks!F24</f>
        <v>0.457472</v>
      </c>
      <c r="G134" s="25" t="n">
        <f aca="false">SABR_Base!G9+SABR_Shocks!$C$9*SABR_Shocks!G24</f>
        <v>0.429089</v>
      </c>
      <c r="H134" s="25" t="n">
        <f aca="false">SABR_Base!H9+SABR_Shocks!$C$9*SABR_Shocks!H24</f>
        <v>0.4178795</v>
      </c>
      <c r="I134" s="25" t="n">
        <f aca="false">SABR_Base!I9+SABR_Shocks!$C$9*SABR_Shocks!I24</f>
        <v>0.3976785</v>
      </c>
      <c r="J134" s="25" t="n">
        <f aca="false">SABR_Base!J9+SABR_Shocks!$C$9*SABR_Shocks!J24</f>
        <v>0.3866025</v>
      </c>
      <c r="K134" s="25" t="n">
        <f aca="false">SABR_Base!K9+SABR_Shocks!$C$9*SABR_Shocks!K24</f>
        <v>0.3649115</v>
      </c>
      <c r="L134" s="25" t="n">
        <f aca="false">SABR_Base!L9+SABR_Shocks!$C$9*SABR_Shocks!L24</f>
        <v>0.337628</v>
      </c>
    </row>
    <row r="135" customFormat="false" ht="15" hidden="false" customHeight="true" outlineLevel="0" collapsed="false">
      <c r="B135" s="30" t="s">
        <v>59</v>
      </c>
      <c r="C135" s="25" t="n">
        <f aca="false">SABR_Base!C10+SABR_Shocks!$C$9*SABR_Shocks!C25</f>
        <v>0.500449</v>
      </c>
      <c r="D135" s="25" t="n">
        <f aca="false">SABR_Base!D10+SABR_Shocks!$C$9*SABR_Shocks!D25</f>
        <v>0.464499</v>
      </c>
      <c r="E135" s="25" t="n">
        <f aca="false">SABR_Base!E10+SABR_Shocks!$C$9*SABR_Shocks!E25</f>
        <v>0.451339</v>
      </c>
      <c r="F135" s="25" t="n">
        <f aca="false">SABR_Base!F10+SABR_Shocks!$C$9*SABR_Shocks!F25</f>
        <v>0.4403115</v>
      </c>
      <c r="G135" s="25" t="n">
        <f aca="false">SABR_Base!G10+SABR_Shocks!$C$9*SABR_Shocks!G25</f>
        <v>0.4088465</v>
      </c>
      <c r="H135" s="25" t="n">
        <f aca="false">SABR_Base!H10+SABR_Shocks!$C$9*SABR_Shocks!H25</f>
        <v>0.397327</v>
      </c>
      <c r="I135" s="25" t="n">
        <f aca="false">SABR_Base!I10+SABR_Shocks!$C$9*SABR_Shocks!I25</f>
        <v>0.3704355</v>
      </c>
      <c r="J135" s="25" t="n">
        <f aca="false">SABR_Base!J10+SABR_Shocks!$C$9*SABR_Shocks!J25</f>
        <v>0.3642445</v>
      </c>
      <c r="K135" s="25" t="n">
        <f aca="false">SABR_Base!K10+SABR_Shocks!$C$9*SABR_Shocks!K25</f>
        <v>0.346923</v>
      </c>
      <c r="L135" s="25" t="n">
        <f aca="false">SABR_Base!L10+SABR_Shocks!$C$9*SABR_Shocks!L25</f>
        <v>0.3256645</v>
      </c>
    </row>
    <row r="136" customFormat="false" ht="15" hidden="false" customHeight="true" outlineLevel="0" collapsed="false">
      <c r="B136" s="30" t="s">
        <v>60</v>
      </c>
      <c r="C136" s="25" t="n">
        <f aca="false">SABR_Base!C11+SABR_Shocks!$C$9*SABR_Shocks!C26</f>
        <v>0.4788815</v>
      </c>
      <c r="D136" s="25" t="n">
        <f aca="false">SABR_Base!D11+SABR_Shocks!$C$9*SABR_Shocks!D26</f>
        <v>0.4491775</v>
      </c>
      <c r="E136" s="25" t="n">
        <f aca="false">SABR_Base!E11+SABR_Shocks!$C$9*SABR_Shocks!E26</f>
        <v>0.438968</v>
      </c>
      <c r="F136" s="25" t="n">
        <f aca="false">SABR_Base!F11+SABR_Shocks!$C$9*SABR_Shocks!F26</f>
        <v>0.41789</v>
      </c>
      <c r="G136" s="25" t="n">
        <f aca="false">SABR_Base!G11+SABR_Shocks!$C$9*SABR_Shocks!G26</f>
        <v>0.399004</v>
      </c>
      <c r="H136" s="25" t="n">
        <f aca="false">SABR_Base!H11+SABR_Shocks!$C$9*SABR_Shocks!H26</f>
        <v>0.377772</v>
      </c>
      <c r="I136" s="25" t="n">
        <f aca="false">SABR_Base!I11+SABR_Shocks!$C$9*SABR_Shocks!I26</f>
        <v>0.3669475</v>
      </c>
      <c r="J136" s="25" t="n">
        <f aca="false">SABR_Base!J11+SABR_Shocks!$C$9*SABR_Shocks!J26</f>
        <v>0.3511175</v>
      </c>
      <c r="K136" s="25" t="n">
        <f aca="false">SABR_Base!K11+SABR_Shocks!$C$9*SABR_Shocks!K26</f>
        <v>0.3227625</v>
      </c>
      <c r="L136" s="25" t="n">
        <f aca="false">SABR_Base!L11+SABR_Shocks!$C$9*SABR_Shocks!L26</f>
        <v>0.308548</v>
      </c>
    </row>
    <row r="137" customFormat="false" ht="15" hidden="false" customHeight="true" outlineLevel="0" collapsed="false">
      <c r="B137" s="30" t="s">
        <v>61</v>
      </c>
      <c r="C137" s="25" t="n">
        <f aca="false">SABR_Base!C12+SABR_Shocks!$C$9*SABR_Shocks!C27</f>
        <v>0.444221</v>
      </c>
      <c r="D137" s="25" t="n">
        <f aca="false">SABR_Base!D12+SABR_Shocks!$C$9*SABR_Shocks!D27</f>
        <v>0.4386785</v>
      </c>
      <c r="E137" s="25" t="n">
        <f aca="false">SABR_Base!E12+SABR_Shocks!$C$9*SABR_Shocks!E27</f>
        <v>0.419669</v>
      </c>
      <c r="F137" s="25" t="n">
        <f aca="false">SABR_Base!F12+SABR_Shocks!$C$9*SABR_Shocks!F27</f>
        <v>0.4075295</v>
      </c>
      <c r="G137" s="25" t="n">
        <f aca="false">SABR_Base!G12+SABR_Shocks!$C$9*SABR_Shocks!G27</f>
        <v>0.385687</v>
      </c>
      <c r="H137" s="25" t="n">
        <f aca="false">SABR_Base!H12+SABR_Shocks!$C$9*SABR_Shocks!H27</f>
        <v>0.356811</v>
      </c>
      <c r="I137" s="25" t="n">
        <f aca="false">SABR_Base!I12+SABR_Shocks!$C$9*SABR_Shocks!I27</f>
        <v>0.3394255</v>
      </c>
      <c r="J137" s="25" t="n">
        <f aca="false">SABR_Base!J12+SABR_Shocks!$C$9*SABR_Shocks!J27</f>
        <v>0.3265395</v>
      </c>
      <c r="K137" s="25" t="n">
        <f aca="false">SABR_Base!K12+SABR_Shocks!$C$9*SABR_Shocks!K27</f>
        <v>0.2961375</v>
      </c>
      <c r="L137" s="25" t="n">
        <f aca="false">SABR_Base!L12+SABR_Shocks!$C$9*SABR_Shocks!L27</f>
        <v>0.2862695</v>
      </c>
    </row>
    <row r="138" customFormat="false" ht="15" hidden="false" customHeight="true" outlineLevel="0" collapsed="false">
      <c r="B138" s="30" t="s">
        <v>62</v>
      </c>
      <c r="C138" s="25" t="n">
        <f aca="false">SABR_Base!C13+SABR_Shocks!$C$9*SABR_Shocks!C28</f>
        <v>0.4277325</v>
      </c>
      <c r="D138" s="25" t="n">
        <f aca="false">SABR_Base!D13+SABR_Shocks!$C$9*SABR_Shocks!D28</f>
        <v>0.4081055</v>
      </c>
      <c r="E138" s="25" t="n">
        <f aca="false">SABR_Base!E13+SABR_Shocks!$C$9*SABR_Shocks!E28</f>
        <v>0.389137</v>
      </c>
      <c r="F138" s="25" t="n">
        <f aca="false">SABR_Base!F13+SABR_Shocks!$C$9*SABR_Shocks!F28</f>
        <v>0.385038</v>
      </c>
      <c r="G138" s="25" t="n">
        <f aca="false">SABR_Base!G13+SABR_Shocks!$C$9*SABR_Shocks!G28</f>
        <v>0.352891</v>
      </c>
      <c r="H138" s="25" t="n">
        <f aca="false">SABR_Base!H13+SABR_Shocks!$C$9*SABR_Shocks!H28</f>
        <v>0.3376685</v>
      </c>
      <c r="I138" s="25" t="n">
        <f aca="false">SABR_Base!I13+SABR_Shocks!$C$9*SABR_Shocks!I28</f>
        <v>0.3219415</v>
      </c>
      <c r="J138" s="25" t="n">
        <f aca="false">SABR_Base!J13+SABR_Shocks!$C$9*SABR_Shocks!J28</f>
        <v>0.312648</v>
      </c>
      <c r="K138" s="25" t="n">
        <f aca="false">SABR_Base!K13+SABR_Shocks!$C$9*SABR_Shocks!K28</f>
        <v>0.2780775</v>
      </c>
      <c r="L138" s="25" t="n">
        <f aca="false">SABR_Base!L13+SABR_Shocks!$C$9*SABR_Shocks!L28</f>
        <v>0.268775</v>
      </c>
    </row>
    <row r="139" customFormat="false" ht="15" hidden="false" customHeight="true" outlineLevel="0" collapsed="false">
      <c r="B139" s="30" t="s">
        <v>63</v>
      </c>
      <c r="C139" s="25" t="n">
        <f aca="false">SABR_Base!C14+SABR_Shocks!$C$9*SABR_Shocks!C29</f>
        <v>0.416621</v>
      </c>
      <c r="D139" s="25" t="n">
        <f aca="false">SABR_Base!D14+SABR_Shocks!$C$9*SABR_Shocks!D29</f>
        <v>0.405924</v>
      </c>
      <c r="E139" s="25" t="n">
        <f aca="false">SABR_Base!E14+SABR_Shocks!$C$9*SABR_Shocks!E29</f>
        <v>0.385277</v>
      </c>
      <c r="F139" s="25" t="n">
        <f aca="false">SABR_Base!F14+SABR_Shocks!$C$9*SABR_Shocks!F29</f>
        <v>0.368206</v>
      </c>
      <c r="G139" s="25" t="n">
        <f aca="false">SABR_Base!G14+SABR_Shocks!$C$9*SABR_Shocks!G29</f>
        <v>0.3374075</v>
      </c>
      <c r="H139" s="25" t="n">
        <f aca="false">SABR_Base!H14+SABR_Shocks!$C$9*SABR_Shocks!H29</f>
        <v>0.3223595</v>
      </c>
      <c r="I139" s="25" t="n">
        <f aca="false">SABR_Base!I14+SABR_Shocks!$C$9*SABR_Shocks!I29</f>
        <v>0.302448</v>
      </c>
      <c r="J139" s="25" t="n">
        <f aca="false">SABR_Base!J14+SABR_Shocks!$C$9*SABR_Shocks!J29</f>
        <v>0.294075</v>
      </c>
      <c r="K139" s="25" t="n">
        <f aca="false">SABR_Base!K14+SABR_Shocks!$C$9*SABR_Shocks!K29</f>
        <v>0.278875</v>
      </c>
      <c r="L139" s="25" t="n">
        <f aca="false">SABR_Base!L14+SABR_Shocks!$C$9*SABR_Shocks!L29</f>
        <v>0.246075</v>
      </c>
    </row>
    <row r="141" customFormat="false" ht="15" hidden="false" customHeight="true" outlineLevel="0" collapsed="false">
      <c r="B141" s="34" t="s">
        <v>115</v>
      </c>
      <c r="C141" s="34"/>
      <c r="D141" s="34"/>
      <c r="E141" s="34"/>
      <c r="F141" s="34"/>
      <c r="G141" s="34"/>
      <c r="H141" s="34"/>
      <c r="I141" s="34"/>
      <c r="J141" s="34"/>
      <c r="K141" s="34"/>
      <c r="L141" s="34"/>
    </row>
    <row r="142" customFormat="false" ht="15" hidden="false" customHeight="true" outlineLevel="0" collapsed="false">
      <c r="B142" s="12" t="s">
        <v>113</v>
      </c>
      <c r="C142" s="13" t="s">
        <v>114</v>
      </c>
      <c r="D142" s="13" t="s">
        <v>56</v>
      </c>
      <c r="E142" s="13" t="s">
        <v>57</v>
      </c>
      <c r="F142" s="13" t="s">
        <v>30</v>
      </c>
      <c r="G142" s="13" t="s">
        <v>58</v>
      </c>
      <c r="H142" s="13" t="s">
        <v>59</v>
      </c>
      <c r="I142" s="13" t="s">
        <v>60</v>
      </c>
      <c r="J142" s="13" t="s">
        <v>61</v>
      </c>
      <c r="K142" s="13" t="s">
        <v>62</v>
      </c>
      <c r="L142" s="13" t="s">
        <v>63</v>
      </c>
    </row>
    <row r="143" customFormat="false" ht="15" hidden="false" customHeight="true" outlineLevel="0" collapsed="false">
      <c r="B143" s="30" t="s">
        <v>114</v>
      </c>
      <c r="C143" s="25" t="n">
        <f aca="false">SABR_Base!C19+SABR_Shocks!$D$9*SABR_Shocks!C20</f>
        <v>-0.3475344</v>
      </c>
      <c r="D143" s="25" t="n">
        <f aca="false">SABR_Base!D19+SABR_Shocks!$D$9*SABR_Shocks!D20</f>
        <v>-0.3273992</v>
      </c>
      <c r="E143" s="25" t="n">
        <f aca="false">SABR_Base!E19+SABR_Shocks!$D$9*SABR_Shocks!E20</f>
        <v>-0.308448</v>
      </c>
      <c r="F143" s="25" t="n">
        <f aca="false">SABR_Base!F19+SABR_Shocks!$D$9*SABR_Shocks!F20</f>
        <v>-0.284496</v>
      </c>
      <c r="G143" s="25" t="n">
        <f aca="false">SABR_Base!G19+SABR_Shocks!$D$9*SABR_Shocks!G20</f>
        <v>-0.2634728</v>
      </c>
      <c r="H143" s="25" t="n">
        <f aca="false">SABR_Base!H19+SABR_Shocks!$D$9*SABR_Shocks!H20</f>
        <v>-0.2511328</v>
      </c>
      <c r="I143" s="25" t="n">
        <f aca="false">SABR_Base!I19+SABR_Shocks!$D$9*SABR_Shocks!I20</f>
        <v>-0.237196</v>
      </c>
      <c r="J143" s="25" t="n">
        <f aca="false">SABR_Base!J19+SABR_Shocks!$D$9*SABR_Shocks!J20</f>
        <v>-0.2099</v>
      </c>
      <c r="K143" s="25" t="n">
        <f aca="false">SABR_Base!K19+SABR_Shocks!$D$9*SABR_Shocks!K20</f>
        <v>-0.19206</v>
      </c>
      <c r="L143" s="25" t="n">
        <f aca="false">SABR_Base!L19+SABR_Shocks!$D$9*SABR_Shocks!L20</f>
        <v>-0.1692088</v>
      </c>
    </row>
    <row r="144" customFormat="false" ht="15" hidden="false" customHeight="true" outlineLevel="0" collapsed="false">
      <c r="B144" s="30" t="s">
        <v>56</v>
      </c>
      <c r="C144" s="25" t="n">
        <f aca="false">SABR_Base!C20+SABR_Shocks!$D$9*SABR_Shocks!C21</f>
        <v>-0.3131056</v>
      </c>
      <c r="D144" s="25" t="n">
        <f aca="false">SABR_Base!D20+SABR_Shocks!$D$9*SABR_Shocks!D21</f>
        <v>-0.2994376</v>
      </c>
      <c r="E144" s="25" t="n">
        <f aca="false">SABR_Base!E20+SABR_Shocks!$D$9*SABR_Shocks!E21</f>
        <v>-0.2840248</v>
      </c>
      <c r="F144" s="25" t="n">
        <f aca="false">SABR_Base!F20+SABR_Shocks!$D$9*SABR_Shocks!F21</f>
        <v>-0.2631016</v>
      </c>
      <c r="G144" s="25" t="n">
        <f aca="false">SABR_Base!G20+SABR_Shocks!$D$9*SABR_Shocks!G21</f>
        <v>-0.2427704</v>
      </c>
      <c r="H144" s="25" t="n">
        <f aca="false">SABR_Base!H20+SABR_Shocks!$D$9*SABR_Shocks!H21</f>
        <v>-0.2363976</v>
      </c>
      <c r="I144" s="25" t="n">
        <f aca="false">SABR_Base!I20+SABR_Shocks!$D$9*SABR_Shocks!I21</f>
        <v>-0.2003504</v>
      </c>
      <c r="J144" s="25" t="n">
        <f aca="false">SABR_Base!J20+SABR_Shocks!$D$9*SABR_Shocks!J21</f>
        <v>-0.1839112</v>
      </c>
      <c r="K144" s="25" t="n">
        <f aca="false">SABR_Base!K20+SABR_Shocks!$D$9*SABR_Shocks!K21</f>
        <v>-0.1629248</v>
      </c>
      <c r="L144" s="25" t="n">
        <f aca="false">SABR_Base!L20+SABR_Shocks!$D$9*SABR_Shocks!L21</f>
        <v>-0.1455624</v>
      </c>
    </row>
    <row r="145" customFormat="false" ht="15" hidden="false" customHeight="true" outlineLevel="0" collapsed="false">
      <c r="B145" s="30" t="s">
        <v>57</v>
      </c>
      <c r="C145" s="25" t="n">
        <f aca="false">SABR_Base!C21+SABR_Shocks!$D$9*SABR_Shocks!C22</f>
        <v>-0.305516</v>
      </c>
      <c r="D145" s="25" t="n">
        <f aca="false">SABR_Base!D21+SABR_Shocks!$D$9*SABR_Shocks!D22</f>
        <v>-0.2863472</v>
      </c>
      <c r="E145" s="25" t="n">
        <f aca="false">SABR_Base!E21+SABR_Shocks!$D$9*SABR_Shocks!E22</f>
        <v>-0.273116</v>
      </c>
      <c r="F145" s="25" t="n">
        <f aca="false">SABR_Base!F21+SABR_Shocks!$D$9*SABR_Shocks!F22</f>
        <v>-0.2436712</v>
      </c>
      <c r="G145" s="25" t="n">
        <f aca="false">SABR_Base!G21+SABR_Shocks!$D$9*SABR_Shocks!G22</f>
        <v>-0.2360016</v>
      </c>
      <c r="H145" s="25" t="n">
        <f aca="false">SABR_Base!H21+SABR_Shocks!$D$9*SABR_Shocks!H22</f>
        <v>-0.2171016</v>
      </c>
      <c r="I145" s="25" t="n">
        <f aca="false">SABR_Base!I21+SABR_Shocks!$D$9*SABR_Shocks!I22</f>
        <v>-0.1955176</v>
      </c>
      <c r="J145" s="25" t="n">
        <f aca="false">SABR_Base!J21+SABR_Shocks!$D$9*SABR_Shocks!J22</f>
        <v>-0.1773312</v>
      </c>
      <c r="K145" s="25" t="n">
        <f aca="false">SABR_Base!K21+SABR_Shocks!$D$9*SABR_Shocks!K22</f>
        <v>-0.1547848</v>
      </c>
      <c r="L145" s="25" t="n">
        <f aca="false">SABR_Base!L21+SABR_Shocks!$D$9*SABR_Shocks!L22</f>
        <v>-0.1417624</v>
      </c>
    </row>
    <row r="146" customFormat="false" ht="15" hidden="false" customHeight="true" outlineLevel="0" collapsed="false">
      <c r="B146" s="30" t="s">
        <v>30</v>
      </c>
      <c r="C146" s="25" t="n">
        <f aca="false">SABR_Base!C22+SABR_Shocks!$D$9*SABR_Shocks!C23</f>
        <v>-0.294392</v>
      </c>
      <c r="D146" s="25" t="n">
        <f aca="false">SABR_Base!D22+SABR_Shocks!$D$9*SABR_Shocks!D23</f>
        <v>-0.272312</v>
      </c>
      <c r="E146" s="25" t="n">
        <f aca="false">SABR_Base!E22+SABR_Shocks!$D$9*SABR_Shocks!E23</f>
        <v>-0.2541032</v>
      </c>
      <c r="F146" s="25" t="n">
        <f aca="false">SABR_Base!F22+SABR_Shocks!$D$9*SABR_Shocks!F23</f>
        <v>-0.23008</v>
      </c>
      <c r="G146" s="25" t="n">
        <f aca="false">SABR_Base!G22+SABR_Shocks!$D$9*SABR_Shocks!G23</f>
        <v>-0.2180968</v>
      </c>
      <c r="H146" s="25" t="n">
        <f aca="false">SABR_Base!H22+SABR_Shocks!$D$9*SABR_Shocks!H23</f>
        <v>-0.182156</v>
      </c>
      <c r="I146" s="25" t="n">
        <f aca="false">SABR_Base!I22+SABR_Shocks!$D$9*SABR_Shocks!I23</f>
        <v>-0.1684104</v>
      </c>
      <c r="J146" s="25" t="n">
        <f aca="false">SABR_Base!J22+SABR_Shocks!$D$9*SABR_Shocks!J23</f>
        <v>-0.1588256</v>
      </c>
      <c r="K146" s="25" t="n">
        <f aca="false">SABR_Base!K22+SABR_Shocks!$D$9*SABR_Shocks!K23</f>
        <v>-0.1375832</v>
      </c>
      <c r="L146" s="25" t="n">
        <f aca="false">SABR_Base!L22+SABR_Shocks!$D$9*SABR_Shocks!L23</f>
        <v>-0.1168944</v>
      </c>
    </row>
    <row r="147" customFormat="false" ht="15" hidden="false" customHeight="true" outlineLevel="0" collapsed="false">
      <c r="B147" s="30" t="s">
        <v>58</v>
      </c>
      <c r="C147" s="25" t="n">
        <f aca="false">SABR_Base!C23+SABR_Shocks!$D$9*SABR_Shocks!C24</f>
        <v>-0.2679336</v>
      </c>
      <c r="D147" s="25" t="n">
        <f aca="false">SABR_Base!D23+SABR_Shocks!$D$9*SABR_Shocks!D24</f>
        <v>-0.2538768</v>
      </c>
      <c r="E147" s="25" t="n">
        <f aca="false">SABR_Base!E23+SABR_Shocks!$D$9*SABR_Shocks!E24</f>
        <v>-0.2205704</v>
      </c>
      <c r="F147" s="25" t="n">
        <f aca="false">SABR_Base!F23+SABR_Shocks!$D$9*SABR_Shocks!F24</f>
        <v>-0.1984896</v>
      </c>
      <c r="G147" s="25" t="n">
        <f aca="false">SABR_Base!G23+SABR_Shocks!$D$9*SABR_Shocks!G24</f>
        <v>-0.1902952</v>
      </c>
      <c r="H147" s="25" t="n">
        <f aca="false">SABR_Base!H23+SABR_Shocks!$D$9*SABR_Shocks!H24</f>
        <v>-0.1708256</v>
      </c>
      <c r="I147" s="25" t="n">
        <f aca="false">SABR_Base!I23+SABR_Shocks!$D$9*SABR_Shocks!I24</f>
        <v>-0.1600088</v>
      </c>
      <c r="J147" s="25" t="n">
        <f aca="false">SABR_Base!J23+SABR_Shocks!$D$9*SABR_Shocks!J24</f>
        <v>-0.140712</v>
      </c>
      <c r="K147" s="25" t="n">
        <f aca="false">SABR_Base!K23+SABR_Shocks!$D$9*SABR_Shocks!K24</f>
        <v>-0.1169832</v>
      </c>
      <c r="L147" s="25" t="n">
        <f aca="false">SABR_Base!L23+SABR_Shocks!$D$9*SABR_Shocks!L24</f>
        <v>-0.0995704</v>
      </c>
    </row>
    <row r="148" customFormat="false" ht="15" hidden="false" customHeight="true" outlineLevel="0" collapsed="false">
      <c r="B148" s="30" t="s">
        <v>59</v>
      </c>
      <c r="C148" s="25" t="n">
        <f aca="false">SABR_Base!C24+SABR_Shocks!$D$9*SABR_Shocks!C25</f>
        <v>-0.2396032</v>
      </c>
      <c r="D148" s="25" t="n">
        <f aca="false">SABR_Base!D24+SABR_Shocks!$D$9*SABR_Shocks!D25</f>
        <v>-0.2340632</v>
      </c>
      <c r="E148" s="25" t="n">
        <f aca="false">SABR_Base!E24+SABR_Shocks!$D$9*SABR_Shocks!E25</f>
        <v>-0.2180352</v>
      </c>
      <c r="F148" s="25" t="n">
        <f aca="false">SABR_Base!F24+SABR_Shocks!$D$9*SABR_Shocks!F25</f>
        <v>-0.1803432</v>
      </c>
      <c r="G148" s="25" t="n">
        <f aca="false">SABR_Base!G24+SABR_Shocks!$D$9*SABR_Shocks!G25</f>
        <v>-0.1700712</v>
      </c>
      <c r="H148" s="25" t="n">
        <f aca="false">SABR_Base!H24+SABR_Shocks!$D$9*SABR_Shocks!H25</f>
        <v>-0.1587136</v>
      </c>
      <c r="I148" s="25" t="n">
        <f aca="false">SABR_Base!I24+SABR_Shocks!$D$9*SABR_Shocks!I25</f>
        <v>-0.1316664</v>
      </c>
      <c r="J148" s="25" t="n">
        <f aca="false">SABR_Base!J24+SABR_Shocks!$D$9*SABR_Shocks!J25</f>
        <v>-0.1231376</v>
      </c>
      <c r="K148" s="25" t="n">
        <f aca="false">SABR_Base!K24+SABR_Shocks!$D$9*SABR_Shocks!K25</f>
        <v>-0.0944264</v>
      </c>
      <c r="L148" s="25" t="n">
        <f aca="false">SABR_Base!L24+SABR_Shocks!$D$9*SABR_Shocks!L25</f>
        <v>-0.0661336</v>
      </c>
    </row>
    <row r="149" customFormat="false" ht="15" hidden="false" customHeight="true" outlineLevel="0" collapsed="false">
      <c r="B149" s="30" t="s">
        <v>60</v>
      </c>
      <c r="C149" s="25" t="n">
        <f aca="false">SABR_Base!C25+SABR_Shocks!$D$9*SABR_Shocks!C26</f>
        <v>-0.2202592</v>
      </c>
      <c r="D149" s="25" t="n">
        <f aca="false">SABR_Base!D25+SABR_Shocks!$D$9*SABR_Shocks!D26</f>
        <v>-0.204652</v>
      </c>
      <c r="E149" s="25" t="n">
        <f aca="false">SABR_Base!E25+SABR_Shocks!$D$9*SABR_Shocks!E26</f>
        <v>-0.1941824</v>
      </c>
      <c r="F149" s="25" t="n">
        <f aca="false">SABR_Base!F25+SABR_Shocks!$D$9*SABR_Shocks!F26</f>
        <v>-0.173332</v>
      </c>
      <c r="G149" s="25" t="n">
        <f aca="false">SABR_Base!G25+SABR_Shocks!$D$9*SABR_Shocks!G26</f>
        <v>-0.1583472</v>
      </c>
      <c r="H149" s="25" t="n">
        <f aca="false">SABR_Base!H25+SABR_Shocks!$D$9*SABR_Shocks!H26</f>
        <v>-0.1274296</v>
      </c>
      <c r="I149" s="25" t="n">
        <f aca="false">SABR_Base!I25+SABR_Shocks!$D$9*SABR_Shocks!I26</f>
        <v>-0.113228</v>
      </c>
      <c r="J149" s="25" t="n">
        <f aca="false">SABR_Base!J25+SABR_Shocks!$D$9*SABR_Shocks!J26</f>
        <v>-0.089164</v>
      </c>
      <c r="K149" s="25" t="n">
        <f aca="false">SABR_Base!K25+SABR_Shocks!$D$9*SABR_Shocks!K26</f>
        <v>-0.07938</v>
      </c>
      <c r="L149" s="25" t="n">
        <f aca="false">SABR_Base!L25+SABR_Shocks!$D$9*SABR_Shocks!L26</f>
        <v>-0.0624664</v>
      </c>
    </row>
    <row r="150" customFormat="false" ht="15" hidden="false" customHeight="true" outlineLevel="0" collapsed="false">
      <c r="B150" s="30" t="s">
        <v>61</v>
      </c>
      <c r="C150" s="25" t="n">
        <f aca="false">SABR_Base!C26+SABR_Shocks!$D$9*SABR_Shocks!C27</f>
        <v>-0.2023128</v>
      </c>
      <c r="D150" s="25" t="n">
        <f aca="false">SABR_Base!D26+SABR_Shocks!$D$9*SABR_Shocks!D27</f>
        <v>-0.1797888</v>
      </c>
      <c r="E150" s="25" t="n">
        <f aca="false">SABR_Base!E26+SABR_Shocks!$D$9*SABR_Shocks!E27</f>
        <v>-0.1633192</v>
      </c>
      <c r="F150" s="25" t="n">
        <f aca="false">SABR_Base!F26+SABR_Shocks!$D$9*SABR_Shocks!F27</f>
        <v>-0.1454856</v>
      </c>
      <c r="G150" s="25" t="n">
        <f aca="false">SABR_Base!G26+SABR_Shocks!$D$9*SABR_Shocks!G27</f>
        <v>-0.1262616</v>
      </c>
      <c r="H150" s="25" t="n">
        <f aca="false">SABR_Base!H26+SABR_Shocks!$D$9*SABR_Shocks!H27</f>
        <v>-0.1088648</v>
      </c>
      <c r="I150" s="25" t="n">
        <f aca="false">SABR_Base!I26+SABR_Shocks!$D$9*SABR_Shocks!I27</f>
        <v>-0.1003984</v>
      </c>
      <c r="J150" s="25" t="n">
        <f aca="false">SABR_Base!J26+SABR_Shocks!$D$9*SABR_Shocks!J27</f>
        <v>-0.0756136</v>
      </c>
      <c r="K150" s="25" t="n">
        <f aca="false">SABR_Base!K26+SABR_Shocks!$D$9*SABR_Shocks!K27</f>
        <v>-0.05966</v>
      </c>
      <c r="L150" s="25" t="n">
        <f aca="false">SABR_Base!L26+SABR_Shocks!$D$9*SABR_Shocks!L27</f>
        <v>-0.0472976</v>
      </c>
    </row>
    <row r="151" customFormat="false" ht="15" hidden="false" customHeight="true" outlineLevel="0" collapsed="false">
      <c r="B151" s="30" t="s">
        <v>62</v>
      </c>
      <c r="C151" s="25" t="n">
        <f aca="false">SABR_Base!C27+SABR_Shocks!$D$9*SABR_Shocks!C28</f>
        <v>-0.199056</v>
      </c>
      <c r="D151" s="25" t="n">
        <f aca="false">SABR_Base!D27+SABR_Shocks!$D$9*SABR_Shocks!D28</f>
        <v>-0.1750824</v>
      </c>
      <c r="E151" s="25" t="n">
        <f aca="false">SABR_Base!E27+SABR_Shocks!$D$9*SABR_Shocks!E28</f>
        <v>-0.1564016</v>
      </c>
      <c r="F151" s="25" t="n">
        <f aca="false">SABR_Base!F27+SABR_Shocks!$D$9*SABR_Shocks!F28</f>
        <v>-0.1287384</v>
      </c>
      <c r="G151" s="25" t="n">
        <f aca="false">SABR_Base!G27+SABR_Shocks!$D$9*SABR_Shocks!G28</f>
        <v>-0.1046888</v>
      </c>
      <c r="H151" s="25" t="n">
        <f aca="false">SABR_Base!H27+SABR_Shocks!$D$9*SABR_Shocks!H28</f>
        <v>-0.0957408</v>
      </c>
      <c r="I151" s="25" t="n">
        <f aca="false">SABR_Base!I27+SABR_Shocks!$D$9*SABR_Shocks!I28</f>
        <v>-0.0669672</v>
      </c>
      <c r="J151" s="25" t="n">
        <f aca="false">SABR_Base!J27+SABR_Shocks!$D$9*SABR_Shocks!J28</f>
        <v>-0.0471664</v>
      </c>
      <c r="K151" s="25" t="n">
        <f aca="false">SABR_Base!K27+SABR_Shocks!$D$9*SABR_Shocks!K28</f>
        <v>-0.028932</v>
      </c>
      <c r="L151" s="25" t="n">
        <f aca="false">SABR_Base!L27+SABR_Shocks!$D$9*SABR_Shocks!L28</f>
        <v>-0.02136</v>
      </c>
    </row>
    <row r="152" customFormat="false" ht="15" hidden="false" customHeight="true" outlineLevel="0" collapsed="false">
      <c r="B152" s="30" t="s">
        <v>63</v>
      </c>
      <c r="C152" s="25" t="n">
        <f aca="false">SABR_Base!C28+SABR_Shocks!$D$9*SABR_Shocks!C29</f>
        <v>-0.1763328</v>
      </c>
      <c r="D152" s="25" t="n">
        <f aca="false">SABR_Base!D28+SABR_Shocks!$D$9*SABR_Shocks!D29</f>
        <v>-0.1569232</v>
      </c>
      <c r="E152" s="25" t="n">
        <f aca="false">SABR_Base!E28+SABR_Shocks!$D$9*SABR_Shocks!E29</f>
        <v>-0.1388736</v>
      </c>
      <c r="F152" s="25" t="n">
        <f aca="false">SABR_Base!F28+SABR_Shocks!$D$9*SABR_Shocks!F29</f>
        <v>-0.1196208</v>
      </c>
      <c r="G152" s="25" t="n">
        <f aca="false">SABR_Base!G28+SABR_Shocks!$D$9*SABR_Shocks!G29</f>
        <v>-0.092376</v>
      </c>
      <c r="H152" s="25" t="n">
        <f aca="false">SABR_Base!H28+SABR_Shocks!$D$9*SABR_Shocks!H29</f>
        <v>-0.0677896</v>
      </c>
      <c r="I152" s="25" t="n">
        <f aca="false">SABR_Base!I28+SABR_Shocks!$D$9*SABR_Shocks!I29</f>
        <v>-0.0500664</v>
      </c>
      <c r="J152" s="25" t="n">
        <f aca="false">SABR_Base!J28+SABR_Shocks!$D$9*SABR_Shocks!J29</f>
        <v>-0.03846</v>
      </c>
      <c r="K152" s="25" t="n">
        <f aca="false">SABR_Base!K28+SABR_Shocks!$D$9*SABR_Shocks!K29</f>
        <v>-0.01556</v>
      </c>
      <c r="L152" s="25" t="n">
        <f aca="false">SABR_Base!L28+SABR_Shocks!$D$9*SABR_Shocks!L29</f>
        <v>0.00684</v>
      </c>
    </row>
    <row r="154" customFormat="false" ht="15" hidden="false" customHeight="true" outlineLevel="0" collapsed="false">
      <c r="B154" s="34" t="s">
        <v>116</v>
      </c>
      <c r="C154" s="34"/>
      <c r="D154" s="34"/>
      <c r="E154" s="34"/>
      <c r="F154" s="34"/>
      <c r="G154" s="34"/>
      <c r="H154" s="34"/>
      <c r="I154" s="34"/>
      <c r="J154" s="34"/>
      <c r="K154" s="34"/>
      <c r="L154" s="34"/>
    </row>
    <row r="155" customFormat="false" ht="15" hidden="false" customHeight="true" outlineLevel="0" collapsed="false">
      <c r="B155" s="12" t="s">
        <v>113</v>
      </c>
      <c r="C155" s="13" t="s">
        <v>114</v>
      </c>
      <c r="D155" s="13" t="s">
        <v>56</v>
      </c>
      <c r="E155" s="13" t="s">
        <v>57</v>
      </c>
      <c r="F155" s="13" t="s">
        <v>30</v>
      </c>
      <c r="G155" s="13" t="s">
        <v>58</v>
      </c>
      <c r="H155" s="13" t="s">
        <v>59</v>
      </c>
      <c r="I155" s="13" t="s">
        <v>60</v>
      </c>
      <c r="J155" s="13" t="s">
        <v>61</v>
      </c>
      <c r="K155" s="13" t="s">
        <v>62</v>
      </c>
      <c r="L155" s="13" t="s">
        <v>63</v>
      </c>
    </row>
    <row r="156" customFormat="false" ht="15" hidden="false" customHeight="true" outlineLevel="0" collapsed="false">
      <c r="B156" s="30" t="s">
        <v>114</v>
      </c>
      <c r="C156" s="25" t="n">
        <f aca="false">SABR_Base!C33+SABR_Shocks!$E$9*SABR_Shocks!C20</f>
        <v>0.8790033</v>
      </c>
      <c r="D156" s="25" t="n">
        <f aca="false">SABR_Base!D33+SABR_Shocks!$E$9*SABR_Shocks!D20</f>
        <v>0.8663694</v>
      </c>
      <c r="E156" s="25" t="n">
        <f aca="false">SABR_Base!E33+SABR_Shocks!$E$9*SABR_Shocks!E20</f>
        <v>0.846886</v>
      </c>
      <c r="F156" s="25" t="n">
        <f aca="false">SABR_Base!F33+SABR_Shocks!$E$9*SABR_Shocks!F20</f>
        <v>0.820222</v>
      </c>
      <c r="G156" s="25" t="n">
        <f aca="false">SABR_Base!G33+SABR_Shocks!$E$9*SABR_Shocks!G20</f>
        <v>0.7949221</v>
      </c>
      <c r="H156" s="25" t="n">
        <f aca="false">SABR_Base!H33+SABR_Shocks!$E$9*SABR_Shocks!H20</f>
        <v>0.7648921</v>
      </c>
      <c r="I156" s="25" t="n">
        <f aca="false">SABR_Base!I33+SABR_Shocks!$E$9*SABR_Shocks!I20</f>
        <v>0.735597</v>
      </c>
      <c r="J156" s="25" t="n">
        <f aca="false">SABR_Base!J33+SABR_Shocks!$E$9*SABR_Shocks!J20</f>
        <v>0.7235</v>
      </c>
      <c r="K156" s="25" t="n">
        <f aca="false">SABR_Base!K33+SABR_Shocks!$E$9*SABR_Shocks!K20</f>
        <v>0.68987</v>
      </c>
      <c r="L156" s="25" t="n">
        <f aca="false">SABR_Base!L33+SABR_Shocks!$E$9*SABR_Shocks!L20</f>
        <v>0.6746866</v>
      </c>
    </row>
    <row r="157" customFormat="false" ht="15" hidden="false" customHeight="true" outlineLevel="0" collapsed="false">
      <c r="B157" s="30" t="s">
        <v>56</v>
      </c>
      <c r="C157" s="25" t="n">
        <f aca="false">SABR_Base!C34+SABR_Shocks!$E$9*SABR_Shocks!C21</f>
        <v>0.8721267</v>
      </c>
      <c r="D157" s="25" t="n">
        <f aca="false">SABR_Base!D34+SABR_Shocks!$E$9*SABR_Shocks!D21</f>
        <v>0.8362132</v>
      </c>
      <c r="E157" s="25" t="n">
        <f aca="false">SABR_Base!E34+SABR_Shocks!$E$9*SABR_Shocks!E21</f>
        <v>0.8120861</v>
      </c>
      <c r="F157" s="25" t="n">
        <f aca="false">SABR_Base!F34+SABR_Shocks!$E$9*SABR_Shocks!F21</f>
        <v>0.7982862</v>
      </c>
      <c r="G157" s="25" t="n">
        <f aca="false">SABR_Base!G34+SABR_Shocks!$E$9*SABR_Shocks!G21</f>
        <v>0.7705678</v>
      </c>
      <c r="H157" s="25" t="n">
        <f aca="false">SABR_Base!H34+SABR_Shocks!$E$9*SABR_Shocks!H21</f>
        <v>0.7346582</v>
      </c>
      <c r="I157" s="25" t="n">
        <f aca="false">SABR_Base!I34+SABR_Shocks!$E$9*SABR_Shocks!I21</f>
        <v>0.7100903</v>
      </c>
      <c r="J157" s="25" t="n">
        <f aca="false">SABR_Base!J34+SABR_Shocks!$E$9*SABR_Shocks!J21</f>
        <v>0.6855409</v>
      </c>
      <c r="K157" s="25" t="n">
        <f aca="false">SABR_Base!K34+SABR_Shocks!$E$9*SABR_Shocks!K21</f>
        <v>0.6771361</v>
      </c>
      <c r="L157" s="25" t="n">
        <f aca="false">SABR_Base!L34+SABR_Shocks!$E$9*SABR_Shocks!L21</f>
        <v>0.6506993</v>
      </c>
    </row>
    <row r="158" customFormat="false" ht="15" hidden="false" customHeight="true" outlineLevel="0" collapsed="false">
      <c r="B158" s="30" t="s">
        <v>57</v>
      </c>
      <c r="C158" s="25" t="n">
        <f aca="false">SABR_Base!C35+SABR_Shocks!$E$9*SABR_Shocks!C22</f>
        <v>0.830887</v>
      </c>
      <c r="D158" s="25" t="n">
        <f aca="false">SABR_Base!D35+SABR_Shocks!$E$9*SABR_Shocks!D22</f>
        <v>0.8204929</v>
      </c>
      <c r="E158" s="25" t="n">
        <f aca="false">SABR_Base!E35+SABR_Shocks!$E$9*SABR_Shocks!E22</f>
        <v>0.8001745</v>
      </c>
      <c r="F158" s="25" t="n">
        <f aca="false">SABR_Base!F35+SABR_Shocks!$E$9*SABR_Shocks!F22</f>
        <v>0.7687484</v>
      </c>
      <c r="G158" s="25" t="n">
        <f aca="false">SABR_Base!G35+SABR_Shocks!$E$9*SABR_Shocks!G22</f>
        <v>0.7390737</v>
      </c>
      <c r="H158" s="25" t="n">
        <f aca="false">SABR_Base!H35+SABR_Shocks!$E$9*SABR_Shocks!H22</f>
        <v>0.7178612</v>
      </c>
      <c r="I158" s="25" t="n">
        <f aca="false">SABR_Base!I35+SABR_Shocks!$E$9*SABR_Shocks!I22</f>
        <v>0.6846982</v>
      </c>
      <c r="J158" s="25" t="n">
        <f aca="false">SABR_Base!J35+SABR_Shocks!$E$9*SABR_Shocks!J22</f>
        <v>0.6588934</v>
      </c>
      <c r="K158" s="25" t="n">
        <f aca="false">SABR_Base!K35+SABR_Shocks!$E$9*SABR_Shocks!K22</f>
        <v>0.6539061</v>
      </c>
      <c r="L158" s="25" t="n">
        <f aca="false">SABR_Base!L35+SABR_Shocks!$E$9*SABR_Shocks!L22</f>
        <v>0.6223868</v>
      </c>
    </row>
    <row r="159" customFormat="false" ht="15" hidden="false" customHeight="true" outlineLevel="0" collapsed="false">
      <c r="B159" s="30" t="s">
        <v>30</v>
      </c>
      <c r="C159" s="25" t="n">
        <f aca="false">SABR_Base!C36+SABR_Shocks!$E$9*SABR_Shocks!C23</f>
        <v>0.8143065</v>
      </c>
      <c r="D159" s="25" t="n">
        <f aca="false">SABR_Base!D36+SABR_Shocks!$E$9*SABR_Shocks!D23</f>
        <v>0.798459</v>
      </c>
      <c r="E159" s="25" t="n">
        <f aca="false">SABR_Base!E36+SABR_Shocks!$E$9*SABR_Shocks!E23</f>
        <v>0.7650474</v>
      </c>
      <c r="F159" s="25" t="n">
        <f aca="false">SABR_Base!F36+SABR_Shocks!$E$9*SABR_Shocks!F23</f>
        <v>0.7491475</v>
      </c>
      <c r="G159" s="25" t="n">
        <f aca="false">SABR_Base!G36+SABR_Shocks!$E$9*SABR_Shocks!G23</f>
        <v>0.7230651</v>
      </c>
      <c r="H159" s="25" t="n">
        <f aca="false">SABR_Base!H36+SABR_Shocks!$E$9*SABR_Shocks!H23</f>
        <v>0.6865545</v>
      </c>
      <c r="I159" s="25" t="n">
        <f aca="false">SABR_Base!I36+SABR_Shocks!$E$9*SABR_Shocks!I23</f>
        <v>0.6628478</v>
      </c>
      <c r="J159" s="25" t="n">
        <f aca="false">SABR_Base!J36+SABR_Shocks!$E$9*SABR_Shocks!J23</f>
        <v>0.6393042</v>
      </c>
      <c r="K159" s="25" t="n">
        <f aca="false">SABR_Base!K36+SABR_Shocks!$E$9*SABR_Shocks!K23</f>
        <v>0.6150324</v>
      </c>
      <c r="L159" s="25" t="n">
        <f aca="false">SABR_Base!L36+SABR_Shocks!$E$9*SABR_Shocks!L23</f>
        <v>0.5967733</v>
      </c>
    </row>
    <row r="160" customFormat="false" ht="15" hidden="false" customHeight="true" outlineLevel="0" collapsed="false">
      <c r="B160" s="30" t="s">
        <v>58</v>
      </c>
      <c r="C160" s="25" t="n">
        <f aca="false">SABR_Base!C37+SABR_Shocks!$E$9*SABR_Shocks!C24</f>
        <v>0.7852852</v>
      </c>
      <c r="D160" s="25" t="n">
        <f aca="false">SABR_Base!D37+SABR_Shocks!$E$9*SABR_Shocks!D24</f>
        <v>0.7640251</v>
      </c>
      <c r="E160" s="25" t="n">
        <f aca="false">SABR_Base!E37+SABR_Shocks!$E$9*SABR_Shocks!E24</f>
        <v>0.7335553</v>
      </c>
      <c r="F160" s="25" t="n">
        <f aca="false">SABR_Base!F37+SABR_Shocks!$E$9*SABR_Shocks!F24</f>
        <v>0.7255272</v>
      </c>
      <c r="G160" s="25" t="n">
        <f aca="false">SABR_Base!G37+SABR_Shocks!$E$9*SABR_Shocks!G24</f>
        <v>0.6892914</v>
      </c>
      <c r="H160" s="25" t="n">
        <f aca="false">SABR_Base!H37+SABR_Shocks!$E$9*SABR_Shocks!H24</f>
        <v>0.6678167</v>
      </c>
      <c r="I160" s="25" t="n">
        <f aca="false">SABR_Base!I37+SABR_Shocks!$E$9*SABR_Shocks!I24</f>
        <v>0.6451741</v>
      </c>
      <c r="J160" s="25" t="n">
        <f aca="false">SABR_Base!J37+SABR_Shocks!$E$9*SABR_Shocks!J24</f>
        <v>0.6276965</v>
      </c>
      <c r="K160" s="25" t="n">
        <f aca="false">SABR_Base!K37+SABR_Shocks!$E$9*SABR_Shocks!K24</f>
        <v>0.5934199</v>
      </c>
      <c r="L160" s="25" t="n">
        <f aca="false">SABR_Base!L37+SABR_Shocks!$E$9*SABR_Shocks!L24</f>
        <v>0.5791928</v>
      </c>
    </row>
    <row r="161" customFormat="false" ht="15" hidden="false" customHeight="true" outlineLevel="0" collapsed="false">
      <c r="B161" s="30" t="s">
        <v>59</v>
      </c>
      <c r="C161" s="25" t="n">
        <f aca="false">SABR_Base!C38+SABR_Shocks!$E$9*SABR_Shocks!C25</f>
        <v>0.7663474</v>
      </c>
      <c r="D161" s="25" t="n">
        <f aca="false">SABR_Base!D38+SABR_Shocks!$E$9*SABR_Shocks!D25</f>
        <v>0.7424174</v>
      </c>
      <c r="E161" s="25" t="n">
        <f aca="false">SABR_Base!E38+SABR_Shocks!$E$9*SABR_Shocks!E25</f>
        <v>0.7172214</v>
      </c>
      <c r="F161" s="25" t="n">
        <f aca="false">SABR_Base!F38+SABR_Shocks!$E$9*SABR_Shocks!F25</f>
        <v>0.6836399</v>
      </c>
      <c r="G161" s="25" t="n">
        <f aca="false">SABR_Base!G38+SABR_Shocks!$E$9*SABR_Shocks!G25</f>
        <v>0.6668109</v>
      </c>
      <c r="H161" s="25" t="n">
        <f aca="false">SABR_Base!H38+SABR_Shocks!$E$9*SABR_Shocks!H25</f>
        <v>0.6375702</v>
      </c>
      <c r="I161" s="25" t="n">
        <f aca="false">SABR_Base!I38+SABR_Shocks!$E$9*SABR_Shocks!I25</f>
        <v>0.6103023</v>
      </c>
      <c r="J161" s="25" t="n">
        <f aca="false">SABR_Base!J38+SABR_Shocks!$E$9*SABR_Shocks!J25</f>
        <v>0.6016257</v>
      </c>
      <c r="K161" s="25" t="n">
        <f aca="false">SABR_Base!K38+SABR_Shocks!$E$9*SABR_Shocks!K25</f>
        <v>0.5640598</v>
      </c>
      <c r="L161" s="25" t="n">
        <f aca="false">SABR_Base!L38+SABR_Shocks!$E$9*SABR_Shocks!L25</f>
        <v>0.5469977</v>
      </c>
    </row>
    <row r="162" customFormat="false" ht="15" hidden="false" customHeight="true" outlineLevel="0" collapsed="false">
      <c r="B162" s="30" t="s">
        <v>60</v>
      </c>
      <c r="C162" s="25" t="n">
        <f aca="false">SABR_Base!C39+SABR_Shocks!$E$9*SABR_Shocks!C26</f>
        <v>0.7455019</v>
      </c>
      <c r="D162" s="25" t="n">
        <f aca="false">SABR_Base!D39+SABR_Shocks!$E$9*SABR_Shocks!D26</f>
        <v>0.7178515</v>
      </c>
      <c r="E162" s="25" t="n">
        <f aca="false">SABR_Base!E39+SABR_Shocks!$E$9*SABR_Shocks!E26</f>
        <v>0.6895768</v>
      </c>
      <c r="F162" s="25" t="n">
        <f aca="false">SABR_Base!F39+SABR_Shocks!$E$9*SABR_Shocks!F26</f>
        <v>0.668574</v>
      </c>
      <c r="G162" s="25" t="n">
        <f aca="false">SABR_Base!G39+SABR_Shocks!$E$9*SABR_Shocks!G26</f>
        <v>0.6449304</v>
      </c>
      <c r="H162" s="25" t="n">
        <f aca="false">SABR_Base!H39+SABR_Shocks!$E$9*SABR_Shocks!H26</f>
        <v>0.6248072</v>
      </c>
      <c r="I162" s="25" t="n">
        <f aca="false">SABR_Base!I39+SABR_Shocks!$E$9*SABR_Shocks!I26</f>
        <v>0.5870335</v>
      </c>
      <c r="J162" s="25" t="n">
        <f aca="false">SABR_Base!J39+SABR_Shocks!$E$9*SABR_Shocks!J26</f>
        <v>0.5724355</v>
      </c>
      <c r="K162" s="25" t="n">
        <f aca="false">SABR_Base!K39+SABR_Shocks!$E$9*SABR_Shocks!K26</f>
        <v>0.5414725</v>
      </c>
      <c r="L162" s="25" t="n">
        <f aca="false">SABR_Base!L39+SABR_Shocks!$E$9*SABR_Shocks!L26</f>
        <v>0.5181648</v>
      </c>
    </row>
    <row r="163" customFormat="false" ht="15" hidden="false" customHeight="true" outlineLevel="0" collapsed="false">
      <c r="B163" s="30" t="s">
        <v>61</v>
      </c>
      <c r="C163" s="25" t="n">
        <f aca="false">SABR_Base!C40+SABR_Shocks!$E$9*SABR_Shocks!C27</f>
        <v>0.7223146</v>
      </c>
      <c r="D163" s="25" t="n">
        <f aca="false">SABR_Base!D40+SABR_Shocks!$E$9*SABR_Shocks!D27</f>
        <v>0.6928341</v>
      </c>
      <c r="E163" s="25" t="n">
        <f aca="false">SABR_Base!E40+SABR_Shocks!$E$9*SABR_Shocks!E27</f>
        <v>0.6702594</v>
      </c>
      <c r="F163" s="25" t="n">
        <f aca="false">SABR_Base!F40+SABR_Shocks!$E$9*SABR_Shocks!F27</f>
        <v>0.6492867</v>
      </c>
      <c r="G163" s="25" t="n">
        <f aca="false">SABR_Base!G40+SABR_Shocks!$E$9*SABR_Shocks!G27</f>
        <v>0.6281062</v>
      </c>
      <c r="H163" s="25" t="n">
        <f aca="false">SABR_Base!H40+SABR_Shocks!$E$9*SABR_Shocks!H27</f>
        <v>0.5948286</v>
      </c>
      <c r="I163" s="25" t="n">
        <f aca="false">SABR_Base!I40+SABR_Shocks!$E$9*SABR_Shocks!I27</f>
        <v>0.5729763</v>
      </c>
      <c r="J163" s="25" t="n">
        <f aca="false">SABR_Base!J40+SABR_Shocks!$E$9*SABR_Shocks!J27</f>
        <v>0.5464327</v>
      </c>
      <c r="K163" s="25" t="n">
        <f aca="false">SABR_Base!K40+SABR_Shocks!$E$9*SABR_Shocks!K27</f>
        <v>0.5233075</v>
      </c>
      <c r="L163" s="25" t="n">
        <f aca="false">SABR_Base!L40+SABR_Shocks!$E$9*SABR_Shocks!L27</f>
        <v>0.5024707</v>
      </c>
    </row>
    <row r="164" customFormat="false" ht="15" hidden="false" customHeight="true" outlineLevel="0" collapsed="false">
      <c r="B164" s="30" t="s">
        <v>62</v>
      </c>
      <c r="C164" s="25" t="n">
        <f aca="false">SABR_Base!C41+SABR_Shocks!$E$9*SABR_Shocks!C28</f>
        <v>0.6914545</v>
      </c>
      <c r="D164" s="25" t="n">
        <f aca="false">SABR_Base!D41+SABR_Shocks!$E$9*SABR_Shocks!D28</f>
        <v>0.6686643</v>
      </c>
      <c r="E164" s="25" t="n">
        <f aca="false">SABR_Base!E41+SABR_Shocks!$E$9*SABR_Shocks!E28</f>
        <v>0.6439362</v>
      </c>
      <c r="F164" s="25" t="n">
        <f aca="false">SABR_Base!F41+SABR_Shocks!$E$9*SABR_Shocks!F28</f>
        <v>0.6292188</v>
      </c>
      <c r="G164" s="25" t="n">
        <f aca="false">SABR_Base!G41+SABR_Shocks!$E$9*SABR_Shocks!G28</f>
        <v>0.5989966</v>
      </c>
      <c r="H164" s="25" t="n">
        <f aca="false">SABR_Base!H41+SABR_Shocks!$E$9*SABR_Shocks!H28</f>
        <v>0.5792481</v>
      </c>
      <c r="I164" s="25" t="n">
        <f aca="false">SABR_Base!I41+SABR_Shocks!$E$9*SABR_Shocks!I28</f>
        <v>0.5561579</v>
      </c>
      <c r="J164" s="25" t="n">
        <f aca="false">SABR_Base!J41+SABR_Shocks!$E$9*SABR_Shocks!J28</f>
        <v>0.5178648</v>
      </c>
      <c r="K164" s="25" t="n">
        <f aca="false">SABR_Base!K41+SABR_Shocks!$E$9*SABR_Shocks!K28</f>
        <v>0.4992115</v>
      </c>
      <c r="L164" s="25" t="n">
        <f aca="false">SABR_Base!L41+SABR_Shocks!$E$9*SABR_Shocks!L28</f>
        <v>0.484595</v>
      </c>
    </row>
    <row r="165" customFormat="false" ht="15" hidden="false" customHeight="true" outlineLevel="0" collapsed="false">
      <c r="B165" s="30" t="s">
        <v>63</v>
      </c>
      <c r="C165" s="25" t="n">
        <f aca="false">SABR_Base!C42+SABR_Shocks!$E$9*SABR_Shocks!C29</f>
        <v>0.6745546</v>
      </c>
      <c r="D165" s="25" t="n">
        <f aca="false">SABR_Base!D42+SABR_Shocks!$E$9*SABR_Shocks!D29</f>
        <v>0.6374624</v>
      </c>
      <c r="E165" s="25" t="n">
        <f aca="false">SABR_Base!E42+SABR_Shocks!$E$9*SABR_Shocks!E29</f>
        <v>0.6118402</v>
      </c>
      <c r="F165" s="25" t="n">
        <f aca="false">SABR_Base!F42+SABR_Shocks!$E$9*SABR_Shocks!F29</f>
        <v>0.5945956</v>
      </c>
      <c r="G165" s="25" t="n">
        <f aca="false">SABR_Base!G42+SABR_Shocks!$E$9*SABR_Shocks!G29</f>
        <v>0.5622695</v>
      </c>
      <c r="H165" s="25" t="n">
        <f aca="false">SABR_Base!H42+SABR_Shocks!$E$9*SABR_Shocks!H29</f>
        <v>0.5420647</v>
      </c>
      <c r="I165" s="25" t="n">
        <f aca="false">SABR_Base!I42+SABR_Shocks!$E$9*SABR_Shocks!I29</f>
        <v>0.5140648</v>
      </c>
      <c r="J165" s="25" t="n">
        <f aca="false">SABR_Base!J42+SABR_Shocks!$E$9*SABR_Shocks!J29</f>
        <v>0.501295</v>
      </c>
      <c r="K165" s="25" t="n">
        <f aca="false">SABR_Base!K42+SABR_Shocks!$E$9*SABR_Shocks!K29</f>
        <v>0.481395</v>
      </c>
      <c r="L165" s="25" t="n">
        <f aca="false">SABR_Base!L42+SABR_Shocks!$E$9*SABR_Shocks!L29</f>
        <v>0.461395</v>
      </c>
    </row>
    <row r="168" customFormat="false" ht="15" hidden="false" customHeight="true" outlineLevel="0" collapsed="false">
      <c r="B168" s="19" t="s">
        <v>131</v>
      </c>
      <c r="C168" s="19"/>
      <c r="D168" s="19"/>
      <c r="E168" s="19"/>
      <c r="F168" s="19"/>
      <c r="G168" s="19"/>
      <c r="H168" s="19"/>
      <c r="I168" s="19"/>
      <c r="J168" s="19"/>
      <c r="K168" s="19"/>
      <c r="L168" s="19"/>
    </row>
    <row r="169" customFormat="false" ht="15" hidden="false" customHeight="true" outlineLevel="0" collapsed="false">
      <c r="B169" s="34" t="s">
        <v>112</v>
      </c>
      <c r="C169" s="34"/>
      <c r="D169" s="34"/>
      <c r="E169" s="34"/>
      <c r="F169" s="34"/>
      <c r="G169" s="34"/>
      <c r="H169" s="34"/>
      <c r="I169" s="34"/>
      <c r="J169" s="34"/>
      <c r="K169" s="34"/>
      <c r="L169" s="34"/>
    </row>
    <row r="170" customFormat="false" ht="15" hidden="false" customHeight="true" outlineLevel="0" collapsed="false">
      <c r="B170" s="12" t="s">
        <v>113</v>
      </c>
      <c r="C170" s="13" t="s">
        <v>114</v>
      </c>
      <c r="D170" s="13" t="s">
        <v>56</v>
      </c>
      <c r="E170" s="13" t="s">
        <v>57</v>
      </c>
      <c r="F170" s="13" t="s">
        <v>30</v>
      </c>
      <c r="G170" s="13" t="s">
        <v>58</v>
      </c>
      <c r="H170" s="13" t="s">
        <v>59</v>
      </c>
      <c r="I170" s="13" t="s">
        <v>60</v>
      </c>
      <c r="J170" s="13" t="s">
        <v>61</v>
      </c>
      <c r="K170" s="13" t="s">
        <v>62</v>
      </c>
      <c r="L170" s="13" t="s">
        <v>63</v>
      </c>
    </row>
    <row r="171" customFormat="false" ht="15" hidden="false" customHeight="true" outlineLevel="0" collapsed="false">
      <c r="B171" s="30" t="s">
        <v>114</v>
      </c>
      <c r="C171" s="25" t="n">
        <f aca="false">SABR_Base!C5+SABR_Shocks!$C$10*SABR_Shocks!C20</f>
        <v>0.5719559</v>
      </c>
      <c r="D171" s="25" t="n">
        <f aca="false">SABR_Base!D5+SABR_Shocks!$C$10*SABR_Shocks!D20</f>
        <v>0.5505362</v>
      </c>
      <c r="E171" s="25" t="n">
        <f aca="false">SABR_Base!E5+SABR_Shocks!$C$10*SABR_Shocks!E20</f>
        <v>0.542278</v>
      </c>
      <c r="F171" s="25" t="n">
        <f aca="false">SABR_Base!F5+SABR_Shocks!$C$10*SABR_Shocks!F20</f>
        <v>0.512706</v>
      </c>
      <c r="G171" s="25" t="n">
        <f aca="false">SABR_Base!G5+SABR_Shocks!$C$10*SABR_Shocks!G20</f>
        <v>0.5037683</v>
      </c>
      <c r="H171" s="25" t="n">
        <f aca="false">SABR_Base!H5+SABR_Shocks!$C$10*SABR_Shocks!H20</f>
        <v>0.4820783</v>
      </c>
      <c r="I171" s="25" t="n">
        <f aca="false">SABR_Base!I5+SABR_Shocks!$C$10*SABR_Shocks!I20</f>
        <v>0.458531</v>
      </c>
      <c r="J171" s="25" t="n">
        <f aca="false">SABR_Base!J5+SABR_Shocks!$C$10*SABR_Shocks!J20</f>
        <v>0.4494</v>
      </c>
      <c r="K171" s="25" t="n">
        <f aca="false">SABR_Base!K5+SABR_Shocks!$C$10*SABR_Shocks!K20</f>
        <v>0.42171</v>
      </c>
      <c r="L171" s="25" t="n">
        <f aca="false">SABR_Base!L5+SABR_Shocks!$C$10*SABR_Shocks!L20</f>
        <v>0.4114518</v>
      </c>
    </row>
    <row r="172" customFormat="false" ht="15" hidden="false" customHeight="true" outlineLevel="0" collapsed="false">
      <c r="B172" s="30" t="s">
        <v>56</v>
      </c>
      <c r="C172" s="25" t="n">
        <f aca="false">SABR_Base!C6+SABR_Shocks!$C$10*SABR_Shocks!C21</f>
        <v>0.5485341</v>
      </c>
      <c r="D172" s="25" t="n">
        <f aca="false">SABR_Base!D6+SABR_Shocks!$C$10*SABR_Shocks!D21</f>
        <v>0.5308236</v>
      </c>
      <c r="E172" s="25" t="n">
        <f aca="false">SABR_Base!E6+SABR_Shocks!$C$10*SABR_Shocks!E21</f>
        <v>0.5194403</v>
      </c>
      <c r="F172" s="25" t="n">
        <f aca="false">SABR_Base!F6+SABR_Shocks!$C$10*SABR_Shocks!F21</f>
        <v>0.5092026</v>
      </c>
      <c r="G172" s="25" t="n">
        <f aca="false">SABR_Base!G6+SABR_Shocks!$C$10*SABR_Shocks!G21</f>
        <v>0.4776394</v>
      </c>
      <c r="H172" s="25" t="n">
        <f aca="false">SABR_Base!H6+SABR_Shocks!$C$10*SABR_Shocks!H21</f>
        <v>0.4612586</v>
      </c>
      <c r="I172" s="25" t="n">
        <f aca="false">SABR_Base!I6+SABR_Shocks!$C$10*SABR_Shocks!I21</f>
        <v>0.4516569</v>
      </c>
      <c r="J172" s="25" t="n">
        <f aca="false">SABR_Base!J6+SABR_Shocks!$C$10*SABR_Shocks!J21</f>
        <v>0.4394807</v>
      </c>
      <c r="K172" s="25" t="n">
        <f aca="false">SABR_Base!K6+SABR_Shocks!$C$10*SABR_Shocks!K21</f>
        <v>0.4144903</v>
      </c>
      <c r="L172" s="25" t="n">
        <f aca="false">SABR_Base!L6+SABR_Shocks!$C$10*SABR_Shocks!L21</f>
        <v>0.3927639</v>
      </c>
    </row>
    <row r="173" customFormat="false" ht="15" hidden="false" customHeight="true" outlineLevel="0" collapsed="false">
      <c r="B173" s="30" t="s">
        <v>57</v>
      </c>
      <c r="C173" s="25" t="n">
        <f aca="false">SABR_Base!C7+SABR_Shocks!$C$10*SABR_Shocks!C22</f>
        <v>0.548301</v>
      </c>
      <c r="D173" s="25" t="n">
        <f aca="false">SABR_Base!D7+SABR_Shocks!$C$10*SABR_Shocks!D22</f>
        <v>0.5117767</v>
      </c>
      <c r="E173" s="25" t="n">
        <f aca="false">SABR_Base!E7+SABR_Shocks!$C$10*SABR_Shocks!E22</f>
        <v>0.5106135</v>
      </c>
      <c r="F173" s="25" t="n">
        <f aca="false">SABR_Base!F7+SABR_Shocks!$C$10*SABR_Shocks!F22</f>
        <v>0.4807532</v>
      </c>
      <c r="G173" s="25" t="n">
        <f aca="false">SABR_Base!G7+SABR_Shocks!$C$10*SABR_Shocks!G22</f>
        <v>0.4602151</v>
      </c>
      <c r="H173" s="25" t="n">
        <f aca="false">SABR_Base!H7+SABR_Shocks!$C$10*SABR_Shocks!H22</f>
        <v>0.4410276</v>
      </c>
      <c r="I173" s="25" t="n">
        <f aca="false">SABR_Base!I7+SABR_Shocks!$C$10*SABR_Shocks!I22</f>
        <v>0.4263786</v>
      </c>
      <c r="J173" s="25" t="n">
        <f aca="false">SABR_Base!J7+SABR_Shocks!$C$10*SABR_Shocks!J22</f>
        <v>0.4189882</v>
      </c>
      <c r="K173" s="25" t="n">
        <f aca="false">SABR_Base!K7+SABR_Shocks!$C$10*SABR_Shocks!K22</f>
        <v>0.3883003</v>
      </c>
      <c r="L173" s="25" t="n">
        <f aca="false">SABR_Base!L7+SABR_Shocks!$C$10*SABR_Shocks!L22</f>
        <v>0.3777764</v>
      </c>
    </row>
    <row r="174" customFormat="false" ht="15" hidden="false" customHeight="true" outlineLevel="0" collapsed="false">
      <c r="B174" s="30" t="s">
        <v>30</v>
      </c>
      <c r="C174" s="25" t="n">
        <f aca="false">SABR_Base!C8+SABR_Shocks!$C$10*SABR_Shocks!C23</f>
        <v>0.5235495</v>
      </c>
      <c r="D174" s="25" t="n">
        <f aca="false">SABR_Base!D8+SABR_Shocks!$C$10*SABR_Shocks!D23</f>
        <v>0.500357</v>
      </c>
      <c r="E174" s="25" t="n">
        <f aca="false">SABR_Base!E8+SABR_Shocks!$C$10*SABR_Shocks!E23</f>
        <v>0.4863302</v>
      </c>
      <c r="F174" s="25" t="n">
        <f aca="false">SABR_Base!F8+SABR_Shocks!$C$10*SABR_Shocks!F23</f>
        <v>0.4583925</v>
      </c>
      <c r="G174" s="25" t="n">
        <f aca="false">SABR_Base!G8+SABR_Shocks!$C$10*SABR_Shocks!G23</f>
        <v>0.4395573</v>
      </c>
      <c r="H174" s="25" t="n">
        <f aca="false">SABR_Base!H8+SABR_Shocks!$C$10*SABR_Shocks!H23</f>
        <v>0.4245535</v>
      </c>
      <c r="I174" s="25" t="n">
        <f aca="false">SABR_Base!I8+SABR_Shocks!$C$10*SABR_Shocks!I23</f>
        <v>0.4157794</v>
      </c>
      <c r="J174" s="25" t="n">
        <f aca="false">SABR_Base!J8+SABR_Shocks!$C$10*SABR_Shocks!J23</f>
        <v>0.3926166</v>
      </c>
      <c r="K174" s="25" t="n">
        <f aca="false">SABR_Base!K8+SABR_Shocks!$C$10*SABR_Shocks!K23</f>
        <v>0.3728852</v>
      </c>
      <c r="L174" s="25" t="n">
        <f aca="false">SABR_Base!L8+SABR_Shocks!$C$10*SABR_Shocks!L23</f>
        <v>0.3596659</v>
      </c>
    </row>
    <row r="175" customFormat="false" ht="15" hidden="false" customHeight="true" outlineLevel="0" collapsed="false">
      <c r="B175" s="30" t="s">
        <v>58</v>
      </c>
      <c r="C175" s="25" t="n">
        <f aca="false">SABR_Base!C9+SABR_Shocks!$C$10*SABR_Shocks!C24</f>
        <v>0.5021796</v>
      </c>
      <c r="D175" s="25" t="n">
        <f aca="false">SABR_Base!D9+SABR_Shocks!$C$10*SABR_Shocks!D24</f>
        <v>0.4809373</v>
      </c>
      <c r="E175" s="25" t="n">
        <f aca="false">SABR_Base!E9+SABR_Shocks!$C$10*SABR_Shocks!E24</f>
        <v>0.4724519</v>
      </c>
      <c r="F175" s="25" t="n">
        <f aca="false">SABR_Base!F9+SABR_Shocks!$C$10*SABR_Shocks!F24</f>
        <v>0.4529456</v>
      </c>
      <c r="G175" s="25" t="n">
        <f aca="false">SABR_Base!G9+SABR_Shocks!$C$10*SABR_Shocks!G24</f>
        <v>0.4251422</v>
      </c>
      <c r="H175" s="25" t="n">
        <f aca="false">SABR_Base!H9+SABR_Shocks!$C$10*SABR_Shocks!H24</f>
        <v>0.4142041</v>
      </c>
      <c r="I175" s="25" t="n">
        <f aca="false">SABR_Base!I9+SABR_Shocks!$C$10*SABR_Shocks!I24</f>
        <v>0.3945643</v>
      </c>
      <c r="J175" s="25" t="n">
        <f aca="false">SABR_Base!J9+SABR_Shocks!$C$10*SABR_Shocks!J24</f>
        <v>0.3838195</v>
      </c>
      <c r="K175" s="25" t="n">
        <f aca="false">SABR_Base!K9+SABR_Shocks!$C$10*SABR_Shocks!K24</f>
        <v>0.3625977</v>
      </c>
      <c r="L175" s="25" t="n">
        <f aca="false">SABR_Base!L9+SABR_Shocks!$C$10*SABR_Shocks!L24</f>
        <v>0.3357144</v>
      </c>
    </row>
    <row r="176" customFormat="false" ht="15" hidden="false" customHeight="true" outlineLevel="0" collapsed="false">
      <c r="B176" s="30" t="s">
        <v>59</v>
      </c>
      <c r="C176" s="25" t="n">
        <f aca="false">SABR_Base!C10+SABR_Shocks!$C$10*SABR_Shocks!C25</f>
        <v>0.4950302</v>
      </c>
      <c r="D176" s="25" t="n">
        <f aca="false">SABR_Base!D10+SABR_Shocks!$C$10*SABR_Shocks!D25</f>
        <v>0.4595402</v>
      </c>
      <c r="E176" s="25" t="n">
        <f aca="false">SABR_Base!E10+SABR_Shocks!$C$10*SABR_Shocks!E25</f>
        <v>0.4469322</v>
      </c>
      <c r="F176" s="25" t="n">
        <f aca="false">SABR_Base!F10+SABR_Shocks!$C$10*SABR_Shocks!F25</f>
        <v>0.4361577</v>
      </c>
      <c r="G176" s="25" t="n">
        <f aca="false">SABR_Base!G10+SABR_Shocks!$C$10*SABR_Shocks!G25</f>
        <v>0.4052907</v>
      </c>
      <c r="H176" s="25" t="n">
        <f aca="false">SABR_Base!H10+SABR_Shocks!$C$10*SABR_Shocks!H25</f>
        <v>0.3941346</v>
      </c>
      <c r="I176" s="25" t="n">
        <f aca="false">SABR_Base!I10+SABR_Shocks!$C$10*SABR_Shocks!I25</f>
        <v>0.3675329</v>
      </c>
      <c r="J176" s="25" t="n">
        <f aca="false">SABR_Base!J10+SABR_Shocks!$C$10*SABR_Shocks!J25</f>
        <v>0.3618111</v>
      </c>
      <c r="K176" s="25" t="n">
        <f aca="false">SABR_Base!K10+SABR_Shocks!$C$10*SABR_Shocks!K25</f>
        <v>0.3450554</v>
      </c>
      <c r="L176" s="25" t="n">
        <f aca="false">SABR_Base!L10+SABR_Shocks!$C$10*SABR_Shocks!L25</f>
        <v>0.3239671</v>
      </c>
    </row>
    <row r="177" customFormat="false" ht="15" hidden="false" customHeight="true" outlineLevel="0" collapsed="false">
      <c r="B177" s="30" t="s">
        <v>60</v>
      </c>
      <c r="C177" s="25" t="n">
        <f aca="false">SABR_Base!C11+SABR_Shocks!$C$10*SABR_Shocks!C26</f>
        <v>0.4740837</v>
      </c>
      <c r="D177" s="25" t="n">
        <f aca="false">SABR_Base!D11+SABR_Shocks!$C$10*SABR_Shocks!D26</f>
        <v>0.4447845</v>
      </c>
      <c r="E177" s="25" t="n">
        <f aca="false">SABR_Base!E11+SABR_Shocks!$C$10*SABR_Shocks!E26</f>
        <v>0.4348464</v>
      </c>
      <c r="F177" s="25" t="n">
        <f aca="false">SABR_Base!F11+SABR_Shocks!$C$10*SABR_Shocks!F26</f>
        <v>0.414302</v>
      </c>
      <c r="G177" s="25" t="n">
        <f aca="false">SABR_Base!G11+SABR_Shocks!$C$10*SABR_Shocks!G26</f>
        <v>0.3958392</v>
      </c>
      <c r="H177" s="25" t="n">
        <f aca="false">SABR_Base!H11+SABR_Shocks!$C$10*SABR_Shocks!H26</f>
        <v>0.3750856</v>
      </c>
      <c r="I177" s="25" t="n">
        <f aca="false">SABR_Base!I11+SABR_Shocks!$C$10*SABR_Shocks!I26</f>
        <v>0.3646705</v>
      </c>
      <c r="J177" s="25" t="n">
        <f aca="false">SABR_Base!J11+SABR_Shocks!$C$10*SABR_Shocks!J26</f>
        <v>0.3491165</v>
      </c>
      <c r="K177" s="25" t="n">
        <f aca="false">SABR_Base!K11+SABR_Shocks!$C$10*SABR_Shocks!K26</f>
        <v>0.3212675</v>
      </c>
      <c r="L177" s="25" t="n">
        <f aca="false">SABR_Base!L11+SABR_Shocks!$C$10*SABR_Shocks!L26</f>
        <v>0.3073704</v>
      </c>
    </row>
    <row r="178" customFormat="false" ht="15" hidden="false" customHeight="true" outlineLevel="0" collapsed="false">
      <c r="B178" s="30" t="s">
        <v>61</v>
      </c>
      <c r="C178" s="25" t="n">
        <f aca="false">SABR_Base!C12+SABR_Shocks!$C$10*SABR_Shocks!C27</f>
        <v>0.4397958</v>
      </c>
      <c r="D178" s="25" t="n">
        <f aca="false">SABR_Base!D12+SABR_Shocks!$C$10*SABR_Shocks!D27</f>
        <v>0.4346443</v>
      </c>
      <c r="E178" s="25" t="n">
        <f aca="false">SABR_Base!E12+SABR_Shocks!$C$10*SABR_Shocks!E27</f>
        <v>0.4159062</v>
      </c>
      <c r="F178" s="25" t="n">
        <f aca="false">SABR_Base!F12+SABR_Shocks!$C$10*SABR_Shocks!F27</f>
        <v>0.4043141</v>
      </c>
      <c r="G178" s="25" t="n">
        <f aca="false">SABR_Base!G12+SABR_Shocks!$C$10*SABR_Shocks!G27</f>
        <v>0.3828626</v>
      </c>
      <c r="H178" s="25" t="n">
        <f aca="false">SABR_Base!H12+SABR_Shocks!$C$10*SABR_Shocks!H27</f>
        <v>0.3543178</v>
      </c>
      <c r="I178" s="25" t="n">
        <f aca="false">SABR_Base!I12+SABR_Shocks!$C$10*SABR_Shocks!I27</f>
        <v>0.3375349</v>
      </c>
      <c r="J178" s="25" t="n">
        <f aca="false">SABR_Base!J12+SABR_Shocks!$C$10*SABR_Shocks!J27</f>
        <v>0.3250721</v>
      </c>
      <c r="K178" s="25" t="n">
        <f aca="false">SABR_Base!K12+SABR_Shocks!$C$10*SABR_Shocks!K27</f>
        <v>0.2948725</v>
      </c>
      <c r="L178" s="25" t="n">
        <f aca="false">SABR_Base!L12+SABR_Shocks!$C$10*SABR_Shocks!L27</f>
        <v>0.2854461</v>
      </c>
    </row>
    <row r="179" customFormat="false" ht="15" hidden="false" customHeight="true" outlineLevel="0" collapsed="false">
      <c r="B179" s="30" t="s">
        <v>62</v>
      </c>
      <c r="C179" s="25" t="n">
        <f aca="false">SABR_Base!C13+SABR_Shocks!$C$10*SABR_Shocks!C28</f>
        <v>0.4237535</v>
      </c>
      <c r="D179" s="25" t="n">
        <f aca="false">SABR_Base!D13+SABR_Shocks!$C$10*SABR_Shocks!D28</f>
        <v>0.4045589</v>
      </c>
      <c r="E179" s="25" t="n">
        <f aca="false">SABR_Base!E13+SABR_Shocks!$C$10*SABR_Shocks!E28</f>
        <v>0.3858526</v>
      </c>
      <c r="F179" s="25" t="n">
        <f aca="false">SABR_Base!F13+SABR_Shocks!$C$10*SABR_Shocks!F28</f>
        <v>0.3821124</v>
      </c>
      <c r="G179" s="25" t="n">
        <f aca="false">SABR_Base!G13+SABR_Shocks!$C$10*SABR_Shocks!G28</f>
        <v>0.3505818</v>
      </c>
      <c r="H179" s="25" t="n">
        <f aca="false">SABR_Base!H13+SABR_Shocks!$C$10*SABR_Shocks!H28</f>
        <v>0.3355663</v>
      </c>
      <c r="I179" s="25" t="n">
        <f aca="false">SABR_Base!I13+SABR_Shocks!$C$10*SABR_Shocks!I28</f>
        <v>0.3202717</v>
      </c>
      <c r="J179" s="25" t="n">
        <f aca="false">SABR_Base!J13+SABR_Shocks!$C$10*SABR_Shocks!J28</f>
        <v>0.3114704</v>
      </c>
      <c r="K179" s="25" t="n">
        <f aca="false">SABR_Base!K13+SABR_Shocks!$C$10*SABR_Shocks!K28</f>
        <v>0.2773645</v>
      </c>
      <c r="L179" s="25" t="n">
        <f aca="false">SABR_Base!L13+SABR_Shocks!$C$10*SABR_Shocks!L28</f>
        <v>0.268085</v>
      </c>
    </row>
    <row r="180" customFormat="false" ht="15" hidden="false" customHeight="true" outlineLevel="0" collapsed="false">
      <c r="B180" s="30" t="s">
        <v>63</v>
      </c>
      <c r="C180" s="25" t="n">
        <f aca="false">SABR_Base!C14+SABR_Shocks!$C$10*SABR_Shocks!C29</f>
        <v>0.4131158</v>
      </c>
      <c r="D180" s="25" t="n">
        <f aca="false">SABR_Base!D14+SABR_Shocks!$C$10*SABR_Shocks!D29</f>
        <v>0.4025752</v>
      </c>
      <c r="E180" s="25" t="n">
        <f aca="false">SABR_Base!E14+SABR_Shocks!$C$10*SABR_Shocks!E29</f>
        <v>0.3825446</v>
      </c>
      <c r="F180" s="25" t="n">
        <f aca="false">SABR_Base!F14+SABR_Shocks!$C$10*SABR_Shocks!F29</f>
        <v>0.3657588</v>
      </c>
      <c r="G180" s="25" t="n">
        <f aca="false">SABR_Base!G14+SABR_Shocks!$C$10*SABR_Shocks!G29</f>
        <v>0.3354985</v>
      </c>
      <c r="H180" s="25" t="n">
        <f aca="false">SABR_Base!H14+SABR_Shocks!$C$10*SABR_Shocks!H29</f>
        <v>0.3207081</v>
      </c>
      <c r="I180" s="25" t="n">
        <f aca="false">SABR_Base!I14+SABR_Shocks!$C$10*SABR_Shocks!I29</f>
        <v>0.3012704</v>
      </c>
      <c r="J180" s="25" t="n">
        <f aca="false">SABR_Base!J14+SABR_Shocks!$C$10*SABR_Shocks!J29</f>
        <v>0.293385</v>
      </c>
      <c r="K180" s="25" t="n">
        <f aca="false">SABR_Base!K14+SABR_Shocks!$C$10*SABR_Shocks!K29</f>
        <v>0.278185</v>
      </c>
      <c r="L180" s="25" t="n">
        <f aca="false">SABR_Base!L14+SABR_Shocks!$C$10*SABR_Shocks!L29</f>
        <v>0.245385</v>
      </c>
    </row>
    <row r="182" customFormat="false" ht="15" hidden="false" customHeight="true" outlineLevel="0" collapsed="false">
      <c r="B182" s="34" t="s">
        <v>115</v>
      </c>
      <c r="C182" s="34"/>
      <c r="D182" s="34"/>
      <c r="E182" s="34"/>
      <c r="F182" s="34"/>
      <c r="G182" s="34"/>
      <c r="H182" s="34"/>
      <c r="I182" s="34"/>
      <c r="J182" s="34"/>
      <c r="K182" s="34"/>
      <c r="L182" s="34"/>
    </row>
    <row r="183" customFormat="false" ht="15" hidden="false" customHeight="true" outlineLevel="0" collapsed="false">
      <c r="B183" s="12" t="s">
        <v>113</v>
      </c>
      <c r="C183" s="13" t="s">
        <v>114</v>
      </c>
      <c r="D183" s="13" t="s">
        <v>56</v>
      </c>
      <c r="E183" s="13" t="s">
        <v>57</v>
      </c>
      <c r="F183" s="13" t="s">
        <v>30</v>
      </c>
      <c r="G183" s="13" t="s">
        <v>58</v>
      </c>
      <c r="H183" s="13" t="s">
        <v>59</v>
      </c>
      <c r="I183" s="13" t="s">
        <v>60</v>
      </c>
      <c r="J183" s="13" t="s">
        <v>61</v>
      </c>
      <c r="K183" s="13" t="s">
        <v>62</v>
      </c>
      <c r="L183" s="13" t="s">
        <v>63</v>
      </c>
    </row>
    <row r="184" customFormat="false" ht="15" hidden="false" customHeight="true" outlineLevel="0" collapsed="false">
      <c r="B184" s="30" t="s">
        <v>114</v>
      </c>
      <c r="C184" s="25" t="n">
        <f aca="false">SABR_Base!C19+SABR_Shocks!$D$10*SABR_Shocks!C20</f>
        <v>-0.3364875</v>
      </c>
      <c r="D184" s="25" t="n">
        <f aca="false">SABR_Base!D19+SABR_Shocks!$D$10*SABR_Shocks!D20</f>
        <v>-0.316925</v>
      </c>
      <c r="E184" s="25" t="n">
        <f aca="false">SABR_Base!E19+SABR_Shocks!$D$10*SABR_Shocks!E20</f>
        <v>-0.29865</v>
      </c>
      <c r="F184" s="25" t="n">
        <f aca="false">SABR_Base!F19+SABR_Shocks!$D$10*SABR_Shocks!F20</f>
        <v>-0.27525</v>
      </c>
      <c r="G184" s="25" t="n">
        <f aca="false">SABR_Base!G19+SABR_Shocks!$D$10*SABR_Shocks!G20</f>
        <v>-0.2549375</v>
      </c>
      <c r="H184" s="25" t="n">
        <f aca="false">SABR_Base!H19+SABR_Shocks!$D$10*SABR_Shocks!H20</f>
        <v>-0.2432875</v>
      </c>
      <c r="I184" s="25" t="n">
        <f aca="false">SABR_Base!I19+SABR_Shocks!$D$10*SABR_Shocks!I20</f>
        <v>-0.229675</v>
      </c>
      <c r="J184" s="25" t="n">
        <f aca="false">SABR_Base!J19+SABR_Shocks!$D$10*SABR_Shocks!J20</f>
        <v>-0.203</v>
      </c>
      <c r="K184" s="25" t="n">
        <f aca="false">SABR_Base!K19+SABR_Shocks!$D$10*SABR_Shocks!K20</f>
        <v>-0.18585</v>
      </c>
      <c r="L184" s="25" t="n">
        <f aca="false">SABR_Base!L19+SABR_Shocks!$D$10*SABR_Shocks!L20</f>
        <v>-0.163675</v>
      </c>
    </row>
    <row r="185" customFormat="false" ht="15" hidden="false" customHeight="true" outlineLevel="0" collapsed="false">
      <c r="B185" s="30" t="s">
        <v>56</v>
      </c>
      <c r="C185" s="25" t="n">
        <f aca="false">SABR_Base!C20+SABR_Shocks!$D$10*SABR_Shocks!C21</f>
        <v>-0.3027625</v>
      </c>
      <c r="D185" s="25" t="n">
        <f aca="false">SABR_Base!D20+SABR_Shocks!$D$10*SABR_Shocks!D21</f>
        <v>-0.28975</v>
      </c>
      <c r="E185" s="25" t="n">
        <f aca="false">SABR_Base!E20+SABR_Shocks!$D$10*SABR_Shocks!E21</f>
        <v>-0.2749375</v>
      </c>
      <c r="F185" s="25" t="n">
        <f aca="false">SABR_Base!F20+SABR_Shocks!$D$10*SABR_Shocks!F21</f>
        <v>-0.254725</v>
      </c>
      <c r="G185" s="25" t="n">
        <f aca="false">SABR_Base!G20+SABR_Shocks!$D$10*SABR_Shocks!G21</f>
        <v>-0.234725</v>
      </c>
      <c r="H185" s="25" t="n">
        <f aca="false">SABR_Base!H20+SABR_Shocks!$D$10*SABR_Shocks!H21</f>
        <v>-0.229125</v>
      </c>
      <c r="I185" s="25" t="n">
        <f aca="false">SABR_Base!I20+SABR_Shocks!$D$10*SABR_Shocks!I21</f>
        <v>-0.1935125</v>
      </c>
      <c r="J185" s="25" t="n">
        <f aca="false">SABR_Base!J20+SABR_Shocks!$D$10*SABR_Shocks!J21</f>
        <v>-0.1778875</v>
      </c>
      <c r="K185" s="25" t="n">
        <f aca="false">SABR_Base!K20+SABR_Shocks!$D$10*SABR_Shocks!K21</f>
        <v>-0.1572875</v>
      </c>
      <c r="L185" s="25" t="n">
        <f aca="false">SABR_Base!L20+SABR_Shocks!$D$10*SABR_Shocks!L21</f>
        <v>-0.1405875</v>
      </c>
    </row>
    <row r="186" customFormat="false" ht="15" hidden="false" customHeight="true" outlineLevel="0" collapsed="false">
      <c r="B186" s="30" t="s">
        <v>57</v>
      </c>
      <c r="C186" s="25" t="n">
        <f aca="false">SABR_Base!C21+SABR_Shocks!$D$10*SABR_Shocks!C22</f>
        <v>-0.295925</v>
      </c>
      <c r="D186" s="25" t="n">
        <f aca="false">SABR_Base!D21+SABR_Shocks!$D$10*SABR_Shocks!D22</f>
        <v>-0.2772875</v>
      </c>
      <c r="E186" s="25" t="n">
        <f aca="false">SABR_Base!E21+SABR_Shocks!$D$10*SABR_Shocks!E22</f>
        <v>-0.2643875</v>
      </c>
      <c r="F186" s="25" t="n">
        <f aca="false">SABR_Base!F21+SABR_Shocks!$D$10*SABR_Shocks!F22</f>
        <v>-0.23575</v>
      </c>
      <c r="G186" s="25" t="n">
        <f aca="false">SABR_Base!G21+SABR_Shocks!$D$10*SABR_Shocks!G22</f>
        <v>-0.2284875</v>
      </c>
      <c r="H186" s="25" t="n">
        <f aca="false">SABR_Base!H21+SABR_Shocks!$D$10*SABR_Shocks!H22</f>
        <v>-0.21045</v>
      </c>
      <c r="I186" s="25" t="n">
        <f aca="false">SABR_Base!I21+SABR_Shocks!$D$10*SABR_Shocks!I22</f>
        <v>-0.189625</v>
      </c>
      <c r="J186" s="25" t="n">
        <f aca="false">SABR_Base!J21+SABR_Shocks!$D$10*SABR_Shocks!J22</f>
        <v>-0.171825</v>
      </c>
      <c r="K186" s="25" t="n">
        <f aca="false">SABR_Base!K21+SABR_Shocks!$D$10*SABR_Shocks!K22</f>
        <v>-0.1498375</v>
      </c>
      <c r="L186" s="25" t="n">
        <f aca="false">SABR_Base!L21+SABR_Shocks!$D$10*SABR_Shocks!L22</f>
        <v>-0.13765</v>
      </c>
    </row>
    <row r="187" customFormat="false" ht="15" hidden="false" customHeight="true" outlineLevel="0" collapsed="false">
      <c r="B187" s="30" t="s">
        <v>30</v>
      </c>
      <c r="C187" s="25" t="n">
        <f aca="false">SABR_Base!C22+SABR_Shocks!$D$10*SABR_Shocks!C23</f>
        <v>-0.2853875</v>
      </c>
      <c r="D187" s="25" t="n">
        <f aca="false">SABR_Base!D22+SABR_Shocks!$D$10*SABR_Shocks!D23</f>
        <v>-0.263825</v>
      </c>
      <c r="E187" s="25" t="n">
        <f aca="false">SABR_Base!E22+SABR_Shocks!$D$10*SABR_Shocks!E23</f>
        <v>-0.245975</v>
      </c>
      <c r="F187" s="25" t="n">
        <f aca="false">SABR_Base!F22+SABR_Shocks!$D$10*SABR_Shocks!F23</f>
        <v>-0.2226625</v>
      </c>
      <c r="G187" s="25" t="n">
        <f aca="false">SABR_Base!G22+SABR_Shocks!$D$10*SABR_Shocks!G23</f>
        <v>-0.2115625</v>
      </c>
      <c r="H187" s="25" t="n">
        <f aca="false">SABR_Base!H22+SABR_Shocks!$D$10*SABR_Shocks!H23</f>
        <v>-0.1761875</v>
      </c>
      <c r="I187" s="25" t="n">
        <f aca="false">SABR_Base!I22+SABR_Shocks!$D$10*SABR_Shocks!I23</f>
        <v>-0.163125</v>
      </c>
      <c r="J187" s="25" t="n">
        <f aca="false">SABR_Base!J22+SABR_Shocks!$D$10*SABR_Shocks!J23</f>
        <v>-0.154175</v>
      </c>
      <c r="K187" s="25" t="n">
        <f aca="false">SABR_Base!K22+SABR_Shocks!$D$10*SABR_Shocks!K23</f>
        <v>-0.13325</v>
      </c>
      <c r="L187" s="25" t="n">
        <f aca="false">SABR_Base!L22+SABR_Shocks!$D$10*SABR_Shocks!L23</f>
        <v>-0.1134375</v>
      </c>
    </row>
    <row r="188" customFormat="false" ht="15" hidden="false" customHeight="true" outlineLevel="0" collapsed="false">
      <c r="B188" s="30" t="s">
        <v>58</v>
      </c>
      <c r="C188" s="25" t="n">
        <f aca="false">SABR_Base!C23+SABR_Shocks!$D$10*SABR_Shocks!C24</f>
        <v>-0.25935</v>
      </c>
      <c r="D188" s="25" t="n">
        <f aca="false">SABR_Base!D23+SABR_Shocks!$D$10*SABR_Shocks!D24</f>
        <v>-0.2459625</v>
      </c>
      <c r="E188" s="25" t="n">
        <f aca="false">SABR_Base!E23+SABR_Shocks!$D$10*SABR_Shocks!E24</f>
        <v>-0.2133875</v>
      </c>
      <c r="F188" s="25" t="n">
        <f aca="false">SABR_Base!F23+SABR_Shocks!$D$10*SABR_Shocks!F24</f>
        <v>-0.1917</v>
      </c>
      <c r="G188" s="25" t="n">
        <f aca="false">SABR_Base!G23+SABR_Shocks!$D$10*SABR_Shocks!G24</f>
        <v>-0.184375</v>
      </c>
      <c r="H188" s="25" t="n">
        <f aca="false">SABR_Base!H23+SABR_Shocks!$D$10*SABR_Shocks!H24</f>
        <v>-0.1653125</v>
      </c>
      <c r="I188" s="25" t="n">
        <f aca="false">SABR_Base!I23+SABR_Shocks!$D$10*SABR_Shocks!I24</f>
        <v>-0.1553375</v>
      </c>
      <c r="J188" s="25" t="n">
        <f aca="false">SABR_Base!J23+SABR_Shocks!$D$10*SABR_Shocks!J24</f>
        <v>-0.1365375</v>
      </c>
      <c r="K188" s="25" t="n">
        <f aca="false">SABR_Base!K23+SABR_Shocks!$D$10*SABR_Shocks!K24</f>
        <v>-0.1135125</v>
      </c>
      <c r="L188" s="25" t="n">
        <f aca="false">SABR_Base!L23+SABR_Shocks!$D$10*SABR_Shocks!L24</f>
        <v>-0.0967</v>
      </c>
    </row>
    <row r="189" customFormat="false" ht="15" hidden="false" customHeight="true" outlineLevel="0" collapsed="false">
      <c r="B189" s="30" t="s">
        <v>59</v>
      </c>
      <c r="C189" s="25" t="n">
        <f aca="false">SABR_Base!C24+SABR_Shocks!$D$10*SABR_Shocks!C25</f>
        <v>-0.231475</v>
      </c>
      <c r="D189" s="25" t="n">
        <f aca="false">SABR_Base!D24+SABR_Shocks!$D$10*SABR_Shocks!D25</f>
        <v>-0.226625</v>
      </c>
      <c r="E189" s="25" t="n">
        <f aca="false">SABR_Base!E24+SABR_Shocks!$D$10*SABR_Shocks!E25</f>
        <v>-0.211425</v>
      </c>
      <c r="F189" s="25" t="n">
        <f aca="false">SABR_Base!F24+SABR_Shocks!$D$10*SABR_Shocks!F25</f>
        <v>-0.1741125</v>
      </c>
      <c r="G189" s="25" t="n">
        <f aca="false">SABR_Base!G24+SABR_Shocks!$D$10*SABR_Shocks!G25</f>
        <v>-0.1647375</v>
      </c>
      <c r="H189" s="25" t="n">
        <f aca="false">SABR_Base!H24+SABR_Shocks!$D$10*SABR_Shocks!H25</f>
        <v>-0.153925</v>
      </c>
      <c r="I189" s="25" t="n">
        <f aca="false">SABR_Base!I24+SABR_Shocks!$D$10*SABR_Shocks!I25</f>
        <v>-0.1273125</v>
      </c>
      <c r="J189" s="25" t="n">
        <f aca="false">SABR_Base!J24+SABR_Shocks!$D$10*SABR_Shocks!J25</f>
        <v>-0.1194875</v>
      </c>
      <c r="K189" s="25" t="n">
        <f aca="false">SABR_Base!K24+SABR_Shocks!$D$10*SABR_Shocks!K25</f>
        <v>-0.091625</v>
      </c>
      <c r="L189" s="25" t="n">
        <f aca="false">SABR_Base!L24+SABR_Shocks!$D$10*SABR_Shocks!L25</f>
        <v>-0.0635875</v>
      </c>
    </row>
    <row r="190" customFormat="false" ht="15" hidden="false" customHeight="true" outlineLevel="0" collapsed="false">
      <c r="B190" s="30" t="s">
        <v>60</v>
      </c>
      <c r="C190" s="25" t="n">
        <f aca="false">SABR_Base!C25+SABR_Shocks!$D$10*SABR_Shocks!C26</f>
        <v>-0.2130625</v>
      </c>
      <c r="D190" s="25" t="n">
        <f aca="false">SABR_Base!D25+SABR_Shocks!$D$10*SABR_Shocks!D26</f>
        <v>-0.1980625</v>
      </c>
      <c r="E190" s="25" t="n">
        <f aca="false">SABR_Base!E25+SABR_Shocks!$D$10*SABR_Shocks!E26</f>
        <v>-0.188</v>
      </c>
      <c r="F190" s="25" t="n">
        <f aca="false">SABR_Base!F25+SABR_Shocks!$D$10*SABR_Shocks!F26</f>
        <v>-0.16795</v>
      </c>
      <c r="G190" s="25" t="n">
        <f aca="false">SABR_Base!G25+SABR_Shocks!$D$10*SABR_Shocks!G26</f>
        <v>-0.1536</v>
      </c>
      <c r="H190" s="25" t="n">
        <f aca="false">SABR_Base!H25+SABR_Shocks!$D$10*SABR_Shocks!H26</f>
        <v>-0.1234</v>
      </c>
      <c r="I190" s="25" t="n">
        <f aca="false">SABR_Base!I25+SABR_Shocks!$D$10*SABR_Shocks!I26</f>
        <v>-0.1098125</v>
      </c>
      <c r="J190" s="25" t="n">
        <f aca="false">SABR_Base!J25+SABR_Shocks!$D$10*SABR_Shocks!J26</f>
        <v>-0.0861625</v>
      </c>
      <c r="K190" s="25" t="n">
        <f aca="false">SABR_Base!K25+SABR_Shocks!$D$10*SABR_Shocks!K26</f>
        <v>-0.0771375</v>
      </c>
      <c r="L190" s="25" t="n">
        <f aca="false">SABR_Base!L25+SABR_Shocks!$D$10*SABR_Shocks!L26</f>
        <v>-0.0607</v>
      </c>
    </row>
    <row r="191" customFormat="false" ht="15" hidden="false" customHeight="true" outlineLevel="0" collapsed="false">
      <c r="B191" s="30" t="s">
        <v>61</v>
      </c>
      <c r="C191" s="25" t="n">
        <f aca="false">SABR_Base!C26+SABR_Shocks!$D$10*SABR_Shocks!C27</f>
        <v>-0.195675</v>
      </c>
      <c r="D191" s="25" t="n">
        <f aca="false">SABR_Base!D26+SABR_Shocks!$D$10*SABR_Shocks!D27</f>
        <v>-0.1737375</v>
      </c>
      <c r="E191" s="25" t="n">
        <f aca="false">SABR_Base!E26+SABR_Shocks!$D$10*SABR_Shocks!E27</f>
        <v>-0.157675</v>
      </c>
      <c r="F191" s="25" t="n">
        <f aca="false">SABR_Base!F26+SABR_Shocks!$D$10*SABR_Shocks!F27</f>
        <v>-0.1406625</v>
      </c>
      <c r="G191" s="25" t="n">
        <f aca="false">SABR_Base!G26+SABR_Shocks!$D$10*SABR_Shocks!G27</f>
        <v>-0.122025</v>
      </c>
      <c r="H191" s="25" t="n">
        <f aca="false">SABR_Base!H26+SABR_Shocks!$D$10*SABR_Shocks!H27</f>
        <v>-0.105125</v>
      </c>
      <c r="I191" s="25" t="n">
        <f aca="false">SABR_Base!I26+SABR_Shocks!$D$10*SABR_Shocks!I27</f>
        <v>-0.0975625</v>
      </c>
      <c r="J191" s="25" t="n">
        <f aca="false">SABR_Base!J26+SABR_Shocks!$D$10*SABR_Shocks!J27</f>
        <v>-0.0734125</v>
      </c>
      <c r="K191" s="25" t="n">
        <f aca="false">SABR_Base!K26+SABR_Shocks!$D$10*SABR_Shocks!K27</f>
        <v>-0.0577625</v>
      </c>
      <c r="L191" s="25" t="n">
        <f aca="false">SABR_Base!L26+SABR_Shocks!$D$10*SABR_Shocks!L27</f>
        <v>-0.0460625</v>
      </c>
    </row>
    <row r="192" customFormat="false" ht="15" hidden="false" customHeight="true" outlineLevel="0" collapsed="false">
      <c r="B192" s="30" t="s">
        <v>62</v>
      </c>
      <c r="C192" s="25" t="n">
        <f aca="false">SABR_Base!C27+SABR_Shocks!$D$10*SABR_Shocks!C28</f>
        <v>-0.1930875</v>
      </c>
      <c r="D192" s="25" t="n">
        <f aca="false">SABR_Base!D27+SABR_Shocks!$D$10*SABR_Shocks!D28</f>
        <v>-0.1697625</v>
      </c>
      <c r="E192" s="25" t="n">
        <f aca="false">SABR_Base!E27+SABR_Shocks!$D$10*SABR_Shocks!E28</f>
        <v>-0.151475</v>
      </c>
      <c r="F192" s="25" t="n">
        <f aca="false">SABR_Base!F27+SABR_Shocks!$D$10*SABR_Shocks!F28</f>
        <v>-0.12435</v>
      </c>
      <c r="G192" s="25" t="n">
        <f aca="false">SABR_Base!G27+SABR_Shocks!$D$10*SABR_Shocks!G28</f>
        <v>-0.101225</v>
      </c>
      <c r="H192" s="25" t="n">
        <f aca="false">SABR_Base!H27+SABR_Shocks!$D$10*SABR_Shocks!H28</f>
        <v>-0.0925875</v>
      </c>
      <c r="I192" s="25" t="n">
        <f aca="false">SABR_Base!I27+SABR_Shocks!$D$10*SABR_Shocks!I28</f>
        <v>-0.0644625</v>
      </c>
      <c r="J192" s="25" t="n">
        <f aca="false">SABR_Base!J27+SABR_Shocks!$D$10*SABR_Shocks!J28</f>
        <v>-0.0454</v>
      </c>
      <c r="K192" s="25" t="n">
        <f aca="false">SABR_Base!K27+SABR_Shocks!$D$10*SABR_Shocks!K28</f>
        <v>-0.0278625</v>
      </c>
      <c r="L192" s="25" t="n">
        <f aca="false">SABR_Base!L27+SABR_Shocks!$D$10*SABR_Shocks!L28</f>
        <v>-0.020325</v>
      </c>
    </row>
    <row r="193" customFormat="false" ht="15" hidden="false" customHeight="true" outlineLevel="0" collapsed="false">
      <c r="B193" s="30" t="s">
        <v>63</v>
      </c>
      <c r="C193" s="25" t="n">
        <f aca="false">SABR_Base!C28+SABR_Shocks!$D$10*SABR_Shocks!C29</f>
        <v>-0.171075</v>
      </c>
      <c r="D193" s="25" t="n">
        <f aca="false">SABR_Base!D28+SABR_Shocks!$D$10*SABR_Shocks!D29</f>
        <v>-0.1519</v>
      </c>
      <c r="E193" s="25" t="n">
        <f aca="false">SABR_Base!E28+SABR_Shocks!$D$10*SABR_Shocks!E29</f>
        <v>-0.134775</v>
      </c>
      <c r="F193" s="25" t="n">
        <f aca="false">SABR_Base!F28+SABR_Shocks!$D$10*SABR_Shocks!F29</f>
        <v>-0.11595</v>
      </c>
      <c r="G193" s="25" t="n">
        <f aca="false">SABR_Base!G28+SABR_Shocks!$D$10*SABR_Shocks!G29</f>
        <v>-0.0895125</v>
      </c>
      <c r="H193" s="25" t="n">
        <f aca="false">SABR_Base!H28+SABR_Shocks!$D$10*SABR_Shocks!H29</f>
        <v>-0.0653125</v>
      </c>
      <c r="I193" s="25" t="n">
        <f aca="false">SABR_Base!I28+SABR_Shocks!$D$10*SABR_Shocks!I29</f>
        <v>-0.0483</v>
      </c>
      <c r="J193" s="25" t="n">
        <f aca="false">SABR_Base!J28+SABR_Shocks!$D$10*SABR_Shocks!J29</f>
        <v>-0.037425</v>
      </c>
      <c r="K193" s="25" t="n">
        <f aca="false">SABR_Base!K28+SABR_Shocks!$D$10*SABR_Shocks!K29</f>
        <v>-0.014525</v>
      </c>
      <c r="L193" s="25" t="n">
        <f aca="false">SABR_Base!L28+SABR_Shocks!$D$10*SABR_Shocks!L29</f>
        <v>0.007875</v>
      </c>
    </row>
    <row r="195" customFormat="false" ht="15" hidden="false" customHeight="true" outlineLevel="0" collapsed="false">
      <c r="B195" s="34" t="s">
        <v>116</v>
      </c>
      <c r="C195" s="34"/>
      <c r="D195" s="34"/>
      <c r="E195" s="34"/>
      <c r="F195" s="34"/>
      <c r="G195" s="34"/>
      <c r="H195" s="34"/>
      <c r="I195" s="34"/>
      <c r="J195" s="34"/>
      <c r="K195" s="34"/>
      <c r="L195" s="34"/>
    </row>
    <row r="196" customFormat="false" ht="15" hidden="false" customHeight="true" outlineLevel="0" collapsed="false">
      <c r="B196" s="12" t="s">
        <v>113</v>
      </c>
      <c r="C196" s="13" t="s">
        <v>114</v>
      </c>
      <c r="D196" s="13" t="s">
        <v>56</v>
      </c>
      <c r="E196" s="13" t="s">
        <v>57</v>
      </c>
      <c r="F196" s="13" t="s">
        <v>30</v>
      </c>
      <c r="G196" s="13" t="s">
        <v>58</v>
      </c>
      <c r="H196" s="13" t="s">
        <v>59</v>
      </c>
      <c r="I196" s="13" t="s">
        <v>60</v>
      </c>
      <c r="J196" s="13" t="s">
        <v>61</v>
      </c>
      <c r="K196" s="13" t="s">
        <v>62</v>
      </c>
      <c r="L196" s="13" t="s">
        <v>63</v>
      </c>
    </row>
    <row r="197" customFormat="false" ht="15" hidden="false" customHeight="true" outlineLevel="0" collapsed="false">
      <c r="B197" s="30" t="s">
        <v>114</v>
      </c>
      <c r="C197" s="25" t="n">
        <f aca="false">SABR_Base!C33+SABR_Shocks!$E$10*SABR_Shocks!C20</f>
        <v>0.8946931</v>
      </c>
      <c r="D197" s="25" t="n">
        <f aca="false">SABR_Base!D33+SABR_Shocks!$E$10*SABR_Shocks!D20</f>
        <v>0.8812458</v>
      </c>
      <c r="E197" s="25" t="n">
        <f aca="false">SABR_Base!E33+SABR_Shocks!$E$10*SABR_Shocks!E20</f>
        <v>0.860802</v>
      </c>
      <c r="F197" s="25" t="n">
        <f aca="false">SABR_Base!F33+SABR_Shocks!$E$10*SABR_Shocks!F20</f>
        <v>0.833354</v>
      </c>
      <c r="G197" s="25" t="n">
        <f aca="false">SABR_Base!G33+SABR_Shocks!$E$10*SABR_Shocks!G20</f>
        <v>0.8070447</v>
      </c>
      <c r="H197" s="25" t="n">
        <f aca="false">SABR_Base!H33+SABR_Shocks!$E$10*SABR_Shocks!H20</f>
        <v>0.7760347</v>
      </c>
      <c r="I197" s="25" t="n">
        <f aca="false">SABR_Base!I33+SABR_Shocks!$E$10*SABR_Shocks!I20</f>
        <v>0.746279</v>
      </c>
      <c r="J197" s="25" t="n">
        <f aca="false">SABR_Base!J33+SABR_Shocks!$E$10*SABR_Shocks!J20</f>
        <v>0.7333</v>
      </c>
      <c r="K197" s="25" t="n">
        <f aca="false">SABR_Base!K33+SABR_Shocks!$E$10*SABR_Shocks!K20</f>
        <v>0.69869</v>
      </c>
      <c r="L197" s="25" t="n">
        <f aca="false">SABR_Base!L33+SABR_Shocks!$E$10*SABR_Shocks!L20</f>
        <v>0.6825462</v>
      </c>
    </row>
    <row r="198" customFormat="false" ht="15" hidden="false" customHeight="true" outlineLevel="0" collapsed="false">
      <c r="B198" s="30" t="s">
        <v>56</v>
      </c>
      <c r="C198" s="25" t="n">
        <f aca="false">SABR_Base!C34+SABR_Shocks!$E$10*SABR_Shocks!C21</f>
        <v>0.8868169</v>
      </c>
      <c r="D198" s="25" t="n">
        <f aca="false">SABR_Base!D34+SABR_Shocks!$E$10*SABR_Shocks!D21</f>
        <v>0.8499724</v>
      </c>
      <c r="E198" s="25" t="n">
        <f aca="false">SABR_Base!E34+SABR_Shocks!$E$10*SABR_Shocks!E21</f>
        <v>0.8249927</v>
      </c>
      <c r="F198" s="25" t="n">
        <f aca="false">SABR_Base!F34+SABR_Shocks!$E$10*SABR_Shocks!F21</f>
        <v>0.8101834</v>
      </c>
      <c r="G198" s="25" t="n">
        <f aca="false">SABR_Base!G34+SABR_Shocks!$E$10*SABR_Shocks!G21</f>
        <v>0.7819946</v>
      </c>
      <c r="H198" s="25" t="n">
        <f aca="false">SABR_Base!H34+SABR_Shocks!$E$10*SABR_Shocks!H21</f>
        <v>0.7449874</v>
      </c>
      <c r="I198" s="25" t="n">
        <f aca="false">SABR_Base!I34+SABR_Shocks!$E$10*SABR_Shocks!I21</f>
        <v>0.7198021</v>
      </c>
      <c r="J198" s="25" t="n">
        <f aca="false">SABR_Base!J34+SABR_Shocks!$E$10*SABR_Shocks!J21</f>
        <v>0.6940963</v>
      </c>
      <c r="K198" s="25" t="n">
        <f aca="false">SABR_Base!K34+SABR_Shocks!$E$10*SABR_Shocks!K21</f>
        <v>0.6851427</v>
      </c>
      <c r="L198" s="25" t="n">
        <f aca="false">SABR_Base!L34+SABR_Shocks!$E$10*SABR_Shocks!L21</f>
        <v>0.6577651</v>
      </c>
    </row>
    <row r="199" customFormat="false" ht="15" hidden="false" customHeight="true" outlineLevel="0" collapsed="false">
      <c r="B199" s="30" t="s">
        <v>57</v>
      </c>
      <c r="C199" s="25" t="n">
        <f aca="false">SABR_Base!C35+SABR_Shocks!$E$10*SABR_Shocks!C22</f>
        <v>0.844509</v>
      </c>
      <c r="D199" s="25" t="n">
        <f aca="false">SABR_Base!D35+SABR_Shocks!$E$10*SABR_Shocks!D22</f>
        <v>0.8333603</v>
      </c>
      <c r="E199" s="25" t="n">
        <f aca="false">SABR_Base!E35+SABR_Shocks!$E$10*SABR_Shocks!E22</f>
        <v>0.8125715</v>
      </c>
      <c r="F199" s="25" t="n">
        <f aca="false">SABR_Base!F35+SABR_Shocks!$E$10*SABR_Shocks!F22</f>
        <v>0.7799988</v>
      </c>
      <c r="G199" s="25" t="n">
        <f aca="false">SABR_Base!G35+SABR_Shocks!$E$10*SABR_Shocks!G22</f>
        <v>0.7497459</v>
      </c>
      <c r="H199" s="25" t="n">
        <f aca="false">SABR_Base!H35+SABR_Shocks!$E$10*SABR_Shocks!H22</f>
        <v>0.7273084</v>
      </c>
      <c r="I199" s="25" t="n">
        <f aca="false">SABR_Base!I35+SABR_Shocks!$E$10*SABR_Shocks!I22</f>
        <v>0.6930674</v>
      </c>
      <c r="J199" s="25" t="n">
        <f aca="false">SABR_Base!J35+SABR_Shocks!$E$10*SABR_Shocks!J22</f>
        <v>0.6667138</v>
      </c>
      <c r="K199" s="25" t="n">
        <f aca="false">SABR_Base!K35+SABR_Shocks!$E$10*SABR_Shocks!K22</f>
        <v>0.6609327</v>
      </c>
      <c r="L199" s="25" t="n">
        <f aca="false">SABR_Base!L35+SABR_Shocks!$E$10*SABR_Shocks!L22</f>
        <v>0.6282276</v>
      </c>
    </row>
    <row r="200" customFormat="false" ht="15" hidden="false" customHeight="true" outlineLevel="0" collapsed="false">
      <c r="B200" s="30" t="s">
        <v>30</v>
      </c>
      <c r="C200" s="25" t="n">
        <f aca="false">SABR_Base!C36+SABR_Shocks!$E$10*SABR_Shocks!C23</f>
        <v>0.8270955</v>
      </c>
      <c r="D200" s="25" t="n">
        <f aca="false">SABR_Base!D36+SABR_Shocks!$E$10*SABR_Shocks!D23</f>
        <v>0.810513</v>
      </c>
      <c r="E200" s="25" t="n">
        <f aca="false">SABR_Base!E36+SABR_Shocks!$E$10*SABR_Shocks!E23</f>
        <v>0.7765918</v>
      </c>
      <c r="F200" s="25" t="n">
        <f aca="false">SABR_Base!F36+SABR_Shocks!$E$10*SABR_Shocks!F23</f>
        <v>0.7596825</v>
      </c>
      <c r="G200" s="25" t="n">
        <f aca="false">SABR_Base!G36+SABR_Shocks!$E$10*SABR_Shocks!G23</f>
        <v>0.7323457</v>
      </c>
      <c r="H200" s="25" t="n">
        <f aca="false">SABR_Base!H36+SABR_Shocks!$E$10*SABR_Shocks!H23</f>
        <v>0.6950315</v>
      </c>
      <c r="I200" s="25" t="n">
        <f aca="false">SABR_Base!I36+SABR_Shocks!$E$10*SABR_Shocks!I23</f>
        <v>0.6703546</v>
      </c>
      <c r="J200" s="25" t="n">
        <f aca="false">SABR_Base!J36+SABR_Shocks!$E$10*SABR_Shocks!J23</f>
        <v>0.6459094</v>
      </c>
      <c r="K200" s="25" t="n">
        <f aca="false">SABR_Base!K36+SABR_Shocks!$E$10*SABR_Shocks!K23</f>
        <v>0.6211868</v>
      </c>
      <c r="L200" s="25" t="n">
        <f aca="false">SABR_Base!L36+SABR_Shocks!$E$10*SABR_Shocks!L23</f>
        <v>0.6016831</v>
      </c>
    </row>
    <row r="201" customFormat="false" ht="15" hidden="false" customHeight="true" outlineLevel="0" collapsed="false">
      <c r="B201" s="30" t="s">
        <v>58</v>
      </c>
      <c r="C201" s="25" t="n">
        <f aca="false">SABR_Base!C37+SABR_Shocks!$E$10*SABR_Shocks!C24</f>
        <v>0.7974764</v>
      </c>
      <c r="D201" s="25" t="n">
        <f aca="false">SABR_Base!D37+SABR_Shocks!$E$10*SABR_Shocks!D24</f>
        <v>0.7752657</v>
      </c>
      <c r="E201" s="25" t="n">
        <f aca="false">SABR_Base!E37+SABR_Shocks!$E$10*SABR_Shocks!E24</f>
        <v>0.7437571</v>
      </c>
      <c r="F201" s="25" t="n">
        <f aca="false">SABR_Base!F37+SABR_Shocks!$E$10*SABR_Shocks!F24</f>
        <v>0.7351704</v>
      </c>
      <c r="G201" s="25" t="n">
        <f aca="false">SABR_Base!G37+SABR_Shocks!$E$10*SABR_Shocks!G24</f>
        <v>0.6976998</v>
      </c>
      <c r="H201" s="25" t="n">
        <f aca="false">SABR_Base!H37+SABR_Shocks!$E$10*SABR_Shocks!H24</f>
        <v>0.6756469</v>
      </c>
      <c r="I201" s="25" t="n">
        <f aca="false">SABR_Base!I37+SABR_Shocks!$E$10*SABR_Shocks!I24</f>
        <v>0.6518087</v>
      </c>
      <c r="J201" s="25" t="n">
        <f aca="false">SABR_Base!J37+SABR_Shocks!$E$10*SABR_Shocks!J24</f>
        <v>0.6336255</v>
      </c>
      <c r="K201" s="25" t="n">
        <f aca="false">SABR_Base!K37+SABR_Shocks!$E$10*SABR_Shocks!K24</f>
        <v>0.5983493</v>
      </c>
      <c r="L201" s="25" t="n">
        <f aca="false">SABR_Base!L37+SABR_Shocks!$E$10*SABR_Shocks!L24</f>
        <v>0.5832696</v>
      </c>
    </row>
    <row r="202" customFormat="false" ht="15" hidden="false" customHeight="true" outlineLevel="0" collapsed="false">
      <c r="B202" s="30" t="s">
        <v>59</v>
      </c>
      <c r="C202" s="25" t="n">
        <f aca="false">SABR_Base!C38+SABR_Shocks!$E$10*SABR_Shocks!C25</f>
        <v>0.7778918</v>
      </c>
      <c r="D202" s="25" t="n">
        <f aca="false">SABR_Base!D38+SABR_Shocks!$E$10*SABR_Shocks!D25</f>
        <v>0.7529818</v>
      </c>
      <c r="E202" s="25" t="n">
        <f aca="false">SABR_Base!E38+SABR_Shocks!$E$10*SABR_Shocks!E25</f>
        <v>0.7266098</v>
      </c>
      <c r="F202" s="25" t="n">
        <f aca="false">SABR_Base!F38+SABR_Shocks!$E$10*SABR_Shocks!F25</f>
        <v>0.6924893</v>
      </c>
      <c r="G202" s="25" t="n">
        <f aca="false">SABR_Base!G38+SABR_Shocks!$E$10*SABR_Shocks!G25</f>
        <v>0.6743863</v>
      </c>
      <c r="H202" s="25" t="n">
        <f aca="false">SABR_Base!H38+SABR_Shocks!$E$10*SABR_Shocks!H25</f>
        <v>0.6443714</v>
      </c>
      <c r="I202" s="25" t="n">
        <f aca="false">SABR_Base!I38+SABR_Shocks!$E$10*SABR_Shocks!I25</f>
        <v>0.6164861</v>
      </c>
      <c r="J202" s="25" t="n">
        <f aca="false">SABR_Base!J38+SABR_Shocks!$E$10*SABR_Shocks!J25</f>
        <v>0.6068099</v>
      </c>
      <c r="K202" s="25" t="n">
        <f aca="false">SABR_Base!K38+SABR_Shocks!$E$10*SABR_Shocks!K25</f>
        <v>0.5680386</v>
      </c>
      <c r="L202" s="25" t="n">
        <f aca="false">SABR_Base!L38+SABR_Shocks!$E$10*SABR_Shocks!L25</f>
        <v>0.5506139</v>
      </c>
    </row>
    <row r="203" customFormat="false" ht="15" hidden="false" customHeight="true" outlineLevel="0" collapsed="false">
      <c r="B203" s="30" t="s">
        <v>60</v>
      </c>
      <c r="C203" s="25" t="n">
        <f aca="false">SABR_Base!C39+SABR_Shocks!$E$10*SABR_Shocks!C26</f>
        <v>0.7557233</v>
      </c>
      <c r="D203" s="25" t="n">
        <f aca="false">SABR_Base!D39+SABR_Shocks!$E$10*SABR_Shocks!D26</f>
        <v>0.7272105</v>
      </c>
      <c r="E203" s="25" t="n">
        <f aca="false">SABR_Base!E39+SABR_Shocks!$E$10*SABR_Shocks!E26</f>
        <v>0.6983576</v>
      </c>
      <c r="F203" s="25" t="n">
        <f aca="false">SABR_Base!F39+SABR_Shocks!$E$10*SABR_Shocks!F26</f>
        <v>0.676218</v>
      </c>
      <c r="G203" s="25" t="n">
        <f aca="false">SABR_Base!G39+SABR_Shocks!$E$10*SABR_Shocks!G26</f>
        <v>0.6516728</v>
      </c>
      <c r="H203" s="25" t="n">
        <f aca="false">SABR_Base!H39+SABR_Shocks!$E$10*SABR_Shocks!H26</f>
        <v>0.6305304</v>
      </c>
      <c r="I203" s="25" t="n">
        <f aca="false">SABR_Base!I39+SABR_Shocks!$E$10*SABR_Shocks!I26</f>
        <v>0.5918845</v>
      </c>
      <c r="J203" s="25" t="n">
        <f aca="false">SABR_Base!J39+SABR_Shocks!$E$10*SABR_Shocks!J26</f>
        <v>0.5766985</v>
      </c>
      <c r="K203" s="25" t="n">
        <f aca="false">SABR_Base!K39+SABR_Shocks!$E$10*SABR_Shocks!K26</f>
        <v>0.5446575</v>
      </c>
      <c r="L203" s="25" t="n">
        <f aca="false">SABR_Base!L39+SABR_Shocks!$E$10*SABR_Shocks!L26</f>
        <v>0.5206736</v>
      </c>
    </row>
    <row r="204" customFormat="false" ht="15" hidden="false" customHeight="true" outlineLevel="0" collapsed="false">
      <c r="B204" s="30" t="s">
        <v>61</v>
      </c>
      <c r="C204" s="25" t="n">
        <f aca="false">SABR_Base!C40+SABR_Shocks!$E$10*SABR_Shocks!C27</f>
        <v>0.7317422</v>
      </c>
      <c r="D204" s="25" t="n">
        <f aca="false">SABR_Base!D40+SABR_Shocks!$E$10*SABR_Shocks!D27</f>
        <v>0.7014287</v>
      </c>
      <c r="E204" s="25" t="n">
        <f aca="false">SABR_Base!E40+SABR_Shocks!$E$10*SABR_Shocks!E27</f>
        <v>0.6782758</v>
      </c>
      <c r="F204" s="25" t="n">
        <f aca="false">SABR_Base!F40+SABR_Shocks!$E$10*SABR_Shocks!F27</f>
        <v>0.6561369</v>
      </c>
      <c r="G204" s="25" t="n">
        <f aca="false">SABR_Base!G40+SABR_Shocks!$E$10*SABR_Shocks!G27</f>
        <v>0.6341234</v>
      </c>
      <c r="H204" s="25" t="n">
        <f aca="false">SABR_Base!H40+SABR_Shocks!$E$10*SABR_Shocks!H27</f>
        <v>0.6001402</v>
      </c>
      <c r="I204" s="25" t="n">
        <f aca="false">SABR_Base!I40+SABR_Shocks!$E$10*SABR_Shocks!I27</f>
        <v>0.5770041</v>
      </c>
      <c r="J204" s="25" t="n">
        <f aca="false">SABR_Base!J40+SABR_Shocks!$E$10*SABR_Shocks!J27</f>
        <v>0.5495589</v>
      </c>
      <c r="K204" s="25" t="n">
        <f aca="false">SABR_Base!K40+SABR_Shocks!$E$10*SABR_Shocks!K27</f>
        <v>0.5260025</v>
      </c>
      <c r="L204" s="25" t="n">
        <f aca="false">SABR_Base!L40+SABR_Shocks!$E$10*SABR_Shocks!L27</f>
        <v>0.5042249</v>
      </c>
    </row>
    <row r="205" customFormat="false" ht="15" hidden="false" customHeight="true" outlineLevel="0" collapsed="false">
      <c r="B205" s="30" t="s">
        <v>62</v>
      </c>
      <c r="C205" s="25" t="n">
        <f aca="false">SABR_Base!C41+SABR_Shocks!$E$10*SABR_Shocks!C28</f>
        <v>0.6999315</v>
      </c>
      <c r="D205" s="25" t="n">
        <f aca="false">SABR_Base!D41+SABR_Shocks!$E$10*SABR_Shocks!D28</f>
        <v>0.6762201</v>
      </c>
      <c r="E205" s="25" t="n">
        <f aca="false">SABR_Base!E41+SABR_Shocks!$E$10*SABR_Shocks!E28</f>
        <v>0.6509334</v>
      </c>
      <c r="F205" s="25" t="n">
        <f aca="false">SABR_Base!F41+SABR_Shocks!$E$10*SABR_Shocks!F28</f>
        <v>0.6354516</v>
      </c>
      <c r="G205" s="25" t="n">
        <f aca="false">SABR_Base!G41+SABR_Shocks!$E$10*SABR_Shocks!G28</f>
        <v>0.6039162</v>
      </c>
      <c r="H205" s="25" t="n">
        <f aca="false">SABR_Base!H41+SABR_Shocks!$E$10*SABR_Shocks!H28</f>
        <v>0.5837267</v>
      </c>
      <c r="I205" s="25" t="n">
        <f aca="false">SABR_Base!I41+SABR_Shocks!$E$10*SABR_Shocks!I28</f>
        <v>0.5597153</v>
      </c>
      <c r="J205" s="25" t="n">
        <f aca="false">SABR_Base!J41+SABR_Shocks!$E$10*SABR_Shocks!J28</f>
        <v>0.5203736</v>
      </c>
      <c r="K205" s="25" t="n">
        <f aca="false">SABR_Base!K41+SABR_Shocks!$E$10*SABR_Shocks!K28</f>
        <v>0.5007305</v>
      </c>
      <c r="L205" s="25" t="n">
        <f aca="false">SABR_Base!L41+SABR_Shocks!$E$10*SABR_Shocks!L28</f>
        <v>0.486065</v>
      </c>
    </row>
    <row r="206" customFormat="false" ht="15" hidden="false" customHeight="true" outlineLevel="0" collapsed="false">
      <c r="B206" s="30" t="s">
        <v>63</v>
      </c>
      <c r="C206" s="25" t="n">
        <f aca="false">SABR_Base!C42+SABR_Shocks!$E$10*SABR_Shocks!C29</f>
        <v>0.6820222</v>
      </c>
      <c r="D206" s="25" t="n">
        <f aca="false">SABR_Base!D42+SABR_Shocks!$E$10*SABR_Shocks!D29</f>
        <v>0.6445968</v>
      </c>
      <c r="E206" s="25" t="n">
        <f aca="false">SABR_Base!E42+SABR_Shocks!$E$10*SABR_Shocks!E29</f>
        <v>0.6176614</v>
      </c>
      <c r="F206" s="25" t="n">
        <f aca="false">SABR_Base!F42+SABR_Shocks!$E$10*SABR_Shocks!F29</f>
        <v>0.5998092</v>
      </c>
      <c r="G206" s="25" t="n">
        <f aca="false">SABR_Base!G42+SABR_Shocks!$E$10*SABR_Shocks!G29</f>
        <v>0.5663365</v>
      </c>
      <c r="H206" s="25" t="n">
        <f aca="false">SABR_Base!H42+SABR_Shocks!$E$10*SABR_Shocks!H29</f>
        <v>0.5455829</v>
      </c>
      <c r="I206" s="25" t="n">
        <f aca="false">SABR_Base!I42+SABR_Shocks!$E$10*SABR_Shocks!I29</f>
        <v>0.5165736</v>
      </c>
      <c r="J206" s="25" t="n">
        <f aca="false">SABR_Base!J42+SABR_Shocks!$E$10*SABR_Shocks!J29</f>
        <v>0.502765</v>
      </c>
      <c r="K206" s="25" t="n">
        <f aca="false">SABR_Base!K42+SABR_Shocks!$E$10*SABR_Shocks!K29</f>
        <v>0.482865</v>
      </c>
      <c r="L206" s="25" t="n">
        <f aca="false">SABR_Base!L42+SABR_Shocks!$E$10*SABR_Shocks!L29</f>
        <v>0.462865</v>
      </c>
    </row>
    <row r="209" customFormat="false" ht="15" hidden="false" customHeight="true" outlineLevel="0" collapsed="false">
      <c r="B209" s="19" t="s">
        <v>132</v>
      </c>
      <c r="C209" s="19"/>
      <c r="D209" s="19"/>
      <c r="E209" s="19"/>
      <c r="F209" s="19"/>
      <c r="G209" s="19"/>
      <c r="H209" s="19"/>
      <c r="I209" s="19"/>
      <c r="J209" s="19"/>
      <c r="K209" s="19"/>
      <c r="L209" s="19"/>
    </row>
    <row r="210" customFormat="false" ht="15" hidden="false" customHeight="true" outlineLevel="0" collapsed="false">
      <c r="B210" s="34" t="s">
        <v>112</v>
      </c>
      <c r="C210" s="34"/>
      <c r="D210" s="34"/>
      <c r="E210" s="34"/>
      <c r="F210" s="34"/>
      <c r="G210" s="34"/>
      <c r="H210" s="34"/>
      <c r="I210" s="34"/>
      <c r="J210" s="34"/>
      <c r="K210" s="34"/>
      <c r="L210" s="34"/>
    </row>
    <row r="211" customFormat="false" ht="15" hidden="false" customHeight="true" outlineLevel="0" collapsed="false">
      <c r="B211" s="12" t="s">
        <v>113</v>
      </c>
      <c r="C211" s="13" t="s">
        <v>114</v>
      </c>
      <c r="D211" s="13" t="s">
        <v>56</v>
      </c>
      <c r="E211" s="13" t="s">
        <v>57</v>
      </c>
      <c r="F211" s="13" t="s">
        <v>30</v>
      </c>
      <c r="G211" s="13" t="s">
        <v>58</v>
      </c>
      <c r="H211" s="13" t="s">
        <v>59</v>
      </c>
      <c r="I211" s="13" t="s">
        <v>60</v>
      </c>
      <c r="J211" s="13" t="s">
        <v>61</v>
      </c>
      <c r="K211" s="13" t="s">
        <v>62</v>
      </c>
      <c r="L211" s="13" t="s">
        <v>63</v>
      </c>
    </row>
    <row r="212" customFormat="false" ht="15" hidden="false" customHeight="true" outlineLevel="0" collapsed="false">
      <c r="B212" s="30" t="s">
        <v>114</v>
      </c>
      <c r="C212" s="25" t="n">
        <f aca="false">SABR_Base!C5+SABR_Shocks!$C$11*SABR_Shocks!C20</f>
        <v>0.5749978</v>
      </c>
      <c r="D212" s="25" t="n">
        <f aca="false">SABR_Base!D5+SABR_Shocks!$C$11*SABR_Shocks!D20</f>
        <v>0.5534204</v>
      </c>
      <c r="E212" s="25" t="n">
        <f aca="false">SABR_Base!E5+SABR_Shocks!$C$11*SABR_Shocks!E20</f>
        <v>0.544976</v>
      </c>
      <c r="F212" s="25" t="n">
        <f aca="false">SABR_Base!F5+SABR_Shocks!$C$11*SABR_Shocks!F20</f>
        <v>0.515252</v>
      </c>
      <c r="G212" s="25" t="n">
        <f aca="false">SABR_Base!G5+SABR_Shocks!$C$11*SABR_Shocks!G20</f>
        <v>0.5061186</v>
      </c>
      <c r="H212" s="25" t="n">
        <f aca="false">SABR_Base!H5+SABR_Shocks!$C$11*SABR_Shocks!H20</f>
        <v>0.4842386</v>
      </c>
      <c r="I212" s="25" t="n">
        <f aca="false">SABR_Base!I5+SABR_Shocks!$C$11*SABR_Shocks!I20</f>
        <v>0.460602</v>
      </c>
      <c r="J212" s="25" t="n">
        <f aca="false">SABR_Base!J5+SABR_Shocks!$C$11*SABR_Shocks!J20</f>
        <v>0.4513</v>
      </c>
      <c r="K212" s="25" t="n">
        <f aca="false">SABR_Base!K5+SABR_Shocks!$C$11*SABR_Shocks!K20</f>
        <v>0.42342</v>
      </c>
      <c r="L212" s="25" t="n">
        <f aca="false">SABR_Base!L5+SABR_Shocks!$C$11*SABR_Shocks!L20</f>
        <v>0.4129756</v>
      </c>
    </row>
    <row r="213" customFormat="false" ht="15" hidden="false" customHeight="true" outlineLevel="0" collapsed="false">
      <c r="B213" s="30" t="s">
        <v>56</v>
      </c>
      <c r="C213" s="25" t="n">
        <f aca="false">SABR_Base!C6+SABR_Shocks!$C$11*SABR_Shocks!C21</f>
        <v>0.5513822</v>
      </c>
      <c r="D213" s="25" t="n">
        <f aca="false">SABR_Base!D6+SABR_Shocks!$C$11*SABR_Shocks!D21</f>
        <v>0.5334912</v>
      </c>
      <c r="E213" s="25" t="n">
        <f aca="false">SABR_Base!E6+SABR_Shocks!$C$11*SABR_Shocks!E21</f>
        <v>0.5219426</v>
      </c>
      <c r="F213" s="25" t="n">
        <f aca="false">SABR_Base!F6+SABR_Shocks!$C$11*SABR_Shocks!F21</f>
        <v>0.5115092</v>
      </c>
      <c r="G213" s="25" t="n">
        <f aca="false">SABR_Base!G6+SABR_Shocks!$C$11*SABR_Shocks!G21</f>
        <v>0.4798548</v>
      </c>
      <c r="H213" s="25" t="n">
        <f aca="false">SABR_Base!H6+SABR_Shocks!$C$11*SABR_Shocks!H21</f>
        <v>0.4632612</v>
      </c>
      <c r="I213" s="25" t="n">
        <f aca="false">SABR_Base!I6+SABR_Shocks!$C$11*SABR_Shocks!I21</f>
        <v>0.4535398</v>
      </c>
      <c r="J213" s="25" t="n">
        <f aca="false">SABR_Base!J6+SABR_Shocks!$C$11*SABR_Shocks!J21</f>
        <v>0.4411394</v>
      </c>
      <c r="K213" s="25" t="n">
        <f aca="false">SABR_Base!K6+SABR_Shocks!$C$11*SABR_Shocks!K21</f>
        <v>0.4160426</v>
      </c>
      <c r="L213" s="25" t="n">
        <f aca="false">SABR_Base!L6+SABR_Shocks!$C$11*SABR_Shocks!L21</f>
        <v>0.3941338</v>
      </c>
    </row>
    <row r="214" customFormat="false" ht="15" hidden="false" customHeight="true" outlineLevel="0" collapsed="false">
      <c r="B214" s="30" t="s">
        <v>57</v>
      </c>
      <c r="C214" s="25" t="n">
        <f aca="false">SABR_Base!C7+SABR_Shocks!$C$11*SABR_Shocks!C22</f>
        <v>0.550942</v>
      </c>
      <c r="D214" s="25" t="n">
        <f aca="false">SABR_Base!D7+SABR_Shocks!$C$11*SABR_Shocks!D22</f>
        <v>0.5142714</v>
      </c>
      <c r="E214" s="25" t="n">
        <f aca="false">SABR_Base!E7+SABR_Shocks!$C$11*SABR_Shocks!E22</f>
        <v>0.513017</v>
      </c>
      <c r="F214" s="25" t="n">
        <f aca="false">SABR_Base!F7+SABR_Shocks!$C$11*SABR_Shocks!F22</f>
        <v>0.4829344</v>
      </c>
      <c r="G214" s="25" t="n">
        <f aca="false">SABR_Base!G7+SABR_Shocks!$C$11*SABR_Shocks!G22</f>
        <v>0.4622842</v>
      </c>
      <c r="H214" s="25" t="n">
        <f aca="false">SABR_Base!H7+SABR_Shocks!$C$11*SABR_Shocks!H22</f>
        <v>0.4428592</v>
      </c>
      <c r="I214" s="25" t="n">
        <f aca="false">SABR_Base!I7+SABR_Shocks!$C$11*SABR_Shocks!I22</f>
        <v>0.4280012</v>
      </c>
      <c r="J214" s="25" t="n">
        <f aca="false">SABR_Base!J7+SABR_Shocks!$C$11*SABR_Shocks!J22</f>
        <v>0.4205044</v>
      </c>
      <c r="K214" s="25" t="n">
        <f aca="false">SABR_Base!K7+SABR_Shocks!$C$11*SABR_Shocks!K22</f>
        <v>0.3896626</v>
      </c>
      <c r="L214" s="25" t="n">
        <f aca="false">SABR_Base!L7+SABR_Shocks!$C$11*SABR_Shocks!L22</f>
        <v>0.3789088</v>
      </c>
    </row>
    <row r="215" customFormat="false" ht="15" hidden="false" customHeight="true" outlineLevel="0" collapsed="false">
      <c r="B215" s="30" t="s">
        <v>30</v>
      </c>
      <c r="C215" s="25" t="n">
        <f aca="false">SABR_Base!C8+SABR_Shocks!$C$11*SABR_Shocks!C23</f>
        <v>0.526029</v>
      </c>
      <c r="D215" s="25" t="n">
        <f aca="false">SABR_Base!D8+SABR_Shocks!$C$11*SABR_Shocks!D23</f>
        <v>0.502694</v>
      </c>
      <c r="E215" s="25" t="n">
        <f aca="false">SABR_Base!E8+SABR_Shocks!$C$11*SABR_Shocks!E23</f>
        <v>0.4885684</v>
      </c>
      <c r="F215" s="25" t="n">
        <f aca="false">SABR_Base!F8+SABR_Shocks!$C$11*SABR_Shocks!F23</f>
        <v>0.460435</v>
      </c>
      <c r="G215" s="25" t="n">
        <f aca="false">SABR_Base!G8+SABR_Shocks!$C$11*SABR_Shocks!G23</f>
        <v>0.4413566</v>
      </c>
      <c r="H215" s="25" t="n">
        <f aca="false">SABR_Base!H8+SABR_Shocks!$C$11*SABR_Shocks!H23</f>
        <v>0.426197</v>
      </c>
      <c r="I215" s="25" t="n">
        <f aca="false">SABR_Base!I8+SABR_Shocks!$C$11*SABR_Shocks!I23</f>
        <v>0.4172348</v>
      </c>
      <c r="J215" s="25" t="n">
        <f aca="false">SABR_Base!J8+SABR_Shocks!$C$11*SABR_Shocks!J23</f>
        <v>0.3938972</v>
      </c>
      <c r="K215" s="25" t="n">
        <f aca="false">SABR_Base!K8+SABR_Shocks!$C$11*SABR_Shocks!K23</f>
        <v>0.3740784</v>
      </c>
      <c r="L215" s="25" t="n">
        <f aca="false">SABR_Base!L8+SABR_Shocks!$C$11*SABR_Shocks!L23</f>
        <v>0.3606178</v>
      </c>
    </row>
    <row r="216" customFormat="false" ht="15" hidden="false" customHeight="true" outlineLevel="0" collapsed="false">
      <c r="B216" s="30" t="s">
        <v>58</v>
      </c>
      <c r="C216" s="25" t="n">
        <f aca="false">SABR_Base!C9+SABR_Shocks!$C$11*SABR_Shocks!C24</f>
        <v>0.5045432</v>
      </c>
      <c r="D216" s="25" t="n">
        <f aca="false">SABR_Base!D9+SABR_Shocks!$C$11*SABR_Shocks!D24</f>
        <v>0.4831166</v>
      </c>
      <c r="E216" s="25" t="n">
        <f aca="false">SABR_Base!E9+SABR_Shocks!$C$11*SABR_Shocks!E24</f>
        <v>0.4744298</v>
      </c>
      <c r="F216" s="25" t="n">
        <f aca="false">SABR_Base!F9+SABR_Shocks!$C$11*SABR_Shocks!F24</f>
        <v>0.4548152</v>
      </c>
      <c r="G216" s="25" t="n">
        <f aca="false">SABR_Base!G9+SABR_Shocks!$C$11*SABR_Shocks!G24</f>
        <v>0.4267724</v>
      </c>
      <c r="H216" s="25" t="n">
        <f aca="false">SABR_Base!H9+SABR_Shocks!$C$11*SABR_Shocks!H24</f>
        <v>0.4157222</v>
      </c>
      <c r="I216" s="25" t="n">
        <f aca="false">SABR_Base!I9+SABR_Shocks!$C$11*SABR_Shocks!I24</f>
        <v>0.3958506</v>
      </c>
      <c r="J216" s="25" t="n">
        <f aca="false">SABR_Base!J9+SABR_Shocks!$C$11*SABR_Shocks!J24</f>
        <v>0.384969</v>
      </c>
      <c r="K216" s="25" t="n">
        <f aca="false">SABR_Base!K9+SABR_Shocks!$C$11*SABR_Shocks!K24</f>
        <v>0.3635534</v>
      </c>
      <c r="L216" s="25" t="n">
        <f aca="false">SABR_Base!L9+SABR_Shocks!$C$11*SABR_Shocks!L24</f>
        <v>0.3365048</v>
      </c>
    </row>
    <row r="217" customFormat="false" ht="15" hidden="false" customHeight="true" outlineLevel="0" collapsed="false">
      <c r="B217" s="30" t="s">
        <v>59</v>
      </c>
      <c r="C217" s="25" t="n">
        <f aca="false">SABR_Base!C10+SABR_Shocks!$C$11*SABR_Shocks!C25</f>
        <v>0.4972684</v>
      </c>
      <c r="D217" s="25" t="n">
        <f aca="false">SABR_Base!D10+SABR_Shocks!$C$11*SABR_Shocks!D25</f>
        <v>0.4615884</v>
      </c>
      <c r="E217" s="25" t="n">
        <f aca="false">SABR_Base!E10+SABR_Shocks!$C$11*SABR_Shocks!E25</f>
        <v>0.4487524</v>
      </c>
      <c r="F217" s="25" t="n">
        <f aca="false">SABR_Base!F10+SABR_Shocks!$C$11*SABR_Shocks!F25</f>
        <v>0.4378734</v>
      </c>
      <c r="G217" s="25" t="n">
        <f aca="false">SABR_Base!G10+SABR_Shocks!$C$11*SABR_Shocks!G25</f>
        <v>0.4067594</v>
      </c>
      <c r="H217" s="25" t="n">
        <f aca="false">SABR_Base!H10+SABR_Shocks!$C$11*SABR_Shocks!H25</f>
        <v>0.3954532</v>
      </c>
      <c r="I217" s="25" t="n">
        <f aca="false">SABR_Base!I10+SABR_Shocks!$C$11*SABR_Shocks!I25</f>
        <v>0.3687318</v>
      </c>
      <c r="J217" s="25" t="n">
        <f aca="false">SABR_Base!J10+SABR_Shocks!$C$11*SABR_Shocks!J25</f>
        <v>0.3628162</v>
      </c>
      <c r="K217" s="25" t="n">
        <f aca="false">SABR_Base!K10+SABR_Shocks!$C$11*SABR_Shocks!K25</f>
        <v>0.3458268</v>
      </c>
      <c r="L217" s="25" t="n">
        <f aca="false">SABR_Base!L10+SABR_Shocks!$C$11*SABR_Shocks!L25</f>
        <v>0.3246682</v>
      </c>
    </row>
    <row r="218" customFormat="false" ht="15" hidden="false" customHeight="true" outlineLevel="0" collapsed="false">
      <c r="B218" s="30" t="s">
        <v>60</v>
      </c>
      <c r="C218" s="25" t="n">
        <f aca="false">SABR_Base!C11+SABR_Shocks!$C$11*SABR_Shocks!C26</f>
        <v>0.4760654</v>
      </c>
      <c r="D218" s="25" t="n">
        <f aca="false">SABR_Base!D11+SABR_Shocks!$C$11*SABR_Shocks!D26</f>
        <v>0.446599</v>
      </c>
      <c r="E218" s="25" t="n">
        <f aca="false">SABR_Base!E11+SABR_Shocks!$C$11*SABR_Shocks!E26</f>
        <v>0.4365488</v>
      </c>
      <c r="F218" s="25" t="n">
        <f aca="false">SABR_Base!F11+SABR_Shocks!$C$11*SABR_Shocks!F26</f>
        <v>0.415784</v>
      </c>
      <c r="G218" s="25" t="n">
        <f aca="false">SABR_Base!G11+SABR_Shocks!$C$11*SABR_Shocks!G26</f>
        <v>0.3971464</v>
      </c>
      <c r="H218" s="25" t="n">
        <f aca="false">SABR_Base!H11+SABR_Shocks!$C$11*SABR_Shocks!H26</f>
        <v>0.3761952</v>
      </c>
      <c r="I218" s="25" t="n">
        <f aca="false">SABR_Base!I11+SABR_Shocks!$C$11*SABR_Shocks!I26</f>
        <v>0.365611</v>
      </c>
      <c r="J218" s="25" t="n">
        <f aca="false">SABR_Base!J11+SABR_Shocks!$C$11*SABR_Shocks!J26</f>
        <v>0.349943</v>
      </c>
      <c r="K218" s="25" t="n">
        <f aca="false">SABR_Base!K11+SABR_Shocks!$C$11*SABR_Shocks!K26</f>
        <v>0.321885</v>
      </c>
      <c r="L218" s="25" t="n">
        <f aca="false">SABR_Base!L11+SABR_Shocks!$C$11*SABR_Shocks!L26</f>
        <v>0.3078568</v>
      </c>
    </row>
    <row r="219" customFormat="false" ht="15" hidden="false" customHeight="true" outlineLevel="0" collapsed="false">
      <c r="B219" s="30" t="s">
        <v>61</v>
      </c>
      <c r="C219" s="25" t="n">
        <f aca="false">SABR_Base!C12+SABR_Shocks!$C$11*SABR_Shocks!C27</f>
        <v>0.4416236</v>
      </c>
      <c r="D219" s="25" t="n">
        <f aca="false">SABR_Base!D12+SABR_Shocks!$C$11*SABR_Shocks!D27</f>
        <v>0.4363106</v>
      </c>
      <c r="E219" s="25" t="n">
        <f aca="false">SABR_Base!E12+SABR_Shocks!$C$11*SABR_Shocks!E27</f>
        <v>0.4174604</v>
      </c>
      <c r="F219" s="25" t="n">
        <f aca="false">SABR_Base!F12+SABR_Shocks!$C$11*SABR_Shocks!F27</f>
        <v>0.4056422</v>
      </c>
      <c r="G219" s="25" t="n">
        <f aca="false">SABR_Base!G12+SABR_Shocks!$C$11*SABR_Shocks!G27</f>
        <v>0.3840292</v>
      </c>
      <c r="H219" s="25" t="n">
        <f aca="false">SABR_Base!H12+SABR_Shocks!$C$11*SABR_Shocks!H27</f>
        <v>0.3553476</v>
      </c>
      <c r="I219" s="25" t="n">
        <f aca="false">SABR_Base!I12+SABR_Shocks!$C$11*SABR_Shocks!I27</f>
        <v>0.3383158</v>
      </c>
      <c r="J219" s="25" t="n">
        <f aca="false">SABR_Base!J12+SABR_Shocks!$C$11*SABR_Shocks!J27</f>
        <v>0.3256782</v>
      </c>
      <c r="K219" s="25" t="n">
        <f aca="false">SABR_Base!K12+SABR_Shocks!$C$11*SABR_Shocks!K27</f>
        <v>0.295395</v>
      </c>
      <c r="L219" s="25" t="n">
        <f aca="false">SABR_Base!L12+SABR_Shocks!$C$11*SABR_Shocks!L27</f>
        <v>0.2857862</v>
      </c>
    </row>
    <row r="220" customFormat="false" ht="15" hidden="false" customHeight="true" outlineLevel="0" collapsed="false">
      <c r="B220" s="30" t="s">
        <v>62</v>
      </c>
      <c r="C220" s="25" t="n">
        <f aca="false">SABR_Base!C13+SABR_Shocks!$C$11*SABR_Shocks!C28</f>
        <v>0.425397</v>
      </c>
      <c r="D220" s="25" t="n">
        <f aca="false">SABR_Base!D13+SABR_Shocks!$C$11*SABR_Shocks!D28</f>
        <v>0.4060238</v>
      </c>
      <c r="E220" s="25" t="n">
        <f aca="false">SABR_Base!E13+SABR_Shocks!$C$11*SABR_Shocks!E28</f>
        <v>0.3872092</v>
      </c>
      <c r="F220" s="25" t="n">
        <f aca="false">SABR_Base!F13+SABR_Shocks!$C$11*SABR_Shocks!F28</f>
        <v>0.3833208</v>
      </c>
      <c r="G220" s="25" t="n">
        <f aca="false">SABR_Base!G13+SABR_Shocks!$C$11*SABR_Shocks!G28</f>
        <v>0.3515356</v>
      </c>
      <c r="H220" s="25" t="n">
        <f aca="false">SABR_Base!H13+SABR_Shocks!$C$11*SABR_Shocks!H28</f>
        <v>0.3364346</v>
      </c>
      <c r="I220" s="25" t="n">
        <f aca="false">SABR_Base!I13+SABR_Shocks!$C$11*SABR_Shocks!I28</f>
        <v>0.3209614</v>
      </c>
      <c r="J220" s="25" t="n">
        <f aca="false">SABR_Base!J13+SABR_Shocks!$C$11*SABR_Shocks!J28</f>
        <v>0.3119568</v>
      </c>
      <c r="K220" s="25" t="n">
        <f aca="false">SABR_Base!K13+SABR_Shocks!$C$11*SABR_Shocks!K28</f>
        <v>0.277659</v>
      </c>
      <c r="L220" s="25" t="n">
        <f aca="false">SABR_Base!L13+SABR_Shocks!$C$11*SABR_Shocks!L28</f>
        <v>0.26837</v>
      </c>
    </row>
    <row r="221" customFormat="false" ht="15" hidden="false" customHeight="true" outlineLevel="0" collapsed="false">
      <c r="B221" s="30" t="s">
        <v>63</v>
      </c>
      <c r="C221" s="25" t="n">
        <f aca="false">SABR_Base!C14+SABR_Shocks!$C$11*SABR_Shocks!C29</f>
        <v>0.4145636</v>
      </c>
      <c r="D221" s="25" t="n">
        <f aca="false">SABR_Base!D14+SABR_Shocks!$C$11*SABR_Shocks!D29</f>
        <v>0.4039584</v>
      </c>
      <c r="E221" s="25" t="n">
        <f aca="false">SABR_Base!E14+SABR_Shocks!$C$11*SABR_Shocks!E29</f>
        <v>0.3836732</v>
      </c>
      <c r="F221" s="25" t="n">
        <f aca="false">SABR_Base!F14+SABR_Shocks!$C$11*SABR_Shocks!F29</f>
        <v>0.3667696</v>
      </c>
      <c r="G221" s="25" t="n">
        <f aca="false">SABR_Base!G14+SABR_Shocks!$C$11*SABR_Shocks!G29</f>
        <v>0.336287</v>
      </c>
      <c r="H221" s="25" t="n">
        <f aca="false">SABR_Base!H14+SABR_Shocks!$C$11*SABR_Shocks!H29</f>
        <v>0.3213902</v>
      </c>
      <c r="I221" s="25" t="n">
        <f aca="false">SABR_Base!I14+SABR_Shocks!$C$11*SABR_Shocks!I29</f>
        <v>0.3017568</v>
      </c>
      <c r="J221" s="25" t="n">
        <f aca="false">SABR_Base!J14+SABR_Shocks!$C$11*SABR_Shocks!J29</f>
        <v>0.29367</v>
      </c>
      <c r="K221" s="25" t="n">
        <f aca="false">SABR_Base!K14+SABR_Shocks!$C$11*SABR_Shocks!K29</f>
        <v>0.27847</v>
      </c>
      <c r="L221" s="25" t="n">
        <f aca="false">SABR_Base!L14+SABR_Shocks!$C$11*SABR_Shocks!L29</f>
        <v>0.24567</v>
      </c>
    </row>
    <row r="223" customFormat="false" ht="15" hidden="false" customHeight="true" outlineLevel="0" collapsed="false">
      <c r="B223" s="34" t="s">
        <v>115</v>
      </c>
      <c r="C223" s="34"/>
      <c r="D223" s="34"/>
      <c r="E223" s="34"/>
      <c r="F223" s="34"/>
      <c r="G223" s="34"/>
      <c r="H223" s="34"/>
      <c r="I223" s="34"/>
      <c r="J223" s="34"/>
      <c r="K223" s="34"/>
      <c r="L223" s="34"/>
    </row>
    <row r="224" customFormat="false" ht="15" hidden="false" customHeight="true" outlineLevel="0" collapsed="false">
      <c r="B224" s="12" t="s">
        <v>113</v>
      </c>
      <c r="C224" s="13" t="s">
        <v>114</v>
      </c>
      <c r="D224" s="13" t="s">
        <v>56</v>
      </c>
      <c r="E224" s="13" t="s">
        <v>57</v>
      </c>
      <c r="F224" s="13" t="s">
        <v>30</v>
      </c>
      <c r="G224" s="13" t="s">
        <v>58</v>
      </c>
      <c r="H224" s="13" t="s">
        <v>59</v>
      </c>
      <c r="I224" s="13" t="s">
        <v>60</v>
      </c>
      <c r="J224" s="13" t="s">
        <v>61</v>
      </c>
      <c r="K224" s="13" t="s">
        <v>62</v>
      </c>
      <c r="L224" s="13" t="s">
        <v>63</v>
      </c>
    </row>
    <row r="225" customFormat="false" ht="15" hidden="false" customHeight="true" outlineLevel="0" collapsed="false">
      <c r="B225" s="30" t="s">
        <v>114</v>
      </c>
      <c r="C225" s="25" t="n">
        <f aca="false">SABR_Base!C19+SABR_Shocks!$D$11*SABR_Shocks!C20</f>
        <v>-0.3323249</v>
      </c>
      <c r="D225" s="25" t="n">
        <f aca="false">SABR_Base!D19+SABR_Shocks!$D$11*SABR_Shocks!D20</f>
        <v>-0.3129782</v>
      </c>
      <c r="E225" s="25" t="n">
        <f aca="false">SABR_Base!E19+SABR_Shocks!$D$11*SABR_Shocks!E20</f>
        <v>-0.294958</v>
      </c>
      <c r="F225" s="25" t="n">
        <f aca="false">SABR_Base!F19+SABR_Shocks!$D$11*SABR_Shocks!F20</f>
        <v>-0.271766</v>
      </c>
      <c r="G225" s="25" t="n">
        <f aca="false">SABR_Base!G19+SABR_Shocks!$D$11*SABR_Shocks!G20</f>
        <v>-0.2517213</v>
      </c>
      <c r="H225" s="25" t="n">
        <f aca="false">SABR_Base!H19+SABR_Shocks!$D$11*SABR_Shocks!H20</f>
        <v>-0.2403313</v>
      </c>
      <c r="I225" s="25" t="n">
        <f aca="false">SABR_Base!I19+SABR_Shocks!$D$11*SABR_Shocks!I20</f>
        <v>-0.226841</v>
      </c>
      <c r="J225" s="25" t="n">
        <f aca="false">SABR_Base!J19+SABR_Shocks!$D$11*SABR_Shocks!J20</f>
        <v>-0.2004</v>
      </c>
      <c r="K225" s="25" t="n">
        <f aca="false">SABR_Base!K19+SABR_Shocks!$D$11*SABR_Shocks!K20</f>
        <v>-0.18351</v>
      </c>
      <c r="L225" s="25" t="n">
        <f aca="false">SABR_Base!L19+SABR_Shocks!$D$11*SABR_Shocks!L20</f>
        <v>-0.1615898</v>
      </c>
    </row>
    <row r="226" customFormat="false" ht="15" hidden="false" customHeight="true" outlineLevel="0" collapsed="false">
      <c r="B226" s="30" t="s">
        <v>56</v>
      </c>
      <c r="C226" s="25" t="n">
        <f aca="false">SABR_Base!C20+SABR_Shocks!$D$11*SABR_Shocks!C21</f>
        <v>-0.2988651</v>
      </c>
      <c r="D226" s="25" t="n">
        <f aca="false">SABR_Base!D20+SABR_Shocks!$D$11*SABR_Shocks!D21</f>
        <v>-0.2860996</v>
      </c>
      <c r="E226" s="25" t="n">
        <f aca="false">SABR_Base!E20+SABR_Shocks!$D$11*SABR_Shocks!E21</f>
        <v>-0.2715133</v>
      </c>
      <c r="F226" s="25" t="n">
        <f aca="false">SABR_Base!F20+SABR_Shocks!$D$11*SABR_Shocks!F21</f>
        <v>-0.2515686</v>
      </c>
      <c r="G226" s="25" t="n">
        <f aca="false">SABR_Base!G20+SABR_Shocks!$D$11*SABR_Shocks!G21</f>
        <v>-0.2316934</v>
      </c>
      <c r="H226" s="25" t="n">
        <f aca="false">SABR_Base!H20+SABR_Shocks!$D$11*SABR_Shocks!H21</f>
        <v>-0.2263846</v>
      </c>
      <c r="I226" s="25" t="n">
        <f aca="false">SABR_Base!I20+SABR_Shocks!$D$11*SABR_Shocks!I21</f>
        <v>-0.1909359</v>
      </c>
      <c r="J226" s="25" t="n">
        <f aca="false">SABR_Base!J20+SABR_Shocks!$D$11*SABR_Shocks!J21</f>
        <v>-0.1756177</v>
      </c>
      <c r="K226" s="25" t="n">
        <f aca="false">SABR_Base!K20+SABR_Shocks!$D$11*SABR_Shocks!K21</f>
        <v>-0.1551633</v>
      </c>
      <c r="L226" s="25" t="n">
        <f aca="false">SABR_Base!L20+SABR_Shocks!$D$11*SABR_Shocks!L21</f>
        <v>-0.1387129</v>
      </c>
    </row>
    <row r="227" customFormat="false" ht="15" hidden="false" customHeight="true" outlineLevel="0" collapsed="false">
      <c r="B227" s="30" t="s">
        <v>57</v>
      </c>
      <c r="C227" s="25" t="n">
        <f aca="false">SABR_Base!C21+SABR_Shocks!$D$11*SABR_Shocks!C22</f>
        <v>-0.292311</v>
      </c>
      <c r="D227" s="25" t="n">
        <f aca="false">SABR_Base!D21+SABR_Shocks!$D$11*SABR_Shocks!D22</f>
        <v>-0.2738737</v>
      </c>
      <c r="E227" s="25" t="n">
        <f aca="false">SABR_Base!E21+SABR_Shocks!$D$11*SABR_Shocks!E22</f>
        <v>-0.2610985</v>
      </c>
      <c r="F227" s="25" t="n">
        <f aca="false">SABR_Base!F21+SABR_Shocks!$D$11*SABR_Shocks!F22</f>
        <v>-0.2327652</v>
      </c>
      <c r="G227" s="25" t="n">
        <f aca="false">SABR_Base!G21+SABR_Shocks!$D$11*SABR_Shocks!G22</f>
        <v>-0.2256561</v>
      </c>
      <c r="H227" s="25" t="n">
        <f aca="false">SABR_Base!H21+SABR_Shocks!$D$11*SABR_Shocks!H22</f>
        <v>-0.2079436</v>
      </c>
      <c r="I227" s="25" t="n">
        <f aca="false">SABR_Base!I21+SABR_Shocks!$D$11*SABR_Shocks!I22</f>
        <v>-0.1874046</v>
      </c>
      <c r="J227" s="25" t="n">
        <f aca="false">SABR_Base!J21+SABR_Shocks!$D$11*SABR_Shocks!J22</f>
        <v>-0.1697502</v>
      </c>
      <c r="K227" s="25" t="n">
        <f aca="false">SABR_Base!K21+SABR_Shocks!$D$11*SABR_Shocks!K22</f>
        <v>-0.1479733</v>
      </c>
      <c r="L227" s="25" t="n">
        <f aca="false">SABR_Base!L21+SABR_Shocks!$D$11*SABR_Shocks!L22</f>
        <v>-0.1361004</v>
      </c>
    </row>
    <row r="228" customFormat="false" ht="15" hidden="false" customHeight="true" outlineLevel="0" collapsed="false">
      <c r="B228" s="30" t="s">
        <v>30</v>
      </c>
      <c r="C228" s="25" t="n">
        <f aca="false">SABR_Base!C22+SABR_Shocks!$D$11*SABR_Shocks!C23</f>
        <v>-0.2819945</v>
      </c>
      <c r="D228" s="25" t="n">
        <f aca="false">SABR_Base!D22+SABR_Shocks!$D$11*SABR_Shocks!D23</f>
        <v>-0.260627</v>
      </c>
      <c r="E228" s="25" t="n">
        <f aca="false">SABR_Base!E22+SABR_Shocks!$D$11*SABR_Shocks!E23</f>
        <v>-0.2429122</v>
      </c>
      <c r="F228" s="25" t="n">
        <f aca="false">SABR_Base!F22+SABR_Shocks!$D$11*SABR_Shocks!F23</f>
        <v>-0.2198675</v>
      </c>
      <c r="G228" s="25" t="n">
        <f aca="false">SABR_Base!G22+SABR_Shocks!$D$11*SABR_Shocks!G23</f>
        <v>-0.2091003</v>
      </c>
      <c r="H228" s="25" t="n">
        <f aca="false">SABR_Base!H22+SABR_Shocks!$D$11*SABR_Shocks!H23</f>
        <v>-0.1739385</v>
      </c>
      <c r="I228" s="25" t="n">
        <f aca="false">SABR_Base!I22+SABR_Shocks!$D$11*SABR_Shocks!I23</f>
        <v>-0.1611334</v>
      </c>
      <c r="J228" s="25" t="n">
        <f aca="false">SABR_Base!J22+SABR_Shocks!$D$11*SABR_Shocks!J23</f>
        <v>-0.1524226</v>
      </c>
      <c r="K228" s="25" t="n">
        <f aca="false">SABR_Base!K22+SABR_Shocks!$D$11*SABR_Shocks!K23</f>
        <v>-0.1316172</v>
      </c>
      <c r="L228" s="25" t="n">
        <f aca="false">SABR_Base!L22+SABR_Shocks!$D$11*SABR_Shocks!L23</f>
        <v>-0.1121349</v>
      </c>
    </row>
    <row r="229" customFormat="false" ht="15" hidden="false" customHeight="true" outlineLevel="0" collapsed="false">
      <c r="B229" s="30" t="s">
        <v>58</v>
      </c>
      <c r="C229" s="25" t="n">
        <f aca="false">SABR_Base!C23+SABR_Shocks!$D$11*SABR_Shocks!C24</f>
        <v>-0.2561156</v>
      </c>
      <c r="D229" s="25" t="n">
        <f aca="false">SABR_Base!D23+SABR_Shocks!$D$11*SABR_Shocks!D24</f>
        <v>-0.2429803</v>
      </c>
      <c r="E229" s="25" t="n">
        <f aca="false">SABR_Base!E23+SABR_Shocks!$D$11*SABR_Shocks!E24</f>
        <v>-0.2106809</v>
      </c>
      <c r="F229" s="25" t="n">
        <f aca="false">SABR_Base!F23+SABR_Shocks!$D$11*SABR_Shocks!F24</f>
        <v>-0.1891416</v>
      </c>
      <c r="G229" s="25" t="n">
        <f aca="false">SABR_Base!G23+SABR_Shocks!$D$11*SABR_Shocks!G24</f>
        <v>-0.1821442</v>
      </c>
      <c r="H229" s="25" t="n">
        <f aca="false">SABR_Base!H23+SABR_Shocks!$D$11*SABR_Shocks!H24</f>
        <v>-0.1632351</v>
      </c>
      <c r="I229" s="25" t="n">
        <f aca="false">SABR_Base!I23+SABR_Shocks!$D$11*SABR_Shocks!I24</f>
        <v>-0.1535773</v>
      </c>
      <c r="J229" s="25" t="n">
        <f aca="false">SABR_Base!J23+SABR_Shocks!$D$11*SABR_Shocks!J24</f>
        <v>-0.1349645</v>
      </c>
      <c r="K229" s="25" t="n">
        <f aca="false">SABR_Base!K23+SABR_Shocks!$D$11*SABR_Shocks!K24</f>
        <v>-0.1122047</v>
      </c>
      <c r="L229" s="25" t="n">
        <f aca="false">SABR_Base!L23+SABR_Shocks!$D$11*SABR_Shocks!L24</f>
        <v>-0.0956184</v>
      </c>
    </row>
    <row r="230" customFormat="false" ht="15" hidden="false" customHeight="true" outlineLevel="0" collapsed="false">
      <c r="B230" s="30" t="s">
        <v>59</v>
      </c>
      <c r="C230" s="25" t="n">
        <f aca="false">SABR_Base!C24+SABR_Shocks!$D$11*SABR_Shocks!C25</f>
        <v>-0.2284122</v>
      </c>
      <c r="D230" s="25" t="n">
        <f aca="false">SABR_Base!D24+SABR_Shocks!$D$11*SABR_Shocks!D25</f>
        <v>-0.2238222</v>
      </c>
      <c r="E230" s="25" t="n">
        <f aca="false">SABR_Base!E24+SABR_Shocks!$D$11*SABR_Shocks!E25</f>
        <v>-0.2089342</v>
      </c>
      <c r="F230" s="25" t="n">
        <f aca="false">SABR_Base!F24+SABR_Shocks!$D$11*SABR_Shocks!F25</f>
        <v>-0.1717647</v>
      </c>
      <c r="G230" s="25" t="n">
        <f aca="false">SABR_Base!G24+SABR_Shocks!$D$11*SABR_Shocks!G25</f>
        <v>-0.1627277</v>
      </c>
      <c r="H230" s="25" t="n">
        <f aca="false">SABR_Base!H24+SABR_Shocks!$D$11*SABR_Shocks!H25</f>
        <v>-0.1521206</v>
      </c>
      <c r="I230" s="25" t="n">
        <f aca="false">SABR_Base!I24+SABR_Shocks!$D$11*SABR_Shocks!I25</f>
        <v>-0.1256719</v>
      </c>
      <c r="J230" s="25" t="n">
        <f aca="false">SABR_Base!J24+SABR_Shocks!$D$11*SABR_Shocks!J25</f>
        <v>-0.1181121</v>
      </c>
      <c r="K230" s="25" t="n">
        <f aca="false">SABR_Base!K24+SABR_Shocks!$D$11*SABR_Shocks!K25</f>
        <v>-0.0905694</v>
      </c>
      <c r="L230" s="25" t="n">
        <f aca="false">SABR_Base!L24+SABR_Shocks!$D$11*SABR_Shocks!L25</f>
        <v>-0.0626281</v>
      </c>
    </row>
    <row r="231" customFormat="false" ht="15" hidden="false" customHeight="true" outlineLevel="0" collapsed="false">
      <c r="B231" s="30" t="s">
        <v>60</v>
      </c>
      <c r="C231" s="25" t="n">
        <f aca="false">SABR_Base!C25+SABR_Shocks!$D$11*SABR_Shocks!C26</f>
        <v>-0.2103507</v>
      </c>
      <c r="D231" s="25" t="n">
        <f aca="false">SABR_Base!D25+SABR_Shocks!$D$11*SABR_Shocks!D26</f>
        <v>-0.1955795</v>
      </c>
      <c r="E231" s="25" t="n">
        <f aca="false">SABR_Base!E25+SABR_Shocks!$D$11*SABR_Shocks!E26</f>
        <v>-0.1856704</v>
      </c>
      <c r="F231" s="25" t="n">
        <f aca="false">SABR_Base!F25+SABR_Shocks!$D$11*SABR_Shocks!F26</f>
        <v>-0.165922</v>
      </c>
      <c r="G231" s="25" t="n">
        <f aca="false">SABR_Base!G25+SABR_Shocks!$D$11*SABR_Shocks!G26</f>
        <v>-0.1518112</v>
      </c>
      <c r="H231" s="25" t="n">
        <f aca="false">SABR_Base!H25+SABR_Shocks!$D$11*SABR_Shocks!H26</f>
        <v>-0.1218816</v>
      </c>
      <c r="I231" s="25" t="n">
        <f aca="false">SABR_Base!I25+SABR_Shocks!$D$11*SABR_Shocks!I26</f>
        <v>-0.1085255</v>
      </c>
      <c r="J231" s="25" t="n">
        <f aca="false">SABR_Base!J25+SABR_Shocks!$D$11*SABR_Shocks!J26</f>
        <v>-0.0850315</v>
      </c>
      <c r="K231" s="25" t="n">
        <f aca="false">SABR_Base!K25+SABR_Shocks!$D$11*SABR_Shocks!K26</f>
        <v>-0.0762925</v>
      </c>
      <c r="L231" s="25" t="n">
        <f aca="false">SABR_Base!L25+SABR_Shocks!$D$11*SABR_Shocks!L26</f>
        <v>-0.0600344</v>
      </c>
    </row>
    <row r="232" customFormat="false" ht="15" hidden="false" customHeight="true" outlineLevel="0" collapsed="false">
      <c r="B232" s="30" t="s">
        <v>61</v>
      </c>
      <c r="C232" s="25" t="n">
        <f aca="false">SABR_Base!C26+SABR_Shocks!$D$11*SABR_Shocks!C27</f>
        <v>-0.1931738</v>
      </c>
      <c r="D232" s="25" t="n">
        <f aca="false">SABR_Base!D26+SABR_Shocks!$D$11*SABR_Shocks!D27</f>
        <v>-0.1714573</v>
      </c>
      <c r="E232" s="25" t="n">
        <f aca="false">SABR_Base!E26+SABR_Shocks!$D$11*SABR_Shocks!E27</f>
        <v>-0.1555482</v>
      </c>
      <c r="F232" s="25" t="n">
        <f aca="false">SABR_Base!F26+SABR_Shocks!$D$11*SABR_Shocks!F27</f>
        <v>-0.1388451</v>
      </c>
      <c r="G232" s="25" t="n">
        <f aca="false">SABR_Base!G26+SABR_Shocks!$D$11*SABR_Shocks!G27</f>
        <v>-0.1204286</v>
      </c>
      <c r="H232" s="25" t="n">
        <f aca="false">SABR_Base!H26+SABR_Shocks!$D$11*SABR_Shocks!H27</f>
        <v>-0.1037158</v>
      </c>
      <c r="I232" s="25" t="n">
        <f aca="false">SABR_Base!I26+SABR_Shocks!$D$11*SABR_Shocks!I27</f>
        <v>-0.0964939</v>
      </c>
      <c r="J232" s="25" t="n">
        <f aca="false">SABR_Base!J26+SABR_Shocks!$D$11*SABR_Shocks!J27</f>
        <v>-0.0725831</v>
      </c>
      <c r="K232" s="25" t="n">
        <f aca="false">SABR_Base!K26+SABR_Shocks!$D$11*SABR_Shocks!K27</f>
        <v>-0.0570475</v>
      </c>
      <c r="L232" s="25" t="n">
        <f aca="false">SABR_Base!L26+SABR_Shocks!$D$11*SABR_Shocks!L27</f>
        <v>-0.0455971</v>
      </c>
    </row>
    <row r="233" customFormat="false" ht="15" hidden="false" customHeight="true" outlineLevel="0" collapsed="false">
      <c r="B233" s="30" t="s">
        <v>62</v>
      </c>
      <c r="C233" s="25" t="n">
        <f aca="false">SABR_Base!C27+SABR_Shocks!$D$11*SABR_Shocks!C28</f>
        <v>-0.1908385</v>
      </c>
      <c r="D233" s="25" t="n">
        <f aca="false">SABR_Base!D27+SABR_Shocks!$D$11*SABR_Shocks!D28</f>
        <v>-0.1677579</v>
      </c>
      <c r="E233" s="25" t="n">
        <f aca="false">SABR_Base!E27+SABR_Shocks!$D$11*SABR_Shocks!E28</f>
        <v>-0.1496186</v>
      </c>
      <c r="F233" s="25" t="n">
        <f aca="false">SABR_Base!F27+SABR_Shocks!$D$11*SABR_Shocks!F28</f>
        <v>-0.1226964</v>
      </c>
      <c r="G233" s="25" t="n">
        <f aca="false">SABR_Base!G27+SABR_Shocks!$D$11*SABR_Shocks!G28</f>
        <v>-0.0999198</v>
      </c>
      <c r="H233" s="25" t="n">
        <f aca="false">SABR_Base!H27+SABR_Shocks!$D$11*SABR_Shocks!H28</f>
        <v>-0.0913993</v>
      </c>
      <c r="I233" s="25" t="n">
        <f aca="false">SABR_Base!I27+SABR_Shocks!$D$11*SABR_Shocks!I28</f>
        <v>-0.0635187</v>
      </c>
      <c r="J233" s="25" t="n">
        <f aca="false">SABR_Base!J27+SABR_Shocks!$D$11*SABR_Shocks!J28</f>
        <v>-0.0447344</v>
      </c>
      <c r="K233" s="25" t="n">
        <f aca="false">SABR_Base!K27+SABR_Shocks!$D$11*SABR_Shocks!K28</f>
        <v>-0.0274595</v>
      </c>
      <c r="L233" s="25" t="n">
        <f aca="false">SABR_Base!L27+SABR_Shocks!$D$11*SABR_Shocks!L28</f>
        <v>-0.019935</v>
      </c>
    </row>
    <row r="234" customFormat="false" ht="15" hidden="false" customHeight="true" outlineLevel="0" collapsed="false">
      <c r="B234" s="30" t="s">
        <v>63</v>
      </c>
      <c r="C234" s="25" t="n">
        <f aca="false">SABR_Base!C28+SABR_Shocks!$D$11*SABR_Shocks!C29</f>
        <v>-0.1690938</v>
      </c>
      <c r="D234" s="25" t="n">
        <f aca="false">SABR_Base!D28+SABR_Shocks!$D$11*SABR_Shocks!D29</f>
        <v>-0.1500072</v>
      </c>
      <c r="E234" s="25" t="n">
        <f aca="false">SABR_Base!E28+SABR_Shocks!$D$11*SABR_Shocks!E29</f>
        <v>-0.1332306</v>
      </c>
      <c r="F234" s="25" t="n">
        <f aca="false">SABR_Base!F28+SABR_Shocks!$D$11*SABR_Shocks!F29</f>
        <v>-0.1145668</v>
      </c>
      <c r="G234" s="25" t="n">
        <f aca="false">SABR_Base!G28+SABR_Shocks!$D$11*SABR_Shocks!G29</f>
        <v>-0.0884335</v>
      </c>
      <c r="H234" s="25" t="n">
        <f aca="false">SABR_Base!H28+SABR_Shocks!$D$11*SABR_Shocks!H29</f>
        <v>-0.0643791</v>
      </c>
      <c r="I234" s="25" t="n">
        <f aca="false">SABR_Base!I28+SABR_Shocks!$D$11*SABR_Shocks!I29</f>
        <v>-0.0476344</v>
      </c>
      <c r="J234" s="25" t="n">
        <f aca="false">SABR_Base!J28+SABR_Shocks!$D$11*SABR_Shocks!J29</f>
        <v>-0.037035</v>
      </c>
      <c r="K234" s="25" t="n">
        <f aca="false">SABR_Base!K28+SABR_Shocks!$D$11*SABR_Shocks!K29</f>
        <v>-0.014135</v>
      </c>
      <c r="L234" s="25" t="n">
        <f aca="false">SABR_Base!L28+SABR_Shocks!$D$11*SABR_Shocks!L29</f>
        <v>0.008265</v>
      </c>
    </row>
    <row r="236" customFormat="false" ht="15" hidden="false" customHeight="true" outlineLevel="0" collapsed="false">
      <c r="B236" s="34" t="s">
        <v>116</v>
      </c>
      <c r="C236" s="34"/>
      <c r="D236" s="34"/>
      <c r="E236" s="34"/>
      <c r="F236" s="34"/>
      <c r="G236" s="34"/>
      <c r="H236" s="34"/>
      <c r="I236" s="34"/>
      <c r="J236" s="34"/>
      <c r="K236" s="34"/>
      <c r="L236" s="34"/>
    </row>
    <row r="237" customFormat="false" ht="15" hidden="false" customHeight="true" outlineLevel="0" collapsed="false">
      <c r="B237" s="12" t="s">
        <v>113</v>
      </c>
      <c r="C237" s="13" t="s">
        <v>114</v>
      </c>
      <c r="D237" s="13" t="s">
        <v>56</v>
      </c>
      <c r="E237" s="13" t="s">
        <v>57</v>
      </c>
      <c r="F237" s="13" t="s">
        <v>30</v>
      </c>
      <c r="G237" s="13" t="s">
        <v>58</v>
      </c>
      <c r="H237" s="13" t="s">
        <v>59</v>
      </c>
      <c r="I237" s="13" t="s">
        <v>60</v>
      </c>
      <c r="J237" s="13" t="s">
        <v>61</v>
      </c>
      <c r="K237" s="13" t="s">
        <v>62</v>
      </c>
      <c r="L237" s="13" t="s">
        <v>63</v>
      </c>
    </row>
    <row r="238" customFormat="false" ht="15" hidden="false" customHeight="true" outlineLevel="0" collapsed="false">
      <c r="B238" s="30" t="s">
        <v>114</v>
      </c>
      <c r="C238" s="25" t="n">
        <f aca="false">SABR_Base!C33+SABR_Shocks!$E$11*SABR_Shocks!C20</f>
        <v>0.907341</v>
      </c>
      <c r="D238" s="25" t="n">
        <f aca="false">SABR_Base!D33+SABR_Shocks!$E$11*SABR_Shocks!D20</f>
        <v>0.893238</v>
      </c>
      <c r="E238" s="25" t="n">
        <f aca="false">SABR_Base!E33+SABR_Shocks!$E$11*SABR_Shocks!E20</f>
        <v>0.87202</v>
      </c>
      <c r="F238" s="25" t="n">
        <f aca="false">SABR_Base!F33+SABR_Shocks!$E$11*SABR_Shocks!F20</f>
        <v>0.84394</v>
      </c>
      <c r="G238" s="25" t="n">
        <f aca="false">SABR_Base!G33+SABR_Shocks!$E$11*SABR_Shocks!G20</f>
        <v>0.816817</v>
      </c>
      <c r="H238" s="25" t="n">
        <f aca="false">SABR_Base!H33+SABR_Shocks!$E$11*SABR_Shocks!H20</f>
        <v>0.785017</v>
      </c>
      <c r="I238" s="25" t="n">
        <f aca="false">SABR_Base!I33+SABR_Shocks!$E$11*SABR_Shocks!I20</f>
        <v>0.75489</v>
      </c>
      <c r="J238" s="25" t="n">
        <f aca="false">SABR_Base!J33+SABR_Shocks!$E$11*SABR_Shocks!J20</f>
        <v>0.7412</v>
      </c>
      <c r="K238" s="25" t="n">
        <f aca="false">SABR_Base!K33+SABR_Shocks!$E$11*SABR_Shocks!K20</f>
        <v>0.7058</v>
      </c>
      <c r="L238" s="25" t="n">
        <f aca="false">SABR_Base!L33+SABR_Shocks!$E$11*SABR_Shocks!L20</f>
        <v>0.688882</v>
      </c>
    </row>
    <row r="239" customFormat="false" ht="15" hidden="false" customHeight="true" outlineLevel="0" collapsed="false">
      <c r="B239" s="30" t="s">
        <v>56</v>
      </c>
      <c r="C239" s="25" t="n">
        <f aca="false">SABR_Base!C34+SABR_Shocks!$E$11*SABR_Shocks!C21</f>
        <v>0.898659</v>
      </c>
      <c r="D239" s="25" t="n">
        <f aca="false">SABR_Base!D34+SABR_Shocks!$E$11*SABR_Shocks!D21</f>
        <v>0.861064</v>
      </c>
      <c r="E239" s="25" t="n">
        <f aca="false">SABR_Base!E34+SABR_Shocks!$E$11*SABR_Shocks!E21</f>
        <v>0.835397</v>
      </c>
      <c r="F239" s="25" t="n">
        <f aca="false">SABR_Base!F34+SABR_Shocks!$E$11*SABR_Shocks!F21</f>
        <v>0.819774</v>
      </c>
      <c r="G239" s="25" t="n">
        <f aca="false">SABR_Base!G34+SABR_Shocks!$E$11*SABR_Shocks!G21</f>
        <v>0.791206</v>
      </c>
      <c r="H239" s="25" t="n">
        <f aca="false">SABR_Base!H34+SABR_Shocks!$E$11*SABR_Shocks!H21</f>
        <v>0.753314</v>
      </c>
      <c r="I239" s="25" t="n">
        <f aca="false">SABR_Base!I34+SABR_Shocks!$E$11*SABR_Shocks!I21</f>
        <v>0.727631</v>
      </c>
      <c r="J239" s="25" t="n">
        <f aca="false">SABR_Base!J34+SABR_Shocks!$E$11*SABR_Shocks!J21</f>
        <v>0.700993</v>
      </c>
      <c r="K239" s="25" t="n">
        <f aca="false">SABR_Base!K34+SABR_Shocks!$E$11*SABR_Shocks!K21</f>
        <v>0.691597</v>
      </c>
      <c r="L239" s="25" t="n">
        <f aca="false">SABR_Base!L34+SABR_Shocks!$E$11*SABR_Shocks!L21</f>
        <v>0.663461</v>
      </c>
    </row>
    <row r="240" customFormat="false" ht="15" hidden="false" customHeight="true" outlineLevel="0" collapsed="false">
      <c r="B240" s="30" t="s">
        <v>57</v>
      </c>
      <c r="C240" s="25" t="n">
        <f aca="false">SABR_Base!C35+SABR_Shocks!$E$11*SABR_Shocks!C22</f>
        <v>0.85549</v>
      </c>
      <c r="D240" s="25" t="n">
        <f aca="false">SABR_Base!D35+SABR_Shocks!$E$11*SABR_Shocks!D22</f>
        <v>0.843733</v>
      </c>
      <c r="E240" s="25" t="n">
        <f aca="false">SABR_Base!E35+SABR_Shocks!$E$11*SABR_Shocks!E22</f>
        <v>0.822565</v>
      </c>
      <c r="F240" s="25" t="n">
        <f aca="false">SABR_Base!F35+SABR_Shocks!$E$11*SABR_Shocks!F22</f>
        <v>0.789068</v>
      </c>
      <c r="G240" s="25" t="n">
        <f aca="false">SABR_Base!G35+SABR_Shocks!$E$11*SABR_Shocks!G22</f>
        <v>0.758349</v>
      </c>
      <c r="H240" s="25" t="n">
        <f aca="false">SABR_Base!H35+SABR_Shocks!$E$11*SABR_Shocks!H22</f>
        <v>0.734924</v>
      </c>
      <c r="I240" s="25" t="n">
        <f aca="false">SABR_Base!I35+SABR_Shocks!$E$11*SABR_Shocks!I22</f>
        <v>0.699814</v>
      </c>
      <c r="J240" s="25" t="n">
        <f aca="false">SABR_Base!J35+SABR_Shocks!$E$11*SABR_Shocks!J22</f>
        <v>0.673018</v>
      </c>
      <c r="K240" s="25" t="n">
        <f aca="false">SABR_Base!K35+SABR_Shocks!$E$11*SABR_Shocks!K22</f>
        <v>0.666597</v>
      </c>
      <c r="L240" s="25" t="n">
        <f aca="false">SABR_Base!L35+SABR_Shocks!$E$11*SABR_Shocks!L22</f>
        <v>0.632936</v>
      </c>
    </row>
    <row r="241" customFormat="false" ht="15" hidden="false" customHeight="true" outlineLevel="0" collapsed="false">
      <c r="B241" s="30" t="s">
        <v>30</v>
      </c>
      <c r="C241" s="25" t="n">
        <f aca="false">SABR_Base!C36+SABR_Shocks!$E$11*SABR_Shocks!C23</f>
        <v>0.837405</v>
      </c>
      <c r="D241" s="25" t="n">
        <f aca="false">SABR_Base!D36+SABR_Shocks!$E$11*SABR_Shocks!D23</f>
        <v>0.82023</v>
      </c>
      <c r="E241" s="25" t="n">
        <f aca="false">SABR_Base!E36+SABR_Shocks!$E$11*SABR_Shocks!E23</f>
        <v>0.785898</v>
      </c>
      <c r="F241" s="25" t="n">
        <f aca="false">SABR_Base!F36+SABR_Shocks!$E$11*SABR_Shocks!F23</f>
        <v>0.768175</v>
      </c>
      <c r="G241" s="25" t="n">
        <f aca="false">SABR_Base!G36+SABR_Shocks!$E$11*SABR_Shocks!G23</f>
        <v>0.739827</v>
      </c>
      <c r="H241" s="25" t="n">
        <f aca="false">SABR_Base!H36+SABR_Shocks!$E$11*SABR_Shocks!H23</f>
        <v>0.701865</v>
      </c>
      <c r="I241" s="25" t="n">
        <f aca="false">SABR_Base!I36+SABR_Shocks!$E$11*SABR_Shocks!I23</f>
        <v>0.676406</v>
      </c>
      <c r="J241" s="25" t="n">
        <f aca="false">SABR_Base!J36+SABR_Shocks!$E$11*SABR_Shocks!J23</f>
        <v>0.651234</v>
      </c>
      <c r="K241" s="25" t="n">
        <f aca="false">SABR_Base!K36+SABR_Shocks!$E$11*SABR_Shocks!K23</f>
        <v>0.626148</v>
      </c>
      <c r="L241" s="25" t="n">
        <f aca="false">SABR_Base!L36+SABR_Shocks!$E$11*SABR_Shocks!L23</f>
        <v>0.605641</v>
      </c>
    </row>
    <row r="242" customFormat="false" ht="15" hidden="false" customHeight="true" outlineLevel="0" collapsed="false">
      <c r="B242" s="30" t="s">
        <v>58</v>
      </c>
      <c r="C242" s="25" t="n">
        <f aca="false">SABR_Base!C37+SABR_Shocks!$E$11*SABR_Shocks!C24</f>
        <v>0.807304</v>
      </c>
      <c r="D242" s="25" t="n">
        <f aca="false">SABR_Base!D37+SABR_Shocks!$E$11*SABR_Shocks!D24</f>
        <v>0.784327</v>
      </c>
      <c r="E242" s="25" t="n">
        <f aca="false">SABR_Base!E37+SABR_Shocks!$E$11*SABR_Shocks!E24</f>
        <v>0.751981</v>
      </c>
      <c r="F242" s="25" t="n">
        <f aca="false">SABR_Base!F37+SABR_Shocks!$E$11*SABR_Shocks!F24</f>
        <v>0.742944</v>
      </c>
      <c r="G242" s="25" t="n">
        <f aca="false">SABR_Base!G37+SABR_Shocks!$E$11*SABR_Shocks!G24</f>
        <v>0.704478</v>
      </c>
      <c r="H242" s="25" t="n">
        <f aca="false">SABR_Base!H37+SABR_Shocks!$E$11*SABR_Shocks!H24</f>
        <v>0.681959</v>
      </c>
      <c r="I242" s="25" t="n">
        <f aca="false">SABR_Base!I37+SABR_Shocks!$E$11*SABR_Shocks!I24</f>
        <v>0.657157</v>
      </c>
      <c r="J242" s="25" t="n">
        <f aca="false">SABR_Base!J37+SABR_Shocks!$E$11*SABR_Shocks!J24</f>
        <v>0.638405</v>
      </c>
      <c r="K242" s="25" t="n">
        <f aca="false">SABR_Base!K37+SABR_Shocks!$E$11*SABR_Shocks!K24</f>
        <v>0.602323</v>
      </c>
      <c r="L242" s="25" t="n">
        <f aca="false">SABR_Base!L37+SABR_Shocks!$E$11*SABR_Shocks!L24</f>
        <v>0.586556</v>
      </c>
    </row>
    <row r="243" customFormat="false" ht="15" hidden="false" customHeight="true" outlineLevel="0" collapsed="false">
      <c r="B243" s="30" t="s">
        <v>59</v>
      </c>
      <c r="C243" s="25" t="n">
        <f aca="false">SABR_Base!C38+SABR_Shocks!$E$11*SABR_Shocks!C25</f>
        <v>0.787198</v>
      </c>
      <c r="D243" s="25" t="n">
        <f aca="false">SABR_Base!D38+SABR_Shocks!$E$11*SABR_Shocks!D25</f>
        <v>0.761498</v>
      </c>
      <c r="E243" s="25" t="n">
        <f aca="false">SABR_Base!E38+SABR_Shocks!$E$11*SABR_Shocks!E25</f>
        <v>0.734178</v>
      </c>
      <c r="F243" s="25" t="n">
        <f aca="false">SABR_Base!F38+SABR_Shocks!$E$11*SABR_Shocks!F25</f>
        <v>0.699623</v>
      </c>
      <c r="G243" s="25" t="n">
        <f aca="false">SABR_Base!G38+SABR_Shocks!$E$11*SABR_Shocks!G25</f>
        <v>0.680493</v>
      </c>
      <c r="H243" s="25" t="n">
        <f aca="false">SABR_Base!H38+SABR_Shocks!$E$11*SABR_Shocks!H25</f>
        <v>0.649854</v>
      </c>
      <c r="I243" s="25" t="n">
        <f aca="false">SABR_Base!I38+SABR_Shocks!$E$11*SABR_Shocks!I25</f>
        <v>0.621471</v>
      </c>
      <c r="J243" s="25" t="n">
        <f aca="false">SABR_Base!J38+SABR_Shocks!$E$11*SABR_Shocks!J25</f>
        <v>0.610989</v>
      </c>
      <c r="K243" s="25" t="n">
        <f aca="false">SABR_Base!K38+SABR_Shocks!$E$11*SABR_Shocks!K25</f>
        <v>0.571246</v>
      </c>
      <c r="L243" s="25" t="n">
        <f aca="false">SABR_Base!L38+SABR_Shocks!$E$11*SABR_Shocks!L25</f>
        <v>0.553529</v>
      </c>
    </row>
    <row r="244" customFormat="false" ht="15" hidden="false" customHeight="true" outlineLevel="0" collapsed="false">
      <c r="B244" s="30" t="s">
        <v>60</v>
      </c>
      <c r="C244" s="25" t="n">
        <f aca="false">SABR_Base!C39+SABR_Shocks!$E$11*SABR_Shocks!C26</f>
        <v>0.763963</v>
      </c>
      <c r="D244" s="25" t="n">
        <f aca="false">SABR_Base!D39+SABR_Shocks!$E$11*SABR_Shocks!D26</f>
        <v>0.734755</v>
      </c>
      <c r="E244" s="25" t="n">
        <f aca="false">SABR_Base!E39+SABR_Shocks!$E$11*SABR_Shocks!E26</f>
        <v>0.705436</v>
      </c>
      <c r="F244" s="25" t="n">
        <f aca="false">SABR_Base!F39+SABR_Shocks!$E$11*SABR_Shocks!F26</f>
        <v>0.68238</v>
      </c>
      <c r="G244" s="25" t="n">
        <f aca="false">SABR_Base!G39+SABR_Shocks!$E$11*SABR_Shocks!G26</f>
        <v>0.657108</v>
      </c>
      <c r="H244" s="25" t="n">
        <f aca="false">SABR_Base!H39+SABR_Shocks!$E$11*SABR_Shocks!H26</f>
        <v>0.635144</v>
      </c>
      <c r="I244" s="25" t="n">
        <f aca="false">SABR_Base!I39+SABR_Shocks!$E$11*SABR_Shocks!I26</f>
        <v>0.595795</v>
      </c>
      <c r="J244" s="25" t="n">
        <f aca="false">SABR_Base!J39+SABR_Shocks!$E$11*SABR_Shocks!J26</f>
        <v>0.580135</v>
      </c>
      <c r="K244" s="25" t="n">
        <f aca="false">SABR_Base!K39+SABR_Shocks!$E$11*SABR_Shocks!K26</f>
        <v>0.547225</v>
      </c>
      <c r="L244" s="25" t="n">
        <f aca="false">SABR_Base!L39+SABR_Shocks!$E$11*SABR_Shocks!L26</f>
        <v>0.522696</v>
      </c>
    </row>
    <row r="245" customFormat="false" ht="15" hidden="false" customHeight="true" outlineLevel="0" collapsed="false">
      <c r="B245" s="30" t="s">
        <v>61</v>
      </c>
      <c r="C245" s="25" t="n">
        <f aca="false">SABR_Base!C40+SABR_Shocks!$E$11*SABR_Shocks!C27</f>
        <v>0.739342</v>
      </c>
      <c r="D245" s="25" t="n">
        <f aca="false">SABR_Base!D40+SABR_Shocks!$E$11*SABR_Shocks!D27</f>
        <v>0.708357</v>
      </c>
      <c r="E245" s="25" t="n">
        <f aca="false">SABR_Base!E40+SABR_Shocks!$E$11*SABR_Shocks!E27</f>
        <v>0.684738</v>
      </c>
      <c r="F245" s="25" t="n">
        <f aca="false">SABR_Base!F40+SABR_Shocks!$E$11*SABR_Shocks!F27</f>
        <v>0.661659</v>
      </c>
      <c r="G245" s="25" t="n">
        <f aca="false">SABR_Base!G40+SABR_Shocks!$E$11*SABR_Shocks!G27</f>
        <v>0.638974</v>
      </c>
      <c r="H245" s="25" t="n">
        <f aca="false">SABR_Base!H40+SABR_Shocks!$E$11*SABR_Shocks!H27</f>
        <v>0.604422</v>
      </c>
      <c r="I245" s="25" t="n">
        <f aca="false">SABR_Base!I40+SABR_Shocks!$E$11*SABR_Shocks!I27</f>
        <v>0.580251</v>
      </c>
      <c r="J245" s="25" t="n">
        <f aca="false">SABR_Base!J40+SABR_Shocks!$E$11*SABR_Shocks!J27</f>
        <v>0.552079</v>
      </c>
      <c r="K245" s="25" t="n">
        <f aca="false">SABR_Base!K40+SABR_Shocks!$E$11*SABR_Shocks!K27</f>
        <v>0.528175</v>
      </c>
      <c r="L245" s="25" t="n">
        <f aca="false">SABR_Base!L40+SABR_Shocks!$E$11*SABR_Shocks!L27</f>
        <v>0.505639</v>
      </c>
    </row>
    <row r="246" customFormat="false" ht="15" hidden="false" customHeight="true" outlineLevel="0" collapsed="false">
      <c r="B246" s="30" t="s">
        <v>62</v>
      </c>
      <c r="C246" s="25" t="n">
        <f aca="false">SABR_Base!C41+SABR_Shocks!$E$11*SABR_Shocks!C28</f>
        <v>0.706765</v>
      </c>
      <c r="D246" s="25" t="n">
        <f aca="false">SABR_Base!D41+SABR_Shocks!$E$11*SABR_Shocks!D28</f>
        <v>0.682311</v>
      </c>
      <c r="E246" s="25" t="n">
        <f aca="false">SABR_Base!E41+SABR_Shocks!$E$11*SABR_Shocks!E28</f>
        <v>0.656574</v>
      </c>
      <c r="F246" s="25" t="n">
        <f aca="false">SABR_Base!F41+SABR_Shocks!$E$11*SABR_Shocks!F28</f>
        <v>0.640476</v>
      </c>
      <c r="G246" s="25" t="n">
        <f aca="false">SABR_Base!G41+SABR_Shocks!$E$11*SABR_Shocks!G28</f>
        <v>0.607882</v>
      </c>
      <c r="H246" s="25" t="n">
        <f aca="false">SABR_Base!H41+SABR_Shocks!$E$11*SABR_Shocks!H28</f>
        <v>0.587337</v>
      </c>
      <c r="I246" s="25" t="n">
        <f aca="false">SABR_Base!I41+SABR_Shocks!$E$11*SABR_Shocks!I28</f>
        <v>0.562583</v>
      </c>
      <c r="J246" s="25" t="n">
        <f aca="false">SABR_Base!J41+SABR_Shocks!$E$11*SABR_Shocks!J28</f>
        <v>0.522396</v>
      </c>
      <c r="K246" s="25" t="n">
        <f aca="false">SABR_Base!K41+SABR_Shocks!$E$11*SABR_Shocks!K28</f>
        <v>0.501955</v>
      </c>
      <c r="L246" s="25" t="n">
        <f aca="false">SABR_Base!L41+SABR_Shocks!$E$11*SABR_Shocks!L28</f>
        <v>0.48725</v>
      </c>
    </row>
    <row r="247" customFormat="false" ht="15" hidden="false" customHeight="true" outlineLevel="0" collapsed="false">
      <c r="B247" s="30" t="s">
        <v>63</v>
      </c>
      <c r="C247" s="25" t="n">
        <f aca="false">SABR_Base!C42+SABR_Shocks!$E$11*SABR_Shocks!C29</f>
        <v>0.688042</v>
      </c>
      <c r="D247" s="25" t="n">
        <f aca="false">SABR_Base!D42+SABR_Shocks!$E$11*SABR_Shocks!D29</f>
        <v>0.650348</v>
      </c>
      <c r="E247" s="25" t="n">
        <f aca="false">SABR_Base!E42+SABR_Shocks!$E$11*SABR_Shocks!E29</f>
        <v>0.622354</v>
      </c>
      <c r="F247" s="25" t="n">
        <f aca="false">SABR_Base!F42+SABR_Shocks!$E$11*SABR_Shocks!F29</f>
        <v>0.604012</v>
      </c>
      <c r="G247" s="25" t="n">
        <f aca="false">SABR_Base!G42+SABR_Shocks!$E$11*SABR_Shocks!G29</f>
        <v>0.569615</v>
      </c>
      <c r="H247" s="25" t="n">
        <f aca="false">SABR_Base!H42+SABR_Shocks!$E$11*SABR_Shocks!H29</f>
        <v>0.548419</v>
      </c>
      <c r="I247" s="25" t="n">
        <f aca="false">SABR_Base!I42+SABR_Shocks!$E$11*SABR_Shocks!I29</f>
        <v>0.518596</v>
      </c>
      <c r="J247" s="25" t="n">
        <f aca="false">SABR_Base!J42+SABR_Shocks!$E$11*SABR_Shocks!J29</f>
        <v>0.50395</v>
      </c>
      <c r="K247" s="25" t="n">
        <f aca="false">SABR_Base!K42+SABR_Shocks!$E$11*SABR_Shocks!K29</f>
        <v>0.48405</v>
      </c>
      <c r="L247" s="25" t="n">
        <f aca="false">SABR_Base!L42+SABR_Shocks!$E$11*SABR_Shocks!L29</f>
        <v>0.46405</v>
      </c>
    </row>
    <row r="250" customFormat="false" ht="15" hidden="false" customHeight="true" outlineLevel="0" collapsed="false">
      <c r="B250" s="19" t="s">
        <v>133</v>
      </c>
      <c r="C250" s="19"/>
      <c r="D250" s="19"/>
      <c r="E250" s="19"/>
      <c r="F250" s="19"/>
      <c r="G250" s="19"/>
      <c r="H250" s="19"/>
      <c r="I250" s="19"/>
      <c r="J250" s="19"/>
      <c r="K250" s="19"/>
      <c r="L250" s="19"/>
    </row>
    <row r="251" customFormat="false" ht="15" hidden="false" customHeight="true" outlineLevel="0" collapsed="false">
      <c r="B251" s="34" t="s">
        <v>112</v>
      </c>
      <c r="C251" s="34"/>
      <c r="D251" s="34"/>
      <c r="E251" s="34"/>
      <c r="F251" s="34"/>
      <c r="G251" s="34"/>
      <c r="H251" s="34"/>
      <c r="I251" s="34"/>
      <c r="J251" s="34"/>
      <c r="K251" s="34"/>
      <c r="L251" s="34"/>
    </row>
    <row r="252" customFormat="false" ht="15" hidden="false" customHeight="true" outlineLevel="0" collapsed="false">
      <c r="B252" s="12" t="s">
        <v>113</v>
      </c>
      <c r="C252" s="13" t="s">
        <v>114</v>
      </c>
      <c r="D252" s="13" t="s">
        <v>56</v>
      </c>
      <c r="E252" s="13" t="s">
        <v>57</v>
      </c>
      <c r="F252" s="13" t="s">
        <v>30</v>
      </c>
      <c r="G252" s="13" t="s">
        <v>58</v>
      </c>
      <c r="H252" s="13" t="s">
        <v>59</v>
      </c>
      <c r="I252" s="13" t="s">
        <v>60</v>
      </c>
      <c r="J252" s="13" t="s">
        <v>61</v>
      </c>
      <c r="K252" s="13" t="s">
        <v>62</v>
      </c>
      <c r="L252" s="13" t="s">
        <v>63</v>
      </c>
    </row>
    <row r="253" customFormat="false" ht="15" hidden="false" customHeight="true" outlineLevel="0" collapsed="false">
      <c r="B253" s="30" t="s">
        <v>114</v>
      </c>
      <c r="C253" s="25" t="n">
        <f aca="false">SABR_Base!C5+SABR_Shocks!$C$12*SABR_Shocks!C20</f>
        <v>0.5886063</v>
      </c>
      <c r="D253" s="25" t="n">
        <f aca="false">SABR_Base!D5+SABR_Shocks!$C$12*SABR_Shocks!D20</f>
        <v>0.5663234</v>
      </c>
      <c r="E253" s="25" t="n">
        <f aca="false">SABR_Base!E5+SABR_Shocks!$C$12*SABR_Shocks!E20</f>
        <v>0.557046</v>
      </c>
      <c r="F253" s="25" t="n">
        <f aca="false">SABR_Base!F5+SABR_Shocks!$C$12*SABR_Shocks!F20</f>
        <v>0.526642</v>
      </c>
      <c r="G253" s="25" t="n">
        <f aca="false">SABR_Base!G5+SABR_Shocks!$C$12*SABR_Shocks!G20</f>
        <v>0.5166331</v>
      </c>
      <c r="H253" s="25" t="n">
        <f aca="false">SABR_Base!H5+SABR_Shocks!$C$12*SABR_Shocks!H20</f>
        <v>0.4939031</v>
      </c>
      <c r="I253" s="25" t="n">
        <f aca="false">SABR_Base!I5+SABR_Shocks!$C$12*SABR_Shocks!I20</f>
        <v>0.469867</v>
      </c>
      <c r="J253" s="25" t="n">
        <f aca="false">SABR_Base!J5+SABR_Shocks!$C$12*SABR_Shocks!J20</f>
        <v>0.4598</v>
      </c>
      <c r="K253" s="25" t="n">
        <f aca="false">SABR_Base!K5+SABR_Shocks!$C$12*SABR_Shocks!K20</f>
        <v>0.43107</v>
      </c>
      <c r="L253" s="25" t="n">
        <f aca="false">SABR_Base!L5+SABR_Shocks!$C$12*SABR_Shocks!L20</f>
        <v>0.4197926</v>
      </c>
    </row>
    <row r="254" customFormat="false" ht="15" hidden="false" customHeight="true" outlineLevel="0" collapsed="false">
      <c r="B254" s="30" t="s">
        <v>56</v>
      </c>
      <c r="C254" s="25" t="n">
        <f aca="false">SABR_Base!C6+SABR_Shocks!$C$12*SABR_Shocks!C21</f>
        <v>0.5641237</v>
      </c>
      <c r="D254" s="25" t="n">
        <f aca="false">SABR_Base!D6+SABR_Shocks!$C$12*SABR_Shocks!D21</f>
        <v>0.5454252</v>
      </c>
      <c r="E254" s="25" t="n">
        <f aca="false">SABR_Base!E6+SABR_Shocks!$C$12*SABR_Shocks!E21</f>
        <v>0.5331371</v>
      </c>
      <c r="F254" s="25" t="n">
        <f aca="false">SABR_Base!F6+SABR_Shocks!$C$12*SABR_Shocks!F21</f>
        <v>0.5218282</v>
      </c>
      <c r="G254" s="25" t="n">
        <f aca="false">SABR_Base!G6+SABR_Shocks!$C$12*SABR_Shocks!G21</f>
        <v>0.4897658</v>
      </c>
      <c r="H254" s="25" t="n">
        <f aca="false">SABR_Base!H6+SABR_Shocks!$C$12*SABR_Shocks!H21</f>
        <v>0.4722202</v>
      </c>
      <c r="I254" s="25" t="n">
        <f aca="false">SABR_Base!I6+SABR_Shocks!$C$12*SABR_Shocks!I21</f>
        <v>0.4619633</v>
      </c>
      <c r="J254" s="25" t="n">
        <f aca="false">SABR_Base!J6+SABR_Shocks!$C$12*SABR_Shocks!J21</f>
        <v>0.4485599</v>
      </c>
      <c r="K254" s="25" t="n">
        <f aca="false">SABR_Base!K6+SABR_Shocks!$C$12*SABR_Shocks!K21</f>
        <v>0.4229871</v>
      </c>
      <c r="L254" s="25" t="n">
        <f aca="false">SABR_Base!L6+SABR_Shocks!$C$12*SABR_Shocks!L21</f>
        <v>0.4002623</v>
      </c>
    </row>
    <row r="255" customFormat="false" ht="15" hidden="false" customHeight="true" outlineLevel="0" collapsed="false">
      <c r="B255" s="30" t="s">
        <v>57</v>
      </c>
      <c r="C255" s="25" t="n">
        <f aca="false">SABR_Base!C7+SABR_Shocks!$C$12*SABR_Shocks!C22</f>
        <v>0.562757</v>
      </c>
      <c r="D255" s="25" t="n">
        <f aca="false">SABR_Base!D7+SABR_Shocks!$C$12*SABR_Shocks!D22</f>
        <v>0.5254319</v>
      </c>
      <c r="E255" s="25" t="n">
        <f aca="false">SABR_Base!E7+SABR_Shocks!$C$12*SABR_Shocks!E22</f>
        <v>0.5237695</v>
      </c>
      <c r="F255" s="25" t="n">
        <f aca="false">SABR_Base!F7+SABR_Shocks!$C$12*SABR_Shocks!F22</f>
        <v>0.4926924</v>
      </c>
      <c r="G255" s="25" t="n">
        <f aca="false">SABR_Base!G7+SABR_Shocks!$C$12*SABR_Shocks!G22</f>
        <v>0.4715407</v>
      </c>
      <c r="H255" s="25" t="n">
        <f aca="false">SABR_Base!H7+SABR_Shocks!$C$12*SABR_Shocks!H22</f>
        <v>0.4510532</v>
      </c>
      <c r="I255" s="25" t="n">
        <f aca="false">SABR_Base!I7+SABR_Shocks!$C$12*SABR_Shocks!I22</f>
        <v>0.4352602</v>
      </c>
      <c r="J255" s="25" t="n">
        <f aca="false">SABR_Base!J7+SABR_Shocks!$C$12*SABR_Shocks!J22</f>
        <v>0.4272874</v>
      </c>
      <c r="K255" s="25" t="n">
        <f aca="false">SABR_Base!K7+SABR_Shocks!$C$12*SABR_Shocks!K22</f>
        <v>0.3957571</v>
      </c>
      <c r="L255" s="25" t="n">
        <f aca="false">SABR_Base!L7+SABR_Shocks!$C$12*SABR_Shocks!L22</f>
        <v>0.3839748</v>
      </c>
    </row>
    <row r="256" customFormat="false" ht="15" hidden="false" customHeight="true" outlineLevel="0" collapsed="false">
      <c r="B256" s="30" t="s">
        <v>30</v>
      </c>
      <c r="C256" s="25" t="n">
        <f aca="false">SABR_Base!C8+SABR_Shocks!$C$12*SABR_Shocks!C23</f>
        <v>0.5371215</v>
      </c>
      <c r="D256" s="25" t="n">
        <f aca="false">SABR_Base!D8+SABR_Shocks!$C$12*SABR_Shocks!D23</f>
        <v>0.513149</v>
      </c>
      <c r="E256" s="25" t="n">
        <f aca="false">SABR_Base!E8+SABR_Shocks!$C$12*SABR_Shocks!E23</f>
        <v>0.4985814</v>
      </c>
      <c r="F256" s="25" t="n">
        <f aca="false">SABR_Base!F8+SABR_Shocks!$C$12*SABR_Shocks!F23</f>
        <v>0.4695725</v>
      </c>
      <c r="G256" s="25" t="n">
        <f aca="false">SABR_Base!G8+SABR_Shocks!$C$12*SABR_Shocks!G23</f>
        <v>0.4494061</v>
      </c>
      <c r="H256" s="25" t="n">
        <f aca="false">SABR_Base!H8+SABR_Shocks!$C$12*SABR_Shocks!H23</f>
        <v>0.4335495</v>
      </c>
      <c r="I256" s="25" t="n">
        <f aca="false">SABR_Base!I8+SABR_Shocks!$C$12*SABR_Shocks!I23</f>
        <v>0.4237458</v>
      </c>
      <c r="J256" s="25" t="n">
        <f aca="false">SABR_Base!J8+SABR_Shocks!$C$12*SABR_Shocks!J23</f>
        <v>0.3996262</v>
      </c>
      <c r="K256" s="25" t="n">
        <f aca="false">SABR_Base!K8+SABR_Shocks!$C$12*SABR_Shocks!K23</f>
        <v>0.3794164</v>
      </c>
      <c r="L256" s="25" t="n">
        <f aca="false">SABR_Base!L8+SABR_Shocks!$C$12*SABR_Shocks!L23</f>
        <v>0.3648763</v>
      </c>
    </row>
    <row r="257" customFormat="false" ht="15" hidden="false" customHeight="true" outlineLevel="0" collapsed="false">
      <c r="B257" s="30" t="s">
        <v>58</v>
      </c>
      <c r="C257" s="25" t="n">
        <f aca="false">SABR_Base!C9+SABR_Shocks!$C$12*SABR_Shocks!C24</f>
        <v>0.5151172</v>
      </c>
      <c r="D257" s="25" t="n">
        <f aca="false">SABR_Base!D9+SABR_Shocks!$C$12*SABR_Shocks!D24</f>
        <v>0.4928661</v>
      </c>
      <c r="E257" s="25" t="n">
        <f aca="false">SABR_Base!E9+SABR_Shocks!$C$12*SABR_Shocks!E24</f>
        <v>0.4832783</v>
      </c>
      <c r="F257" s="25" t="n">
        <f aca="false">SABR_Base!F9+SABR_Shocks!$C$12*SABR_Shocks!F24</f>
        <v>0.4631792</v>
      </c>
      <c r="G257" s="25" t="n">
        <f aca="false">SABR_Base!G9+SABR_Shocks!$C$12*SABR_Shocks!G24</f>
        <v>0.4340654</v>
      </c>
      <c r="H257" s="25" t="n">
        <f aca="false">SABR_Base!H9+SABR_Shocks!$C$12*SABR_Shocks!H24</f>
        <v>0.4225137</v>
      </c>
      <c r="I257" s="25" t="n">
        <f aca="false">SABR_Base!I9+SABR_Shocks!$C$12*SABR_Shocks!I24</f>
        <v>0.4016051</v>
      </c>
      <c r="J257" s="25" t="n">
        <f aca="false">SABR_Base!J9+SABR_Shocks!$C$12*SABR_Shocks!J24</f>
        <v>0.3901115</v>
      </c>
      <c r="K257" s="25" t="n">
        <f aca="false">SABR_Base!K9+SABR_Shocks!$C$12*SABR_Shocks!K24</f>
        <v>0.3678289</v>
      </c>
      <c r="L257" s="25" t="n">
        <f aca="false">SABR_Base!L9+SABR_Shocks!$C$12*SABR_Shocks!L24</f>
        <v>0.3400408</v>
      </c>
    </row>
    <row r="258" customFormat="false" ht="15" hidden="false" customHeight="true" outlineLevel="0" collapsed="false">
      <c r="B258" s="30" t="s">
        <v>59</v>
      </c>
      <c r="C258" s="25" t="n">
        <f aca="false">SABR_Base!C10+SABR_Shocks!$C$12*SABR_Shocks!C25</f>
        <v>0.5072814</v>
      </c>
      <c r="D258" s="25" t="n">
        <f aca="false">SABR_Base!D10+SABR_Shocks!$C$12*SABR_Shocks!D25</f>
        <v>0.4707514</v>
      </c>
      <c r="E258" s="25" t="n">
        <f aca="false">SABR_Base!E10+SABR_Shocks!$C$12*SABR_Shocks!E25</f>
        <v>0.4568954</v>
      </c>
      <c r="F258" s="25" t="n">
        <f aca="false">SABR_Base!F10+SABR_Shocks!$C$12*SABR_Shocks!F25</f>
        <v>0.4455489</v>
      </c>
      <c r="G258" s="25" t="n">
        <f aca="false">SABR_Base!G10+SABR_Shocks!$C$12*SABR_Shocks!G25</f>
        <v>0.4133299</v>
      </c>
      <c r="H258" s="25" t="n">
        <f aca="false">SABR_Base!H10+SABR_Shocks!$C$12*SABR_Shocks!H25</f>
        <v>0.4013522</v>
      </c>
      <c r="I258" s="25" t="n">
        <f aca="false">SABR_Base!I10+SABR_Shocks!$C$12*SABR_Shocks!I25</f>
        <v>0.3740953</v>
      </c>
      <c r="J258" s="25" t="n">
        <f aca="false">SABR_Base!J10+SABR_Shocks!$C$12*SABR_Shocks!J25</f>
        <v>0.3673127</v>
      </c>
      <c r="K258" s="25" t="n">
        <f aca="false">SABR_Base!K10+SABR_Shocks!$C$12*SABR_Shocks!K25</f>
        <v>0.3492778</v>
      </c>
      <c r="L258" s="25" t="n">
        <f aca="false">SABR_Base!L10+SABR_Shocks!$C$12*SABR_Shocks!L25</f>
        <v>0.3278047</v>
      </c>
    </row>
    <row r="259" customFormat="false" ht="15" hidden="false" customHeight="true" outlineLevel="0" collapsed="false">
      <c r="B259" s="30" t="s">
        <v>60</v>
      </c>
      <c r="C259" s="25" t="n">
        <f aca="false">SABR_Base!C11+SABR_Shocks!$C$12*SABR_Shocks!C26</f>
        <v>0.4849309</v>
      </c>
      <c r="D259" s="25" t="n">
        <f aca="false">SABR_Base!D11+SABR_Shocks!$C$12*SABR_Shocks!D26</f>
        <v>0.4547165</v>
      </c>
      <c r="E259" s="25" t="n">
        <f aca="false">SABR_Base!E11+SABR_Shocks!$C$12*SABR_Shocks!E26</f>
        <v>0.4441648</v>
      </c>
      <c r="F259" s="25" t="n">
        <f aca="false">SABR_Base!F11+SABR_Shocks!$C$12*SABR_Shocks!F26</f>
        <v>0.422414</v>
      </c>
      <c r="G259" s="25" t="n">
        <f aca="false">SABR_Base!G11+SABR_Shocks!$C$12*SABR_Shocks!G26</f>
        <v>0.4029944</v>
      </c>
      <c r="H259" s="25" t="n">
        <f aca="false">SABR_Base!H11+SABR_Shocks!$C$12*SABR_Shocks!H26</f>
        <v>0.3811592</v>
      </c>
      <c r="I259" s="25" t="n">
        <f aca="false">SABR_Base!I11+SABR_Shocks!$C$12*SABR_Shocks!I26</f>
        <v>0.3698185</v>
      </c>
      <c r="J259" s="25" t="n">
        <f aca="false">SABR_Base!J11+SABR_Shocks!$C$12*SABR_Shocks!J26</f>
        <v>0.3536405</v>
      </c>
      <c r="K259" s="25" t="n">
        <f aca="false">SABR_Base!K11+SABR_Shocks!$C$12*SABR_Shocks!K26</f>
        <v>0.3246475</v>
      </c>
      <c r="L259" s="25" t="n">
        <f aca="false">SABR_Base!L11+SABR_Shocks!$C$12*SABR_Shocks!L26</f>
        <v>0.3100328</v>
      </c>
    </row>
    <row r="260" customFormat="false" ht="15" hidden="false" customHeight="true" outlineLevel="0" collapsed="false">
      <c r="B260" s="30" t="s">
        <v>61</v>
      </c>
      <c r="C260" s="25" t="n">
        <f aca="false">SABR_Base!C12+SABR_Shocks!$C$12*SABR_Shocks!C27</f>
        <v>0.4498006</v>
      </c>
      <c r="D260" s="25" t="n">
        <f aca="false">SABR_Base!D12+SABR_Shocks!$C$12*SABR_Shocks!D27</f>
        <v>0.4437651</v>
      </c>
      <c r="E260" s="25" t="n">
        <f aca="false">SABR_Base!E12+SABR_Shocks!$C$12*SABR_Shocks!E27</f>
        <v>0.4244134</v>
      </c>
      <c r="F260" s="25" t="n">
        <f aca="false">SABR_Base!F12+SABR_Shocks!$C$12*SABR_Shocks!F27</f>
        <v>0.4115837</v>
      </c>
      <c r="G260" s="25" t="n">
        <f aca="false">SABR_Base!G12+SABR_Shocks!$C$12*SABR_Shocks!G27</f>
        <v>0.3892482</v>
      </c>
      <c r="H260" s="25" t="n">
        <f aca="false">SABR_Base!H12+SABR_Shocks!$C$12*SABR_Shocks!H27</f>
        <v>0.3599546</v>
      </c>
      <c r="I260" s="25" t="n">
        <f aca="false">SABR_Base!I12+SABR_Shocks!$C$12*SABR_Shocks!I27</f>
        <v>0.3418093</v>
      </c>
      <c r="J260" s="25" t="n">
        <f aca="false">SABR_Base!J12+SABR_Shocks!$C$12*SABR_Shocks!J27</f>
        <v>0.3283897</v>
      </c>
      <c r="K260" s="25" t="n">
        <f aca="false">SABR_Base!K12+SABR_Shocks!$C$12*SABR_Shocks!K27</f>
        <v>0.2977325</v>
      </c>
      <c r="L260" s="25" t="n">
        <f aca="false">SABR_Base!L12+SABR_Shocks!$C$12*SABR_Shocks!L27</f>
        <v>0.2873077</v>
      </c>
    </row>
    <row r="261" customFormat="false" ht="15" hidden="false" customHeight="true" outlineLevel="0" collapsed="false">
      <c r="B261" s="30" t="s">
        <v>62</v>
      </c>
      <c r="C261" s="25" t="n">
        <f aca="false">SABR_Base!C13+SABR_Shocks!$C$12*SABR_Shocks!C28</f>
        <v>0.4327495</v>
      </c>
      <c r="D261" s="25" t="n">
        <f aca="false">SABR_Base!D13+SABR_Shocks!$C$12*SABR_Shocks!D28</f>
        <v>0.4125773</v>
      </c>
      <c r="E261" s="25" t="n">
        <f aca="false">SABR_Base!E13+SABR_Shocks!$C$12*SABR_Shocks!E28</f>
        <v>0.3932782</v>
      </c>
      <c r="F261" s="25" t="n">
        <f aca="false">SABR_Base!F13+SABR_Shocks!$C$12*SABR_Shocks!F28</f>
        <v>0.3887268</v>
      </c>
      <c r="G261" s="25" t="n">
        <f aca="false">SABR_Base!G13+SABR_Shocks!$C$12*SABR_Shocks!G28</f>
        <v>0.3558026</v>
      </c>
      <c r="H261" s="25" t="n">
        <f aca="false">SABR_Base!H13+SABR_Shocks!$C$12*SABR_Shocks!H28</f>
        <v>0.3403191</v>
      </c>
      <c r="I261" s="25" t="n">
        <f aca="false">SABR_Base!I13+SABR_Shocks!$C$12*SABR_Shocks!I28</f>
        <v>0.3240469</v>
      </c>
      <c r="J261" s="25" t="n">
        <f aca="false">SABR_Base!J13+SABR_Shocks!$C$12*SABR_Shocks!J28</f>
        <v>0.3141328</v>
      </c>
      <c r="K261" s="25" t="n">
        <f aca="false">SABR_Base!K13+SABR_Shocks!$C$12*SABR_Shocks!K28</f>
        <v>0.2789765</v>
      </c>
      <c r="L261" s="25" t="n">
        <f aca="false">SABR_Base!L13+SABR_Shocks!$C$12*SABR_Shocks!L28</f>
        <v>0.269645</v>
      </c>
    </row>
    <row r="262" customFormat="false" ht="15" hidden="false" customHeight="true" outlineLevel="0" collapsed="false">
      <c r="B262" s="30" t="s">
        <v>63</v>
      </c>
      <c r="C262" s="25" t="n">
        <f aca="false">SABR_Base!C14+SABR_Shocks!$C$12*SABR_Shocks!C29</f>
        <v>0.4210406</v>
      </c>
      <c r="D262" s="25" t="n">
        <f aca="false">SABR_Base!D14+SABR_Shocks!$C$12*SABR_Shocks!D29</f>
        <v>0.4101464</v>
      </c>
      <c r="E262" s="25" t="n">
        <f aca="false">SABR_Base!E14+SABR_Shocks!$C$12*SABR_Shocks!E29</f>
        <v>0.3887222</v>
      </c>
      <c r="F262" s="25" t="n">
        <f aca="false">SABR_Base!F14+SABR_Shocks!$C$12*SABR_Shocks!F29</f>
        <v>0.3712916</v>
      </c>
      <c r="G262" s="25" t="n">
        <f aca="false">SABR_Base!G14+SABR_Shocks!$C$12*SABR_Shocks!G29</f>
        <v>0.3398145</v>
      </c>
      <c r="H262" s="25" t="n">
        <f aca="false">SABR_Base!H14+SABR_Shocks!$C$12*SABR_Shocks!H29</f>
        <v>0.3244417</v>
      </c>
      <c r="I262" s="25" t="n">
        <f aca="false">SABR_Base!I14+SABR_Shocks!$C$12*SABR_Shocks!I29</f>
        <v>0.3039328</v>
      </c>
      <c r="J262" s="25" t="n">
        <f aca="false">SABR_Base!J14+SABR_Shocks!$C$12*SABR_Shocks!J29</f>
        <v>0.294945</v>
      </c>
      <c r="K262" s="25" t="n">
        <f aca="false">SABR_Base!K14+SABR_Shocks!$C$12*SABR_Shocks!K29</f>
        <v>0.279745</v>
      </c>
      <c r="L262" s="25" t="n">
        <f aca="false">SABR_Base!L14+SABR_Shocks!$C$12*SABR_Shocks!L29</f>
        <v>0.246945</v>
      </c>
    </row>
    <row r="264" customFormat="false" ht="15" hidden="false" customHeight="true" outlineLevel="0" collapsed="false">
      <c r="B264" s="34" t="s">
        <v>115</v>
      </c>
      <c r="C264" s="34"/>
      <c r="D264" s="34"/>
      <c r="E264" s="34"/>
      <c r="F264" s="34"/>
      <c r="G264" s="34"/>
      <c r="H264" s="34"/>
      <c r="I264" s="34"/>
      <c r="J264" s="34"/>
      <c r="K264" s="34"/>
      <c r="L264" s="34"/>
    </row>
    <row r="265" customFormat="false" ht="15" hidden="false" customHeight="true" outlineLevel="0" collapsed="false">
      <c r="B265" s="12" t="s">
        <v>113</v>
      </c>
      <c r="C265" s="13" t="s">
        <v>114</v>
      </c>
      <c r="D265" s="13" t="s">
        <v>56</v>
      </c>
      <c r="E265" s="13" t="s">
        <v>57</v>
      </c>
      <c r="F265" s="13" t="s">
        <v>30</v>
      </c>
      <c r="G265" s="13" t="s">
        <v>58</v>
      </c>
      <c r="H265" s="13" t="s">
        <v>59</v>
      </c>
      <c r="I265" s="13" t="s">
        <v>60</v>
      </c>
      <c r="J265" s="13" t="s">
        <v>61</v>
      </c>
      <c r="K265" s="13" t="s">
        <v>62</v>
      </c>
      <c r="L265" s="13" t="s">
        <v>63</v>
      </c>
    </row>
    <row r="266" customFormat="false" ht="15" hidden="false" customHeight="true" outlineLevel="0" collapsed="false">
      <c r="B266" s="30" t="s">
        <v>114</v>
      </c>
      <c r="C266" s="25" t="n">
        <f aca="false">SABR_Base!C19+SABR_Shocks!$D$12*SABR_Shocks!C20</f>
        <v>-0.3352067</v>
      </c>
      <c r="D266" s="25" t="n">
        <f aca="false">SABR_Base!D19+SABR_Shocks!$D$12*SABR_Shocks!D20</f>
        <v>-0.3157106</v>
      </c>
      <c r="E266" s="25" t="n">
        <f aca="false">SABR_Base!E19+SABR_Shocks!$D$12*SABR_Shocks!E20</f>
        <v>-0.297514</v>
      </c>
      <c r="F266" s="25" t="n">
        <f aca="false">SABR_Base!F19+SABR_Shocks!$D$12*SABR_Shocks!F20</f>
        <v>-0.274178</v>
      </c>
      <c r="G266" s="25" t="n">
        <f aca="false">SABR_Base!G19+SABR_Shocks!$D$12*SABR_Shocks!G20</f>
        <v>-0.2539479</v>
      </c>
      <c r="H266" s="25" t="n">
        <f aca="false">SABR_Base!H19+SABR_Shocks!$D$12*SABR_Shocks!H20</f>
        <v>-0.2423779</v>
      </c>
      <c r="I266" s="25" t="n">
        <f aca="false">SABR_Base!I19+SABR_Shocks!$D$12*SABR_Shocks!I20</f>
        <v>-0.228803</v>
      </c>
      <c r="J266" s="25" t="n">
        <f aca="false">SABR_Base!J19+SABR_Shocks!$D$12*SABR_Shocks!J20</f>
        <v>-0.2022</v>
      </c>
      <c r="K266" s="25" t="n">
        <f aca="false">SABR_Base!K19+SABR_Shocks!$D$12*SABR_Shocks!K20</f>
        <v>-0.18513</v>
      </c>
      <c r="L266" s="25" t="n">
        <f aca="false">SABR_Base!L19+SABR_Shocks!$D$12*SABR_Shocks!L20</f>
        <v>-0.1630334</v>
      </c>
    </row>
    <row r="267" customFormat="false" ht="15" hidden="false" customHeight="true" outlineLevel="0" collapsed="false">
      <c r="B267" s="30" t="s">
        <v>56</v>
      </c>
      <c r="C267" s="25" t="n">
        <f aca="false">SABR_Base!C20+SABR_Shocks!$D$12*SABR_Shocks!C21</f>
        <v>-0.3015633</v>
      </c>
      <c r="D267" s="25" t="n">
        <f aca="false">SABR_Base!D20+SABR_Shocks!$D$12*SABR_Shocks!D21</f>
        <v>-0.2886268</v>
      </c>
      <c r="E267" s="25" t="n">
        <f aca="false">SABR_Base!E20+SABR_Shocks!$D$12*SABR_Shocks!E21</f>
        <v>-0.2738839</v>
      </c>
      <c r="F267" s="25" t="n">
        <f aca="false">SABR_Base!F20+SABR_Shocks!$D$12*SABR_Shocks!F21</f>
        <v>-0.2537538</v>
      </c>
      <c r="G267" s="25" t="n">
        <f aca="false">SABR_Base!G20+SABR_Shocks!$D$12*SABR_Shocks!G21</f>
        <v>-0.2337922</v>
      </c>
      <c r="H267" s="25" t="n">
        <f aca="false">SABR_Base!H20+SABR_Shocks!$D$12*SABR_Shocks!H21</f>
        <v>-0.2282818</v>
      </c>
      <c r="I267" s="25" t="n">
        <f aca="false">SABR_Base!I20+SABR_Shocks!$D$12*SABR_Shocks!I21</f>
        <v>-0.1927197</v>
      </c>
      <c r="J267" s="25" t="n">
        <f aca="false">SABR_Base!J20+SABR_Shocks!$D$12*SABR_Shocks!J21</f>
        <v>-0.1771891</v>
      </c>
      <c r="K267" s="25" t="n">
        <f aca="false">SABR_Base!K20+SABR_Shocks!$D$12*SABR_Shocks!K21</f>
        <v>-0.1566339</v>
      </c>
      <c r="L267" s="25" t="n">
        <f aca="false">SABR_Base!L20+SABR_Shocks!$D$12*SABR_Shocks!L21</f>
        <v>-0.1400107</v>
      </c>
    </row>
    <row r="268" customFormat="false" ht="15" hidden="false" customHeight="true" outlineLevel="0" collapsed="false">
      <c r="B268" s="30" t="s">
        <v>57</v>
      </c>
      <c r="C268" s="25" t="n">
        <f aca="false">SABR_Base!C21+SABR_Shocks!$D$12*SABR_Shocks!C22</f>
        <v>-0.294813</v>
      </c>
      <c r="D268" s="25" t="n">
        <f aca="false">SABR_Base!D21+SABR_Shocks!$D$12*SABR_Shocks!D22</f>
        <v>-0.2762371</v>
      </c>
      <c r="E268" s="25" t="n">
        <f aca="false">SABR_Base!E21+SABR_Shocks!$D$12*SABR_Shocks!E22</f>
        <v>-0.2633755</v>
      </c>
      <c r="F268" s="25" t="n">
        <f aca="false">SABR_Base!F21+SABR_Shocks!$D$12*SABR_Shocks!F22</f>
        <v>-0.2348316</v>
      </c>
      <c r="G268" s="25" t="n">
        <f aca="false">SABR_Base!G21+SABR_Shocks!$D$12*SABR_Shocks!G22</f>
        <v>-0.2276163</v>
      </c>
      <c r="H268" s="25" t="n">
        <f aca="false">SABR_Base!H21+SABR_Shocks!$D$12*SABR_Shocks!H22</f>
        <v>-0.2096788</v>
      </c>
      <c r="I268" s="25" t="n">
        <f aca="false">SABR_Base!I21+SABR_Shocks!$D$12*SABR_Shocks!I22</f>
        <v>-0.1889418</v>
      </c>
      <c r="J268" s="25" t="n">
        <f aca="false">SABR_Base!J21+SABR_Shocks!$D$12*SABR_Shocks!J22</f>
        <v>-0.1711866</v>
      </c>
      <c r="K268" s="25" t="n">
        <f aca="false">SABR_Base!K21+SABR_Shocks!$D$12*SABR_Shocks!K22</f>
        <v>-0.1492639</v>
      </c>
      <c r="L268" s="25" t="n">
        <f aca="false">SABR_Base!L21+SABR_Shocks!$D$12*SABR_Shocks!L22</f>
        <v>-0.1371732</v>
      </c>
    </row>
    <row r="269" customFormat="false" ht="15" hidden="false" customHeight="true" outlineLevel="0" collapsed="false">
      <c r="B269" s="30" t="s">
        <v>30</v>
      </c>
      <c r="C269" s="25" t="n">
        <f aca="false">SABR_Base!C22+SABR_Shocks!$D$12*SABR_Shocks!C23</f>
        <v>-0.2843435</v>
      </c>
      <c r="D269" s="25" t="n">
        <f aca="false">SABR_Base!D22+SABR_Shocks!$D$12*SABR_Shocks!D23</f>
        <v>-0.262841</v>
      </c>
      <c r="E269" s="25" t="n">
        <f aca="false">SABR_Base!E22+SABR_Shocks!$D$12*SABR_Shocks!E23</f>
        <v>-0.2450326</v>
      </c>
      <c r="F269" s="25" t="n">
        <f aca="false">SABR_Base!F22+SABR_Shocks!$D$12*SABR_Shocks!F23</f>
        <v>-0.2218025</v>
      </c>
      <c r="G269" s="25" t="n">
        <f aca="false">SABR_Base!G22+SABR_Shocks!$D$12*SABR_Shocks!G23</f>
        <v>-0.2108049</v>
      </c>
      <c r="H269" s="25" t="n">
        <f aca="false">SABR_Base!H22+SABR_Shocks!$D$12*SABR_Shocks!H23</f>
        <v>-0.1754955</v>
      </c>
      <c r="I269" s="25" t="n">
        <f aca="false">SABR_Base!I22+SABR_Shocks!$D$12*SABR_Shocks!I23</f>
        <v>-0.1625122</v>
      </c>
      <c r="J269" s="25" t="n">
        <f aca="false">SABR_Base!J22+SABR_Shocks!$D$12*SABR_Shocks!J23</f>
        <v>-0.1536358</v>
      </c>
      <c r="K269" s="25" t="n">
        <f aca="false">SABR_Base!K22+SABR_Shocks!$D$12*SABR_Shocks!K23</f>
        <v>-0.1327476</v>
      </c>
      <c r="L269" s="25" t="n">
        <f aca="false">SABR_Base!L22+SABR_Shocks!$D$12*SABR_Shocks!L23</f>
        <v>-0.1130367</v>
      </c>
    </row>
    <row r="270" customFormat="false" ht="15" hidden="false" customHeight="true" outlineLevel="0" collapsed="false">
      <c r="B270" s="30" t="s">
        <v>58</v>
      </c>
      <c r="C270" s="25" t="n">
        <f aca="false">SABR_Base!C23+SABR_Shocks!$D$12*SABR_Shocks!C24</f>
        <v>-0.2583548</v>
      </c>
      <c r="D270" s="25" t="n">
        <f aca="false">SABR_Base!D23+SABR_Shocks!$D$12*SABR_Shocks!D24</f>
        <v>-0.2450449</v>
      </c>
      <c r="E270" s="25" t="n">
        <f aca="false">SABR_Base!E23+SABR_Shocks!$D$12*SABR_Shocks!E24</f>
        <v>-0.2125547</v>
      </c>
      <c r="F270" s="25" t="n">
        <f aca="false">SABR_Base!F23+SABR_Shocks!$D$12*SABR_Shocks!F24</f>
        <v>-0.1909128</v>
      </c>
      <c r="G270" s="25" t="n">
        <f aca="false">SABR_Base!G23+SABR_Shocks!$D$12*SABR_Shocks!G24</f>
        <v>-0.1836886</v>
      </c>
      <c r="H270" s="25" t="n">
        <f aca="false">SABR_Base!H23+SABR_Shocks!$D$12*SABR_Shocks!H24</f>
        <v>-0.1646733</v>
      </c>
      <c r="I270" s="25" t="n">
        <f aca="false">SABR_Base!I23+SABR_Shocks!$D$12*SABR_Shocks!I24</f>
        <v>-0.1547959</v>
      </c>
      <c r="J270" s="25" t="n">
        <f aca="false">SABR_Base!J23+SABR_Shocks!$D$12*SABR_Shocks!J24</f>
        <v>-0.1360535</v>
      </c>
      <c r="K270" s="25" t="n">
        <f aca="false">SABR_Base!K23+SABR_Shocks!$D$12*SABR_Shocks!K24</f>
        <v>-0.1131101</v>
      </c>
      <c r="L270" s="25" t="n">
        <f aca="false">SABR_Base!L23+SABR_Shocks!$D$12*SABR_Shocks!L24</f>
        <v>-0.0963672</v>
      </c>
    </row>
    <row r="271" customFormat="false" ht="15" hidden="false" customHeight="true" outlineLevel="0" collapsed="false">
      <c r="B271" s="30" t="s">
        <v>59</v>
      </c>
      <c r="C271" s="25" t="n">
        <f aca="false">SABR_Base!C24+SABR_Shocks!$D$12*SABR_Shocks!C25</f>
        <v>-0.2305326</v>
      </c>
      <c r="D271" s="25" t="n">
        <f aca="false">SABR_Base!D24+SABR_Shocks!$D$12*SABR_Shocks!D25</f>
        <v>-0.2257626</v>
      </c>
      <c r="E271" s="25" t="n">
        <f aca="false">SABR_Base!E24+SABR_Shocks!$D$12*SABR_Shocks!E25</f>
        <v>-0.2106586</v>
      </c>
      <c r="F271" s="25" t="n">
        <f aca="false">SABR_Base!F24+SABR_Shocks!$D$12*SABR_Shocks!F25</f>
        <v>-0.1733901</v>
      </c>
      <c r="G271" s="25" t="n">
        <f aca="false">SABR_Base!G24+SABR_Shocks!$D$12*SABR_Shocks!G25</f>
        <v>-0.1641191</v>
      </c>
      <c r="H271" s="25" t="n">
        <f aca="false">SABR_Base!H24+SABR_Shocks!$D$12*SABR_Shocks!H25</f>
        <v>-0.1533698</v>
      </c>
      <c r="I271" s="25" t="n">
        <f aca="false">SABR_Base!I24+SABR_Shocks!$D$12*SABR_Shocks!I25</f>
        <v>-0.1268077</v>
      </c>
      <c r="J271" s="25" t="n">
        <f aca="false">SABR_Base!J24+SABR_Shocks!$D$12*SABR_Shocks!J25</f>
        <v>-0.1190643</v>
      </c>
      <c r="K271" s="25" t="n">
        <f aca="false">SABR_Base!K24+SABR_Shocks!$D$12*SABR_Shocks!K25</f>
        <v>-0.0913002</v>
      </c>
      <c r="L271" s="25" t="n">
        <f aca="false">SABR_Base!L24+SABR_Shocks!$D$12*SABR_Shocks!L25</f>
        <v>-0.0632923</v>
      </c>
    </row>
    <row r="272" customFormat="false" ht="15" hidden="false" customHeight="true" outlineLevel="0" collapsed="false">
      <c r="B272" s="30" t="s">
        <v>60</v>
      </c>
      <c r="C272" s="25" t="n">
        <f aca="false">SABR_Base!C25+SABR_Shocks!$D$12*SABR_Shocks!C26</f>
        <v>-0.2122281</v>
      </c>
      <c r="D272" s="25" t="n">
        <f aca="false">SABR_Base!D25+SABR_Shocks!$D$12*SABR_Shocks!D26</f>
        <v>-0.1972985</v>
      </c>
      <c r="E272" s="25" t="n">
        <f aca="false">SABR_Base!E25+SABR_Shocks!$D$12*SABR_Shocks!E26</f>
        <v>-0.1872832</v>
      </c>
      <c r="F272" s="25" t="n">
        <f aca="false">SABR_Base!F25+SABR_Shocks!$D$12*SABR_Shocks!F26</f>
        <v>-0.167326</v>
      </c>
      <c r="G272" s="25" t="n">
        <f aca="false">SABR_Base!G25+SABR_Shocks!$D$12*SABR_Shocks!G26</f>
        <v>-0.1530496</v>
      </c>
      <c r="H272" s="25" t="n">
        <f aca="false">SABR_Base!H25+SABR_Shocks!$D$12*SABR_Shocks!H26</f>
        <v>-0.1229328</v>
      </c>
      <c r="I272" s="25" t="n">
        <f aca="false">SABR_Base!I25+SABR_Shocks!$D$12*SABR_Shocks!I26</f>
        <v>-0.1094165</v>
      </c>
      <c r="J272" s="25" t="n">
        <f aca="false">SABR_Base!J25+SABR_Shocks!$D$12*SABR_Shocks!J26</f>
        <v>-0.0858145</v>
      </c>
      <c r="K272" s="25" t="n">
        <f aca="false">SABR_Base!K25+SABR_Shocks!$D$12*SABR_Shocks!K26</f>
        <v>-0.0768775</v>
      </c>
      <c r="L272" s="25" t="n">
        <f aca="false">SABR_Base!L25+SABR_Shocks!$D$12*SABR_Shocks!L26</f>
        <v>-0.0604952</v>
      </c>
    </row>
    <row r="273" customFormat="false" ht="15" hidden="false" customHeight="true" outlineLevel="0" collapsed="false">
      <c r="B273" s="30" t="s">
        <v>61</v>
      </c>
      <c r="C273" s="25" t="n">
        <f aca="false">SABR_Base!C26+SABR_Shocks!$D$12*SABR_Shocks!C27</f>
        <v>-0.1949054</v>
      </c>
      <c r="D273" s="25" t="n">
        <f aca="false">SABR_Base!D26+SABR_Shocks!$D$12*SABR_Shocks!D27</f>
        <v>-0.1730359</v>
      </c>
      <c r="E273" s="25" t="n">
        <f aca="false">SABR_Base!E26+SABR_Shocks!$D$12*SABR_Shocks!E27</f>
        <v>-0.1570206</v>
      </c>
      <c r="F273" s="25" t="n">
        <f aca="false">SABR_Base!F26+SABR_Shocks!$D$12*SABR_Shocks!F27</f>
        <v>-0.1401033</v>
      </c>
      <c r="G273" s="25" t="n">
        <f aca="false">SABR_Base!G26+SABR_Shocks!$D$12*SABR_Shocks!G27</f>
        <v>-0.1215338</v>
      </c>
      <c r="H273" s="25" t="n">
        <f aca="false">SABR_Base!H26+SABR_Shocks!$D$12*SABR_Shocks!H27</f>
        <v>-0.1046914</v>
      </c>
      <c r="I273" s="25" t="n">
        <f aca="false">SABR_Base!I26+SABR_Shocks!$D$12*SABR_Shocks!I27</f>
        <v>-0.0972337</v>
      </c>
      <c r="J273" s="25" t="n">
        <f aca="false">SABR_Base!J26+SABR_Shocks!$D$12*SABR_Shocks!J27</f>
        <v>-0.0731573</v>
      </c>
      <c r="K273" s="25" t="n">
        <f aca="false">SABR_Base!K26+SABR_Shocks!$D$12*SABR_Shocks!K27</f>
        <v>-0.0575425</v>
      </c>
      <c r="L273" s="25" t="n">
        <f aca="false">SABR_Base!L26+SABR_Shocks!$D$12*SABR_Shocks!L27</f>
        <v>-0.0459193</v>
      </c>
    </row>
    <row r="274" customFormat="false" ht="15" hidden="false" customHeight="true" outlineLevel="0" collapsed="false">
      <c r="B274" s="30" t="s">
        <v>62</v>
      </c>
      <c r="C274" s="25" t="n">
        <f aca="false">SABR_Base!C27+SABR_Shocks!$D$12*SABR_Shocks!C28</f>
        <v>-0.1923955</v>
      </c>
      <c r="D274" s="25" t="n">
        <f aca="false">SABR_Base!D27+SABR_Shocks!$D$12*SABR_Shocks!D28</f>
        <v>-0.1691457</v>
      </c>
      <c r="E274" s="25" t="n">
        <f aca="false">SABR_Base!E27+SABR_Shocks!$D$12*SABR_Shocks!E28</f>
        <v>-0.1509038</v>
      </c>
      <c r="F274" s="25" t="n">
        <f aca="false">SABR_Base!F27+SABR_Shocks!$D$12*SABR_Shocks!F28</f>
        <v>-0.1238412</v>
      </c>
      <c r="G274" s="25" t="n">
        <f aca="false">SABR_Base!G27+SABR_Shocks!$D$12*SABR_Shocks!G28</f>
        <v>-0.1008234</v>
      </c>
      <c r="H274" s="25" t="n">
        <f aca="false">SABR_Base!H27+SABR_Shocks!$D$12*SABR_Shocks!H28</f>
        <v>-0.0922219</v>
      </c>
      <c r="I274" s="25" t="n">
        <f aca="false">SABR_Base!I27+SABR_Shocks!$D$12*SABR_Shocks!I28</f>
        <v>-0.0641721</v>
      </c>
      <c r="J274" s="25" t="n">
        <f aca="false">SABR_Base!J27+SABR_Shocks!$D$12*SABR_Shocks!J28</f>
        <v>-0.0451952</v>
      </c>
      <c r="K274" s="25" t="n">
        <f aca="false">SABR_Base!K27+SABR_Shocks!$D$12*SABR_Shocks!K28</f>
        <v>-0.0277385</v>
      </c>
      <c r="L274" s="25" t="n">
        <f aca="false">SABR_Base!L27+SABR_Shocks!$D$12*SABR_Shocks!L28</f>
        <v>-0.020205</v>
      </c>
    </row>
    <row r="275" customFormat="false" ht="15" hidden="false" customHeight="true" outlineLevel="0" collapsed="false">
      <c r="B275" s="30" t="s">
        <v>63</v>
      </c>
      <c r="C275" s="25" t="n">
        <f aca="false">SABR_Base!C28+SABR_Shocks!$D$12*SABR_Shocks!C29</f>
        <v>-0.1704654</v>
      </c>
      <c r="D275" s="25" t="n">
        <f aca="false">SABR_Base!D28+SABR_Shocks!$D$12*SABR_Shocks!D29</f>
        <v>-0.1513176</v>
      </c>
      <c r="E275" s="25" t="n">
        <f aca="false">SABR_Base!E28+SABR_Shocks!$D$12*SABR_Shocks!E29</f>
        <v>-0.1342998</v>
      </c>
      <c r="F275" s="25" t="n">
        <f aca="false">SABR_Base!F28+SABR_Shocks!$D$12*SABR_Shocks!F29</f>
        <v>-0.1155244</v>
      </c>
      <c r="G275" s="25" t="n">
        <f aca="false">SABR_Base!G28+SABR_Shocks!$D$12*SABR_Shocks!G29</f>
        <v>-0.0891805</v>
      </c>
      <c r="H275" s="25" t="n">
        <f aca="false">SABR_Base!H28+SABR_Shocks!$D$12*SABR_Shocks!H29</f>
        <v>-0.0650253</v>
      </c>
      <c r="I275" s="25" t="n">
        <f aca="false">SABR_Base!I28+SABR_Shocks!$D$12*SABR_Shocks!I29</f>
        <v>-0.0480952</v>
      </c>
      <c r="J275" s="25" t="n">
        <f aca="false">SABR_Base!J28+SABR_Shocks!$D$12*SABR_Shocks!J29</f>
        <v>-0.037305</v>
      </c>
      <c r="K275" s="25" t="n">
        <f aca="false">SABR_Base!K28+SABR_Shocks!$D$12*SABR_Shocks!K29</f>
        <v>-0.014405</v>
      </c>
      <c r="L275" s="25" t="n">
        <f aca="false">SABR_Base!L28+SABR_Shocks!$D$12*SABR_Shocks!L29</f>
        <v>0.007995</v>
      </c>
    </row>
    <row r="277" customFormat="false" ht="15" hidden="false" customHeight="true" outlineLevel="0" collapsed="false">
      <c r="B277" s="34" t="s">
        <v>116</v>
      </c>
      <c r="C277" s="34"/>
      <c r="D277" s="34"/>
      <c r="E277" s="34"/>
      <c r="F277" s="34"/>
      <c r="G277" s="34"/>
      <c r="H277" s="34"/>
      <c r="I277" s="34"/>
      <c r="J277" s="34"/>
      <c r="K277" s="34"/>
      <c r="L277" s="34"/>
    </row>
    <row r="278" customFormat="false" ht="15" hidden="false" customHeight="true" outlineLevel="0" collapsed="false">
      <c r="B278" s="12" t="s">
        <v>113</v>
      </c>
      <c r="C278" s="13" t="s">
        <v>114</v>
      </c>
      <c r="D278" s="13" t="s">
        <v>56</v>
      </c>
      <c r="E278" s="13" t="s">
        <v>57</v>
      </c>
      <c r="F278" s="13" t="s">
        <v>30</v>
      </c>
      <c r="G278" s="13" t="s">
        <v>58</v>
      </c>
      <c r="H278" s="13" t="s">
        <v>59</v>
      </c>
      <c r="I278" s="13" t="s">
        <v>60</v>
      </c>
      <c r="J278" s="13" t="s">
        <v>61</v>
      </c>
      <c r="K278" s="13" t="s">
        <v>62</v>
      </c>
      <c r="L278" s="13" t="s">
        <v>63</v>
      </c>
    </row>
    <row r="279" customFormat="false" ht="15" hidden="false" customHeight="true" outlineLevel="0" collapsed="false">
      <c r="B279" s="30" t="s">
        <v>114</v>
      </c>
      <c r="C279" s="25" t="n">
        <f aca="false">SABR_Base!C33+SABR_Shocks!$E$12*SABR_Shocks!C20</f>
        <v>0.8924517</v>
      </c>
      <c r="D279" s="25" t="n">
        <f aca="false">SABR_Base!D33+SABR_Shocks!$E$12*SABR_Shocks!D20</f>
        <v>0.8791206</v>
      </c>
      <c r="E279" s="25" t="n">
        <f aca="false">SABR_Base!E33+SABR_Shocks!$E$12*SABR_Shocks!E20</f>
        <v>0.858814</v>
      </c>
      <c r="F279" s="25" t="n">
        <f aca="false">SABR_Base!F33+SABR_Shocks!$E$12*SABR_Shocks!F20</f>
        <v>0.831478</v>
      </c>
      <c r="G279" s="25" t="n">
        <f aca="false">SABR_Base!G33+SABR_Shocks!$E$12*SABR_Shocks!G20</f>
        <v>0.8053129</v>
      </c>
      <c r="H279" s="25" t="n">
        <f aca="false">SABR_Base!H33+SABR_Shocks!$E$12*SABR_Shocks!H20</f>
        <v>0.7744429</v>
      </c>
      <c r="I279" s="25" t="n">
        <f aca="false">SABR_Base!I33+SABR_Shocks!$E$12*SABR_Shocks!I20</f>
        <v>0.744753</v>
      </c>
      <c r="J279" s="25" t="n">
        <f aca="false">SABR_Base!J33+SABR_Shocks!$E$12*SABR_Shocks!J20</f>
        <v>0.7319</v>
      </c>
      <c r="K279" s="25" t="n">
        <f aca="false">SABR_Base!K33+SABR_Shocks!$E$12*SABR_Shocks!K20</f>
        <v>0.69743</v>
      </c>
      <c r="L279" s="25" t="n">
        <f aca="false">SABR_Base!L33+SABR_Shocks!$E$12*SABR_Shocks!L20</f>
        <v>0.6814234</v>
      </c>
    </row>
    <row r="280" customFormat="false" ht="15" hidden="false" customHeight="true" outlineLevel="0" collapsed="false">
      <c r="B280" s="30" t="s">
        <v>56</v>
      </c>
      <c r="C280" s="25" t="n">
        <f aca="false">SABR_Base!C34+SABR_Shocks!$E$12*SABR_Shocks!C21</f>
        <v>0.8847183</v>
      </c>
      <c r="D280" s="25" t="n">
        <f aca="false">SABR_Base!D34+SABR_Shocks!$E$12*SABR_Shocks!D21</f>
        <v>0.8480068</v>
      </c>
      <c r="E280" s="25" t="n">
        <f aca="false">SABR_Base!E34+SABR_Shocks!$E$12*SABR_Shocks!E21</f>
        <v>0.8231489</v>
      </c>
      <c r="F280" s="25" t="n">
        <f aca="false">SABR_Base!F34+SABR_Shocks!$E$12*SABR_Shocks!F21</f>
        <v>0.8084838</v>
      </c>
      <c r="G280" s="25" t="n">
        <f aca="false">SABR_Base!G34+SABR_Shocks!$E$12*SABR_Shocks!G21</f>
        <v>0.7803622</v>
      </c>
      <c r="H280" s="25" t="n">
        <f aca="false">SABR_Base!H34+SABR_Shocks!$E$12*SABR_Shocks!H21</f>
        <v>0.7435118</v>
      </c>
      <c r="I280" s="25" t="n">
        <f aca="false">SABR_Base!I34+SABR_Shocks!$E$12*SABR_Shocks!I21</f>
        <v>0.7184147</v>
      </c>
      <c r="J280" s="25" t="n">
        <f aca="false">SABR_Base!J34+SABR_Shocks!$E$12*SABR_Shocks!J21</f>
        <v>0.6928741</v>
      </c>
      <c r="K280" s="25" t="n">
        <f aca="false">SABR_Base!K34+SABR_Shocks!$E$12*SABR_Shocks!K21</f>
        <v>0.6839989</v>
      </c>
      <c r="L280" s="25" t="n">
        <f aca="false">SABR_Base!L34+SABR_Shocks!$E$12*SABR_Shocks!L21</f>
        <v>0.6567557</v>
      </c>
    </row>
    <row r="281" customFormat="false" ht="15" hidden="false" customHeight="true" outlineLevel="0" collapsed="false">
      <c r="B281" s="30" t="s">
        <v>57</v>
      </c>
      <c r="C281" s="25" t="n">
        <f aca="false">SABR_Base!C35+SABR_Shocks!$E$12*SABR_Shocks!C22</f>
        <v>0.842563</v>
      </c>
      <c r="D281" s="25" t="n">
        <f aca="false">SABR_Base!D35+SABR_Shocks!$E$12*SABR_Shocks!D22</f>
        <v>0.8315221</v>
      </c>
      <c r="E281" s="25" t="n">
        <f aca="false">SABR_Base!E35+SABR_Shocks!$E$12*SABR_Shocks!E22</f>
        <v>0.8108005</v>
      </c>
      <c r="F281" s="25" t="n">
        <f aca="false">SABR_Base!F35+SABR_Shocks!$E$12*SABR_Shocks!F22</f>
        <v>0.7783916</v>
      </c>
      <c r="G281" s="25" t="n">
        <f aca="false">SABR_Base!G35+SABR_Shocks!$E$12*SABR_Shocks!G22</f>
        <v>0.7482213</v>
      </c>
      <c r="H281" s="25" t="n">
        <f aca="false">SABR_Base!H35+SABR_Shocks!$E$12*SABR_Shocks!H22</f>
        <v>0.7259588</v>
      </c>
      <c r="I281" s="25" t="n">
        <f aca="false">SABR_Base!I35+SABR_Shocks!$E$12*SABR_Shocks!I22</f>
        <v>0.6918718</v>
      </c>
      <c r="J281" s="25" t="n">
        <f aca="false">SABR_Base!J35+SABR_Shocks!$E$12*SABR_Shocks!J22</f>
        <v>0.6655966</v>
      </c>
      <c r="K281" s="25" t="n">
        <f aca="false">SABR_Base!K35+SABR_Shocks!$E$12*SABR_Shocks!K22</f>
        <v>0.6599289</v>
      </c>
      <c r="L281" s="25" t="n">
        <f aca="false">SABR_Base!L35+SABR_Shocks!$E$12*SABR_Shocks!L22</f>
        <v>0.6273932</v>
      </c>
    </row>
    <row r="282" customFormat="false" ht="15" hidden="false" customHeight="true" outlineLevel="0" collapsed="false">
      <c r="B282" s="30" t="s">
        <v>30</v>
      </c>
      <c r="C282" s="25" t="n">
        <f aca="false">SABR_Base!C36+SABR_Shocks!$E$12*SABR_Shocks!C23</f>
        <v>0.8252685</v>
      </c>
      <c r="D282" s="25" t="n">
        <f aca="false">SABR_Base!D36+SABR_Shocks!$E$12*SABR_Shocks!D23</f>
        <v>0.808791</v>
      </c>
      <c r="E282" s="25" t="n">
        <f aca="false">SABR_Base!E36+SABR_Shocks!$E$12*SABR_Shocks!E23</f>
        <v>0.7749426</v>
      </c>
      <c r="F282" s="25" t="n">
        <f aca="false">SABR_Base!F36+SABR_Shocks!$E$12*SABR_Shocks!F23</f>
        <v>0.7581775</v>
      </c>
      <c r="G282" s="25" t="n">
        <f aca="false">SABR_Base!G36+SABR_Shocks!$E$12*SABR_Shocks!G23</f>
        <v>0.7310199</v>
      </c>
      <c r="H282" s="25" t="n">
        <f aca="false">SABR_Base!H36+SABR_Shocks!$E$12*SABR_Shocks!H23</f>
        <v>0.6938205</v>
      </c>
      <c r="I282" s="25" t="n">
        <f aca="false">SABR_Base!I36+SABR_Shocks!$E$12*SABR_Shocks!I23</f>
        <v>0.6692822</v>
      </c>
      <c r="J282" s="25" t="n">
        <f aca="false">SABR_Base!J36+SABR_Shocks!$E$12*SABR_Shocks!J23</f>
        <v>0.6449658</v>
      </c>
      <c r="K282" s="25" t="n">
        <f aca="false">SABR_Base!K36+SABR_Shocks!$E$12*SABR_Shocks!K23</f>
        <v>0.6203076</v>
      </c>
      <c r="L282" s="25" t="n">
        <f aca="false">SABR_Base!L36+SABR_Shocks!$E$12*SABR_Shocks!L23</f>
        <v>0.6009817</v>
      </c>
    </row>
    <row r="283" customFormat="false" ht="15" hidden="false" customHeight="true" outlineLevel="0" collapsed="false">
      <c r="B283" s="30" t="s">
        <v>58</v>
      </c>
      <c r="C283" s="25" t="n">
        <f aca="false">SABR_Base!C37+SABR_Shocks!$E$12*SABR_Shocks!C24</f>
        <v>0.7957348</v>
      </c>
      <c r="D283" s="25" t="n">
        <f aca="false">SABR_Base!D37+SABR_Shocks!$E$12*SABR_Shocks!D24</f>
        <v>0.7736599</v>
      </c>
      <c r="E283" s="25" t="n">
        <f aca="false">SABR_Base!E37+SABR_Shocks!$E$12*SABR_Shocks!E24</f>
        <v>0.7422997</v>
      </c>
      <c r="F283" s="25" t="n">
        <f aca="false">SABR_Base!F37+SABR_Shocks!$E$12*SABR_Shocks!F24</f>
        <v>0.7337928</v>
      </c>
      <c r="G283" s="25" t="n">
        <f aca="false">SABR_Base!G37+SABR_Shocks!$E$12*SABR_Shocks!G24</f>
        <v>0.6964986</v>
      </c>
      <c r="H283" s="25" t="n">
        <f aca="false">SABR_Base!H37+SABR_Shocks!$E$12*SABR_Shocks!H24</f>
        <v>0.6745283</v>
      </c>
      <c r="I283" s="25" t="n">
        <f aca="false">SABR_Base!I37+SABR_Shocks!$E$12*SABR_Shocks!I24</f>
        <v>0.6508609</v>
      </c>
      <c r="J283" s="25" t="n">
        <f aca="false">SABR_Base!J37+SABR_Shocks!$E$12*SABR_Shocks!J24</f>
        <v>0.6327785</v>
      </c>
      <c r="K283" s="25" t="n">
        <f aca="false">SABR_Base!K37+SABR_Shocks!$E$12*SABR_Shocks!K24</f>
        <v>0.5976451</v>
      </c>
      <c r="L283" s="25" t="n">
        <f aca="false">SABR_Base!L37+SABR_Shocks!$E$12*SABR_Shocks!L24</f>
        <v>0.5826872</v>
      </c>
    </row>
    <row r="284" customFormat="false" ht="15" hidden="false" customHeight="true" outlineLevel="0" collapsed="false">
      <c r="B284" s="30" t="s">
        <v>59</v>
      </c>
      <c r="C284" s="25" t="n">
        <f aca="false">SABR_Base!C38+SABR_Shocks!$E$12*SABR_Shocks!C25</f>
        <v>0.7762426</v>
      </c>
      <c r="D284" s="25" t="n">
        <f aca="false">SABR_Base!D38+SABR_Shocks!$E$12*SABR_Shocks!D25</f>
        <v>0.7514726</v>
      </c>
      <c r="E284" s="25" t="n">
        <f aca="false">SABR_Base!E38+SABR_Shocks!$E$12*SABR_Shocks!E25</f>
        <v>0.7252686</v>
      </c>
      <c r="F284" s="25" t="n">
        <f aca="false">SABR_Base!F38+SABR_Shocks!$E$12*SABR_Shocks!F25</f>
        <v>0.6912251</v>
      </c>
      <c r="G284" s="25" t="n">
        <f aca="false">SABR_Base!G38+SABR_Shocks!$E$12*SABR_Shocks!G25</f>
        <v>0.6733041</v>
      </c>
      <c r="H284" s="25" t="n">
        <f aca="false">SABR_Base!H38+SABR_Shocks!$E$12*SABR_Shocks!H25</f>
        <v>0.6433998</v>
      </c>
      <c r="I284" s="25" t="n">
        <f aca="false">SABR_Base!I38+SABR_Shocks!$E$12*SABR_Shocks!I25</f>
        <v>0.6156027</v>
      </c>
      <c r="J284" s="25" t="n">
        <f aca="false">SABR_Base!J38+SABR_Shocks!$E$12*SABR_Shocks!J25</f>
        <v>0.6060693</v>
      </c>
      <c r="K284" s="25" t="n">
        <f aca="false">SABR_Base!K38+SABR_Shocks!$E$12*SABR_Shocks!K25</f>
        <v>0.5674702</v>
      </c>
      <c r="L284" s="25" t="n">
        <f aca="false">SABR_Base!L38+SABR_Shocks!$E$12*SABR_Shocks!L25</f>
        <v>0.5500973</v>
      </c>
    </row>
    <row r="285" customFormat="false" ht="15" hidden="false" customHeight="true" outlineLevel="0" collapsed="false">
      <c r="B285" s="30" t="s">
        <v>60</v>
      </c>
      <c r="C285" s="25" t="n">
        <f aca="false">SABR_Base!C39+SABR_Shocks!$E$12*SABR_Shocks!C26</f>
        <v>0.7542631</v>
      </c>
      <c r="D285" s="25" t="n">
        <f aca="false">SABR_Base!D39+SABR_Shocks!$E$12*SABR_Shocks!D26</f>
        <v>0.7258735</v>
      </c>
      <c r="E285" s="25" t="n">
        <f aca="false">SABR_Base!E39+SABR_Shocks!$E$12*SABR_Shocks!E26</f>
        <v>0.6971032</v>
      </c>
      <c r="F285" s="25" t="n">
        <f aca="false">SABR_Base!F39+SABR_Shocks!$E$12*SABR_Shocks!F26</f>
        <v>0.675126</v>
      </c>
      <c r="G285" s="25" t="n">
        <f aca="false">SABR_Base!G39+SABR_Shocks!$E$12*SABR_Shocks!G26</f>
        <v>0.6507096</v>
      </c>
      <c r="H285" s="25" t="n">
        <f aca="false">SABR_Base!H39+SABR_Shocks!$E$12*SABR_Shocks!H26</f>
        <v>0.6297128</v>
      </c>
      <c r="I285" s="25" t="n">
        <f aca="false">SABR_Base!I39+SABR_Shocks!$E$12*SABR_Shocks!I26</f>
        <v>0.5911915</v>
      </c>
      <c r="J285" s="25" t="n">
        <f aca="false">SABR_Base!J39+SABR_Shocks!$E$12*SABR_Shocks!J26</f>
        <v>0.5760895</v>
      </c>
      <c r="K285" s="25" t="n">
        <f aca="false">SABR_Base!K39+SABR_Shocks!$E$12*SABR_Shocks!K26</f>
        <v>0.5442025</v>
      </c>
      <c r="L285" s="25" t="n">
        <f aca="false">SABR_Base!L39+SABR_Shocks!$E$12*SABR_Shocks!L26</f>
        <v>0.5203152</v>
      </c>
    </row>
    <row r="286" customFormat="false" ht="15" hidden="false" customHeight="true" outlineLevel="0" collapsed="false">
      <c r="B286" s="30" t="s">
        <v>61</v>
      </c>
      <c r="C286" s="25" t="n">
        <f aca="false">SABR_Base!C40+SABR_Shocks!$E$12*SABR_Shocks!C27</f>
        <v>0.7303954</v>
      </c>
      <c r="D286" s="25" t="n">
        <f aca="false">SABR_Base!D40+SABR_Shocks!$E$12*SABR_Shocks!D27</f>
        <v>0.7002009</v>
      </c>
      <c r="E286" s="25" t="n">
        <f aca="false">SABR_Base!E40+SABR_Shocks!$E$12*SABR_Shocks!E27</f>
        <v>0.6771306</v>
      </c>
      <c r="F286" s="25" t="n">
        <f aca="false">SABR_Base!F40+SABR_Shocks!$E$12*SABR_Shocks!F27</f>
        <v>0.6551583</v>
      </c>
      <c r="G286" s="25" t="n">
        <f aca="false">SABR_Base!G40+SABR_Shocks!$E$12*SABR_Shocks!G27</f>
        <v>0.6332638</v>
      </c>
      <c r="H286" s="25" t="n">
        <f aca="false">SABR_Base!H40+SABR_Shocks!$E$12*SABR_Shocks!H27</f>
        <v>0.5993814</v>
      </c>
      <c r="I286" s="25" t="n">
        <f aca="false">SABR_Base!I40+SABR_Shocks!$E$12*SABR_Shocks!I27</f>
        <v>0.5764287</v>
      </c>
      <c r="J286" s="25" t="n">
        <f aca="false">SABR_Base!J40+SABR_Shocks!$E$12*SABR_Shocks!J27</f>
        <v>0.5491123</v>
      </c>
      <c r="K286" s="25" t="n">
        <f aca="false">SABR_Base!K40+SABR_Shocks!$E$12*SABR_Shocks!K27</f>
        <v>0.5256175</v>
      </c>
      <c r="L286" s="25" t="n">
        <f aca="false">SABR_Base!L40+SABR_Shocks!$E$12*SABR_Shocks!L27</f>
        <v>0.5039743</v>
      </c>
    </row>
    <row r="287" customFormat="false" ht="15" hidden="false" customHeight="true" outlineLevel="0" collapsed="false">
      <c r="B287" s="30" t="s">
        <v>62</v>
      </c>
      <c r="C287" s="25" t="n">
        <f aca="false">SABR_Base!C41+SABR_Shocks!$E$12*SABR_Shocks!C28</f>
        <v>0.6987205</v>
      </c>
      <c r="D287" s="25" t="n">
        <f aca="false">SABR_Base!D41+SABR_Shocks!$E$12*SABR_Shocks!D28</f>
        <v>0.6751407</v>
      </c>
      <c r="E287" s="25" t="n">
        <f aca="false">SABR_Base!E41+SABR_Shocks!$E$12*SABR_Shocks!E28</f>
        <v>0.6499338</v>
      </c>
      <c r="F287" s="25" t="n">
        <f aca="false">SABR_Base!F41+SABR_Shocks!$E$12*SABR_Shocks!F28</f>
        <v>0.6345612</v>
      </c>
      <c r="G287" s="25" t="n">
        <f aca="false">SABR_Base!G41+SABR_Shocks!$E$12*SABR_Shocks!G28</f>
        <v>0.6032134</v>
      </c>
      <c r="H287" s="25" t="n">
        <f aca="false">SABR_Base!H41+SABR_Shocks!$E$12*SABR_Shocks!H28</f>
        <v>0.5830869</v>
      </c>
      <c r="I287" s="25" t="n">
        <f aca="false">SABR_Base!I41+SABR_Shocks!$E$12*SABR_Shocks!I28</f>
        <v>0.5592071</v>
      </c>
      <c r="J287" s="25" t="n">
        <f aca="false">SABR_Base!J41+SABR_Shocks!$E$12*SABR_Shocks!J28</f>
        <v>0.5200152</v>
      </c>
      <c r="K287" s="25" t="n">
        <f aca="false">SABR_Base!K41+SABR_Shocks!$E$12*SABR_Shocks!K28</f>
        <v>0.5005135</v>
      </c>
      <c r="L287" s="25" t="n">
        <f aca="false">SABR_Base!L41+SABR_Shocks!$E$12*SABR_Shocks!L28</f>
        <v>0.485855</v>
      </c>
    </row>
    <row r="288" customFormat="false" ht="15" hidden="false" customHeight="true" outlineLevel="0" collapsed="false">
      <c r="B288" s="30" t="s">
        <v>63</v>
      </c>
      <c r="C288" s="25" t="n">
        <f aca="false">SABR_Base!C42+SABR_Shocks!$E$12*SABR_Shocks!C29</f>
        <v>0.6809554</v>
      </c>
      <c r="D288" s="25" t="n">
        <f aca="false">SABR_Base!D42+SABR_Shocks!$E$12*SABR_Shocks!D29</f>
        <v>0.6435776</v>
      </c>
      <c r="E288" s="25" t="n">
        <f aca="false">SABR_Base!E42+SABR_Shocks!$E$12*SABR_Shocks!E29</f>
        <v>0.6168298</v>
      </c>
      <c r="F288" s="25" t="n">
        <f aca="false">SABR_Base!F42+SABR_Shocks!$E$12*SABR_Shocks!F29</f>
        <v>0.5990644</v>
      </c>
      <c r="G288" s="25" t="n">
        <f aca="false">SABR_Base!G42+SABR_Shocks!$E$12*SABR_Shocks!G29</f>
        <v>0.5657555</v>
      </c>
      <c r="H288" s="25" t="n">
        <f aca="false">SABR_Base!H42+SABR_Shocks!$E$12*SABR_Shocks!H29</f>
        <v>0.5450803</v>
      </c>
      <c r="I288" s="25" t="n">
        <f aca="false">SABR_Base!I42+SABR_Shocks!$E$12*SABR_Shocks!I29</f>
        <v>0.5162152</v>
      </c>
      <c r="J288" s="25" t="n">
        <f aca="false">SABR_Base!J42+SABR_Shocks!$E$12*SABR_Shocks!J29</f>
        <v>0.502555</v>
      </c>
      <c r="K288" s="25" t="n">
        <f aca="false">SABR_Base!K42+SABR_Shocks!$E$12*SABR_Shocks!K29</f>
        <v>0.482655</v>
      </c>
      <c r="L288" s="25" t="n">
        <f aca="false">SABR_Base!L42+SABR_Shocks!$E$12*SABR_Shocks!L29</f>
        <v>0.462655</v>
      </c>
    </row>
    <row r="291" customFormat="false" ht="15" hidden="false" customHeight="true" outlineLevel="0" collapsed="false">
      <c r="B291" s="19" t="s">
        <v>134</v>
      </c>
      <c r="C291" s="19"/>
      <c r="D291" s="19"/>
      <c r="E291" s="19"/>
      <c r="F291" s="19"/>
      <c r="G291" s="19"/>
      <c r="H291" s="19"/>
      <c r="I291" s="19"/>
      <c r="J291" s="19"/>
      <c r="K291" s="19"/>
      <c r="L291" s="19"/>
    </row>
    <row r="292" customFormat="false" ht="15" hidden="false" customHeight="true" outlineLevel="0" collapsed="false">
      <c r="B292" s="34" t="s">
        <v>112</v>
      </c>
      <c r="C292" s="34"/>
      <c r="D292" s="34"/>
      <c r="E292" s="34"/>
      <c r="F292" s="34"/>
      <c r="G292" s="34"/>
      <c r="H292" s="34"/>
      <c r="I292" s="34"/>
      <c r="J292" s="34"/>
      <c r="K292" s="34"/>
      <c r="L292" s="34"/>
    </row>
    <row r="293" customFormat="false" ht="15" hidden="false" customHeight="true" outlineLevel="0" collapsed="false">
      <c r="B293" s="12" t="s">
        <v>113</v>
      </c>
      <c r="C293" s="13" t="s">
        <v>114</v>
      </c>
      <c r="D293" s="13" t="s">
        <v>56</v>
      </c>
      <c r="E293" s="13" t="s">
        <v>57</v>
      </c>
      <c r="F293" s="13" t="s">
        <v>30</v>
      </c>
      <c r="G293" s="13" t="s">
        <v>58</v>
      </c>
      <c r="H293" s="13" t="s">
        <v>59</v>
      </c>
      <c r="I293" s="13" t="s">
        <v>60</v>
      </c>
      <c r="J293" s="13" t="s">
        <v>61</v>
      </c>
      <c r="K293" s="13" t="s">
        <v>62</v>
      </c>
      <c r="L293" s="13" t="s">
        <v>63</v>
      </c>
    </row>
    <row r="294" customFormat="false" ht="15" hidden="false" customHeight="true" outlineLevel="0" collapsed="false">
      <c r="B294" s="30" t="s">
        <v>114</v>
      </c>
      <c r="C294" s="25" t="n">
        <f aca="false">SABR_Base!C5+SABR_Shocks!$C$13*SABR_Shocks!C20</f>
        <v>0.5823624</v>
      </c>
      <c r="D294" s="25" t="n">
        <f aca="false">SABR_Base!D5+SABR_Shocks!$C$13*SABR_Shocks!D20</f>
        <v>0.5604032</v>
      </c>
      <c r="E294" s="25" t="n">
        <f aca="false">SABR_Base!E5+SABR_Shocks!$C$13*SABR_Shocks!E20</f>
        <v>0.551508</v>
      </c>
      <c r="F294" s="25" t="n">
        <f aca="false">SABR_Base!F5+SABR_Shocks!$C$13*SABR_Shocks!F20</f>
        <v>0.521416</v>
      </c>
      <c r="G294" s="25" t="n">
        <f aca="false">SABR_Base!G5+SABR_Shocks!$C$13*SABR_Shocks!G20</f>
        <v>0.5118088</v>
      </c>
      <c r="H294" s="25" t="n">
        <f aca="false">SABR_Base!H5+SABR_Shocks!$C$13*SABR_Shocks!H20</f>
        <v>0.4894688</v>
      </c>
      <c r="I294" s="25" t="n">
        <f aca="false">SABR_Base!I5+SABR_Shocks!$C$13*SABR_Shocks!I20</f>
        <v>0.465616</v>
      </c>
      <c r="J294" s="25" t="n">
        <f aca="false">SABR_Base!J5+SABR_Shocks!$C$13*SABR_Shocks!J20</f>
        <v>0.4559</v>
      </c>
      <c r="K294" s="25" t="n">
        <f aca="false">SABR_Base!K5+SABR_Shocks!$C$13*SABR_Shocks!K20</f>
        <v>0.42756</v>
      </c>
      <c r="L294" s="25" t="n">
        <f aca="false">SABR_Base!L5+SABR_Shocks!$C$13*SABR_Shocks!L20</f>
        <v>0.4166648</v>
      </c>
    </row>
    <row r="295" customFormat="false" ht="15" hidden="false" customHeight="true" outlineLevel="0" collapsed="false">
      <c r="B295" s="30" t="s">
        <v>56</v>
      </c>
      <c r="C295" s="25" t="n">
        <f aca="false">SABR_Base!C6+SABR_Shocks!$C$13*SABR_Shocks!C21</f>
        <v>0.5582776</v>
      </c>
      <c r="D295" s="25" t="n">
        <f aca="false">SABR_Base!D6+SABR_Shocks!$C$13*SABR_Shocks!D21</f>
        <v>0.5399496</v>
      </c>
      <c r="E295" s="25" t="n">
        <f aca="false">SABR_Base!E6+SABR_Shocks!$C$13*SABR_Shocks!E21</f>
        <v>0.5280008</v>
      </c>
      <c r="F295" s="25" t="n">
        <f aca="false">SABR_Base!F6+SABR_Shocks!$C$13*SABR_Shocks!F21</f>
        <v>0.5170936</v>
      </c>
      <c r="G295" s="25" t="n">
        <f aca="false">SABR_Base!G6+SABR_Shocks!$C$13*SABR_Shocks!G21</f>
        <v>0.4852184</v>
      </c>
      <c r="H295" s="25" t="n">
        <f aca="false">SABR_Base!H6+SABR_Shocks!$C$13*SABR_Shocks!H21</f>
        <v>0.4681096</v>
      </c>
      <c r="I295" s="25" t="n">
        <f aca="false">SABR_Base!I6+SABR_Shocks!$C$13*SABR_Shocks!I21</f>
        <v>0.4580984</v>
      </c>
      <c r="J295" s="25" t="n">
        <f aca="false">SABR_Base!J6+SABR_Shocks!$C$13*SABR_Shocks!J21</f>
        <v>0.4451552</v>
      </c>
      <c r="K295" s="25" t="n">
        <f aca="false">SABR_Base!K6+SABR_Shocks!$C$13*SABR_Shocks!K21</f>
        <v>0.4198008</v>
      </c>
      <c r="L295" s="25" t="n">
        <f aca="false">SABR_Base!L6+SABR_Shocks!$C$13*SABR_Shocks!L21</f>
        <v>0.3974504</v>
      </c>
    </row>
    <row r="296" customFormat="false" ht="15" hidden="false" customHeight="true" outlineLevel="0" collapsed="false">
      <c r="B296" s="30" t="s">
        <v>57</v>
      </c>
      <c r="C296" s="25" t="n">
        <f aca="false">SABR_Base!C7+SABR_Shocks!$C$13*SABR_Shocks!C22</f>
        <v>0.557336</v>
      </c>
      <c r="D296" s="25" t="n">
        <f aca="false">SABR_Base!D7+SABR_Shocks!$C$13*SABR_Shocks!D22</f>
        <v>0.5203112</v>
      </c>
      <c r="E296" s="25" t="n">
        <f aca="false">SABR_Base!E7+SABR_Shocks!$C$13*SABR_Shocks!E22</f>
        <v>0.518836</v>
      </c>
      <c r="F296" s="25" t="n">
        <f aca="false">SABR_Base!F7+SABR_Shocks!$C$13*SABR_Shocks!F22</f>
        <v>0.4882152</v>
      </c>
      <c r="G296" s="25" t="n">
        <f aca="false">SABR_Base!G7+SABR_Shocks!$C$13*SABR_Shocks!G22</f>
        <v>0.4672936</v>
      </c>
      <c r="H296" s="25" t="n">
        <f aca="false">SABR_Base!H7+SABR_Shocks!$C$13*SABR_Shocks!H22</f>
        <v>0.4472936</v>
      </c>
      <c r="I296" s="25" t="n">
        <f aca="false">SABR_Base!I7+SABR_Shocks!$C$13*SABR_Shocks!I22</f>
        <v>0.4319296</v>
      </c>
      <c r="J296" s="25" t="n">
        <f aca="false">SABR_Base!J7+SABR_Shocks!$C$13*SABR_Shocks!J22</f>
        <v>0.4241752</v>
      </c>
      <c r="K296" s="25" t="n">
        <f aca="false">SABR_Base!K7+SABR_Shocks!$C$13*SABR_Shocks!K22</f>
        <v>0.3929608</v>
      </c>
      <c r="L296" s="25" t="n">
        <f aca="false">SABR_Base!L7+SABR_Shocks!$C$13*SABR_Shocks!L22</f>
        <v>0.3816504</v>
      </c>
    </row>
    <row r="297" customFormat="false" ht="15" hidden="false" customHeight="true" outlineLevel="0" collapsed="false">
      <c r="B297" s="30" t="s">
        <v>30</v>
      </c>
      <c r="C297" s="25" t="n">
        <f aca="false">SABR_Base!C8+SABR_Shocks!$C$13*SABR_Shocks!C23</f>
        <v>0.532032</v>
      </c>
      <c r="D297" s="25" t="n">
        <f aca="false">SABR_Base!D8+SABR_Shocks!$C$13*SABR_Shocks!D23</f>
        <v>0.508352</v>
      </c>
      <c r="E297" s="25" t="n">
        <f aca="false">SABR_Base!E8+SABR_Shocks!$C$13*SABR_Shocks!E23</f>
        <v>0.4939872</v>
      </c>
      <c r="F297" s="25" t="n">
        <f aca="false">SABR_Base!F8+SABR_Shocks!$C$13*SABR_Shocks!F23</f>
        <v>0.46538</v>
      </c>
      <c r="G297" s="25" t="n">
        <f aca="false">SABR_Base!G8+SABR_Shocks!$C$13*SABR_Shocks!G23</f>
        <v>0.4457128</v>
      </c>
      <c r="H297" s="25" t="n">
        <f aca="false">SABR_Base!H8+SABR_Shocks!$C$13*SABR_Shocks!H23</f>
        <v>0.430176</v>
      </c>
      <c r="I297" s="25" t="n">
        <f aca="false">SABR_Base!I8+SABR_Shocks!$C$13*SABR_Shocks!I23</f>
        <v>0.4207584</v>
      </c>
      <c r="J297" s="25" t="n">
        <f aca="false">SABR_Base!J8+SABR_Shocks!$C$13*SABR_Shocks!J23</f>
        <v>0.3969976</v>
      </c>
      <c r="K297" s="25" t="n">
        <f aca="false">SABR_Base!K8+SABR_Shocks!$C$13*SABR_Shocks!K23</f>
        <v>0.3769672</v>
      </c>
      <c r="L297" s="25" t="n">
        <f aca="false">SABR_Base!L8+SABR_Shocks!$C$13*SABR_Shocks!L23</f>
        <v>0.3629224</v>
      </c>
    </row>
    <row r="298" customFormat="false" ht="15" hidden="false" customHeight="true" outlineLevel="0" collapsed="false">
      <c r="B298" s="30" t="s">
        <v>58</v>
      </c>
      <c r="C298" s="25" t="n">
        <f aca="false">SABR_Base!C9+SABR_Shocks!$C$13*SABR_Shocks!C24</f>
        <v>0.5102656</v>
      </c>
      <c r="D298" s="25" t="n">
        <f aca="false">SABR_Base!D9+SABR_Shocks!$C$13*SABR_Shocks!D24</f>
        <v>0.4883928</v>
      </c>
      <c r="E298" s="25" t="n">
        <f aca="false">SABR_Base!E9+SABR_Shocks!$C$13*SABR_Shocks!E24</f>
        <v>0.4792184</v>
      </c>
      <c r="F298" s="25" t="n">
        <f aca="false">SABR_Base!F9+SABR_Shocks!$C$13*SABR_Shocks!F24</f>
        <v>0.4593416</v>
      </c>
      <c r="G298" s="25" t="n">
        <f aca="false">SABR_Base!G9+SABR_Shocks!$C$13*SABR_Shocks!G24</f>
        <v>0.4307192</v>
      </c>
      <c r="H298" s="25" t="n">
        <f aca="false">SABR_Base!H9+SABR_Shocks!$C$13*SABR_Shocks!H24</f>
        <v>0.4193976</v>
      </c>
      <c r="I298" s="25" t="n">
        <f aca="false">SABR_Base!I9+SABR_Shocks!$C$13*SABR_Shocks!I24</f>
        <v>0.3989648</v>
      </c>
      <c r="J298" s="25" t="n">
        <f aca="false">SABR_Base!J9+SABR_Shocks!$C$13*SABR_Shocks!J24</f>
        <v>0.387752</v>
      </c>
      <c r="K298" s="25" t="n">
        <f aca="false">SABR_Base!K9+SABR_Shocks!$C$13*SABR_Shocks!K24</f>
        <v>0.3658672</v>
      </c>
      <c r="L298" s="25" t="n">
        <f aca="false">SABR_Base!L9+SABR_Shocks!$C$13*SABR_Shocks!L24</f>
        <v>0.3384184</v>
      </c>
    </row>
    <row r="299" customFormat="false" ht="15" hidden="false" customHeight="true" outlineLevel="0" collapsed="false">
      <c r="B299" s="30" t="s">
        <v>59</v>
      </c>
      <c r="C299" s="25" t="n">
        <f aca="false">SABR_Base!C10+SABR_Shocks!$C$13*SABR_Shocks!C25</f>
        <v>0.5026872</v>
      </c>
      <c r="D299" s="25" t="n">
        <f aca="false">SABR_Base!D10+SABR_Shocks!$C$13*SABR_Shocks!D25</f>
        <v>0.4665472</v>
      </c>
      <c r="E299" s="25" t="n">
        <f aca="false">SABR_Base!E10+SABR_Shocks!$C$13*SABR_Shocks!E25</f>
        <v>0.4531592</v>
      </c>
      <c r="F299" s="25" t="n">
        <f aca="false">SABR_Base!F10+SABR_Shocks!$C$13*SABR_Shocks!F25</f>
        <v>0.4420272</v>
      </c>
      <c r="G299" s="25" t="n">
        <f aca="false">SABR_Base!G10+SABR_Shocks!$C$13*SABR_Shocks!G25</f>
        <v>0.4103152</v>
      </c>
      <c r="H299" s="25" t="n">
        <f aca="false">SABR_Base!H10+SABR_Shocks!$C$13*SABR_Shocks!H25</f>
        <v>0.3986456</v>
      </c>
      <c r="I299" s="25" t="n">
        <f aca="false">SABR_Base!I10+SABR_Shocks!$C$13*SABR_Shocks!I25</f>
        <v>0.3716344</v>
      </c>
      <c r="J299" s="25" t="n">
        <f aca="false">SABR_Base!J10+SABR_Shocks!$C$13*SABR_Shocks!J25</f>
        <v>0.3652496</v>
      </c>
      <c r="K299" s="25" t="n">
        <f aca="false">SABR_Base!K10+SABR_Shocks!$C$13*SABR_Shocks!K25</f>
        <v>0.3476944</v>
      </c>
      <c r="L299" s="25" t="n">
        <f aca="false">SABR_Base!L10+SABR_Shocks!$C$13*SABR_Shocks!L25</f>
        <v>0.3263656</v>
      </c>
    </row>
    <row r="300" customFormat="false" ht="15" hidden="false" customHeight="true" outlineLevel="0" collapsed="false">
      <c r="B300" s="30" t="s">
        <v>60</v>
      </c>
      <c r="C300" s="25" t="n">
        <f aca="false">SABR_Base!C11+SABR_Shocks!$C$13*SABR_Shocks!C26</f>
        <v>0.4808632</v>
      </c>
      <c r="D300" s="25" t="n">
        <f aca="false">SABR_Base!D11+SABR_Shocks!$C$13*SABR_Shocks!D26</f>
        <v>0.450992</v>
      </c>
      <c r="E300" s="25" t="n">
        <f aca="false">SABR_Base!E11+SABR_Shocks!$C$13*SABR_Shocks!E26</f>
        <v>0.4406704</v>
      </c>
      <c r="F300" s="25" t="n">
        <f aca="false">SABR_Base!F11+SABR_Shocks!$C$13*SABR_Shocks!F26</f>
        <v>0.419372</v>
      </c>
      <c r="G300" s="25" t="n">
        <f aca="false">SABR_Base!G11+SABR_Shocks!$C$13*SABR_Shocks!G26</f>
        <v>0.4003112</v>
      </c>
      <c r="H300" s="25" t="n">
        <f aca="false">SABR_Base!H11+SABR_Shocks!$C$13*SABR_Shocks!H26</f>
        <v>0.3788816</v>
      </c>
      <c r="I300" s="25" t="n">
        <f aca="false">SABR_Base!I11+SABR_Shocks!$C$13*SABR_Shocks!I26</f>
        <v>0.367888</v>
      </c>
      <c r="J300" s="25" t="n">
        <f aca="false">SABR_Base!J11+SABR_Shocks!$C$13*SABR_Shocks!J26</f>
        <v>0.351944</v>
      </c>
      <c r="K300" s="25" t="n">
        <f aca="false">SABR_Base!K11+SABR_Shocks!$C$13*SABR_Shocks!K26</f>
        <v>0.32338</v>
      </c>
      <c r="L300" s="25" t="n">
        <f aca="false">SABR_Base!L11+SABR_Shocks!$C$13*SABR_Shocks!L26</f>
        <v>0.3090344</v>
      </c>
    </row>
    <row r="301" customFormat="false" ht="15" hidden="false" customHeight="true" outlineLevel="0" collapsed="false">
      <c r="B301" s="30" t="s">
        <v>61</v>
      </c>
      <c r="C301" s="25" t="n">
        <f aca="false">SABR_Base!C12+SABR_Shocks!$C$13*SABR_Shocks!C27</f>
        <v>0.4460488</v>
      </c>
      <c r="D301" s="25" t="n">
        <f aca="false">SABR_Base!D12+SABR_Shocks!$C$13*SABR_Shocks!D27</f>
        <v>0.4403448</v>
      </c>
      <c r="E301" s="25" t="n">
        <f aca="false">SABR_Base!E12+SABR_Shocks!$C$13*SABR_Shocks!E27</f>
        <v>0.4212232</v>
      </c>
      <c r="F301" s="25" t="n">
        <f aca="false">SABR_Base!F12+SABR_Shocks!$C$13*SABR_Shocks!F27</f>
        <v>0.4088576</v>
      </c>
      <c r="G301" s="25" t="n">
        <f aca="false">SABR_Base!G12+SABR_Shocks!$C$13*SABR_Shocks!G27</f>
        <v>0.3868536</v>
      </c>
      <c r="H301" s="25" t="n">
        <f aca="false">SABR_Base!H12+SABR_Shocks!$C$13*SABR_Shocks!H27</f>
        <v>0.3578408</v>
      </c>
      <c r="I301" s="25" t="n">
        <f aca="false">SABR_Base!I12+SABR_Shocks!$C$13*SABR_Shocks!I27</f>
        <v>0.3402064</v>
      </c>
      <c r="J301" s="25" t="n">
        <f aca="false">SABR_Base!J12+SABR_Shocks!$C$13*SABR_Shocks!J27</f>
        <v>0.3271456</v>
      </c>
      <c r="K301" s="25" t="n">
        <f aca="false">SABR_Base!K12+SABR_Shocks!$C$13*SABR_Shocks!K27</f>
        <v>0.29666</v>
      </c>
      <c r="L301" s="25" t="n">
        <f aca="false">SABR_Base!L12+SABR_Shocks!$C$13*SABR_Shocks!L27</f>
        <v>0.2866096</v>
      </c>
    </row>
    <row r="302" customFormat="false" ht="15" hidden="false" customHeight="true" outlineLevel="0" collapsed="false">
      <c r="B302" s="30" t="s">
        <v>62</v>
      </c>
      <c r="C302" s="25" t="n">
        <f aca="false">SABR_Base!C13+SABR_Shocks!$C$13*SABR_Shocks!C28</f>
        <v>0.429376</v>
      </c>
      <c r="D302" s="25" t="n">
        <f aca="false">SABR_Base!D13+SABR_Shocks!$C$13*SABR_Shocks!D28</f>
        <v>0.4095704</v>
      </c>
      <c r="E302" s="25" t="n">
        <f aca="false">SABR_Base!E13+SABR_Shocks!$C$13*SABR_Shocks!E28</f>
        <v>0.3904936</v>
      </c>
      <c r="F302" s="25" t="n">
        <f aca="false">SABR_Base!F13+SABR_Shocks!$C$13*SABR_Shocks!F28</f>
        <v>0.3862464</v>
      </c>
      <c r="G302" s="25" t="n">
        <f aca="false">SABR_Base!G13+SABR_Shocks!$C$13*SABR_Shocks!G28</f>
        <v>0.3538448</v>
      </c>
      <c r="H302" s="25" t="n">
        <f aca="false">SABR_Base!H13+SABR_Shocks!$C$13*SABR_Shocks!H28</f>
        <v>0.3385368</v>
      </c>
      <c r="I302" s="25" t="n">
        <f aca="false">SABR_Base!I13+SABR_Shocks!$C$13*SABR_Shocks!I28</f>
        <v>0.3226312</v>
      </c>
      <c r="J302" s="25" t="n">
        <f aca="false">SABR_Base!J13+SABR_Shocks!$C$13*SABR_Shocks!J28</f>
        <v>0.3131344</v>
      </c>
      <c r="K302" s="25" t="n">
        <f aca="false">SABR_Base!K13+SABR_Shocks!$C$13*SABR_Shocks!K28</f>
        <v>0.278372</v>
      </c>
      <c r="L302" s="25" t="n">
        <f aca="false">SABR_Base!L13+SABR_Shocks!$C$13*SABR_Shocks!L28</f>
        <v>0.26906</v>
      </c>
    </row>
    <row r="303" customFormat="false" ht="15" hidden="false" customHeight="true" outlineLevel="0" collapsed="false">
      <c r="B303" s="30" t="s">
        <v>63</v>
      </c>
      <c r="C303" s="25" t="n">
        <f aca="false">SABR_Base!C14+SABR_Shocks!$C$13*SABR_Shocks!C29</f>
        <v>0.4180688</v>
      </c>
      <c r="D303" s="25" t="n">
        <f aca="false">SABR_Base!D14+SABR_Shocks!$C$13*SABR_Shocks!D29</f>
        <v>0.4073072</v>
      </c>
      <c r="E303" s="25" t="n">
        <f aca="false">SABR_Base!E14+SABR_Shocks!$C$13*SABR_Shocks!E29</f>
        <v>0.3864056</v>
      </c>
      <c r="F303" s="25" t="n">
        <f aca="false">SABR_Base!F14+SABR_Shocks!$C$13*SABR_Shocks!F29</f>
        <v>0.3692168</v>
      </c>
      <c r="G303" s="25" t="n">
        <f aca="false">SABR_Base!G14+SABR_Shocks!$C$13*SABR_Shocks!G29</f>
        <v>0.338196</v>
      </c>
      <c r="H303" s="25" t="n">
        <f aca="false">SABR_Base!H14+SABR_Shocks!$C$13*SABR_Shocks!H29</f>
        <v>0.3230416</v>
      </c>
      <c r="I303" s="25" t="n">
        <f aca="false">SABR_Base!I14+SABR_Shocks!$C$13*SABR_Shocks!I29</f>
        <v>0.3029344</v>
      </c>
      <c r="J303" s="25" t="n">
        <f aca="false">SABR_Base!J14+SABR_Shocks!$C$13*SABR_Shocks!J29</f>
        <v>0.29436</v>
      </c>
      <c r="K303" s="25" t="n">
        <f aca="false">SABR_Base!K14+SABR_Shocks!$C$13*SABR_Shocks!K29</f>
        <v>0.27916</v>
      </c>
      <c r="L303" s="25" t="n">
        <f aca="false">SABR_Base!L14+SABR_Shocks!$C$13*SABR_Shocks!L29</f>
        <v>0.24636</v>
      </c>
    </row>
    <row r="305" customFormat="false" ht="15" hidden="false" customHeight="true" outlineLevel="0" collapsed="false">
      <c r="B305" s="34" t="s">
        <v>115</v>
      </c>
      <c r="C305" s="34"/>
      <c r="D305" s="34"/>
      <c r="E305" s="34"/>
      <c r="F305" s="34"/>
      <c r="G305" s="34"/>
      <c r="H305" s="34"/>
      <c r="I305" s="34"/>
      <c r="J305" s="34"/>
      <c r="K305" s="34"/>
      <c r="L305" s="34"/>
    </row>
    <row r="306" customFormat="false" ht="15" hidden="false" customHeight="true" outlineLevel="0" collapsed="false">
      <c r="B306" s="12" t="s">
        <v>113</v>
      </c>
      <c r="C306" s="13" t="s">
        <v>114</v>
      </c>
      <c r="D306" s="13" t="s">
        <v>56</v>
      </c>
      <c r="E306" s="13" t="s">
        <v>57</v>
      </c>
      <c r="F306" s="13" t="s">
        <v>30</v>
      </c>
      <c r="G306" s="13" t="s">
        <v>58</v>
      </c>
      <c r="H306" s="13" t="s">
        <v>59</v>
      </c>
      <c r="I306" s="13" t="s">
        <v>60</v>
      </c>
      <c r="J306" s="13" t="s">
        <v>61</v>
      </c>
      <c r="K306" s="13" t="s">
        <v>62</v>
      </c>
      <c r="L306" s="13" t="s">
        <v>63</v>
      </c>
    </row>
    <row r="307" customFormat="false" ht="15" hidden="false" customHeight="true" outlineLevel="0" collapsed="false">
      <c r="B307" s="30" t="s">
        <v>114</v>
      </c>
      <c r="C307" s="25" t="n">
        <f aca="false">SABR_Base!C19+SABR_Shocks!$D$13*SABR_Shocks!C20</f>
        <v>-0.3344062</v>
      </c>
      <c r="D307" s="25" t="n">
        <f aca="false">SABR_Base!D19+SABR_Shocks!$D$13*SABR_Shocks!D20</f>
        <v>-0.3149516</v>
      </c>
      <c r="E307" s="25" t="n">
        <f aca="false">SABR_Base!E19+SABR_Shocks!$D$13*SABR_Shocks!E20</f>
        <v>-0.296804</v>
      </c>
      <c r="F307" s="25" t="n">
        <f aca="false">SABR_Base!F19+SABR_Shocks!$D$13*SABR_Shocks!F20</f>
        <v>-0.273508</v>
      </c>
      <c r="G307" s="25" t="n">
        <f aca="false">SABR_Base!G19+SABR_Shocks!$D$13*SABR_Shocks!G20</f>
        <v>-0.2533294</v>
      </c>
      <c r="H307" s="25" t="n">
        <f aca="false">SABR_Base!H19+SABR_Shocks!$D$13*SABR_Shocks!H20</f>
        <v>-0.2418094</v>
      </c>
      <c r="I307" s="25" t="n">
        <f aca="false">SABR_Base!I19+SABR_Shocks!$D$13*SABR_Shocks!I20</f>
        <v>-0.228258</v>
      </c>
      <c r="J307" s="25" t="n">
        <f aca="false">SABR_Base!J19+SABR_Shocks!$D$13*SABR_Shocks!J20</f>
        <v>-0.2017</v>
      </c>
      <c r="K307" s="25" t="n">
        <f aca="false">SABR_Base!K19+SABR_Shocks!$D$13*SABR_Shocks!K20</f>
        <v>-0.18468</v>
      </c>
      <c r="L307" s="25" t="n">
        <f aca="false">SABR_Base!L19+SABR_Shocks!$D$13*SABR_Shocks!L20</f>
        <v>-0.1626324</v>
      </c>
    </row>
    <row r="308" customFormat="false" ht="15" hidden="false" customHeight="true" outlineLevel="0" collapsed="false">
      <c r="B308" s="30" t="s">
        <v>56</v>
      </c>
      <c r="C308" s="25" t="n">
        <f aca="false">SABR_Base!C20+SABR_Shocks!$D$13*SABR_Shocks!C21</f>
        <v>-0.3008138</v>
      </c>
      <c r="D308" s="25" t="n">
        <f aca="false">SABR_Base!D20+SABR_Shocks!$D$13*SABR_Shocks!D21</f>
        <v>-0.2879248</v>
      </c>
      <c r="E308" s="25" t="n">
        <f aca="false">SABR_Base!E20+SABR_Shocks!$D$13*SABR_Shocks!E21</f>
        <v>-0.2732254</v>
      </c>
      <c r="F308" s="25" t="n">
        <f aca="false">SABR_Base!F20+SABR_Shocks!$D$13*SABR_Shocks!F21</f>
        <v>-0.2531468</v>
      </c>
      <c r="G308" s="25" t="n">
        <f aca="false">SABR_Base!G20+SABR_Shocks!$D$13*SABR_Shocks!G21</f>
        <v>-0.2332092</v>
      </c>
      <c r="H308" s="25" t="n">
        <f aca="false">SABR_Base!H20+SABR_Shocks!$D$13*SABR_Shocks!H21</f>
        <v>-0.2277548</v>
      </c>
      <c r="I308" s="25" t="n">
        <f aca="false">SABR_Base!I20+SABR_Shocks!$D$13*SABR_Shocks!I21</f>
        <v>-0.1922242</v>
      </c>
      <c r="J308" s="25" t="n">
        <f aca="false">SABR_Base!J20+SABR_Shocks!$D$13*SABR_Shocks!J21</f>
        <v>-0.1767526</v>
      </c>
      <c r="K308" s="25" t="n">
        <f aca="false">SABR_Base!K20+SABR_Shocks!$D$13*SABR_Shocks!K21</f>
        <v>-0.1562254</v>
      </c>
      <c r="L308" s="25" t="n">
        <f aca="false">SABR_Base!L20+SABR_Shocks!$D$13*SABR_Shocks!L21</f>
        <v>-0.1396502</v>
      </c>
    </row>
    <row r="309" customFormat="false" ht="15" hidden="false" customHeight="true" outlineLevel="0" collapsed="false">
      <c r="B309" s="30" t="s">
        <v>57</v>
      </c>
      <c r="C309" s="25" t="n">
        <f aca="false">SABR_Base!C21+SABR_Shocks!$D$13*SABR_Shocks!C22</f>
        <v>-0.294118</v>
      </c>
      <c r="D309" s="25" t="n">
        <f aca="false">SABR_Base!D21+SABR_Shocks!$D$13*SABR_Shocks!D22</f>
        <v>-0.2755806</v>
      </c>
      <c r="E309" s="25" t="n">
        <f aca="false">SABR_Base!E21+SABR_Shocks!$D$13*SABR_Shocks!E22</f>
        <v>-0.262743</v>
      </c>
      <c r="F309" s="25" t="n">
        <f aca="false">SABR_Base!F21+SABR_Shocks!$D$13*SABR_Shocks!F22</f>
        <v>-0.2342576</v>
      </c>
      <c r="G309" s="25" t="n">
        <f aca="false">SABR_Base!G21+SABR_Shocks!$D$13*SABR_Shocks!G22</f>
        <v>-0.2270718</v>
      </c>
      <c r="H309" s="25" t="n">
        <f aca="false">SABR_Base!H21+SABR_Shocks!$D$13*SABR_Shocks!H22</f>
        <v>-0.2091968</v>
      </c>
      <c r="I309" s="25" t="n">
        <f aca="false">SABR_Base!I21+SABR_Shocks!$D$13*SABR_Shocks!I22</f>
        <v>-0.1885148</v>
      </c>
      <c r="J309" s="25" t="n">
        <f aca="false">SABR_Base!J21+SABR_Shocks!$D$13*SABR_Shocks!J22</f>
        <v>-0.1707876</v>
      </c>
      <c r="K309" s="25" t="n">
        <f aca="false">SABR_Base!K21+SABR_Shocks!$D$13*SABR_Shocks!K22</f>
        <v>-0.1489054</v>
      </c>
      <c r="L309" s="25" t="n">
        <f aca="false">SABR_Base!L21+SABR_Shocks!$D$13*SABR_Shocks!L22</f>
        <v>-0.1368752</v>
      </c>
    </row>
    <row r="310" customFormat="false" ht="15" hidden="false" customHeight="true" outlineLevel="0" collapsed="false">
      <c r="B310" s="30" t="s">
        <v>30</v>
      </c>
      <c r="C310" s="25" t="n">
        <f aca="false">SABR_Base!C22+SABR_Shocks!$D$13*SABR_Shocks!C23</f>
        <v>-0.283691</v>
      </c>
      <c r="D310" s="25" t="n">
        <f aca="false">SABR_Base!D22+SABR_Shocks!$D$13*SABR_Shocks!D23</f>
        <v>-0.262226</v>
      </c>
      <c r="E310" s="25" t="n">
        <f aca="false">SABR_Base!E22+SABR_Shocks!$D$13*SABR_Shocks!E23</f>
        <v>-0.2444436</v>
      </c>
      <c r="F310" s="25" t="n">
        <f aca="false">SABR_Base!F22+SABR_Shocks!$D$13*SABR_Shocks!F23</f>
        <v>-0.221265</v>
      </c>
      <c r="G310" s="25" t="n">
        <f aca="false">SABR_Base!G22+SABR_Shocks!$D$13*SABR_Shocks!G23</f>
        <v>-0.2103314</v>
      </c>
      <c r="H310" s="25" t="n">
        <f aca="false">SABR_Base!H22+SABR_Shocks!$D$13*SABR_Shocks!H23</f>
        <v>-0.175063</v>
      </c>
      <c r="I310" s="25" t="n">
        <f aca="false">SABR_Base!I22+SABR_Shocks!$D$13*SABR_Shocks!I23</f>
        <v>-0.1621292</v>
      </c>
      <c r="J310" s="25" t="n">
        <f aca="false">SABR_Base!J22+SABR_Shocks!$D$13*SABR_Shocks!J23</f>
        <v>-0.1532988</v>
      </c>
      <c r="K310" s="25" t="n">
        <f aca="false">SABR_Base!K22+SABR_Shocks!$D$13*SABR_Shocks!K23</f>
        <v>-0.1324336</v>
      </c>
      <c r="L310" s="25" t="n">
        <f aca="false">SABR_Base!L22+SABR_Shocks!$D$13*SABR_Shocks!L23</f>
        <v>-0.1127862</v>
      </c>
    </row>
    <row r="311" customFormat="false" ht="15" hidden="false" customHeight="true" outlineLevel="0" collapsed="false">
      <c r="B311" s="30" t="s">
        <v>58</v>
      </c>
      <c r="C311" s="25" t="n">
        <f aca="false">SABR_Base!C23+SABR_Shocks!$D$13*SABR_Shocks!C24</f>
        <v>-0.2577328</v>
      </c>
      <c r="D311" s="25" t="n">
        <f aca="false">SABR_Base!D23+SABR_Shocks!$D$13*SABR_Shocks!D24</f>
        <v>-0.2444714</v>
      </c>
      <c r="E311" s="25" t="n">
        <f aca="false">SABR_Base!E23+SABR_Shocks!$D$13*SABR_Shocks!E24</f>
        <v>-0.2120342</v>
      </c>
      <c r="F311" s="25" t="n">
        <f aca="false">SABR_Base!F23+SABR_Shocks!$D$13*SABR_Shocks!F24</f>
        <v>-0.1904208</v>
      </c>
      <c r="G311" s="25" t="n">
        <f aca="false">SABR_Base!G23+SABR_Shocks!$D$13*SABR_Shocks!G24</f>
        <v>-0.1832596</v>
      </c>
      <c r="H311" s="25" t="n">
        <f aca="false">SABR_Base!H23+SABR_Shocks!$D$13*SABR_Shocks!H24</f>
        <v>-0.1642738</v>
      </c>
      <c r="I311" s="25" t="n">
        <f aca="false">SABR_Base!I23+SABR_Shocks!$D$13*SABR_Shocks!I24</f>
        <v>-0.1544574</v>
      </c>
      <c r="J311" s="25" t="n">
        <f aca="false">SABR_Base!J23+SABR_Shocks!$D$13*SABR_Shocks!J24</f>
        <v>-0.135751</v>
      </c>
      <c r="K311" s="25" t="n">
        <f aca="false">SABR_Base!K23+SABR_Shocks!$D$13*SABR_Shocks!K24</f>
        <v>-0.1128586</v>
      </c>
      <c r="L311" s="25" t="n">
        <f aca="false">SABR_Base!L23+SABR_Shocks!$D$13*SABR_Shocks!L24</f>
        <v>-0.0961592</v>
      </c>
    </row>
    <row r="312" customFormat="false" ht="15" hidden="false" customHeight="true" outlineLevel="0" collapsed="false">
      <c r="B312" s="30" t="s">
        <v>59</v>
      </c>
      <c r="C312" s="25" t="n">
        <f aca="false">SABR_Base!C24+SABR_Shocks!$D$13*SABR_Shocks!C25</f>
        <v>-0.2299436</v>
      </c>
      <c r="D312" s="25" t="n">
        <f aca="false">SABR_Base!D24+SABR_Shocks!$D$13*SABR_Shocks!D25</f>
        <v>-0.2252236</v>
      </c>
      <c r="E312" s="25" t="n">
        <f aca="false">SABR_Base!E24+SABR_Shocks!$D$13*SABR_Shocks!E25</f>
        <v>-0.2101796</v>
      </c>
      <c r="F312" s="25" t="n">
        <f aca="false">SABR_Base!F24+SABR_Shocks!$D$13*SABR_Shocks!F25</f>
        <v>-0.1729386</v>
      </c>
      <c r="G312" s="25" t="n">
        <f aca="false">SABR_Base!G24+SABR_Shocks!$D$13*SABR_Shocks!G25</f>
        <v>-0.1637326</v>
      </c>
      <c r="H312" s="25" t="n">
        <f aca="false">SABR_Base!H24+SABR_Shocks!$D$13*SABR_Shocks!H25</f>
        <v>-0.1530228</v>
      </c>
      <c r="I312" s="25" t="n">
        <f aca="false">SABR_Base!I24+SABR_Shocks!$D$13*SABR_Shocks!I25</f>
        <v>-0.1264922</v>
      </c>
      <c r="J312" s="25" t="n">
        <f aca="false">SABR_Base!J24+SABR_Shocks!$D$13*SABR_Shocks!J25</f>
        <v>-0.1187998</v>
      </c>
      <c r="K312" s="25" t="n">
        <f aca="false">SABR_Base!K24+SABR_Shocks!$D$13*SABR_Shocks!K25</f>
        <v>-0.0910972</v>
      </c>
      <c r="L312" s="25" t="n">
        <f aca="false">SABR_Base!L24+SABR_Shocks!$D$13*SABR_Shocks!L25</f>
        <v>-0.0631078</v>
      </c>
    </row>
    <row r="313" customFormat="false" ht="15" hidden="false" customHeight="true" outlineLevel="0" collapsed="false">
      <c r="B313" s="30" t="s">
        <v>60</v>
      </c>
      <c r="C313" s="25" t="n">
        <f aca="false">SABR_Base!C25+SABR_Shocks!$D$13*SABR_Shocks!C26</f>
        <v>-0.2117066</v>
      </c>
      <c r="D313" s="25" t="n">
        <f aca="false">SABR_Base!D25+SABR_Shocks!$D$13*SABR_Shocks!D26</f>
        <v>-0.196821</v>
      </c>
      <c r="E313" s="25" t="n">
        <f aca="false">SABR_Base!E25+SABR_Shocks!$D$13*SABR_Shocks!E26</f>
        <v>-0.1868352</v>
      </c>
      <c r="F313" s="25" t="n">
        <f aca="false">SABR_Base!F25+SABR_Shocks!$D$13*SABR_Shocks!F26</f>
        <v>-0.166936</v>
      </c>
      <c r="G313" s="25" t="n">
        <f aca="false">SABR_Base!G25+SABR_Shocks!$D$13*SABR_Shocks!G26</f>
        <v>-0.1527056</v>
      </c>
      <c r="H313" s="25" t="n">
        <f aca="false">SABR_Base!H25+SABR_Shocks!$D$13*SABR_Shocks!H26</f>
        <v>-0.1226408</v>
      </c>
      <c r="I313" s="25" t="n">
        <f aca="false">SABR_Base!I25+SABR_Shocks!$D$13*SABR_Shocks!I26</f>
        <v>-0.109169</v>
      </c>
      <c r="J313" s="25" t="n">
        <f aca="false">SABR_Base!J25+SABR_Shocks!$D$13*SABR_Shocks!J26</f>
        <v>-0.085597</v>
      </c>
      <c r="K313" s="25" t="n">
        <f aca="false">SABR_Base!K25+SABR_Shocks!$D$13*SABR_Shocks!K26</f>
        <v>-0.076715</v>
      </c>
      <c r="L313" s="25" t="n">
        <f aca="false">SABR_Base!L25+SABR_Shocks!$D$13*SABR_Shocks!L26</f>
        <v>-0.0603672</v>
      </c>
    </row>
    <row r="314" customFormat="false" ht="15" hidden="false" customHeight="true" outlineLevel="0" collapsed="false">
      <c r="B314" s="30" t="s">
        <v>61</v>
      </c>
      <c r="C314" s="25" t="n">
        <f aca="false">SABR_Base!C26+SABR_Shocks!$D$13*SABR_Shocks!C27</f>
        <v>-0.1944244</v>
      </c>
      <c r="D314" s="25" t="n">
        <f aca="false">SABR_Base!D26+SABR_Shocks!$D$13*SABR_Shocks!D27</f>
        <v>-0.1725974</v>
      </c>
      <c r="E314" s="25" t="n">
        <f aca="false">SABR_Base!E26+SABR_Shocks!$D$13*SABR_Shocks!E27</f>
        <v>-0.1566116</v>
      </c>
      <c r="F314" s="25" t="n">
        <f aca="false">SABR_Base!F26+SABR_Shocks!$D$13*SABR_Shocks!F27</f>
        <v>-0.1397538</v>
      </c>
      <c r="G314" s="25" t="n">
        <f aca="false">SABR_Base!G26+SABR_Shocks!$D$13*SABR_Shocks!G27</f>
        <v>-0.1212268</v>
      </c>
      <c r="H314" s="25" t="n">
        <f aca="false">SABR_Base!H26+SABR_Shocks!$D$13*SABR_Shocks!H27</f>
        <v>-0.1044204</v>
      </c>
      <c r="I314" s="25" t="n">
        <f aca="false">SABR_Base!I26+SABR_Shocks!$D$13*SABR_Shocks!I27</f>
        <v>-0.0970282</v>
      </c>
      <c r="J314" s="25" t="n">
        <f aca="false">SABR_Base!J26+SABR_Shocks!$D$13*SABR_Shocks!J27</f>
        <v>-0.0729978</v>
      </c>
      <c r="K314" s="25" t="n">
        <f aca="false">SABR_Base!K26+SABR_Shocks!$D$13*SABR_Shocks!K27</f>
        <v>-0.057405</v>
      </c>
      <c r="L314" s="25" t="n">
        <f aca="false">SABR_Base!L26+SABR_Shocks!$D$13*SABR_Shocks!L27</f>
        <v>-0.0458298</v>
      </c>
    </row>
    <row r="315" customFormat="false" ht="15" hidden="false" customHeight="true" outlineLevel="0" collapsed="false">
      <c r="B315" s="30" t="s">
        <v>62</v>
      </c>
      <c r="C315" s="25" t="n">
        <f aca="false">SABR_Base!C27+SABR_Shocks!$D$13*SABR_Shocks!C28</f>
        <v>-0.191963</v>
      </c>
      <c r="D315" s="25" t="n">
        <f aca="false">SABR_Base!D27+SABR_Shocks!$D$13*SABR_Shocks!D28</f>
        <v>-0.1687602</v>
      </c>
      <c r="E315" s="25" t="n">
        <f aca="false">SABR_Base!E27+SABR_Shocks!$D$13*SABR_Shocks!E28</f>
        <v>-0.1505468</v>
      </c>
      <c r="F315" s="25" t="n">
        <f aca="false">SABR_Base!F27+SABR_Shocks!$D$13*SABR_Shocks!F28</f>
        <v>-0.1235232</v>
      </c>
      <c r="G315" s="25" t="n">
        <f aca="false">SABR_Base!G27+SABR_Shocks!$D$13*SABR_Shocks!G28</f>
        <v>-0.1005724</v>
      </c>
      <c r="H315" s="25" t="n">
        <f aca="false">SABR_Base!H27+SABR_Shocks!$D$13*SABR_Shocks!H28</f>
        <v>-0.0919934</v>
      </c>
      <c r="I315" s="25" t="n">
        <f aca="false">SABR_Base!I27+SABR_Shocks!$D$13*SABR_Shocks!I28</f>
        <v>-0.0639906</v>
      </c>
      <c r="J315" s="25" t="n">
        <f aca="false">SABR_Base!J27+SABR_Shocks!$D$13*SABR_Shocks!J28</f>
        <v>-0.0450672</v>
      </c>
      <c r="K315" s="25" t="n">
        <f aca="false">SABR_Base!K27+SABR_Shocks!$D$13*SABR_Shocks!K28</f>
        <v>-0.027661</v>
      </c>
      <c r="L315" s="25" t="n">
        <f aca="false">SABR_Base!L27+SABR_Shocks!$D$13*SABR_Shocks!L28</f>
        <v>-0.02013</v>
      </c>
    </row>
    <row r="316" customFormat="false" ht="15" hidden="false" customHeight="true" outlineLevel="0" collapsed="false">
      <c r="B316" s="30" t="s">
        <v>63</v>
      </c>
      <c r="C316" s="25" t="n">
        <f aca="false">SABR_Base!C28+SABR_Shocks!$D$13*SABR_Shocks!C29</f>
        <v>-0.1700844</v>
      </c>
      <c r="D316" s="25" t="n">
        <f aca="false">SABR_Base!D28+SABR_Shocks!$D$13*SABR_Shocks!D29</f>
        <v>-0.1509536</v>
      </c>
      <c r="E316" s="25" t="n">
        <f aca="false">SABR_Base!E28+SABR_Shocks!$D$13*SABR_Shocks!E29</f>
        <v>-0.1340028</v>
      </c>
      <c r="F316" s="25" t="n">
        <f aca="false">SABR_Base!F28+SABR_Shocks!$D$13*SABR_Shocks!F29</f>
        <v>-0.1152584</v>
      </c>
      <c r="G316" s="25" t="n">
        <f aca="false">SABR_Base!G28+SABR_Shocks!$D$13*SABR_Shocks!G29</f>
        <v>-0.088973</v>
      </c>
      <c r="H316" s="25" t="n">
        <f aca="false">SABR_Base!H28+SABR_Shocks!$D$13*SABR_Shocks!H29</f>
        <v>-0.0648458</v>
      </c>
      <c r="I316" s="25" t="n">
        <f aca="false">SABR_Base!I28+SABR_Shocks!$D$13*SABR_Shocks!I29</f>
        <v>-0.0479672</v>
      </c>
      <c r="J316" s="25" t="n">
        <f aca="false">SABR_Base!J28+SABR_Shocks!$D$13*SABR_Shocks!J29</f>
        <v>-0.03723</v>
      </c>
      <c r="K316" s="25" t="n">
        <f aca="false">SABR_Base!K28+SABR_Shocks!$D$13*SABR_Shocks!K29</f>
        <v>-0.01433</v>
      </c>
      <c r="L316" s="25" t="n">
        <f aca="false">SABR_Base!L28+SABR_Shocks!$D$13*SABR_Shocks!L29</f>
        <v>0.00807</v>
      </c>
    </row>
    <row r="318" customFormat="false" ht="15" hidden="false" customHeight="true" outlineLevel="0" collapsed="false">
      <c r="B318" s="34" t="s">
        <v>116</v>
      </c>
      <c r="C318" s="34"/>
      <c r="D318" s="34"/>
      <c r="E318" s="34"/>
      <c r="F318" s="34"/>
      <c r="G318" s="34"/>
      <c r="H318" s="34"/>
      <c r="I318" s="34"/>
      <c r="J318" s="34"/>
      <c r="K318" s="34"/>
      <c r="L318" s="34"/>
    </row>
    <row r="319" customFormat="false" ht="15" hidden="false" customHeight="true" outlineLevel="0" collapsed="false">
      <c r="B319" s="12" t="s">
        <v>113</v>
      </c>
      <c r="C319" s="13" t="s">
        <v>114</v>
      </c>
      <c r="D319" s="13" t="s">
        <v>56</v>
      </c>
      <c r="E319" s="13" t="s">
        <v>57</v>
      </c>
      <c r="F319" s="13" t="s">
        <v>30</v>
      </c>
      <c r="G319" s="13" t="s">
        <v>58</v>
      </c>
      <c r="H319" s="13" t="s">
        <v>59</v>
      </c>
      <c r="I319" s="13" t="s">
        <v>60</v>
      </c>
      <c r="J319" s="13" t="s">
        <v>61</v>
      </c>
      <c r="K319" s="13" t="s">
        <v>62</v>
      </c>
      <c r="L319" s="13" t="s">
        <v>63</v>
      </c>
    </row>
    <row r="320" customFormat="false" ht="15" hidden="false" customHeight="true" outlineLevel="0" collapsed="false">
      <c r="B320" s="30" t="s">
        <v>114</v>
      </c>
      <c r="C320" s="25" t="n">
        <f aca="false">SABR_Base!C33+SABR_Shocks!$E$13*SABR_Shocks!C20</f>
        <v>0.8958138</v>
      </c>
      <c r="D320" s="25" t="n">
        <f aca="false">SABR_Base!D33+SABR_Shocks!$E$13*SABR_Shocks!D20</f>
        <v>0.8823084</v>
      </c>
      <c r="E320" s="25" t="n">
        <f aca="false">SABR_Base!E33+SABR_Shocks!$E$13*SABR_Shocks!E20</f>
        <v>0.861796</v>
      </c>
      <c r="F320" s="25" t="n">
        <f aca="false">SABR_Base!F33+SABR_Shocks!$E$13*SABR_Shocks!F20</f>
        <v>0.834292</v>
      </c>
      <c r="G320" s="25" t="n">
        <f aca="false">SABR_Base!G33+SABR_Shocks!$E$13*SABR_Shocks!G20</f>
        <v>0.8079106</v>
      </c>
      <c r="H320" s="25" t="n">
        <f aca="false">SABR_Base!H33+SABR_Shocks!$E$13*SABR_Shocks!H20</f>
        <v>0.7768306</v>
      </c>
      <c r="I320" s="25" t="n">
        <f aca="false">SABR_Base!I33+SABR_Shocks!$E$13*SABR_Shocks!I20</f>
        <v>0.747042</v>
      </c>
      <c r="J320" s="25" t="n">
        <f aca="false">SABR_Base!J33+SABR_Shocks!$E$13*SABR_Shocks!J20</f>
        <v>0.734</v>
      </c>
      <c r="K320" s="25" t="n">
        <f aca="false">SABR_Base!K33+SABR_Shocks!$E$13*SABR_Shocks!K20</f>
        <v>0.69932</v>
      </c>
      <c r="L320" s="25" t="n">
        <f aca="false">SABR_Base!L33+SABR_Shocks!$E$13*SABR_Shocks!L20</f>
        <v>0.6831076</v>
      </c>
    </row>
    <row r="321" customFormat="false" ht="15" hidden="false" customHeight="true" outlineLevel="0" collapsed="false">
      <c r="B321" s="30" t="s">
        <v>56</v>
      </c>
      <c r="C321" s="25" t="n">
        <f aca="false">SABR_Base!C34+SABR_Shocks!$E$13*SABR_Shocks!C21</f>
        <v>0.8878662</v>
      </c>
      <c r="D321" s="25" t="n">
        <f aca="false">SABR_Base!D34+SABR_Shocks!$E$13*SABR_Shocks!D21</f>
        <v>0.8509552</v>
      </c>
      <c r="E321" s="25" t="n">
        <f aca="false">SABR_Base!E34+SABR_Shocks!$E$13*SABR_Shocks!E21</f>
        <v>0.8259146</v>
      </c>
      <c r="F321" s="25" t="n">
        <f aca="false">SABR_Base!F34+SABR_Shocks!$E$13*SABR_Shocks!F21</f>
        <v>0.8110332</v>
      </c>
      <c r="G321" s="25" t="n">
        <f aca="false">SABR_Base!G34+SABR_Shocks!$E$13*SABR_Shocks!G21</f>
        <v>0.7828108</v>
      </c>
      <c r="H321" s="25" t="n">
        <f aca="false">SABR_Base!H34+SABR_Shocks!$E$13*SABR_Shocks!H21</f>
        <v>0.7457252</v>
      </c>
      <c r="I321" s="25" t="n">
        <f aca="false">SABR_Base!I34+SABR_Shocks!$E$13*SABR_Shocks!I21</f>
        <v>0.7204958</v>
      </c>
      <c r="J321" s="25" t="n">
        <f aca="false">SABR_Base!J34+SABR_Shocks!$E$13*SABR_Shocks!J21</f>
        <v>0.6947074</v>
      </c>
      <c r="K321" s="25" t="n">
        <f aca="false">SABR_Base!K34+SABR_Shocks!$E$13*SABR_Shocks!K21</f>
        <v>0.6857146</v>
      </c>
      <c r="L321" s="25" t="n">
        <f aca="false">SABR_Base!L34+SABR_Shocks!$E$13*SABR_Shocks!L21</f>
        <v>0.6582698</v>
      </c>
    </row>
    <row r="322" customFormat="false" ht="15" hidden="false" customHeight="true" outlineLevel="0" collapsed="false">
      <c r="B322" s="30" t="s">
        <v>57</v>
      </c>
      <c r="C322" s="25" t="n">
        <f aca="false">SABR_Base!C35+SABR_Shocks!$E$13*SABR_Shocks!C22</f>
        <v>0.845482</v>
      </c>
      <c r="D322" s="25" t="n">
        <f aca="false">SABR_Base!D35+SABR_Shocks!$E$13*SABR_Shocks!D22</f>
        <v>0.8342794</v>
      </c>
      <c r="E322" s="25" t="n">
        <f aca="false">SABR_Base!E35+SABR_Shocks!$E$13*SABR_Shocks!E22</f>
        <v>0.813457</v>
      </c>
      <c r="F322" s="25" t="n">
        <f aca="false">SABR_Base!F35+SABR_Shocks!$E$13*SABR_Shocks!F22</f>
        <v>0.7808024</v>
      </c>
      <c r="G322" s="25" t="n">
        <f aca="false">SABR_Base!G35+SABR_Shocks!$E$13*SABR_Shocks!G22</f>
        <v>0.7505082</v>
      </c>
      <c r="H322" s="25" t="n">
        <f aca="false">SABR_Base!H35+SABR_Shocks!$E$13*SABR_Shocks!H22</f>
        <v>0.7279832</v>
      </c>
      <c r="I322" s="25" t="n">
        <f aca="false">SABR_Base!I35+SABR_Shocks!$E$13*SABR_Shocks!I22</f>
        <v>0.6936652</v>
      </c>
      <c r="J322" s="25" t="n">
        <f aca="false">SABR_Base!J35+SABR_Shocks!$E$13*SABR_Shocks!J22</f>
        <v>0.6672724</v>
      </c>
      <c r="K322" s="25" t="n">
        <f aca="false">SABR_Base!K35+SABR_Shocks!$E$13*SABR_Shocks!K22</f>
        <v>0.6614346</v>
      </c>
      <c r="L322" s="25" t="n">
        <f aca="false">SABR_Base!L35+SABR_Shocks!$E$13*SABR_Shocks!L22</f>
        <v>0.6286448</v>
      </c>
    </row>
    <row r="323" customFormat="false" ht="15" hidden="false" customHeight="true" outlineLevel="0" collapsed="false">
      <c r="B323" s="30" t="s">
        <v>30</v>
      </c>
      <c r="C323" s="25" t="n">
        <f aca="false">SABR_Base!C36+SABR_Shocks!$E$13*SABR_Shocks!C23</f>
        <v>0.828009</v>
      </c>
      <c r="D323" s="25" t="n">
        <f aca="false">SABR_Base!D36+SABR_Shocks!$E$13*SABR_Shocks!D23</f>
        <v>0.811374</v>
      </c>
      <c r="E323" s="25" t="n">
        <f aca="false">SABR_Base!E36+SABR_Shocks!$E$13*SABR_Shocks!E23</f>
        <v>0.7774164</v>
      </c>
      <c r="F323" s="25" t="n">
        <f aca="false">SABR_Base!F36+SABR_Shocks!$E$13*SABR_Shocks!F23</f>
        <v>0.760435</v>
      </c>
      <c r="G323" s="25" t="n">
        <f aca="false">SABR_Base!G36+SABR_Shocks!$E$13*SABR_Shocks!G23</f>
        <v>0.7330086</v>
      </c>
      <c r="H323" s="25" t="n">
        <f aca="false">SABR_Base!H36+SABR_Shocks!$E$13*SABR_Shocks!H23</f>
        <v>0.695637</v>
      </c>
      <c r="I323" s="25" t="n">
        <f aca="false">SABR_Base!I36+SABR_Shocks!$E$13*SABR_Shocks!I23</f>
        <v>0.6708908</v>
      </c>
      <c r="J323" s="25" t="n">
        <f aca="false">SABR_Base!J36+SABR_Shocks!$E$13*SABR_Shocks!J23</f>
        <v>0.6463812</v>
      </c>
      <c r="K323" s="25" t="n">
        <f aca="false">SABR_Base!K36+SABR_Shocks!$E$13*SABR_Shocks!K23</f>
        <v>0.6216264</v>
      </c>
      <c r="L323" s="25" t="n">
        <f aca="false">SABR_Base!L36+SABR_Shocks!$E$13*SABR_Shocks!L23</f>
        <v>0.6020338</v>
      </c>
    </row>
    <row r="324" customFormat="false" ht="15" hidden="false" customHeight="true" outlineLevel="0" collapsed="false">
      <c r="B324" s="30" t="s">
        <v>58</v>
      </c>
      <c r="C324" s="25" t="n">
        <f aca="false">SABR_Base!C37+SABR_Shocks!$E$13*SABR_Shocks!C24</f>
        <v>0.7983472</v>
      </c>
      <c r="D324" s="25" t="n">
        <f aca="false">SABR_Base!D37+SABR_Shocks!$E$13*SABR_Shocks!D24</f>
        <v>0.7760686</v>
      </c>
      <c r="E324" s="25" t="n">
        <f aca="false">SABR_Base!E37+SABR_Shocks!$E$13*SABR_Shocks!E24</f>
        <v>0.7444858</v>
      </c>
      <c r="F324" s="25" t="n">
        <f aca="false">SABR_Base!F37+SABR_Shocks!$E$13*SABR_Shocks!F24</f>
        <v>0.7358592</v>
      </c>
      <c r="G324" s="25" t="n">
        <f aca="false">SABR_Base!G37+SABR_Shocks!$E$13*SABR_Shocks!G24</f>
        <v>0.6983004</v>
      </c>
      <c r="H324" s="25" t="n">
        <f aca="false">SABR_Base!H37+SABR_Shocks!$E$13*SABR_Shocks!H24</f>
        <v>0.6762062</v>
      </c>
      <c r="I324" s="25" t="n">
        <f aca="false">SABR_Base!I37+SABR_Shocks!$E$13*SABR_Shocks!I24</f>
        <v>0.6522826</v>
      </c>
      <c r="J324" s="25" t="n">
        <f aca="false">SABR_Base!J37+SABR_Shocks!$E$13*SABR_Shocks!J24</f>
        <v>0.634049</v>
      </c>
      <c r="K324" s="25" t="n">
        <f aca="false">SABR_Base!K37+SABR_Shocks!$E$13*SABR_Shocks!K24</f>
        <v>0.5987014</v>
      </c>
      <c r="L324" s="25" t="n">
        <f aca="false">SABR_Base!L37+SABR_Shocks!$E$13*SABR_Shocks!L24</f>
        <v>0.5835608</v>
      </c>
    </row>
    <row r="325" customFormat="false" ht="15" hidden="false" customHeight="true" outlineLevel="0" collapsed="false">
      <c r="B325" s="30" t="s">
        <v>59</v>
      </c>
      <c r="C325" s="25" t="n">
        <f aca="false">SABR_Base!C38+SABR_Shocks!$E$13*SABR_Shocks!C25</f>
        <v>0.7787164</v>
      </c>
      <c r="D325" s="25" t="n">
        <f aca="false">SABR_Base!D38+SABR_Shocks!$E$13*SABR_Shocks!D25</f>
        <v>0.7537364</v>
      </c>
      <c r="E325" s="25" t="n">
        <f aca="false">SABR_Base!E38+SABR_Shocks!$E$13*SABR_Shocks!E25</f>
        <v>0.7272804</v>
      </c>
      <c r="F325" s="25" t="n">
        <f aca="false">SABR_Base!F38+SABR_Shocks!$E$13*SABR_Shocks!F25</f>
        <v>0.6931214</v>
      </c>
      <c r="G325" s="25" t="n">
        <f aca="false">SABR_Base!G38+SABR_Shocks!$E$13*SABR_Shocks!G25</f>
        <v>0.6749274</v>
      </c>
      <c r="H325" s="25" t="n">
        <f aca="false">SABR_Base!H38+SABR_Shocks!$E$13*SABR_Shocks!H25</f>
        <v>0.6448572</v>
      </c>
      <c r="I325" s="25" t="n">
        <f aca="false">SABR_Base!I38+SABR_Shocks!$E$13*SABR_Shocks!I25</f>
        <v>0.6169278</v>
      </c>
      <c r="J325" s="25" t="n">
        <f aca="false">SABR_Base!J38+SABR_Shocks!$E$13*SABR_Shocks!J25</f>
        <v>0.6071802</v>
      </c>
      <c r="K325" s="25" t="n">
        <f aca="false">SABR_Base!K38+SABR_Shocks!$E$13*SABR_Shocks!K25</f>
        <v>0.5683228</v>
      </c>
      <c r="L325" s="25" t="n">
        <f aca="false">SABR_Base!L38+SABR_Shocks!$E$13*SABR_Shocks!L25</f>
        <v>0.5508722</v>
      </c>
    </row>
    <row r="326" customFormat="false" ht="15" hidden="false" customHeight="true" outlineLevel="0" collapsed="false">
      <c r="B326" s="30" t="s">
        <v>60</v>
      </c>
      <c r="C326" s="25" t="n">
        <f aca="false">SABR_Base!C39+SABR_Shocks!$E$13*SABR_Shocks!C26</f>
        <v>0.7564534</v>
      </c>
      <c r="D326" s="25" t="n">
        <f aca="false">SABR_Base!D39+SABR_Shocks!$E$13*SABR_Shocks!D26</f>
        <v>0.727879</v>
      </c>
      <c r="E326" s="25" t="n">
        <f aca="false">SABR_Base!E39+SABR_Shocks!$E$13*SABR_Shocks!E26</f>
        <v>0.6989848</v>
      </c>
      <c r="F326" s="25" t="n">
        <f aca="false">SABR_Base!F39+SABR_Shocks!$E$13*SABR_Shocks!F26</f>
        <v>0.676764</v>
      </c>
      <c r="G326" s="25" t="n">
        <f aca="false">SABR_Base!G39+SABR_Shocks!$E$13*SABR_Shocks!G26</f>
        <v>0.6521544</v>
      </c>
      <c r="H326" s="25" t="n">
        <f aca="false">SABR_Base!H39+SABR_Shocks!$E$13*SABR_Shocks!H26</f>
        <v>0.6309392</v>
      </c>
      <c r="I326" s="25" t="n">
        <f aca="false">SABR_Base!I39+SABR_Shocks!$E$13*SABR_Shocks!I26</f>
        <v>0.592231</v>
      </c>
      <c r="J326" s="25" t="n">
        <f aca="false">SABR_Base!J39+SABR_Shocks!$E$13*SABR_Shocks!J26</f>
        <v>0.577003</v>
      </c>
      <c r="K326" s="25" t="n">
        <f aca="false">SABR_Base!K39+SABR_Shocks!$E$13*SABR_Shocks!K26</f>
        <v>0.544885</v>
      </c>
      <c r="L326" s="25" t="n">
        <f aca="false">SABR_Base!L39+SABR_Shocks!$E$13*SABR_Shocks!L26</f>
        <v>0.5208528</v>
      </c>
    </row>
    <row r="327" customFormat="false" ht="15" hidden="false" customHeight="true" outlineLevel="0" collapsed="false">
      <c r="B327" s="30" t="s">
        <v>61</v>
      </c>
      <c r="C327" s="25" t="n">
        <f aca="false">SABR_Base!C40+SABR_Shocks!$E$13*SABR_Shocks!C27</f>
        <v>0.7324156</v>
      </c>
      <c r="D327" s="25" t="n">
        <f aca="false">SABR_Base!D40+SABR_Shocks!$E$13*SABR_Shocks!D27</f>
        <v>0.7020426</v>
      </c>
      <c r="E327" s="25" t="n">
        <f aca="false">SABR_Base!E40+SABR_Shocks!$E$13*SABR_Shocks!E27</f>
        <v>0.6788484</v>
      </c>
      <c r="F327" s="25" t="n">
        <f aca="false">SABR_Base!F40+SABR_Shocks!$E$13*SABR_Shocks!F27</f>
        <v>0.6566262</v>
      </c>
      <c r="G327" s="25" t="n">
        <f aca="false">SABR_Base!G40+SABR_Shocks!$E$13*SABR_Shocks!G27</f>
        <v>0.6345532</v>
      </c>
      <c r="H327" s="25" t="n">
        <f aca="false">SABR_Base!H40+SABR_Shocks!$E$13*SABR_Shocks!H27</f>
        <v>0.6005196</v>
      </c>
      <c r="I327" s="25" t="n">
        <f aca="false">SABR_Base!I40+SABR_Shocks!$E$13*SABR_Shocks!I27</f>
        <v>0.5772918</v>
      </c>
      <c r="J327" s="25" t="n">
        <f aca="false">SABR_Base!J40+SABR_Shocks!$E$13*SABR_Shocks!J27</f>
        <v>0.5497822</v>
      </c>
      <c r="K327" s="25" t="n">
        <f aca="false">SABR_Base!K40+SABR_Shocks!$E$13*SABR_Shocks!K27</f>
        <v>0.526195</v>
      </c>
      <c r="L327" s="25" t="n">
        <f aca="false">SABR_Base!L40+SABR_Shocks!$E$13*SABR_Shocks!L27</f>
        <v>0.5043502</v>
      </c>
    </row>
    <row r="328" customFormat="false" ht="15" hidden="false" customHeight="true" outlineLevel="0" collapsed="false">
      <c r="B328" s="30" t="s">
        <v>62</v>
      </c>
      <c r="C328" s="25" t="n">
        <f aca="false">SABR_Base!C41+SABR_Shocks!$E$13*SABR_Shocks!C28</f>
        <v>0.700537</v>
      </c>
      <c r="D328" s="25" t="n">
        <f aca="false">SABR_Base!D41+SABR_Shocks!$E$13*SABR_Shocks!D28</f>
        <v>0.6767598</v>
      </c>
      <c r="E328" s="25" t="n">
        <f aca="false">SABR_Base!E41+SABR_Shocks!$E$13*SABR_Shocks!E28</f>
        <v>0.6514332</v>
      </c>
      <c r="F328" s="25" t="n">
        <f aca="false">SABR_Base!F41+SABR_Shocks!$E$13*SABR_Shocks!F28</f>
        <v>0.6358968</v>
      </c>
      <c r="G328" s="25" t="n">
        <f aca="false">SABR_Base!G41+SABR_Shocks!$E$13*SABR_Shocks!G28</f>
        <v>0.6042676</v>
      </c>
      <c r="H328" s="25" t="n">
        <f aca="false">SABR_Base!H41+SABR_Shocks!$E$13*SABR_Shocks!H28</f>
        <v>0.5840466</v>
      </c>
      <c r="I328" s="25" t="n">
        <f aca="false">SABR_Base!I41+SABR_Shocks!$E$13*SABR_Shocks!I28</f>
        <v>0.5599694</v>
      </c>
      <c r="J328" s="25" t="n">
        <f aca="false">SABR_Base!J41+SABR_Shocks!$E$13*SABR_Shocks!J28</f>
        <v>0.5205528</v>
      </c>
      <c r="K328" s="25" t="n">
        <f aca="false">SABR_Base!K41+SABR_Shocks!$E$13*SABR_Shocks!K28</f>
        <v>0.500839</v>
      </c>
      <c r="L328" s="25" t="n">
        <f aca="false">SABR_Base!L41+SABR_Shocks!$E$13*SABR_Shocks!L28</f>
        <v>0.48617</v>
      </c>
    </row>
    <row r="329" customFormat="false" ht="15" hidden="false" customHeight="true" outlineLevel="0" collapsed="false">
      <c r="B329" s="30" t="s">
        <v>63</v>
      </c>
      <c r="C329" s="25" t="n">
        <f aca="false">SABR_Base!C42+SABR_Shocks!$E$13*SABR_Shocks!C29</f>
        <v>0.6825556</v>
      </c>
      <c r="D329" s="25" t="n">
        <f aca="false">SABR_Base!D42+SABR_Shocks!$E$13*SABR_Shocks!D29</f>
        <v>0.6451064</v>
      </c>
      <c r="E329" s="25" t="n">
        <f aca="false">SABR_Base!E42+SABR_Shocks!$E$13*SABR_Shocks!E29</f>
        <v>0.6180772</v>
      </c>
      <c r="F329" s="25" t="n">
        <f aca="false">SABR_Base!F42+SABR_Shocks!$E$13*SABR_Shocks!F29</f>
        <v>0.6001816</v>
      </c>
      <c r="G329" s="25" t="n">
        <f aca="false">SABR_Base!G42+SABR_Shocks!$E$13*SABR_Shocks!G29</f>
        <v>0.566627</v>
      </c>
      <c r="H329" s="25" t="n">
        <f aca="false">SABR_Base!H42+SABR_Shocks!$E$13*SABR_Shocks!H29</f>
        <v>0.5458342</v>
      </c>
      <c r="I329" s="25" t="n">
        <f aca="false">SABR_Base!I42+SABR_Shocks!$E$13*SABR_Shocks!I29</f>
        <v>0.5167528</v>
      </c>
      <c r="J329" s="25" t="n">
        <f aca="false">SABR_Base!J42+SABR_Shocks!$E$13*SABR_Shocks!J29</f>
        <v>0.50287</v>
      </c>
      <c r="K329" s="25" t="n">
        <f aca="false">SABR_Base!K42+SABR_Shocks!$E$13*SABR_Shocks!K29</f>
        <v>0.48297</v>
      </c>
      <c r="L329" s="25" t="n">
        <f aca="false">SABR_Base!L42+SABR_Shocks!$E$13*SABR_Shocks!L29</f>
        <v>0.46297</v>
      </c>
    </row>
    <row r="332" customFormat="false" ht="15" hidden="false" customHeight="true" outlineLevel="0" collapsed="false">
      <c r="B332" s="19" t="s">
        <v>135</v>
      </c>
      <c r="C332" s="19"/>
      <c r="D332" s="19"/>
      <c r="E332" s="19"/>
      <c r="F332" s="19"/>
      <c r="G332" s="19"/>
      <c r="H332" s="19"/>
      <c r="I332" s="19"/>
      <c r="J332" s="19"/>
      <c r="K332" s="19"/>
      <c r="L332" s="19"/>
    </row>
    <row r="333" customFormat="false" ht="15" hidden="false" customHeight="true" outlineLevel="0" collapsed="false">
      <c r="B333" s="34" t="s">
        <v>112</v>
      </c>
      <c r="C333" s="34"/>
      <c r="D333" s="34"/>
      <c r="E333" s="34"/>
      <c r="F333" s="34"/>
      <c r="G333" s="34"/>
      <c r="H333" s="34"/>
      <c r="I333" s="34"/>
      <c r="J333" s="34"/>
      <c r="K333" s="34"/>
      <c r="L333" s="34"/>
    </row>
    <row r="334" customFormat="false" ht="15" hidden="false" customHeight="true" outlineLevel="0" collapsed="false">
      <c r="B334" s="12" t="s">
        <v>113</v>
      </c>
      <c r="C334" s="13" t="s">
        <v>114</v>
      </c>
      <c r="D334" s="13" t="s">
        <v>56</v>
      </c>
      <c r="E334" s="13" t="s">
        <v>57</v>
      </c>
      <c r="F334" s="13" t="s">
        <v>30</v>
      </c>
      <c r="G334" s="13" t="s">
        <v>58</v>
      </c>
      <c r="H334" s="13" t="s">
        <v>59</v>
      </c>
      <c r="I334" s="13" t="s">
        <v>60</v>
      </c>
      <c r="J334" s="13" t="s">
        <v>61</v>
      </c>
      <c r="K334" s="13" t="s">
        <v>62</v>
      </c>
      <c r="L334" s="13" t="s">
        <v>63</v>
      </c>
    </row>
    <row r="335" customFormat="false" ht="15" hidden="false" customHeight="true" outlineLevel="0" collapsed="false">
      <c r="B335" s="30" t="s">
        <v>114</v>
      </c>
      <c r="C335" s="25" t="n">
        <f aca="false">SABR_Base!C5+SABR_Shocks!$C$14*SABR_Shocks!C20</f>
        <v>0.5889265</v>
      </c>
      <c r="D335" s="25" t="n">
        <f aca="false">SABR_Base!D5+SABR_Shocks!$C$14*SABR_Shocks!D20</f>
        <v>0.566627</v>
      </c>
      <c r="E335" s="25" t="n">
        <f aca="false">SABR_Base!E5+SABR_Shocks!$C$14*SABR_Shocks!E20</f>
        <v>0.55733</v>
      </c>
      <c r="F335" s="25" t="n">
        <f aca="false">SABR_Base!F5+SABR_Shocks!$C$14*SABR_Shocks!F20</f>
        <v>0.52691</v>
      </c>
      <c r="G335" s="25" t="n">
        <f aca="false">SABR_Base!G5+SABR_Shocks!$C$14*SABR_Shocks!G20</f>
        <v>0.5168805</v>
      </c>
      <c r="H335" s="25" t="n">
        <f aca="false">SABR_Base!H5+SABR_Shocks!$C$14*SABR_Shocks!H20</f>
        <v>0.4941305</v>
      </c>
      <c r="I335" s="25" t="n">
        <f aca="false">SABR_Base!I5+SABR_Shocks!$C$14*SABR_Shocks!I20</f>
        <v>0.470085</v>
      </c>
      <c r="J335" s="25" t="n">
        <f aca="false">SABR_Base!J5+SABR_Shocks!$C$14*SABR_Shocks!J20</f>
        <v>0.46</v>
      </c>
      <c r="K335" s="25" t="n">
        <f aca="false">SABR_Base!K5+SABR_Shocks!$C$14*SABR_Shocks!K20</f>
        <v>0.43125</v>
      </c>
      <c r="L335" s="25" t="n">
        <f aca="false">SABR_Base!L5+SABR_Shocks!$C$14*SABR_Shocks!L20</f>
        <v>0.419953</v>
      </c>
    </row>
    <row r="336" customFormat="false" ht="15" hidden="false" customHeight="true" outlineLevel="0" collapsed="false">
      <c r="B336" s="30" t="s">
        <v>56</v>
      </c>
      <c r="C336" s="25" t="n">
        <f aca="false">SABR_Base!C6+SABR_Shocks!$C$14*SABR_Shocks!C21</f>
        <v>0.5644235</v>
      </c>
      <c r="D336" s="25" t="n">
        <f aca="false">SABR_Base!D6+SABR_Shocks!$C$14*SABR_Shocks!D21</f>
        <v>0.545706</v>
      </c>
      <c r="E336" s="25" t="n">
        <f aca="false">SABR_Base!E6+SABR_Shocks!$C$14*SABR_Shocks!E21</f>
        <v>0.5334005</v>
      </c>
      <c r="F336" s="25" t="n">
        <f aca="false">SABR_Base!F6+SABR_Shocks!$C$14*SABR_Shocks!F21</f>
        <v>0.522071</v>
      </c>
      <c r="G336" s="25" t="n">
        <f aca="false">SABR_Base!G6+SABR_Shocks!$C$14*SABR_Shocks!G21</f>
        <v>0.489999</v>
      </c>
      <c r="H336" s="25" t="n">
        <f aca="false">SABR_Base!H6+SABR_Shocks!$C$14*SABR_Shocks!H21</f>
        <v>0.472431</v>
      </c>
      <c r="I336" s="25" t="n">
        <f aca="false">SABR_Base!I6+SABR_Shocks!$C$14*SABR_Shocks!I21</f>
        <v>0.4621615</v>
      </c>
      <c r="J336" s="25" t="n">
        <f aca="false">SABR_Base!J6+SABR_Shocks!$C$14*SABR_Shocks!J21</f>
        <v>0.4487345</v>
      </c>
      <c r="K336" s="25" t="n">
        <f aca="false">SABR_Base!K6+SABR_Shocks!$C$14*SABR_Shocks!K21</f>
        <v>0.4231505</v>
      </c>
      <c r="L336" s="25" t="n">
        <f aca="false">SABR_Base!L6+SABR_Shocks!$C$14*SABR_Shocks!L21</f>
        <v>0.4004065</v>
      </c>
    </row>
    <row r="337" customFormat="false" ht="15" hidden="false" customHeight="true" outlineLevel="0" collapsed="false">
      <c r="B337" s="30" t="s">
        <v>57</v>
      </c>
      <c r="C337" s="25" t="n">
        <f aca="false">SABR_Base!C7+SABR_Shocks!$C$14*SABR_Shocks!C22</f>
        <v>0.563035</v>
      </c>
      <c r="D337" s="25" t="n">
        <f aca="false">SABR_Base!D7+SABR_Shocks!$C$14*SABR_Shocks!D22</f>
        <v>0.5256945</v>
      </c>
      <c r="E337" s="25" t="n">
        <f aca="false">SABR_Base!E7+SABR_Shocks!$C$14*SABR_Shocks!E22</f>
        <v>0.5240225</v>
      </c>
      <c r="F337" s="25" t="n">
        <f aca="false">SABR_Base!F7+SABR_Shocks!$C$14*SABR_Shocks!F22</f>
        <v>0.492922</v>
      </c>
      <c r="G337" s="25" t="n">
        <f aca="false">SABR_Base!G7+SABR_Shocks!$C$14*SABR_Shocks!G22</f>
        <v>0.4717585</v>
      </c>
      <c r="H337" s="25" t="n">
        <f aca="false">SABR_Base!H7+SABR_Shocks!$C$14*SABR_Shocks!H22</f>
        <v>0.451246</v>
      </c>
      <c r="I337" s="25" t="n">
        <f aca="false">SABR_Base!I7+SABR_Shocks!$C$14*SABR_Shocks!I22</f>
        <v>0.435431</v>
      </c>
      <c r="J337" s="25" t="n">
        <f aca="false">SABR_Base!J7+SABR_Shocks!$C$14*SABR_Shocks!J22</f>
        <v>0.427447</v>
      </c>
      <c r="K337" s="25" t="n">
        <f aca="false">SABR_Base!K7+SABR_Shocks!$C$14*SABR_Shocks!K22</f>
        <v>0.3959005</v>
      </c>
      <c r="L337" s="25" t="n">
        <f aca="false">SABR_Base!L7+SABR_Shocks!$C$14*SABR_Shocks!L22</f>
        <v>0.384094</v>
      </c>
    </row>
    <row r="338" customFormat="false" ht="15" hidden="false" customHeight="true" outlineLevel="0" collapsed="false">
      <c r="B338" s="30" t="s">
        <v>30</v>
      </c>
      <c r="C338" s="25" t="n">
        <f aca="false">SABR_Base!C8+SABR_Shocks!$C$14*SABR_Shocks!C23</f>
        <v>0.5373825</v>
      </c>
      <c r="D338" s="25" t="n">
        <f aca="false">SABR_Base!D8+SABR_Shocks!$C$14*SABR_Shocks!D23</f>
        <v>0.513395</v>
      </c>
      <c r="E338" s="25" t="n">
        <f aca="false">SABR_Base!E8+SABR_Shocks!$C$14*SABR_Shocks!E23</f>
        <v>0.498817</v>
      </c>
      <c r="F338" s="25" t="n">
        <f aca="false">SABR_Base!F8+SABR_Shocks!$C$14*SABR_Shocks!F23</f>
        <v>0.4697875</v>
      </c>
      <c r="G338" s="25" t="n">
        <f aca="false">SABR_Base!G8+SABR_Shocks!$C$14*SABR_Shocks!G23</f>
        <v>0.4495955</v>
      </c>
      <c r="H338" s="25" t="n">
        <f aca="false">SABR_Base!H8+SABR_Shocks!$C$14*SABR_Shocks!H23</f>
        <v>0.4337225</v>
      </c>
      <c r="I338" s="25" t="n">
        <f aca="false">SABR_Base!I8+SABR_Shocks!$C$14*SABR_Shocks!I23</f>
        <v>0.423899</v>
      </c>
      <c r="J338" s="25" t="n">
        <f aca="false">SABR_Base!J8+SABR_Shocks!$C$14*SABR_Shocks!J23</f>
        <v>0.399761</v>
      </c>
      <c r="K338" s="25" t="n">
        <f aca="false">SABR_Base!K8+SABR_Shocks!$C$14*SABR_Shocks!K23</f>
        <v>0.379542</v>
      </c>
      <c r="L338" s="25" t="n">
        <f aca="false">SABR_Base!L8+SABR_Shocks!$C$14*SABR_Shocks!L23</f>
        <v>0.3649765</v>
      </c>
    </row>
    <row r="339" customFormat="false" ht="15" hidden="false" customHeight="true" outlineLevel="0" collapsed="false">
      <c r="B339" s="30" t="s">
        <v>58</v>
      </c>
      <c r="C339" s="25" t="n">
        <f aca="false">SABR_Base!C9+SABR_Shocks!$C$14*SABR_Shocks!C24</f>
        <v>0.515366</v>
      </c>
      <c r="D339" s="25" t="n">
        <f aca="false">SABR_Base!D9+SABR_Shocks!$C$14*SABR_Shocks!D24</f>
        <v>0.4930955</v>
      </c>
      <c r="E339" s="25" t="n">
        <f aca="false">SABR_Base!E9+SABR_Shocks!$C$14*SABR_Shocks!E24</f>
        <v>0.4834865</v>
      </c>
      <c r="F339" s="25" t="n">
        <f aca="false">SABR_Base!F9+SABR_Shocks!$C$14*SABR_Shocks!F24</f>
        <v>0.463376</v>
      </c>
      <c r="G339" s="25" t="n">
        <f aca="false">SABR_Base!G9+SABR_Shocks!$C$14*SABR_Shocks!G24</f>
        <v>0.434237</v>
      </c>
      <c r="H339" s="25" t="n">
        <f aca="false">SABR_Base!H9+SABR_Shocks!$C$14*SABR_Shocks!H24</f>
        <v>0.4226735</v>
      </c>
      <c r="I339" s="25" t="n">
        <f aca="false">SABR_Base!I9+SABR_Shocks!$C$14*SABR_Shocks!I24</f>
        <v>0.4017405</v>
      </c>
      <c r="J339" s="25" t="n">
        <f aca="false">SABR_Base!J9+SABR_Shocks!$C$14*SABR_Shocks!J24</f>
        <v>0.3902325</v>
      </c>
      <c r="K339" s="25" t="n">
        <f aca="false">SABR_Base!K9+SABR_Shocks!$C$14*SABR_Shocks!K24</f>
        <v>0.3679295</v>
      </c>
      <c r="L339" s="25" t="n">
        <f aca="false">SABR_Base!L9+SABR_Shocks!$C$14*SABR_Shocks!L24</f>
        <v>0.340124</v>
      </c>
    </row>
    <row r="340" customFormat="false" ht="15" hidden="false" customHeight="true" outlineLevel="0" collapsed="false">
      <c r="B340" s="30" t="s">
        <v>59</v>
      </c>
      <c r="C340" s="25" t="n">
        <f aca="false">SABR_Base!C10+SABR_Shocks!$C$14*SABR_Shocks!C25</f>
        <v>0.507517</v>
      </c>
      <c r="D340" s="25" t="n">
        <f aca="false">SABR_Base!D10+SABR_Shocks!$C$14*SABR_Shocks!D25</f>
        <v>0.470967</v>
      </c>
      <c r="E340" s="25" t="n">
        <f aca="false">SABR_Base!E10+SABR_Shocks!$C$14*SABR_Shocks!E25</f>
        <v>0.457087</v>
      </c>
      <c r="F340" s="25" t="n">
        <f aca="false">SABR_Base!F10+SABR_Shocks!$C$14*SABR_Shocks!F25</f>
        <v>0.4457295</v>
      </c>
      <c r="G340" s="25" t="n">
        <f aca="false">SABR_Base!G10+SABR_Shocks!$C$14*SABR_Shocks!G25</f>
        <v>0.4134845</v>
      </c>
      <c r="H340" s="25" t="n">
        <f aca="false">SABR_Base!H10+SABR_Shocks!$C$14*SABR_Shocks!H25</f>
        <v>0.401491</v>
      </c>
      <c r="I340" s="25" t="n">
        <f aca="false">SABR_Base!I10+SABR_Shocks!$C$14*SABR_Shocks!I25</f>
        <v>0.3742215</v>
      </c>
      <c r="J340" s="25" t="n">
        <f aca="false">SABR_Base!J10+SABR_Shocks!$C$14*SABR_Shocks!J25</f>
        <v>0.3674185</v>
      </c>
      <c r="K340" s="25" t="n">
        <f aca="false">SABR_Base!K10+SABR_Shocks!$C$14*SABR_Shocks!K25</f>
        <v>0.349359</v>
      </c>
      <c r="L340" s="25" t="n">
        <f aca="false">SABR_Base!L10+SABR_Shocks!$C$14*SABR_Shocks!L25</f>
        <v>0.3278785</v>
      </c>
    </row>
    <row r="341" customFormat="false" ht="15" hidden="false" customHeight="true" outlineLevel="0" collapsed="false">
      <c r="B341" s="30" t="s">
        <v>60</v>
      </c>
      <c r="C341" s="25" t="n">
        <f aca="false">SABR_Base!C11+SABR_Shocks!$C$14*SABR_Shocks!C26</f>
        <v>0.4851395</v>
      </c>
      <c r="D341" s="25" t="n">
        <f aca="false">SABR_Base!D11+SABR_Shocks!$C$14*SABR_Shocks!D26</f>
        <v>0.4549075</v>
      </c>
      <c r="E341" s="25" t="n">
        <f aca="false">SABR_Base!E11+SABR_Shocks!$C$14*SABR_Shocks!E26</f>
        <v>0.444344</v>
      </c>
      <c r="F341" s="25" t="n">
        <f aca="false">SABR_Base!F11+SABR_Shocks!$C$14*SABR_Shocks!F26</f>
        <v>0.42257</v>
      </c>
      <c r="G341" s="25" t="n">
        <f aca="false">SABR_Base!G11+SABR_Shocks!$C$14*SABR_Shocks!G26</f>
        <v>0.403132</v>
      </c>
      <c r="H341" s="25" t="n">
        <f aca="false">SABR_Base!H11+SABR_Shocks!$C$14*SABR_Shocks!H26</f>
        <v>0.381276</v>
      </c>
      <c r="I341" s="25" t="n">
        <f aca="false">SABR_Base!I11+SABR_Shocks!$C$14*SABR_Shocks!I26</f>
        <v>0.3699175</v>
      </c>
      <c r="J341" s="25" t="n">
        <f aca="false">SABR_Base!J11+SABR_Shocks!$C$14*SABR_Shocks!J26</f>
        <v>0.3537275</v>
      </c>
      <c r="K341" s="25" t="n">
        <f aca="false">SABR_Base!K11+SABR_Shocks!$C$14*SABR_Shocks!K26</f>
        <v>0.3247125</v>
      </c>
      <c r="L341" s="25" t="n">
        <f aca="false">SABR_Base!L11+SABR_Shocks!$C$14*SABR_Shocks!L26</f>
        <v>0.310084</v>
      </c>
    </row>
    <row r="342" customFormat="false" ht="15" hidden="false" customHeight="true" outlineLevel="0" collapsed="false">
      <c r="B342" s="30" t="s">
        <v>61</v>
      </c>
      <c r="C342" s="25" t="n">
        <f aca="false">SABR_Base!C12+SABR_Shocks!$C$14*SABR_Shocks!C27</f>
        <v>0.449993</v>
      </c>
      <c r="D342" s="25" t="n">
        <f aca="false">SABR_Base!D12+SABR_Shocks!$C$14*SABR_Shocks!D27</f>
        <v>0.4439405</v>
      </c>
      <c r="E342" s="25" t="n">
        <f aca="false">SABR_Base!E12+SABR_Shocks!$C$14*SABR_Shocks!E27</f>
        <v>0.424577</v>
      </c>
      <c r="F342" s="25" t="n">
        <f aca="false">SABR_Base!F12+SABR_Shocks!$C$14*SABR_Shocks!F27</f>
        <v>0.4117235</v>
      </c>
      <c r="G342" s="25" t="n">
        <f aca="false">SABR_Base!G12+SABR_Shocks!$C$14*SABR_Shocks!G27</f>
        <v>0.389371</v>
      </c>
      <c r="H342" s="25" t="n">
        <f aca="false">SABR_Base!H12+SABR_Shocks!$C$14*SABR_Shocks!H27</f>
        <v>0.360063</v>
      </c>
      <c r="I342" s="25" t="n">
        <f aca="false">SABR_Base!I12+SABR_Shocks!$C$14*SABR_Shocks!I27</f>
        <v>0.3418915</v>
      </c>
      <c r="J342" s="25" t="n">
        <f aca="false">SABR_Base!J12+SABR_Shocks!$C$14*SABR_Shocks!J27</f>
        <v>0.3284535</v>
      </c>
      <c r="K342" s="25" t="n">
        <f aca="false">SABR_Base!K12+SABR_Shocks!$C$14*SABR_Shocks!K27</f>
        <v>0.2977875</v>
      </c>
      <c r="L342" s="25" t="n">
        <f aca="false">SABR_Base!L12+SABR_Shocks!$C$14*SABR_Shocks!L27</f>
        <v>0.2873435</v>
      </c>
    </row>
    <row r="343" customFormat="false" ht="15" hidden="false" customHeight="true" outlineLevel="0" collapsed="false">
      <c r="B343" s="30" t="s">
        <v>62</v>
      </c>
      <c r="C343" s="25" t="n">
        <f aca="false">SABR_Base!C13+SABR_Shocks!$C$14*SABR_Shocks!C28</f>
        <v>0.4329225</v>
      </c>
      <c r="D343" s="25" t="n">
        <f aca="false">SABR_Base!D13+SABR_Shocks!$C$14*SABR_Shocks!D28</f>
        <v>0.4127315</v>
      </c>
      <c r="E343" s="25" t="n">
        <f aca="false">SABR_Base!E13+SABR_Shocks!$C$14*SABR_Shocks!E28</f>
        <v>0.393421</v>
      </c>
      <c r="F343" s="25" t="n">
        <f aca="false">SABR_Base!F13+SABR_Shocks!$C$14*SABR_Shocks!F28</f>
        <v>0.388854</v>
      </c>
      <c r="G343" s="25" t="n">
        <f aca="false">SABR_Base!G13+SABR_Shocks!$C$14*SABR_Shocks!G28</f>
        <v>0.355903</v>
      </c>
      <c r="H343" s="25" t="n">
        <f aca="false">SABR_Base!H13+SABR_Shocks!$C$14*SABR_Shocks!H28</f>
        <v>0.3404105</v>
      </c>
      <c r="I343" s="25" t="n">
        <f aca="false">SABR_Base!I13+SABR_Shocks!$C$14*SABR_Shocks!I28</f>
        <v>0.3241195</v>
      </c>
      <c r="J343" s="25" t="n">
        <f aca="false">SABR_Base!J13+SABR_Shocks!$C$14*SABR_Shocks!J28</f>
        <v>0.314184</v>
      </c>
      <c r="K343" s="25" t="n">
        <f aca="false">SABR_Base!K13+SABR_Shocks!$C$14*SABR_Shocks!K28</f>
        <v>0.2790075</v>
      </c>
      <c r="L343" s="25" t="n">
        <f aca="false">SABR_Base!L13+SABR_Shocks!$C$14*SABR_Shocks!L28</f>
        <v>0.269675</v>
      </c>
    </row>
    <row r="344" customFormat="false" ht="15" hidden="false" customHeight="true" outlineLevel="0" collapsed="false">
      <c r="B344" s="30" t="s">
        <v>63</v>
      </c>
      <c r="C344" s="25" t="n">
        <f aca="false">SABR_Base!C14+SABR_Shocks!$C$14*SABR_Shocks!C29</f>
        <v>0.421193</v>
      </c>
      <c r="D344" s="25" t="n">
        <f aca="false">SABR_Base!D14+SABR_Shocks!$C$14*SABR_Shocks!D29</f>
        <v>0.410292</v>
      </c>
      <c r="E344" s="25" t="n">
        <f aca="false">SABR_Base!E14+SABR_Shocks!$C$14*SABR_Shocks!E29</f>
        <v>0.388841</v>
      </c>
      <c r="F344" s="25" t="n">
        <f aca="false">SABR_Base!F14+SABR_Shocks!$C$14*SABR_Shocks!F29</f>
        <v>0.371398</v>
      </c>
      <c r="G344" s="25" t="n">
        <f aca="false">SABR_Base!G14+SABR_Shocks!$C$14*SABR_Shocks!G29</f>
        <v>0.3398975</v>
      </c>
      <c r="H344" s="25" t="n">
        <f aca="false">SABR_Base!H14+SABR_Shocks!$C$14*SABR_Shocks!H29</f>
        <v>0.3245135</v>
      </c>
      <c r="I344" s="25" t="n">
        <f aca="false">SABR_Base!I14+SABR_Shocks!$C$14*SABR_Shocks!I29</f>
        <v>0.303984</v>
      </c>
      <c r="J344" s="25" t="n">
        <f aca="false">SABR_Base!J14+SABR_Shocks!$C$14*SABR_Shocks!J29</f>
        <v>0.294975</v>
      </c>
      <c r="K344" s="25" t="n">
        <f aca="false">SABR_Base!K14+SABR_Shocks!$C$14*SABR_Shocks!K29</f>
        <v>0.279775</v>
      </c>
      <c r="L344" s="25" t="n">
        <f aca="false">SABR_Base!L14+SABR_Shocks!$C$14*SABR_Shocks!L29</f>
        <v>0.246975</v>
      </c>
    </row>
    <row r="346" customFormat="false" ht="15" hidden="false" customHeight="true" outlineLevel="0" collapsed="false">
      <c r="B346" s="34" t="s">
        <v>115</v>
      </c>
      <c r="C346" s="34"/>
      <c r="D346" s="34"/>
      <c r="E346" s="34"/>
      <c r="F346" s="34"/>
      <c r="G346" s="34"/>
      <c r="H346" s="34"/>
      <c r="I346" s="34"/>
      <c r="J346" s="34"/>
      <c r="K346" s="34"/>
      <c r="L346" s="34"/>
    </row>
    <row r="347" customFormat="false" ht="15" hidden="false" customHeight="true" outlineLevel="0" collapsed="false">
      <c r="B347" s="12" t="s">
        <v>113</v>
      </c>
      <c r="C347" s="13" t="s">
        <v>114</v>
      </c>
      <c r="D347" s="13" t="s">
        <v>56</v>
      </c>
      <c r="E347" s="13" t="s">
        <v>57</v>
      </c>
      <c r="F347" s="13" t="s">
        <v>30</v>
      </c>
      <c r="G347" s="13" t="s">
        <v>58</v>
      </c>
      <c r="H347" s="13" t="s">
        <v>59</v>
      </c>
      <c r="I347" s="13" t="s">
        <v>60</v>
      </c>
      <c r="J347" s="13" t="s">
        <v>61</v>
      </c>
      <c r="K347" s="13" t="s">
        <v>62</v>
      </c>
      <c r="L347" s="13" t="s">
        <v>63</v>
      </c>
    </row>
    <row r="348" customFormat="false" ht="15" hidden="false" customHeight="true" outlineLevel="0" collapsed="false">
      <c r="B348" s="30" t="s">
        <v>114</v>
      </c>
      <c r="C348" s="25" t="n">
        <f aca="false">SABR_Base!C19+SABR_Shocks!$D$14*SABR_Shocks!C20</f>
        <v>-0.3361673</v>
      </c>
      <c r="D348" s="25" t="n">
        <f aca="false">SABR_Base!D19+SABR_Shocks!$D$14*SABR_Shocks!D20</f>
        <v>-0.3166214</v>
      </c>
      <c r="E348" s="25" t="n">
        <f aca="false">SABR_Base!E19+SABR_Shocks!$D$14*SABR_Shocks!E20</f>
        <v>-0.298366</v>
      </c>
      <c r="F348" s="25" t="n">
        <f aca="false">SABR_Base!F19+SABR_Shocks!$D$14*SABR_Shocks!F20</f>
        <v>-0.274982</v>
      </c>
      <c r="G348" s="25" t="n">
        <f aca="false">SABR_Base!G19+SABR_Shocks!$D$14*SABR_Shocks!G20</f>
        <v>-0.2546901</v>
      </c>
      <c r="H348" s="25" t="n">
        <f aca="false">SABR_Base!H19+SABR_Shocks!$D$14*SABR_Shocks!H20</f>
        <v>-0.2430601</v>
      </c>
      <c r="I348" s="25" t="n">
        <f aca="false">SABR_Base!I19+SABR_Shocks!$D$14*SABR_Shocks!I20</f>
        <v>-0.229457</v>
      </c>
      <c r="J348" s="25" t="n">
        <f aca="false">SABR_Base!J19+SABR_Shocks!$D$14*SABR_Shocks!J20</f>
        <v>-0.2028</v>
      </c>
      <c r="K348" s="25" t="n">
        <f aca="false">SABR_Base!K19+SABR_Shocks!$D$14*SABR_Shocks!K20</f>
        <v>-0.18567</v>
      </c>
      <c r="L348" s="25" t="n">
        <f aca="false">SABR_Base!L19+SABR_Shocks!$D$14*SABR_Shocks!L20</f>
        <v>-0.1635146</v>
      </c>
    </row>
    <row r="349" customFormat="false" ht="15" hidden="false" customHeight="true" outlineLevel="0" collapsed="false">
      <c r="B349" s="30" t="s">
        <v>56</v>
      </c>
      <c r="C349" s="25" t="n">
        <f aca="false">SABR_Base!C20+SABR_Shocks!$D$14*SABR_Shocks!C21</f>
        <v>-0.3024627</v>
      </c>
      <c r="D349" s="25" t="n">
        <f aca="false">SABR_Base!D20+SABR_Shocks!$D$14*SABR_Shocks!D21</f>
        <v>-0.2894692</v>
      </c>
      <c r="E349" s="25" t="n">
        <f aca="false">SABR_Base!E20+SABR_Shocks!$D$14*SABR_Shocks!E21</f>
        <v>-0.2746741</v>
      </c>
      <c r="F349" s="25" t="n">
        <f aca="false">SABR_Base!F20+SABR_Shocks!$D$14*SABR_Shocks!F21</f>
        <v>-0.2544822</v>
      </c>
      <c r="G349" s="25" t="n">
        <f aca="false">SABR_Base!G20+SABR_Shocks!$D$14*SABR_Shocks!G21</f>
        <v>-0.2344918</v>
      </c>
      <c r="H349" s="25" t="n">
        <f aca="false">SABR_Base!H20+SABR_Shocks!$D$14*SABR_Shocks!H21</f>
        <v>-0.2289142</v>
      </c>
      <c r="I349" s="25" t="n">
        <f aca="false">SABR_Base!I20+SABR_Shocks!$D$14*SABR_Shocks!I21</f>
        <v>-0.1933143</v>
      </c>
      <c r="J349" s="25" t="n">
        <f aca="false">SABR_Base!J20+SABR_Shocks!$D$14*SABR_Shocks!J21</f>
        <v>-0.1777129</v>
      </c>
      <c r="K349" s="25" t="n">
        <f aca="false">SABR_Base!K20+SABR_Shocks!$D$14*SABR_Shocks!K21</f>
        <v>-0.1571241</v>
      </c>
      <c r="L349" s="25" t="n">
        <f aca="false">SABR_Base!L20+SABR_Shocks!$D$14*SABR_Shocks!L21</f>
        <v>-0.1404433</v>
      </c>
    </row>
    <row r="350" customFormat="false" ht="15" hidden="false" customHeight="true" outlineLevel="0" collapsed="false">
      <c r="B350" s="30" t="s">
        <v>57</v>
      </c>
      <c r="C350" s="25" t="n">
        <f aca="false">SABR_Base!C21+SABR_Shocks!$D$14*SABR_Shocks!C22</f>
        <v>-0.295647</v>
      </c>
      <c r="D350" s="25" t="n">
        <f aca="false">SABR_Base!D21+SABR_Shocks!$D$14*SABR_Shocks!D22</f>
        <v>-0.2770249</v>
      </c>
      <c r="E350" s="25" t="n">
        <f aca="false">SABR_Base!E21+SABR_Shocks!$D$14*SABR_Shocks!E22</f>
        <v>-0.2641345</v>
      </c>
      <c r="F350" s="25" t="n">
        <f aca="false">SABR_Base!F21+SABR_Shocks!$D$14*SABR_Shocks!F22</f>
        <v>-0.2355204</v>
      </c>
      <c r="G350" s="25" t="n">
        <f aca="false">SABR_Base!G21+SABR_Shocks!$D$14*SABR_Shocks!G22</f>
        <v>-0.2282697</v>
      </c>
      <c r="H350" s="25" t="n">
        <f aca="false">SABR_Base!H21+SABR_Shocks!$D$14*SABR_Shocks!H22</f>
        <v>-0.2102572</v>
      </c>
      <c r="I350" s="25" t="n">
        <f aca="false">SABR_Base!I21+SABR_Shocks!$D$14*SABR_Shocks!I22</f>
        <v>-0.1894542</v>
      </c>
      <c r="J350" s="25" t="n">
        <f aca="false">SABR_Base!J21+SABR_Shocks!$D$14*SABR_Shocks!J22</f>
        <v>-0.1716654</v>
      </c>
      <c r="K350" s="25" t="n">
        <f aca="false">SABR_Base!K21+SABR_Shocks!$D$14*SABR_Shocks!K22</f>
        <v>-0.1496941</v>
      </c>
      <c r="L350" s="25" t="n">
        <f aca="false">SABR_Base!L21+SABR_Shocks!$D$14*SABR_Shocks!L22</f>
        <v>-0.1375308</v>
      </c>
    </row>
    <row r="351" customFormat="false" ht="15" hidden="false" customHeight="true" outlineLevel="0" collapsed="false">
      <c r="B351" s="30" t="s">
        <v>30</v>
      </c>
      <c r="C351" s="25" t="n">
        <f aca="false">SABR_Base!C22+SABR_Shocks!$D$14*SABR_Shocks!C23</f>
        <v>-0.2851265</v>
      </c>
      <c r="D351" s="25" t="n">
        <f aca="false">SABR_Base!D22+SABR_Shocks!$D$14*SABR_Shocks!D23</f>
        <v>-0.263579</v>
      </c>
      <c r="E351" s="25" t="n">
        <f aca="false">SABR_Base!E22+SABR_Shocks!$D$14*SABR_Shocks!E23</f>
        <v>-0.2457394</v>
      </c>
      <c r="F351" s="25" t="n">
        <f aca="false">SABR_Base!F22+SABR_Shocks!$D$14*SABR_Shocks!F23</f>
        <v>-0.2224475</v>
      </c>
      <c r="G351" s="25" t="n">
        <f aca="false">SABR_Base!G22+SABR_Shocks!$D$14*SABR_Shocks!G23</f>
        <v>-0.2113731</v>
      </c>
      <c r="H351" s="25" t="n">
        <f aca="false">SABR_Base!H22+SABR_Shocks!$D$14*SABR_Shocks!H23</f>
        <v>-0.1760145</v>
      </c>
      <c r="I351" s="25" t="n">
        <f aca="false">SABR_Base!I22+SABR_Shocks!$D$14*SABR_Shocks!I23</f>
        <v>-0.1629718</v>
      </c>
      <c r="J351" s="25" t="n">
        <f aca="false">SABR_Base!J22+SABR_Shocks!$D$14*SABR_Shocks!J23</f>
        <v>-0.1540402</v>
      </c>
      <c r="K351" s="25" t="n">
        <f aca="false">SABR_Base!K22+SABR_Shocks!$D$14*SABR_Shocks!K23</f>
        <v>-0.1331244</v>
      </c>
      <c r="L351" s="25" t="n">
        <f aca="false">SABR_Base!L22+SABR_Shocks!$D$14*SABR_Shocks!L23</f>
        <v>-0.1133373</v>
      </c>
    </row>
    <row r="352" customFormat="false" ht="15" hidden="false" customHeight="true" outlineLevel="0" collapsed="false">
      <c r="B352" s="30" t="s">
        <v>58</v>
      </c>
      <c r="C352" s="25" t="n">
        <f aca="false">SABR_Base!C23+SABR_Shocks!$D$14*SABR_Shocks!C24</f>
        <v>-0.2591012</v>
      </c>
      <c r="D352" s="25" t="n">
        <f aca="false">SABR_Base!D23+SABR_Shocks!$D$14*SABR_Shocks!D24</f>
        <v>-0.2457331</v>
      </c>
      <c r="E352" s="25" t="n">
        <f aca="false">SABR_Base!E23+SABR_Shocks!$D$14*SABR_Shocks!E24</f>
        <v>-0.2131793</v>
      </c>
      <c r="F352" s="25" t="n">
        <f aca="false">SABR_Base!F23+SABR_Shocks!$D$14*SABR_Shocks!F24</f>
        <v>-0.1915032</v>
      </c>
      <c r="G352" s="25" t="n">
        <f aca="false">SABR_Base!G23+SABR_Shocks!$D$14*SABR_Shocks!G24</f>
        <v>-0.1842034</v>
      </c>
      <c r="H352" s="25" t="n">
        <f aca="false">SABR_Base!H23+SABR_Shocks!$D$14*SABR_Shocks!H24</f>
        <v>-0.1651527</v>
      </c>
      <c r="I352" s="25" t="n">
        <f aca="false">SABR_Base!I23+SABR_Shocks!$D$14*SABR_Shocks!I24</f>
        <v>-0.1552021</v>
      </c>
      <c r="J352" s="25" t="n">
        <f aca="false">SABR_Base!J23+SABR_Shocks!$D$14*SABR_Shocks!J24</f>
        <v>-0.1364165</v>
      </c>
      <c r="K352" s="25" t="n">
        <f aca="false">SABR_Base!K23+SABR_Shocks!$D$14*SABR_Shocks!K24</f>
        <v>-0.1134119</v>
      </c>
      <c r="L352" s="25" t="n">
        <f aca="false">SABR_Base!L23+SABR_Shocks!$D$14*SABR_Shocks!L24</f>
        <v>-0.0966168</v>
      </c>
    </row>
    <row r="353" customFormat="false" ht="15" hidden="false" customHeight="true" outlineLevel="0" collapsed="false">
      <c r="B353" s="30" t="s">
        <v>59</v>
      </c>
      <c r="C353" s="25" t="n">
        <f aca="false">SABR_Base!C24+SABR_Shocks!$D$14*SABR_Shocks!C25</f>
        <v>-0.2312394</v>
      </c>
      <c r="D353" s="25" t="n">
        <f aca="false">SABR_Base!D24+SABR_Shocks!$D$14*SABR_Shocks!D25</f>
        <v>-0.2264094</v>
      </c>
      <c r="E353" s="25" t="n">
        <f aca="false">SABR_Base!E24+SABR_Shocks!$D$14*SABR_Shocks!E25</f>
        <v>-0.2112334</v>
      </c>
      <c r="F353" s="25" t="n">
        <f aca="false">SABR_Base!F24+SABR_Shocks!$D$14*SABR_Shocks!F25</f>
        <v>-0.1739319</v>
      </c>
      <c r="G353" s="25" t="n">
        <f aca="false">SABR_Base!G24+SABR_Shocks!$D$14*SABR_Shocks!G25</f>
        <v>-0.1645829</v>
      </c>
      <c r="H353" s="25" t="n">
        <f aca="false">SABR_Base!H24+SABR_Shocks!$D$14*SABR_Shocks!H25</f>
        <v>-0.1537862</v>
      </c>
      <c r="I353" s="25" t="n">
        <f aca="false">SABR_Base!I24+SABR_Shocks!$D$14*SABR_Shocks!I25</f>
        <v>-0.1271863</v>
      </c>
      <c r="J353" s="25" t="n">
        <f aca="false">SABR_Base!J24+SABR_Shocks!$D$14*SABR_Shocks!J25</f>
        <v>-0.1193817</v>
      </c>
      <c r="K353" s="25" t="n">
        <f aca="false">SABR_Base!K24+SABR_Shocks!$D$14*SABR_Shocks!K25</f>
        <v>-0.0915438</v>
      </c>
      <c r="L353" s="25" t="n">
        <f aca="false">SABR_Base!L24+SABR_Shocks!$D$14*SABR_Shocks!L25</f>
        <v>-0.0635137</v>
      </c>
    </row>
    <row r="354" customFormat="false" ht="15" hidden="false" customHeight="true" outlineLevel="0" collapsed="false">
      <c r="B354" s="30" t="s">
        <v>60</v>
      </c>
      <c r="C354" s="25" t="n">
        <f aca="false">SABR_Base!C25+SABR_Shocks!$D$14*SABR_Shocks!C26</f>
        <v>-0.2128539</v>
      </c>
      <c r="D354" s="25" t="n">
        <f aca="false">SABR_Base!D25+SABR_Shocks!$D$14*SABR_Shocks!D26</f>
        <v>-0.1978715</v>
      </c>
      <c r="E354" s="25" t="n">
        <f aca="false">SABR_Base!E25+SABR_Shocks!$D$14*SABR_Shocks!E26</f>
        <v>-0.1878208</v>
      </c>
      <c r="F354" s="25" t="n">
        <f aca="false">SABR_Base!F25+SABR_Shocks!$D$14*SABR_Shocks!F26</f>
        <v>-0.167794</v>
      </c>
      <c r="G354" s="25" t="n">
        <f aca="false">SABR_Base!G25+SABR_Shocks!$D$14*SABR_Shocks!G26</f>
        <v>-0.1534624</v>
      </c>
      <c r="H354" s="25" t="n">
        <f aca="false">SABR_Base!H25+SABR_Shocks!$D$14*SABR_Shocks!H26</f>
        <v>-0.1232832</v>
      </c>
      <c r="I354" s="25" t="n">
        <f aca="false">SABR_Base!I25+SABR_Shocks!$D$14*SABR_Shocks!I26</f>
        <v>-0.1097135</v>
      </c>
      <c r="J354" s="25" t="n">
        <f aca="false">SABR_Base!J25+SABR_Shocks!$D$14*SABR_Shocks!J26</f>
        <v>-0.0860755</v>
      </c>
      <c r="K354" s="25" t="n">
        <f aca="false">SABR_Base!K25+SABR_Shocks!$D$14*SABR_Shocks!K26</f>
        <v>-0.0770725</v>
      </c>
      <c r="L354" s="25" t="n">
        <f aca="false">SABR_Base!L25+SABR_Shocks!$D$14*SABR_Shocks!L26</f>
        <v>-0.0606488</v>
      </c>
    </row>
    <row r="355" customFormat="false" ht="15" hidden="false" customHeight="true" outlineLevel="0" collapsed="false">
      <c r="B355" s="30" t="s">
        <v>61</v>
      </c>
      <c r="C355" s="25" t="n">
        <f aca="false">SABR_Base!C26+SABR_Shocks!$D$14*SABR_Shocks!C27</f>
        <v>-0.1954826</v>
      </c>
      <c r="D355" s="25" t="n">
        <f aca="false">SABR_Base!D26+SABR_Shocks!$D$14*SABR_Shocks!D27</f>
        <v>-0.1735621</v>
      </c>
      <c r="E355" s="25" t="n">
        <f aca="false">SABR_Base!E26+SABR_Shocks!$D$14*SABR_Shocks!E27</f>
        <v>-0.1575114</v>
      </c>
      <c r="F355" s="25" t="n">
        <f aca="false">SABR_Base!F26+SABR_Shocks!$D$14*SABR_Shocks!F27</f>
        <v>-0.1405227</v>
      </c>
      <c r="G355" s="25" t="n">
        <f aca="false">SABR_Base!G26+SABR_Shocks!$D$14*SABR_Shocks!G27</f>
        <v>-0.1219022</v>
      </c>
      <c r="H355" s="25" t="n">
        <f aca="false">SABR_Base!H26+SABR_Shocks!$D$14*SABR_Shocks!H27</f>
        <v>-0.1050166</v>
      </c>
      <c r="I355" s="25" t="n">
        <f aca="false">SABR_Base!I26+SABR_Shocks!$D$14*SABR_Shocks!I27</f>
        <v>-0.0974803</v>
      </c>
      <c r="J355" s="25" t="n">
        <f aca="false">SABR_Base!J26+SABR_Shocks!$D$14*SABR_Shocks!J27</f>
        <v>-0.0733487</v>
      </c>
      <c r="K355" s="25" t="n">
        <f aca="false">SABR_Base!K26+SABR_Shocks!$D$14*SABR_Shocks!K27</f>
        <v>-0.0577075</v>
      </c>
      <c r="L355" s="25" t="n">
        <f aca="false">SABR_Base!L26+SABR_Shocks!$D$14*SABR_Shocks!L27</f>
        <v>-0.0460267</v>
      </c>
    </row>
    <row r="356" customFormat="false" ht="15" hidden="false" customHeight="true" outlineLevel="0" collapsed="false">
      <c r="B356" s="30" t="s">
        <v>62</v>
      </c>
      <c r="C356" s="25" t="n">
        <f aca="false">SABR_Base!C27+SABR_Shocks!$D$14*SABR_Shocks!C28</f>
        <v>-0.1929145</v>
      </c>
      <c r="D356" s="25" t="n">
        <f aca="false">SABR_Base!D27+SABR_Shocks!$D$14*SABR_Shocks!D28</f>
        <v>-0.1696083</v>
      </c>
      <c r="E356" s="25" t="n">
        <f aca="false">SABR_Base!E27+SABR_Shocks!$D$14*SABR_Shocks!E28</f>
        <v>-0.1513322</v>
      </c>
      <c r="F356" s="25" t="n">
        <f aca="false">SABR_Base!F27+SABR_Shocks!$D$14*SABR_Shocks!F28</f>
        <v>-0.1242228</v>
      </c>
      <c r="G356" s="25" t="n">
        <f aca="false">SABR_Base!G27+SABR_Shocks!$D$14*SABR_Shocks!G28</f>
        <v>-0.1011246</v>
      </c>
      <c r="H356" s="25" t="n">
        <f aca="false">SABR_Base!H27+SABR_Shocks!$D$14*SABR_Shocks!H28</f>
        <v>-0.0924961</v>
      </c>
      <c r="I356" s="25" t="n">
        <f aca="false">SABR_Base!I27+SABR_Shocks!$D$14*SABR_Shocks!I28</f>
        <v>-0.0643899</v>
      </c>
      <c r="J356" s="25" t="n">
        <f aca="false">SABR_Base!J27+SABR_Shocks!$D$14*SABR_Shocks!J28</f>
        <v>-0.0453488</v>
      </c>
      <c r="K356" s="25" t="n">
        <f aca="false">SABR_Base!K27+SABR_Shocks!$D$14*SABR_Shocks!K28</f>
        <v>-0.0278315</v>
      </c>
      <c r="L356" s="25" t="n">
        <f aca="false">SABR_Base!L27+SABR_Shocks!$D$14*SABR_Shocks!L28</f>
        <v>-0.020295</v>
      </c>
    </row>
    <row r="357" customFormat="false" ht="15" hidden="false" customHeight="true" outlineLevel="0" collapsed="false">
      <c r="B357" s="30" t="s">
        <v>63</v>
      </c>
      <c r="C357" s="25" t="n">
        <f aca="false">SABR_Base!C28+SABR_Shocks!$D$14*SABR_Shocks!C29</f>
        <v>-0.1709226</v>
      </c>
      <c r="D357" s="25" t="n">
        <f aca="false">SABR_Base!D28+SABR_Shocks!$D$14*SABR_Shocks!D29</f>
        <v>-0.1517544</v>
      </c>
      <c r="E357" s="25" t="n">
        <f aca="false">SABR_Base!E28+SABR_Shocks!$D$14*SABR_Shocks!E29</f>
        <v>-0.1346562</v>
      </c>
      <c r="F357" s="25" t="n">
        <f aca="false">SABR_Base!F28+SABR_Shocks!$D$14*SABR_Shocks!F29</f>
        <v>-0.1158436</v>
      </c>
      <c r="G357" s="25" t="n">
        <f aca="false">SABR_Base!G28+SABR_Shocks!$D$14*SABR_Shocks!G29</f>
        <v>-0.0894295</v>
      </c>
      <c r="H357" s="25" t="n">
        <f aca="false">SABR_Base!H28+SABR_Shocks!$D$14*SABR_Shocks!H29</f>
        <v>-0.0652407</v>
      </c>
      <c r="I357" s="25" t="n">
        <f aca="false">SABR_Base!I28+SABR_Shocks!$D$14*SABR_Shocks!I29</f>
        <v>-0.0482488</v>
      </c>
      <c r="J357" s="25" t="n">
        <f aca="false">SABR_Base!J28+SABR_Shocks!$D$14*SABR_Shocks!J29</f>
        <v>-0.037395</v>
      </c>
      <c r="K357" s="25" t="n">
        <f aca="false">SABR_Base!K28+SABR_Shocks!$D$14*SABR_Shocks!K29</f>
        <v>-0.014495</v>
      </c>
      <c r="L357" s="25" t="n">
        <f aca="false">SABR_Base!L28+SABR_Shocks!$D$14*SABR_Shocks!L29</f>
        <v>0.007905</v>
      </c>
    </row>
    <row r="359" customFormat="false" ht="15" hidden="false" customHeight="true" outlineLevel="0" collapsed="false">
      <c r="B359" s="34" t="s">
        <v>116</v>
      </c>
      <c r="C359" s="34"/>
      <c r="D359" s="34"/>
      <c r="E359" s="34"/>
      <c r="F359" s="34"/>
      <c r="G359" s="34"/>
      <c r="H359" s="34"/>
      <c r="I359" s="34"/>
      <c r="J359" s="34"/>
      <c r="K359" s="34"/>
      <c r="L359" s="34"/>
    </row>
    <row r="360" customFormat="false" ht="15" hidden="false" customHeight="true" outlineLevel="0" collapsed="false">
      <c r="B360" s="12" t="s">
        <v>113</v>
      </c>
      <c r="C360" s="13" t="s">
        <v>114</v>
      </c>
      <c r="D360" s="13" t="s">
        <v>56</v>
      </c>
      <c r="E360" s="13" t="s">
        <v>57</v>
      </c>
      <c r="F360" s="13" t="s">
        <v>30</v>
      </c>
      <c r="G360" s="13" t="s">
        <v>58</v>
      </c>
      <c r="H360" s="13" t="s">
        <v>59</v>
      </c>
      <c r="I360" s="13" t="s">
        <v>60</v>
      </c>
      <c r="J360" s="13" t="s">
        <v>61</v>
      </c>
      <c r="K360" s="13" t="s">
        <v>62</v>
      </c>
      <c r="L360" s="13" t="s">
        <v>63</v>
      </c>
    </row>
    <row r="361" customFormat="false" ht="15" hidden="false" customHeight="true" outlineLevel="0" collapsed="false">
      <c r="B361" s="30" t="s">
        <v>114</v>
      </c>
      <c r="C361" s="25" t="n">
        <f aca="false">SABR_Base!C33+SABR_Shocks!$E$14*SABR_Shocks!C20</f>
        <v>0.9007769</v>
      </c>
      <c r="D361" s="25" t="n">
        <f aca="false">SABR_Base!D33+SABR_Shocks!$E$14*SABR_Shocks!D20</f>
        <v>0.8870142</v>
      </c>
      <c r="E361" s="25" t="n">
        <f aca="false">SABR_Base!E33+SABR_Shocks!$E$14*SABR_Shocks!E20</f>
        <v>0.866198</v>
      </c>
      <c r="F361" s="25" t="n">
        <f aca="false">SABR_Base!F33+SABR_Shocks!$E$14*SABR_Shocks!F20</f>
        <v>0.838446</v>
      </c>
      <c r="G361" s="25" t="n">
        <f aca="false">SABR_Base!G33+SABR_Shocks!$E$14*SABR_Shocks!G20</f>
        <v>0.8117453</v>
      </c>
      <c r="H361" s="25" t="n">
        <f aca="false">SABR_Base!H33+SABR_Shocks!$E$14*SABR_Shocks!H20</f>
        <v>0.7803553</v>
      </c>
      <c r="I361" s="25" t="n">
        <f aca="false">SABR_Base!I33+SABR_Shocks!$E$14*SABR_Shocks!I20</f>
        <v>0.750421</v>
      </c>
      <c r="J361" s="25" t="n">
        <f aca="false">SABR_Base!J33+SABR_Shocks!$E$14*SABR_Shocks!J20</f>
        <v>0.7371</v>
      </c>
      <c r="K361" s="25" t="n">
        <f aca="false">SABR_Base!K33+SABR_Shocks!$E$14*SABR_Shocks!K20</f>
        <v>0.70211</v>
      </c>
      <c r="L361" s="25" t="n">
        <f aca="false">SABR_Base!L33+SABR_Shocks!$E$14*SABR_Shocks!L20</f>
        <v>0.6855938</v>
      </c>
    </row>
    <row r="362" customFormat="false" ht="15" hidden="false" customHeight="true" outlineLevel="0" collapsed="false">
      <c r="B362" s="30" t="s">
        <v>56</v>
      </c>
      <c r="C362" s="25" t="n">
        <f aca="false">SABR_Base!C34+SABR_Shocks!$E$14*SABR_Shocks!C21</f>
        <v>0.8925131</v>
      </c>
      <c r="D362" s="25" t="n">
        <f aca="false">SABR_Base!D34+SABR_Shocks!$E$14*SABR_Shocks!D21</f>
        <v>0.8553076</v>
      </c>
      <c r="E362" s="25" t="n">
        <f aca="false">SABR_Base!E34+SABR_Shocks!$E$14*SABR_Shocks!E21</f>
        <v>0.8299973</v>
      </c>
      <c r="F362" s="25" t="n">
        <f aca="false">SABR_Base!F34+SABR_Shocks!$E$14*SABR_Shocks!F21</f>
        <v>0.8147966</v>
      </c>
      <c r="G362" s="25" t="n">
        <f aca="false">SABR_Base!G34+SABR_Shocks!$E$14*SABR_Shocks!G21</f>
        <v>0.7864254</v>
      </c>
      <c r="H362" s="25" t="n">
        <f aca="false">SABR_Base!H34+SABR_Shocks!$E$14*SABR_Shocks!H21</f>
        <v>0.7489926</v>
      </c>
      <c r="I362" s="25" t="n">
        <f aca="false">SABR_Base!I34+SABR_Shocks!$E$14*SABR_Shocks!I21</f>
        <v>0.7235679</v>
      </c>
      <c r="J362" s="25" t="n">
        <f aca="false">SABR_Base!J34+SABR_Shocks!$E$14*SABR_Shocks!J21</f>
        <v>0.6974137</v>
      </c>
      <c r="K362" s="25" t="n">
        <f aca="false">SABR_Base!K34+SABR_Shocks!$E$14*SABR_Shocks!K21</f>
        <v>0.6882473</v>
      </c>
      <c r="L362" s="25" t="n">
        <f aca="false">SABR_Base!L34+SABR_Shocks!$E$14*SABR_Shocks!L21</f>
        <v>0.6605049</v>
      </c>
    </row>
    <row r="363" customFormat="false" ht="15" hidden="false" customHeight="true" outlineLevel="0" collapsed="false">
      <c r="B363" s="30" t="s">
        <v>57</v>
      </c>
      <c r="C363" s="25" t="n">
        <f aca="false">SABR_Base!C35+SABR_Shocks!$E$14*SABR_Shocks!C22</f>
        <v>0.849791</v>
      </c>
      <c r="D363" s="25" t="n">
        <f aca="false">SABR_Base!D35+SABR_Shocks!$E$14*SABR_Shocks!D22</f>
        <v>0.8383497</v>
      </c>
      <c r="E363" s="25" t="n">
        <f aca="false">SABR_Base!E35+SABR_Shocks!$E$14*SABR_Shocks!E22</f>
        <v>0.8173785</v>
      </c>
      <c r="F363" s="25" t="n">
        <f aca="false">SABR_Base!F35+SABR_Shocks!$E$14*SABR_Shocks!F22</f>
        <v>0.7843612</v>
      </c>
      <c r="G363" s="25" t="n">
        <f aca="false">SABR_Base!G35+SABR_Shocks!$E$14*SABR_Shocks!G22</f>
        <v>0.7538841</v>
      </c>
      <c r="H363" s="25" t="n">
        <f aca="false">SABR_Base!H35+SABR_Shocks!$E$14*SABR_Shocks!H22</f>
        <v>0.7309716</v>
      </c>
      <c r="I363" s="25" t="n">
        <f aca="false">SABR_Base!I35+SABR_Shocks!$E$14*SABR_Shocks!I22</f>
        <v>0.6963126</v>
      </c>
      <c r="J363" s="25" t="n">
        <f aca="false">SABR_Base!J35+SABR_Shocks!$E$14*SABR_Shocks!J22</f>
        <v>0.6697462</v>
      </c>
      <c r="K363" s="25" t="n">
        <f aca="false">SABR_Base!K35+SABR_Shocks!$E$14*SABR_Shocks!K22</f>
        <v>0.6636573</v>
      </c>
      <c r="L363" s="25" t="n">
        <f aca="false">SABR_Base!L35+SABR_Shocks!$E$14*SABR_Shocks!L22</f>
        <v>0.6304924</v>
      </c>
    </row>
    <row r="364" customFormat="false" ht="15" hidden="false" customHeight="true" outlineLevel="0" collapsed="false">
      <c r="B364" s="30" t="s">
        <v>30</v>
      </c>
      <c r="C364" s="25" t="n">
        <f aca="false">SABR_Base!C36+SABR_Shocks!$E$14*SABR_Shocks!C23</f>
        <v>0.8320545</v>
      </c>
      <c r="D364" s="25" t="n">
        <f aca="false">SABR_Base!D36+SABR_Shocks!$E$14*SABR_Shocks!D23</f>
        <v>0.815187</v>
      </c>
      <c r="E364" s="25" t="n">
        <f aca="false">SABR_Base!E36+SABR_Shocks!$E$14*SABR_Shocks!E23</f>
        <v>0.7810682</v>
      </c>
      <c r="F364" s="25" t="n">
        <f aca="false">SABR_Base!F36+SABR_Shocks!$E$14*SABR_Shocks!F23</f>
        <v>0.7637675</v>
      </c>
      <c r="G364" s="25" t="n">
        <f aca="false">SABR_Base!G36+SABR_Shocks!$E$14*SABR_Shocks!G23</f>
        <v>0.7359443</v>
      </c>
      <c r="H364" s="25" t="n">
        <f aca="false">SABR_Base!H36+SABR_Shocks!$E$14*SABR_Shocks!H23</f>
        <v>0.6983185</v>
      </c>
      <c r="I364" s="25" t="n">
        <f aca="false">SABR_Base!I36+SABR_Shocks!$E$14*SABR_Shocks!I23</f>
        <v>0.6732654</v>
      </c>
      <c r="J364" s="25" t="n">
        <f aca="false">SABR_Base!J36+SABR_Shocks!$E$14*SABR_Shocks!J23</f>
        <v>0.6484706</v>
      </c>
      <c r="K364" s="25" t="n">
        <f aca="false">SABR_Base!K36+SABR_Shocks!$E$14*SABR_Shocks!K23</f>
        <v>0.6235732</v>
      </c>
      <c r="L364" s="25" t="n">
        <f aca="false">SABR_Base!L36+SABR_Shocks!$E$14*SABR_Shocks!L23</f>
        <v>0.6035869</v>
      </c>
    </row>
    <row r="365" customFormat="false" ht="15" hidden="false" customHeight="true" outlineLevel="0" collapsed="false">
      <c r="B365" s="30" t="s">
        <v>58</v>
      </c>
      <c r="C365" s="25" t="n">
        <f aca="false">SABR_Base!C37+SABR_Shocks!$E$14*SABR_Shocks!C24</f>
        <v>0.8022036</v>
      </c>
      <c r="D365" s="25" t="n">
        <f aca="false">SABR_Base!D37+SABR_Shocks!$E$14*SABR_Shocks!D24</f>
        <v>0.7796243</v>
      </c>
      <c r="E365" s="25" t="n">
        <f aca="false">SABR_Base!E37+SABR_Shocks!$E$14*SABR_Shocks!E24</f>
        <v>0.7477129</v>
      </c>
      <c r="F365" s="25" t="n">
        <f aca="false">SABR_Base!F37+SABR_Shocks!$E$14*SABR_Shocks!F24</f>
        <v>0.7389096</v>
      </c>
      <c r="G365" s="25" t="n">
        <f aca="false">SABR_Base!G37+SABR_Shocks!$E$14*SABR_Shocks!G24</f>
        <v>0.7009602</v>
      </c>
      <c r="H365" s="25" t="n">
        <f aca="false">SABR_Base!H37+SABR_Shocks!$E$14*SABR_Shocks!H24</f>
        <v>0.6786831</v>
      </c>
      <c r="I365" s="25" t="n">
        <f aca="false">SABR_Base!I37+SABR_Shocks!$E$14*SABR_Shocks!I24</f>
        <v>0.6543813</v>
      </c>
      <c r="J365" s="25" t="n">
        <f aca="false">SABR_Base!J37+SABR_Shocks!$E$14*SABR_Shocks!J24</f>
        <v>0.6359245</v>
      </c>
      <c r="K365" s="25" t="n">
        <f aca="false">SABR_Base!K37+SABR_Shocks!$E$14*SABR_Shocks!K24</f>
        <v>0.6002607</v>
      </c>
      <c r="L365" s="25" t="n">
        <f aca="false">SABR_Base!L37+SABR_Shocks!$E$14*SABR_Shocks!L24</f>
        <v>0.5848504</v>
      </c>
    </row>
    <row r="366" customFormat="false" ht="15" hidden="false" customHeight="true" outlineLevel="0" collapsed="false">
      <c r="B366" s="30" t="s">
        <v>59</v>
      </c>
      <c r="C366" s="25" t="n">
        <f aca="false">SABR_Base!C38+SABR_Shocks!$E$14*SABR_Shocks!C25</f>
        <v>0.7823682</v>
      </c>
      <c r="D366" s="25" t="n">
        <f aca="false">SABR_Base!D38+SABR_Shocks!$E$14*SABR_Shocks!D25</f>
        <v>0.7570782</v>
      </c>
      <c r="E366" s="25" t="n">
        <f aca="false">SABR_Base!E38+SABR_Shocks!$E$14*SABR_Shocks!E25</f>
        <v>0.7302502</v>
      </c>
      <c r="F366" s="25" t="n">
        <f aca="false">SABR_Base!F38+SABR_Shocks!$E$14*SABR_Shocks!F25</f>
        <v>0.6959207</v>
      </c>
      <c r="G366" s="25" t="n">
        <f aca="false">SABR_Base!G38+SABR_Shocks!$E$14*SABR_Shocks!G25</f>
        <v>0.6773237</v>
      </c>
      <c r="H366" s="25" t="n">
        <f aca="false">SABR_Base!H38+SABR_Shocks!$E$14*SABR_Shocks!H25</f>
        <v>0.6470086</v>
      </c>
      <c r="I366" s="25" t="n">
        <f aca="false">SABR_Base!I38+SABR_Shocks!$E$14*SABR_Shocks!I25</f>
        <v>0.6188839</v>
      </c>
      <c r="J366" s="25" t="n">
        <f aca="false">SABR_Base!J38+SABR_Shocks!$E$14*SABR_Shocks!J25</f>
        <v>0.6088201</v>
      </c>
      <c r="K366" s="25" t="n">
        <f aca="false">SABR_Base!K38+SABR_Shocks!$E$14*SABR_Shocks!K25</f>
        <v>0.5695814</v>
      </c>
      <c r="L366" s="25" t="n">
        <f aca="false">SABR_Base!L38+SABR_Shocks!$E$14*SABR_Shocks!L25</f>
        <v>0.5520161</v>
      </c>
    </row>
    <row r="367" customFormat="false" ht="15" hidden="false" customHeight="true" outlineLevel="0" collapsed="false">
      <c r="B367" s="30" t="s">
        <v>60</v>
      </c>
      <c r="C367" s="25" t="n">
        <f aca="false">SABR_Base!C39+SABR_Shocks!$E$14*SABR_Shocks!C26</f>
        <v>0.7596867</v>
      </c>
      <c r="D367" s="25" t="n">
        <f aca="false">SABR_Base!D39+SABR_Shocks!$E$14*SABR_Shocks!D26</f>
        <v>0.7308395</v>
      </c>
      <c r="E367" s="25" t="n">
        <f aca="false">SABR_Base!E39+SABR_Shocks!$E$14*SABR_Shocks!E26</f>
        <v>0.7017624</v>
      </c>
      <c r="F367" s="25" t="n">
        <f aca="false">SABR_Base!F39+SABR_Shocks!$E$14*SABR_Shocks!F26</f>
        <v>0.679182</v>
      </c>
      <c r="G367" s="25" t="n">
        <f aca="false">SABR_Base!G39+SABR_Shocks!$E$14*SABR_Shocks!G26</f>
        <v>0.6542872</v>
      </c>
      <c r="H367" s="25" t="n">
        <f aca="false">SABR_Base!H39+SABR_Shocks!$E$14*SABR_Shocks!H26</f>
        <v>0.6327496</v>
      </c>
      <c r="I367" s="25" t="n">
        <f aca="false">SABR_Base!I39+SABR_Shocks!$E$14*SABR_Shocks!I26</f>
        <v>0.5937655</v>
      </c>
      <c r="J367" s="25" t="n">
        <f aca="false">SABR_Base!J39+SABR_Shocks!$E$14*SABR_Shocks!J26</f>
        <v>0.5783515</v>
      </c>
      <c r="K367" s="25" t="n">
        <f aca="false">SABR_Base!K39+SABR_Shocks!$E$14*SABR_Shocks!K26</f>
        <v>0.5458925</v>
      </c>
      <c r="L367" s="25" t="n">
        <f aca="false">SABR_Base!L39+SABR_Shocks!$E$14*SABR_Shocks!L26</f>
        <v>0.5216464</v>
      </c>
    </row>
    <row r="368" customFormat="false" ht="15" hidden="false" customHeight="true" outlineLevel="0" collapsed="false">
      <c r="B368" s="30" t="s">
        <v>61</v>
      </c>
      <c r="C368" s="25" t="n">
        <f aca="false">SABR_Base!C40+SABR_Shocks!$E$14*SABR_Shocks!C27</f>
        <v>0.7353978</v>
      </c>
      <c r="D368" s="25" t="n">
        <f aca="false">SABR_Base!D40+SABR_Shocks!$E$14*SABR_Shocks!D27</f>
        <v>0.7047613</v>
      </c>
      <c r="E368" s="25" t="n">
        <f aca="false">SABR_Base!E40+SABR_Shocks!$E$14*SABR_Shocks!E27</f>
        <v>0.6813842</v>
      </c>
      <c r="F368" s="25" t="n">
        <f aca="false">SABR_Base!F40+SABR_Shocks!$E$14*SABR_Shocks!F27</f>
        <v>0.6587931</v>
      </c>
      <c r="G368" s="25" t="n">
        <f aca="false">SABR_Base!G40+SABR_Shocks!$E$14*SABR_Shocks!G27</f>
        <v>0.6364566</v>
      </c>
      <c r="H368" s="25" t="n">
        <f aca="false">SABR_Base!H40+SABR_Shocks!$E$14*SABR_Shocks!H27</f>
        <v>0.6021998</v>
      </c>
      <c r="I368" s="25" t="n">
        <f aca="false">SABR_Base!I40+SABR_Shocks!$E$14*SABR_Shocks!I27</f>
        <v>0.5785659</v>
      </c>
      <c r="J368" s="25" t="n">
        <f aca="false">SABR_Base!J40+SABR_Shocks!$E$14*SABR_Shocks!J27</f>
        <v>0.5507711</v>
      </c>
      <c r="K368" s="25" t="n">
        <f aca="false">SABR_Base!K40+SABR_Shocks!$E$14*SABR_Shocks!K27</f>
        <v>0.5270475</v>
      </c>
      <c r="L368" s="25" t="n">
        <f aca="false">SABR_Base!L40+SABR_Shocks!$E$14*SABR_Shocks!L27</f>
        <v>0.5049051</v>
      </c>
    </row>
    <row r="369" customFormat="false" ht="15" hidden="false" customHeight="true" outlineLevel="0" collapsed="false">
      <c r="B369" s="30" t="s">
        <v>62</v>
      </c>
      <c r="C369" s="25" t="n">
        <f aca="false">SABR_Base!C41+SABR_Shocks!$E$14*SABR_Shocks!C28</f>
        <v>0.7032185</v>
      </c>
      <c r="D369" s="25" t="n">
        <f aca="false">SABR_Base!D41+SABR_Shocks!$E$14*SABR_Shocks!D28</f>
        <v>0.6791499</v>
      </c>
      <c r="E369" s="25" t="n">
        <f aca="false">SABR_Base!E41+SABR_Shocks!$E$14*SABR_Shocks!E28</f>
        <v>0.6536466</v>
      </c>
      <c r="F369" s="25" t="n">
        <f aca="false">SABR_Base!F41+SABR_Shocks!$E$14*SABR_Shocks!F28</f>
        <v>0.6378684</v>
      </c>
      <c r="G369" s="25" t="n">
        <f aca="false">SABR_Base!G41+SABR_Shocks!$E$14*SABR_Shocks!G28</f>
        <v>0.6058238</v>
      </c>
      <c r="H369" s="25" t="n">
        <f aca="false">SABR_Base!H41+SABR_Shocks!$E$14*SABR_Shocks!H28</f>
        <v>0.5854633</v>
      </c>
      <c r="I369" s="25" t="n">
        <f aca="false">SABR_Base!I41+SABR_Shocks!$E$14*SABR_Shocks!I28</f>
        <v>0.5610947</v>
      </c>
      <c r="J369" s="25" t="n">
        <f aca="false">SABR_Base!J41+SABR_Shocks!$E$14*SABR_Shocks!J28</f>
        <v>0.5213464</v>
      </c>
      <c r="K369" s="25" t="n">
        <f aca="false">SABR_Base!K41+SABR_Shocks!$E$14*SABR_Shocks!K28</f>
        <v>0.5013195</v>
      </c>
      <c r="L369" s="25" t="n">
        <f aca="false">SABR_Base!L41+SABR_Shocks!$E$14*SABR_Shocks!L28</f>
        <v>0.486635</v>
      </c>
    </row>
    <row r="370" customFormat="false" ht="15" hidden="false" customHeight="true" outlineLevel="0" collapsed="false">
      <c r="B370" s="30" t="s">
        <v>63</v>
      </c>
      <c r="C370" s="25" t="n">
        <f aca="false">SABR_Base!C42+SABR_Shocks!$E$14*SABR_Shocks!C29</f>
        <v>0.6849178</v>
      </c>
      <c r="D370" s="25" t="n">
        <f aca="false">SABR_Base!D42+SABR_Shocks!$E$14*SABR_Shocks!D29</f>
        <v>0.6473632</v>
      </c>
      <c r="E370" s="25" t="n">
        <f aca="false">SABR_Base!E42+SABR_Shocks!$E$14*SABR_Shocks!E29</f>
        <v>0.6199186</v>
      </c>
      <c r="F370" s="25" t="n">
        <f aca="false">SABR_Base!F42+SABR_Shocks!$E$14*SABR_Shocks!F29</f>
        <v>0.6018308</v>
      </c>
      <c r="G370" s="25" t="n">
        <f aca="false">SABR_Base!G42+SABR_Shocks!$E$14*SABR_Shocks!G29</f>
        <v>0.5679135</v>
      </c>
      <c r="H370" s="25" t="n">
        <f aca="false">SABR_Base!H42+SABR_Shocks!$E$14*SABR_Shocks!H29</f>
        <v>0.5469471</v>
      </c>
      <c r="I370" s="25" t="n">
        <f aca="false">SABR_Base!I42+SABR_Shocks!$E$14*SABR_Shocks!I29</f>
        <v>0.5175464</v>
      </c>
      <c r="J370" s="25" t="n">
        <f aca="false">SABR_Base!J42+SABR_Shocks!$E$14*SABR_Shocks!J29</f>
        <v>0.503335</v>
      </c>
      <c r="K370" s="25" t="n">
        <f aca="false">SABR_Base!K42+SABR_Shocks!$E$14*SABR_Shocks!K29</f>
        <v>0.483435</v>
      </c>
      <c r="L370" s="25" t="n">
        <f aca="false">SABR_Base!L42+SABR_Shocks!$E$14*SABR_Shocks!L29</f>
        <v>0.463435</v>
      </c>
    </row>
    <row r="373" customFormat="false" ht="15" hidden="false" customHeight="true" outlineLevel="0" collapsed="false">
      <c r="B373" s="19" t="s">
        <v>136</v>
      </c>
      <c r="C373" s="19"/>
      <c r="D373" s="19"/>
      <c r="E373" s="19"/>
      <c r="F373" s="19"/>
      <c r="G373" s="19"/>
      <c r="H373" s="19"/>
      <c r="I373" s="19"/>
      <c r="J373" s="19"/>
      <c r="K373" s="19"/>
      <c r="L373" s="19"/>
    </row>
    <row r="374" customFormat="false" ht="15" hidden="false" customHeight="true" outlineLevel="0" collapsed="false">
      <c r="B374" s="34" t="s">
        <v>112</v>
      </c>
      <c r="C374" s="34"/>
      <c r="D374" s="34"/>
      <c r="E374" s="34"/>
      <c r="F374" s="34"/>
      <c r="G374" s="34"/>
      <c r="H374" s="34"/>
      <c r="I374" s="34"/>
      <c r="J374" s="34"/>
      <c r="K374" s="34"/>
      <c r="L374" s="34"/>
    </row>
    <row r="375" customFormat="false" ht="15" hidden="false" customHeight="true" outlineLevel="0" collapsed="false">
      <c r="B375" s="12" t="s">
        <v>113</v>
      </c>
      <c r="C375" s="13" t="s">
        <v>114</v>
      </c>
      <c r="D375" s="13" t="s">
        <v>56</v>
      </c>
      <c r="E375" s="13" t="s">
        <v>57</v>
      </c>
      <c r="F375" s="13" t="s">
        <v>30</v>
      </c>
      <c r="G375" s="13" t="s">
        <v>58</v>
      </c>
      <c r="H375" s="13" t="s">
        <v>59</v>
      </c>
      <c r="I375" s="13" t="s">
        <v>60</v>
      </c>
      <c r="J375" s="13" t="s">
        <v>61</v>
      </c>
      <c r="K375" s="13" t="s">
        <v>62</v>
      </c>
      <c r="L375" s="13" t="s">
        <v>63</v>
      </c>
    </row>
    <row r="376" customFormat="false" ht="15" hidden="false" customHeight="true" outlineLevel="0" collapsed="false">
      <c r="B376" s="30" t="s">
        <v>114</v>
      </c>
      <c r="C376" s="25" t="n">
        <f aca="false">SABR_Base!C5+SABR_Shocks!$C$15*SABR_Shocks!C20</f>
        <v>0.5970916</v>
      </c>
      <c r="D376" s="25" t="n">
        <f aca="false">SABR_Base!D5+SABR_Shocks!$C$15*SABR_Shocks!D20</f>
        <v>0.5743688</v>
      </c>
      <c r="E376" s="25" t="n">
        <f aca="false">SABR_Base!E5+SABR_Shocks!$C$15*SABR_Shocks!E20</f>
        <v>0.564572</v>
      </c>
      <c r="F376" s="25" t="n">
        <f aca="false">SABR_Base!F5+SABR_Shocks!$C$15*SABR_Shocks!F20</f>
        <v>0.533744</v>
      </c>
      <c r="G376" s="25" t="n">
        <f aca="false">SABR_Base!G5+SABR_Shocks!$C$15*SABR_Shocks!G20</f>
        <v>0.5231892</v>
      </c>
      <c r="H376" s="25" t="n">
        <f aca="false">SABR_Base!H5+SABR_Shocks!$C$15*SABR_Shocks!H20</f>
        <v>0.4999292</v>
      </c>
      <c r="I376" s="25" t="n">
        <f aca="false">SABR_Base!I5+SABR_Shocks!$C$15*SABR_Shocks!I20</f>
        <v>0.475644</v>
      </c>
      <c r="J376" s="25" t="n">
        <f aca="false">SABR_Base!J5+SABR_Shocks!$C$15*SABR_Shocks!J20</f>
        <v>0.4651</v>
      </c>
      <c r="K376" s="25" t="n">
        <f aca="false">SABR_Base!K5+SABR_Shocks!$C$15*SABR_Shocks!K20</f>
        <v>0.43584</v>
      </c>
      <c r="L376" s="25" t="n">
        <f aca="false">SABR_Base!L5+SABR_Shocks!$C$15*SABR_Shocks!L20</f>
        <v>0.4240432</v>
      </c>
    </row>
    <row r="377" customFormat="false" ht="15" hidden="false" customHeight="true" outlineLevel="0" collapsed="false">
      <c r="B377" s="30" t="s">
        <v>56</v>
      </c>
      <c r="C377" s="25" t="n">
        <f aca="false">SABR_Base!C6+SABR_Shocks!$C$15*SABR_Shocks!C21</f>
        <v>0.5720684</v>
      </c>
      <c r="D377" s="25" t="n">
        <f aca="false">SABR_Base!D6+SABR_Shocks!$C$15*SABR_Shocks!D21</f>
        <v>0.5528664</v>
      </c>
      <c r="E377" s="25" t="n">
        <f aca="false">SABR_Base!E6+SABR_Shocks!$C$15*SABR_Shocks!E21</f>
        <v>0.5401172</v>
      </c>
      <c r="F377" s="25" t="n">
        <f aca="false">SABR_Base!F6+SABR_Shocks!$C$15*SABR_Shocks!F21</f>
        <v>0.5282624</v>
      </c>
      <c r="G377" s="25" t="n">
        <f aca="false">SABR_Base!G6+SABR_Shocks!$C$15*SABR_Shocks!G21</f>
        <v>0.4959456</v>
      </c>
      <c r="H377" s="25" t="n">
        <f aca="false">SABR_Base!H6+SABR_Shocks!$C$15*SABR_Shocks!H21</f>
        <v>0.4778064</v>
      </c>
      <c r="I377" s="25" t="n">
        <f aca="false">SABR_Base!I6+SABR_Shocks!$C$15*SABR_Shocks!I21</f>
        <v>0.4672156</v>
      </c>
      <c r="J377" s="25" t="n">
        <f aca="false">SABR_Base!J6+SABR_Shocks!$C$15*SABR_Shocks!J21</f>
        <v>0.4531868</v>
      </c>
      <c r="K377" s="25" t="n">
        <f aca="false">SABR_Base!K6+SABR_Shocks!$C$15*SABR_Shocks!K21</f>
        <v>0.4273172</v>
      </c>
      <c r="L377" s="25" t="n">
        <f aca="false">SABR_Base!L6+SABR_Shocks!$C$15*SABR_Shocks!L21</f>
        <v>0.4040836</v>
      </c>
    </row>
    <row r="378" customFormat="false" ht="15" hidden="false" customHeight="true" outlineLevel="0" collapsed="false">
      <c r="B378" s="30" t="s">
        <v>57</v>
      </c>
      <c r="C378" s="25" t="n">
        <f aca="false">SABR_Base!C7+SABR_Shocks!$C$15*SABR_Shocks!C22</f>
        <v>0.570124</v>
      </c>
      <c r="D378" s="25" t="n">
        <f aca="false">SABR_Base!D7+SABR_Shocks!$C$15*SABR_Shocks!D22</f>
        <v>0.5323908</v>
      </c>
      <c r="E378" s="25" t="n">
        <f aca="false">SABR_Base!E7+SABR_Shocks!$C$15*SABR_Shocks!E22</f>
        <v>0.530474</v>
      </c>
      <c r="F378" s="25" t="n">
        <f aca="false">SABR_Base!F7+SABR_Shocks!$C$15*SABR_Shocks!F22</f>
        <v>0.4987768</v>
      </c>
      <c r="G378" s="25" t="n">
        <f aca="false">SABR_Base!G7+SABR_Shocks!$C$15*SABR_Shocks!G22</f>
        <v>0.4773124</v>
      </c>
      <c r="H378" s="25" t="n">
        <f aca="false">SABR_Base!H7+SABR_Shocks!$C$15*SABR_Shocks!H22</f>
        <v>0.4561624</v>
      </c>
      <c r="I378" s="25" t="n">
        <f aca="false">SABR_Base!I7+SABR_Shocks!$C$15*SABR_Shocks!I22</f>
        <v>0.4397864</v>
      </c>
      <c r="J378" s="25" t="n">
        <f aca="false">SABR_Base!J7+SABR_Shocks!$C$15*SABR_Shocks!J22</f>
        <v>0.4315168</v>
      </c>
      <c r="K378" s="25" t="n">
        <f aca="false">SABR_Base!K7+SABR_Shocks!$C$15*SABR_Shocks!K22</f>
        <v>0.3995572</v>
      </c>
      <c r="L378" s="25" t="n">
        <f aca="false">SABR_Base!L7+SABR_Shocks!$C$15*SABR_Shocks!L22</f>
        <v>0.3871336</v>
      </c>
    </row>
    <row r="379" customFormat="false" ht="15" hidden="false" customHeight="true" outlineLevel="0" collapsed="false">
      <c r="B379" s="30" t="s">
        <v>30</v>
      </c>
      <c r="C379" s="25" t="n">
        <f aca="false">SABR_Base!C8+SABR_Shocks!$C$15*SABR_Shocks!C23</f>
        <v>0.544038</v>
      </c>
      <c r="D379" s="25" t="n">
        <f aca="false">SABR_Base!D8+SABR_Shocks!$C$15*SABR_Shocks!D23</f>
        <v>0.519668</v>
      </c>
      <c r="E379" s="25" t="n">
        <f aca="false">SABR_Base!E8+SABR_Shocks!$C$15*SABR_Shocks!E23</f>
        <v>0.5048248</v>
      </c>
      <c r="F379" s="25" t="n">
        <f aca="false">SABR_Base!F8+SABR_Shocks!$C$15*SABR_Shocks!F23</f>
        <v>0.47527</v>
      </c>
      <c r="G379" s="25" t="n">
        <f aca="false">SABR_Base!G8+SABR_Shocks!$C$15*SABR_Shocks!G23</f>
        <v>0.4544252</v>
      </c>
      <c r="H379" s="25" t="n">
        <f aca="false">SABR_Base!H8+SABR_Shocks!$C$15*SABR_Shocks!H23</f>
        <v>0.438134</v>
      </c>
      <c r="I379" s="25" t="n">
        <f aca="false">SABR_Base!I8+SABR_Shocks!$C$15*SABR_Shocks!I23</f>
        <v>0.4278056</v>
      </c>
      <c r="J379" s="25" t="n">
        <f aca="false">SABR_Base!J8+SABR_Shocks!$C$15*SABR_Shocks!J23</f>
        <v>0.4031984</v>
      </c>
      <c r="K379" s="25" t="n">
        <f aca="false">SABR_Base!K8+SABR_Shocks!$C$15*SABR_Shocks!K23</f>
        <v>0.3827448</v>
      </c>
      <c r="L379" s="25" t="n">
        <f aca="false">SABR_Base!L8+SABR_Shocks!$C$15*SABR_Shocks!L23</f>
        <v>0.3675316</v>
      </c>
    </row>
    <row r="380" customFormat="false" ht="15" hidden="false" customHeight="true" outlineLevel="0" collapsed="false">
      <c r="B380" s="30" t="s">
        <v>58</v>
      </c>
      <c r="C380" s="25" t="n">
        <f aca="false">SABR_Base!C9+SABR_Shocks!$C$15*SABR_Shocks!C24</f>
        <v>0.5217104</v>
      </c>
      <c r="D380" s="25" t="n">
        <f aca="false">SABR_Base!D9+SABR_Shocks!$C$15*SABR_Shocks!D24</f>
        <v>0.4989452</v>
      </c>
      <c r="E380" s="25" t="n">
        <f aca="false">SABR_Base!E9+SABR_Shocks!$C$15*SABR_Shocks!E24</f>
        <v>0.4887956</v>
      </c>
      <c r="F380" s="25" t="n">
        <f aca="false">SABR_Base!F9+SABR_Shocks!$C$15*SABR_Shocks!F24</f>
        <v>0.4683944</v>
      </c>
      <c r="G380" s="25" t="n">
        <f aca="false">SABR_Base!G9+SABR_Shocks!$C$15*SABR_Shocks!G24</f>
        <v>0.4386128</v>
      </c>
      <c r="H380" s="25" t="n">
        <f aca="false">SABR_Base!H9+SABR_Shocks!$C$15*SABR_Shocks!H24</f>
        <v>0.4267484</v>
      </c>
      <c r="I380" s="25" t="n">
        <f aca="false">SABR_Base!I9+SABR_Shocks!$C$15*SABR_Shocks!I24</f>
        <v>0.4051932</v>
      </c>
      <c r="J380" s="25" t="n">
        <f aca="false">SABR_Base!J9+SABR_Shocks!$C$15*SABR_Shocks!J24</f>
        <v>0.393318</v>
      </c>
      <c r="K380" s="25" t="n">
        <f aca="false">SABR_Base!K9+SABR_Shocks!$C$15*SABR_Shocks!K24</f>
        <v>0.3704948</v>
      </c>
      <c r="L380" s="25" t="n">
        <f aca="false">SABR_Base!L9+SABR_Shocks!$C$15*SABR_Shocks!L24</f>
        <v>0.3422456</v>
      </c>
    </row>
    <row r="381" customFormat="false" ht="15" hidden="false" customHeight="true" outlineLevel="0" collapsed="false">
      <c r="B381" s="30" t="s">
        <v>59</v>
      </c>
      <c r="C381" s="25" t="n">
        <f aca="false">SABR_Base!C10+SABR_Shocks!$C$15*SABR_Shocks!C25</f>
        <v>0.5135248</v>
      </c>
      <c r="D381" s="25" t="n">
        <f aca="false">SABR_Base!D10+SABR_Shocks!$C$15*SABR_Shocks!D25</f>
        <v>0.4764648</v>
      </c>
      <c r="E381" s="25" t="n">
        <f aca="false">SABR_Base!E10+SABR_Shocks!$C$15*SABR_Shocks!E25</f>
        <v>0.4619728</v>
      </c>
      <c r="F381" s="25" t="n">
        <f aca="false">SABR_Base!F10+SABR_Shocks!$C$15*SABR_Shocks!F25</f>
        <v>0.4503348</v>
      </c>
      <c r="G381" s="25" t="n">
        <f aca="false">SABR_Base!G10+SABR_Shocks!$C$15*SABR_Shocks!G25</f>
        <v>0.4174268</v>
      </c>
      <c r="H381" s="25" t="n">
        <f aca="false">SABR_Base!H10+SABR_Shocks!$C$15*SABR_Shocks!H25</f>
        <v>0.4050304</v>
      </c>
      <c r="I381" s="25" t="n">
        <f aca="false">SABR_Base!I10+SABR_Shocks!$C$15*SABR_Shocks!I25</f>
        <v>0.3774396</v>
      </c>
      <c r="J381" s="25" t="n">
        <f aca="false">SABR_Base!J10+SABR_Shocks!$C$15*SABR_Shocks!J25</f>
        <v>0.3701164</v>
      </c>
      <c r="K381" s="25" t="n">
        <f aca="false">SABR_Base!K10+SABR_Shocks!$C$15*SABR_Shocks!K25</f>
        <v>0.3514296</v>
      </c>
      <c r="L381" s="25" t="n">
        <f aca="false">SABR_Base!L10+SABR_Shocks!$C$15*SABR_Shocks!L25</f>
        <v>0.3297604</v>
      </c>
    </row>
    <row r="382" customFormat="false" ht="15" hidden="false" customHeight="true" outlineLevel="0" collapsed="false">
      <c r="B382" s="30" t="s">
        <v>60</v>
      </c>
      <c r="C382" s="25" t="n">
        <f aca="false">SABR_Base!C11+SABR_Shocks!$C$15*SABR_Shocks!C26</f>
        <v>0.4904588</v>
      </c>
      <c r="D382" s="25" t="n">
        <f aca="false">SABR_Base!D11+SABR_Shocks!$C$15*SABR_Shocks!D26</f>
        <v>0.459778</v>
      </c>
      <c r="E382" s="25" t="n">
        <f aca="false">SABR_Base!E11+SABR_Shocks!$C$15*SABR_Shocks!E26</f>
        <v>0.4489136</v>
      </c>
      <c r="F382" s="25" t="n">
        <f aca="false">SABR_Base!F11+SABR_Shocks!$C$15*SABR_Shocks!F26</f>
        <v>0.426548</v>
      </c>
      <c r="G382" s="25" t="n">
        <f aca="false">SABR_Base!G11+SABR_Shocks!$C$15*SABR_Shocks!G26</f>
        <v>0.4066408</v>
      </c>
      <c r="H382" s="25" t="n">
        <f aca="false">SABR_Base!H11+SABR_Shocks!$C$15*SABR_Shocks!H26</f>
        <v>0.3842544</v>
      </c>
      <c r="I382" s="25" t="n">
        <f aca="false">SABR_Base!I11+SABR_Shocks!$C$15*SABR_Shocks!I26</f>
        <v>0.372442</v>
      </c>
      <c r="J382" s="25" t="n">
        <f aca="false">SABR_Base!J11+SABR_Shocks!$C$15*SABR_Shocks!J26</f>
        <v>0.355946</v>
      </c>
      <c r="K382" s="25" t="n">
        <f aca="false">SABR_Base!K11+SABR_Shocks!$C$15*SABR_Shocks!K26</f>
        <v>0.32637</v>
      </c>
      <c r="L382" s="25" t="n">
        <f aca="false">SABR_Base!L11+SABR_Shocks!$C$15*SABR_Shocks!L26</f>
        <v>0.3113896</v>
      </c>
    </row>
    <row r="383" customFormat="false" ht="15" hidden="false" customHeight="true" outlineLevel="0" collapsed="false">
      <c r="B383" s="30" t="s">
        <v>61</v>
      </c>
      <c r="C383" s="25" t="n">
        <f aca="false">SABR_Base!C12+SABR_Shocks!$C$15*SABR_Shocks!C27</f>
        <v>0.4548992</v>
      </c>
      <c r="D383" s="25" t="n">
        <f aca="false">SABR_Base!D12+SABR_Shocks!$C$15*SABR_Shocks!D27</f>
        <v>0.4484132</v>
      </c>
      <c r="E383" s="25" t="n">
        <f aca="false">SABR_Base!E12+SABR_Shocks!$C$15*SABR_Shocks!E27</f>
        <v>0.4287488</v>
      </c>
      <c r="F383" s="25" t="n">
        <f aca="false">SABR_Base!F12+SABR_Shocks!$C$15*SABR_Shocks!F27</f>
        <v>0.4152884</v>
      </c>
      <c r="G383" s="25" t="n">
        <f aca="false">SABR_Base!G12+SABR_Shocks!$C$15*SABR_Shocks!G27</f>
        <v>0.3925024</v>
      </c>
      <c r="H383" s="25" t="n">
        <f aca="false">SABR_Base!H12+SABR_Shocks!$C$15*SABR_Shocks!H27</f>
        <v>0.3628272</v>
      </c>
      <c r="I383" s="25" t="n">
        <f aca="false">SABR_Base!I12+SABR_Shocks!$C$15*SABR_Shocks!I27</f>
        <v>0.3439876</v>
      </c>
      <c r="J383" s="25" t="n">
        <f aca="false">SABR_Base!J12+SABR_Shocks!$C$15*SABR_Shocks!J27</f>
        <v>0.3300804</v>
      </c>
      <c r="K383" s="25" t="n">
        <f aca="false">SABR_Base!K12+SABR_Shocks!$C$15*SABR_Shocks!K27</f>
        <v>0.29919</v>
      </c>
      <c r="L383" s="25" t="n">
        <f aca="false">SABR_Base!L12+SABR_Shocks!$C$15*SABR_Shocks!L27</f>
        <v>0.2882564</v>
      </c>
    </row>
    <row r="384" customFormat="false" ht="15" hidden="false" customHeight="true" outlineLevel="0" collapsed="false">
      <c r="B384" s="30" t="s">
        <v>62</v>
      </c>
      <c r="C384" s="25" t="n">
        <f aca="false">SABR_Base!C13+SABR_Shocks!$C$15*SABR_Shocks!C28</f>
        <v>0.437334</v>
      </c>
      <c r="D384" s="25" t="n">
        <f aca="false">SABR_Base!D13+SABR_Shocks!$C$15*SABR_Shocks!D28</f>
        <v>0.4166636</v>
      </c>
      <c r="E384" s="25" t="n">
        <f aca="false">SABR_Base!E13+SABR_Shocks!$C$15*SABR_Shocks!E28</f>
        <v>0.3970624</v>
      </c>
      <c r="F384" s="25" t="n">
        <f aca="false">SABR_Base!F13+SABR_Shocks!$C$15*SABR_Shocks!F28</f>
        <v>0.3920976</v>
      </c>
      <c r="G384" s="25" t="n">
        <f aca="false">SABR_Base!G13+SABR_Shocks!$C$15*SABR_Shocks!G28</f>
        <v>0.3584632</v>
      </c>
      <c r="H384" s="25" t="n">
        <f aca="false">SABR_Base!H13+SABR_Shocks!$C$15*SABR_Shocks!H28</f>
        <v>0.3427412</v>
      </c>
      <c r="I384" s="25" t="n">
        <f aca="false">SABR_Base!I13+SABR_Shocks!$C$15*SABR_Shocks!I28</f>
        <v>0.3259708</v>
      </c>
      <c r="J384" s="25" t="n">
        <f aca="false">SABR_Base!J13+SABR_Shocks!$C$15*SABR_Shocks!J28</f>
        <v>0.3154896</v>
      </c>
      <c r="K384" s="25" t="n">
        <f aca="false">SABR_Base!K13+SABR_Shocks!$C$15*SABR_Shocks!K28</f>
        <v>0.279798</v>
      </c>
      <c r="L384" s="25" t="n">
        <f aca="false">SABR_Base!L13+SABR_Shocks!$C$15*SABR_Shocks!L28</f>
        <v>0.27044</v>
      </c>
    </row>
    <row r="385" customFormat="false" ht="15" hidden="false" customHeight="true" outlineLevel="0" collapsed="false">
      <c r="B385" s="30" t="s">
        <v>63</v>
      </c>
      <c r="C385" s="25" t="n">
        <f aca="false">SABR_Base!C14+SABR_Shocks!$C$15*SABR_Shocks!C29</f>
        <v>0.4250792</v>
      </c>
      <c r="D385" s="25" t="n">
        <f aca="false">SABR_Base!D14+SABR_Shocks!$C$15*SABR_Shocks!D29</f>
        <v>0.4140048</v>
      </c>
      <c r="E385" s="25" t="n">
        <f aca="false">SABR_Base!E14+SABR_Shocks!$C$15*SABR_Shocks!E29</f>
        <v>0.3918704</v>
      </c>
      <c r="F385" s="25" t="n">
        <f aca="false">SABR_Base!F14+SABR_Shocks!$C$15*SABR_Shocks!F29</f>
        <v>0.3741112</v>
      </c>
      <c r="G385" s="25" t="n">
        <f aca="false">SABR_Base!G14+SABR_Shocks!$C$15*SABR_Shocks!G29</f>
        <v>0.342014</v>
      </c>
      <c r="H385" s="25" t="n">
        <f aca="false">SABR_Base!H14+SABR_Shocks!$C$15*SABR_Shocks!H29</f>
        <v>0.3263444</v>
      </c>
      <c r="I385" s="25" t="n">
        <f aca="false">SABR_Base!I14+SABR_Shocks!$C$15*SABR_Shocks!I29</f>
        <v>0.3052896</v>
      </c>
      <c r="J385" s="25" t="n">
        <f aca="false">SABR_Base!J14+SABR_Shocks!$C$15*SABR_Shocks!J29</f>
        <v>0.29574</v>
      </c>
      <c r="K385" s="25" t="n">
        <f aca="false">SABR_Base!K14+SABR_Shocks!$C$15*SABR_Shocks!K29</f>
        <v>0.28054</v>
      </c>
      <c r="L385" s="25" t="n">
        <f aca="false">SABR_Base!L14+SABR_Shocks!$C$15*SABR_Shocks!L29</f>
        <v>0.24774</v>
      </c>
    </row>
    <row r="387" customFormat="false" ht="15" hidden="false" customHeight="true" outlineLevel="0" collapsed="false">
      <c r="B387" s="34" t="s">
        <v>115</v>
      </c>
      <c r="C387" s="34"/>
      <c r="D387" s="34"/>
      <c r="E387" s="34"/>
      <c r="F387" s="34"/>
      <c r="G387" s="34"/>
      <c r="H387" s="34"/>
      <c r="I387" s="34"/>
      <c r="J387" s="34"/>
      <c r="K387" s="34"/>
      <c r="L387" s="34"/>
    </row>
    <row r="388" customFormat="false" ht="15" hidden="false" customHeight="true" outlineLevel="0" collapsed="false">
      <c r="B388" s="12" t="s">
        <v>113</v>
      </c>
      <c r="C388" s="13" t="s">
        <v>114</v>
      </c>
      <c r="D388" s="13" t="s">
        <v>56</v>
      </c>
      <c r="E388" s="13" t="s">
        <v>57</v>
      </c>
      <c r="F388" s="13" t="s">
        <v>30</v>
      </c>
      <c r="G388" s="13" t="s">
        <v>58</v>
      </c>
      <c r="H388" s="13" t="s">
        <v>59</v>
      </c>
      <c r="I388" s="13" t="s">
        <v>60</v>
      </c>
      <c r="J388" s="13" t="s">
        <v>61</v>
      </c>
      <c r="K388" s="13" t="s">
        <v>62</v>
      </c>
      <c r="L388" s="13" t="s">
        <v>63</v>
      </c>
    </row>
    <row r="389" customFormat="false" ht="15" hidden="false" customHeight="true" outlineLevel="0" collapsed="false">
      <c r="B389" s="30" t="s">
        <v>114</v>
      </c>
      <c r="C389" s="25" t="n">
        <f aca="false">SABR_Base!C19+SABR_Shocks!$D$15*SABR_Shocks!C20</f>
        <v>-0.3316845</v>
      </c>
      <c r="D389" s="25" t="n">
        <f aca="false">SABR_Base!D19+SABR_Shocks!$D$15*SABR_Shocks!D20</f>
        <v>-0.312371</v>
      </c>
      <c r="E389" s="25" t="n">
        <f aca="false">SABR_Base!E19+SABR_Shocks!$D$15*SABR_Shocks!E20</f>
        <v>-0.29439</v>
      </c>
      <c r="F389" s="25" t="n">
        <f aca="false">SABR_Base!F19+SABR_Shocks!$D$15*SABR_Shocks!F20</f>
        <v>-0.27123</v>
      </c>
      <c r="G389" s="25" t="n">
        <f aca="false">SABR_Base!G19+SABR_Shocks!$D$15*SABR_Shocks!G20</f>
        <v>-0.2512265</v>
      </c>
      <c r="H389" s="25" t="n">
        <f aca="false">SABR_Base!H19+SABR_Shocks!$D$15*SABR_Shocks!H20</f>
        <v>-0.2398765</v>
      </c>
      <c r="I389" s="25" t="n">
        <f aca="false">SABR_Base!I19+SABR_Shocks!$D$15*SABR_Shocks!I20</f>
        <v>-0.226405</v>
      </c>
      <c r="J389" s="25" t="n">
        <f aca="false">SABR_Base!J19+SABR_Shocks!$D$15*SABR_Shocks!J20</f>
        <v>-0.2</v>
      </c>
      <c r="K389" s="25" t="n">
        <f aca="false">SABR_Base!K19+SABR_Shocks!$D$15*SABR_Shocks!K20</f>
        <v>-0.18315</v>
      </c>
      <c r="L389" s="25" t="n">
        <f aca="false">SABR_Base!L19+SABR_Shocks!$D$15*SABR_Shocks!L20</f>
        <v>-0.161269</v>
      </c>
    </row>
    <row r="390" customFormat="false" ht="15" hidden="false" customHeight="true" outlineLevel="0" collapsed="false">
      <c r="B390" s="30" t="s">
        <v>56</v>
      </c>
      <c r="C390" s="25" t="n">
        <f aca="false">SABR_Base!C20+SABR_Shocks!$D$15*SABR_Shocks!C21</f>
        <v>-0.2982655</v>
      </c>
      <c r="D390" s="25" t="n">
        <f aca="false">SABR_Base!D20+SABR_Shocks!$D$15*SABR_Shocks!D21</f>
        <v>-0.285538</v>
      </c>
      <c r="E390" s="25" t="n">
        <f aca="false">SABR_Base!E20+SABR_Shocks!$D$15*SABR_Shocks!E21</f>
        <v>-0.2709865</v>
      </c>
      <c r="F390" s="25" t="n">
        <f aca="false">SABR_Base!F20+SABR_Shocks!$D$15*SABR_Shocks!F21</f>
        <v>-0.251083</v>
      </c>
      <c r="G390" s="25" t="n">
        <f aca="false">SABR_Base!G20+SABR_Shocks!$D$15*SABR_Shocks!G21</f>
        <v>-0.231227</v>
      </c>
      <c r="H390" s="25" t="n">
        <f aca="false">SABR_Base!H20+SABR_Shocks!$D$15*SABR_Shocks!H21</f>
        <v>-0.225963</v>
      </c>
      <c r="I390" s="25" t="n">
        <f aca="false">SABR_Base!I20+SABR_Shocks!$D$15*SABR_Shocks!I21</f>
        <v>-0.1905395</v>
      </c>
      <c r="J390" s="25" t="n">
        <f aca="false">SABR_Base!J20+SABR_Shocks!$D$15*SABR_Shocks!J21</f>
        <v>-0.1752685</v>
      </c>
      <c r="K390" s="25" t="n">
        <f aca="false">SABR_Base!K20+SABR_Shocks!$D$15*SABR_Shocks!K21</f>
        <v>-0.1548365</v>
      </c>
      <c r="L390" s="25" t="n">
        <f aca="false">SABR_Base!L20+SABR_Shocks!$D$15*SABR_Shocks!L21</f>
        <v>-0.1384245</v>
      </c>
    </row>
    <row r="391" customFormat="false" ht="15" hidden="false" customHeight="true" outlineLevel="0" collapsed="false">
      <c r="B391" s="30" t="s">
        <v>57</v>
      </c>
      <c r="C391" s="25" t="n">
        <f aca="false">SABR_Base!C21+SABR_Shocks!$D$15*SABR_Shocks!C22</f>
        <v>-0.291755</v>
      </c>
      <c r="D391" s="25" t="n">
        <f aca="false">SABR_Base!D21+SABR_Shocks!$D$15*SABR_Shocks!D22</f>
        <v>-0.2733485</v>
      </c>
      <c r="E391" s="25" t="n">
        <f aca="false">SABR_Base!E21+SABR_Shocks!$D$15*SABR_Shocks!E22</f>
        <v>-0.2605925</v>
      </c>
      <c r="F391" s="25" t="n">
        <f aca="false">SABR_Base!F21+SABR_Shocks!$D$15*SABR_Shocks!F22</f>
        <v>-0.232306</v>
      </c>
      <c r="G391" s="25" t="n">
        <f aca="false">SABR_Base!G21+SABR_Shocks!$D$15*SABR_Shocks!G22</f>
        <v>-0.2252205</v>
      </c>
      <c r="H391" s="25" t="n">
        <f aca="false">SABR_Base!H21+SABR_Shocks!$D$15*SABR_Shocks!H22</f>
        <v>-0.207558</v>
      </c>
      <c r="I391" s="25" t="n">
        <f aca="false">SABR_Base!I21+SABR_Shocks!$D$15*SABR_Shocks!I22</f>
        <v>-0.187063</v>
      </c>
      <c r="J391" s="25" t="n">
        <f aca="false">SABR_Base!J21+SABR_Shocks!$D$15*SABR_Shocks!J22</f>
        <v>-0.169431</v>
      </c>
      <c r="K391" s="25" t="n">
        <f aca="false">SABR_Base!K21+SABR_Shocks!$D$15*SABR_Shocks!K22</f>
        <v>-0.1476865</v>
      </c>
      <c r="L391" s="25" t="n">
        <f aca="false">SABR_Base!L21+SABR_Shocks!$D$15*SABR_Shocks!L22</f>
        <v>-0.135862</v>
      </c>
    </row>
    <row r="392" customFormat="false" ht="15" hidden="false" customHeight="true" outlineLevel="0" collapsed="false">
      <c r="B392" s="30" t="s">
        <v>30</v>
      </c>
      <c r="C392" s="25" t="n">
        <f aca="false">SABR_Base!C22+SABR_Shocks!$D$15*SABR_Shocks!C23</f>
        <v>-0.2814725</v>
      </c>
      <c r="D392" s="25" t="n">
        <f aca="false">SABR_Base!D22+SABR_Shocks!$D$15*SABR_Shocks!D23</f>
        <v>-0.260135</v>
      </c>
      <c r="E392" s="25" t="n">
        <f aca="false">SABR_Base!E22+SABR_Shocks!$D$15*SABR_Shocks!E23</f>
        <v>-0.242441</v>
      </c>
      <c r="F392" s="25" t="n">
        <f aca="false">SABR_Base!F22+SABR_Shocks!$D$15*SABR_Shocks!F23</f>
        <v>-0.2194375</v>
      </c>
      <c r="G392" s="25" t="n">
        <f aca="false">SABR_Base!G22+SABR_Shocks!$D$15*SABR_Shocks!G23</f>
        <v>-0.2087215</v>
      </c>
      <c r="H392" s="25" t="n">
        <f aca="false">SABR_Base!H22+SABR_Shocks!$D$15*SABR_Shocks!H23</f>
        <v>-0.1735925</v>
      </c>
      <c r="I392" s="25" t="n">
        <f aca="false">SABR_Base!I22+SABR_Shocks!$D$15*SABR_Shocks!I23</f>
        <v>-0.160827</v>
      </c>
      <c r="J392" s="25" t="n">
        <f aca="false">SABR_Base!J22+SABR_Shocks!$D$15*SABR_Shocks!J23</f>
        <v>-0.152153</v>
      </c>
      <c r="K392" s="25" t="n">
        <f aca="false">SABR_Base!K22+SABR_Shocks!$D$15*SABR_Shocks!K23</f>
        <v>-0.131366</v>
      </c>
      <c r="L392" s="25" t="n">
        <f aca="false">SABR_Base!L22+SABR_Shocks!$D$15*SABR_Shocks!L23</f>
        <v>-0.1119345</v>
      </c>
    </row>
    <row r="393" customFormat="false" ht="15" hidden="false" customHeight="true" outlineLevel="0" collapsed="false">
      <c r="B393" s="30" t="s">
        <v>58</v>
      </c>
      <c r="C393" s="25" t="n">
        <f aca="false">SABR_Base!C23+SABR_Shocks!$D$15*SABR_Shocks!C24</f>
        <v>-0.255618</v>
      </c>
      <c r="D393" s="25" t="n">
        <f aca="false">SABR_Base!D23+SABR_Shocks!$D$15*SABR_Shocks!D24</f>
        <v>-0.2425215</v>
      </c>
      <c r="E393" s="25" t="n">
        <f aca="false">SABR_Base!E23+SABR_Shocks!$D$15*SABR_Shocks!E24</f>
        <v>-0.2102645</v>
      </c>
      <c r="F393" s="25" t="n">
        <f aca="false">SABR_Base!F23+SABR_Shocks!$D$15*SABR_Shocks!F24</f>
        <v>-0.188748</v>
      </c>
      <c r="G393" s="25" t="n">
        <f aca="false">SABR_Base!G23+SABR_Shocks!$D$15*SABR_Shocks!G24</f>
        <v>-0.181801</v>
      </c>
      <c r="H393" s="25" t="n">
        <f aca="false">SABR_Base!H23+SABR_Shocks!$D$15*SABR_Shocks!H24</f>
        <v>-0.1629155</v>
      </c>
      <c r="I393" s="25" t="n">
        <f aca="false">SABR_Base!I23+SABR_Shocks!$D$15*SABR_Shocks!I24</f>
        <v>-0.1533065</v>
      </c>
      <c r="J393" s="25" t="n">
        <f aca="false">SABR_Base!J23+SABR_Shocks!$D$15*SABR_Shocks!J24</f>
        <v>-0.1347225</v>
      </c>
      <c r="K393" s="25" t="n">
        <f aca="false">SABR_Base!K23+SABR_Shocks!$D$15*SABR_Shocks!K24</f>
        <v>-0.1120035</v>
      </c>
      <c r="L393" s="25" t="n">
        <f aca="false">SABR_Base!L23+SABR_Shocks!$D$15*SABR_Shocks!L24</f>
        <v>-0.095452</v>
      </c>
    </row>
    <row r="394" customFormat="false" ht="15" hidden="false" customHeight="true" outlineLevel="0" collapsed="false">
      <c r="B394" s="30" t="s">
        <v>59</v>
      </c>
      <c r="C394" s="25" t="n">
        <f aca="false">SABR_Base!C24+SABR_Shocks!$D$15*SABR_Shocks!C25</f>
        <v>-0.227941</v>
      </c>
      <c r="D394" s="25" t="n">
        <f aca="false">SABR_Base!D24+SABR_Shocks!$D$15*SABR_Shocks!D25</f>
        <v>-0.223391</v>
      </c>
      <c r="E394" s="25" t="n">
        <f aca="false">SABR_Base!E24+SABR_Shocks!$D$15*SABR_Shocks!E25</f>
        <v>-0.208551</v>
      </c>
      <c r="F394" s="25" t="n">
        <f aca="false">SABR_Base!F24+SABR_Shocks!$D$15*SABR_Shocks!F25</f>
        <v>-0.1714035</v>
      </c>
      <c r="G394" s="25" t="n">
        <f aca="false">SABR_Base!G24+SABR_Shocks!$D$15*SABR_Shocks!G25</f>
        <v>-0.1624185</v>
      </c>
      <c r="H394" s="25" t="n">
        <f aca="false">SABR_Base!H24+SABR_Shocks!$D$15*SABR_Shocks!H25</f>
        <v>-0.151843</v>
      </c>
      <c r="I394" s="25" t="n">
        <f aca="false">SABR_Base!I24+SABR_Shocks!$D$15*SABR_Shocks!I25</f>
        <v>-0.1254195</v>
      </c>
      <c r="J394" s="25" t="n">
        <f aca="false">SABR_Base!J24+SABR_Shocks!$D$15*SABR_Shocks!J25</f>
        <v>-0.1179005</v>
      </c>
      <c r="K394" s="25" t="n">
        <f aca="false">SABR_Base!K24+SABR_Shocks!$D$15*SABR_Shocks!K25</f>
        <v>-0.090407</v>
      </c>
      <c r="L394" s="25" t="n">
        <f aca="false">SABR_Base!L24+SABR_Shocks!$D$15*SABR_Shocks!L25</f>
        <v>-0.0624805</v>
      </c>
    </row>
    <row r="395" customFormat="false" ht="15" hidden="false" customHeight="true" outlineLevel="0" collapsed="false">
      <c r="B395" s="30" t="s">
        <v>60</v>
      </c>
      <c r="C395" s="25" t="n">
        <f aca="false">SABR_Base!C25+SABR_Shocks!$D$15*SABR_Shocks!C26</f>
        <v>-0.2099335</v>
      </c>
      <c r="D395" s="25" t="n">
        <f aca="false">SABR_Base!D25+SABR_Shocks!$D$15*SABR_Shocks!D26</f>
        <v>-0.1951975</v>
      </c>
      <c r="E395" s="25" t="n">
        <f aca="false">SABR_Base!E25+SABR_Shocks!$D$15*SABR_Shocks!E26</f>
        <v>-0.185312</v>
      </c>
      <c r="F395" s="25" t="n">
        <f aca="false">SABR_Base!F25+SABR_Shocks!$D$15*SABR_Shocks!F26</f>
        <v>-0.16561</v>
      </c>
      <c r="G395" s="25" t="n">
        <f aca="false">SABR_Base!G25+SABR_Shocks!$D$15*SABR_Shocks!G26</f>
        <v>-0.151536</v>
      </c>
      <c r="H395" s="25" t="n">
        <f aca="false">SABR_Base!H25+SABR_Shocks!$D$15*SABR_Shocks!H26</f>
        <v>-0.121648</v>
      </c>
      <c r="I395" s="25" t="n">
        <f aca="false">SABR_Base!I25+SABR_Shocks!$D$15*SABR_Shocks!I26</f>
        <v>-0.1083275</v>
      </c>
      <c r="J395" s="25" t="n">
        <f aca="false">SABR_Base!J25+SABR_Shocks!$D$15*SABR_Shocks!J26</f>
        <v>-0.0848575</v>
      </c>
      <c r="K395" s="25" t="n">
        <f aca="false">SABR_Base!K25+SABR_Shocks!$D$15*SABR_Shocks!K26</f>
        <v>-0.0761625</v>
      </c>
      <c r="L395" s="25" t="n">
        <f aca="false">SABR_Base!L25+SABR_Shocks!$D$15*SABR_Shocks!L26</f>
        <v>-0.059932</v>
      </c>
    </row>
    <row r="396" customFormat="false" ht="15" hidden="false" customHeight="true" outlineLevel="0" collapsed="false">
      <c r="B396" s="30" t="s">
        <v>61</v>
      </c>
      <c r="C396" s="25" t="n">
        <f aca="false">SABR_Base!C26+SABR_Shocks!$D$15*SABR_Shocks!C27</f>
        <v>-0.192789</v>
      </c>
      <c r="D396" s="25" t="n">
        <f aca="false">SABR_Base!D26+SABR_Shocks!$D$15*SABR_Shocks!D27</f>
        <v>-0.1711065</v>
      </c>
      <c r="E396" s="25" t="n">
        <f aca="false">SABR_Base!E26+SABR_Shocks!$D$15*SABR_Shocks!E27</f>
        <v>-0.155221</v>
      </c>
      <c r="F396" s="25" t="n">
        <f aca="false">SABR_Base!F26+SABR_Shocks!$D$15*SABR_Shocks!F27</f>
        <v>-0.1385655</v>
      </c>
      <c r="G396" s="25" t="n">
        <f aca="false">SABR_Base!G26+SABR_Shocks!$D$15*SABR_Shocks!G27</f>
        <v>-0.120183</v>
      </c>
      <c r="H396" s="25" t="n">
        <f aca="false">SABR_Base!H26+SABR_Shocks!$D$15*SABR_Shocks!H27</f>
        <v>-0.103499</v>
      </c>
      <c r="I396" s="25" t="n">
        <f aca="false">SABR_Base!I26+SABR_Shocks!$D$15*SABR_Shocks!I27</f>
        <v>-0.0963295</v>
      </c>
      <c r="J396" s="25" t="n">
        <f aca="false">SABR_Base!J26+SABR_Shocks!$D$15*SABR_Shocks!J27</f>
        <v>-0.0724555</v>
      </c>
      <c r="K396" s="25" t="n">
        <f aca="false">SABR_Base!K26+SABR_Shocks!$D$15*SABR_Shocks!K27</f>
        <v>-0.0569375</v>
      </c>
      <c r="L396" s="25" t="n">
        <f aca="false">SABR_Base!L26+SABR_Shocks!$D$15*SABR_Shocks!L27</f>
        <v>-0.0455255</v>
      </c>
    </row>
    <row r="397" customFormat="false" ht="15" hidden="false" customHeight="true" outlineLevel="0" collapsed="false">
      <c r="B397" s="30" t="s">
        <v>62</v>
      </c>
      <c r="C397" s="25" t="n">
        <f aca="false">SABR_Base!C27+SABR_Shocks!$D$15*SABR_Shocks!C28</f>
        <v>-0.1904925</v>
      </c>
      <c r="D397" s="25" t="n">
        <f aca="false">SABR_Base!D27+SABR_Shocks!$D$15*SABR_Shocks!D28</f>
        <v>-0.1674495</v>
      </c>
      <c r="E397" s="25" t="n">
        <f aca="false">SABR_Base!E27+SABR_Shocks!$D$15*SABR_Shocks!E28</f>
        <v>-0.149333</v>
      </c>
      <c r="F397" s="25" t="n">
        <f aca="false">SABR_Base!F27+SABR_Shocks!$D$15*SABR_Shocks!F28</f>
        <v>-0.122442</v>
      </c>
      <c r="G397" s="25" t="n">
        <f aca="false">SABR_Base!G27+SABR_Shocks!$D$15*SABR_Shocks!G28</f>
        <v>-0.099719</v>
      </c>
      <c r="H397" s="25" t="n">
        <f aca="false">SABR_Base!H27+SABR_Shocks!$D$15*SABR_Shocks!H28</f>
        <v>-0.0912165</v>
      </c>
      <c r="I397" s="25" t="n">
        <f aca="false">SABR_Base!I27+SABR_Shocks!$D$15*SABR_Shocks!I28</f>
        <v>-0.0633735</v>
      </c>
      <c r="J397" s="25" t="n">
        <f aca="false">SABR_Base!J27+SABR_Shocks!$D$15*SABR_Shocks!J28</f>
        <v>-0.044632</v>
      </c>
      <c r="K397" s="25" t="n">
        <f aca="false">SABR_Base!K27+SABR_Shocks!$D$15*SABR_Shocks!K28</f>
        <v>-0.0273975</v>
      </c>
      <c r="L397" s="25" t="n">
        <f aca="false">SABR_Base!L27+SABR_Shocks!$D$15*SABR_Shocks!L28</f>
        <v>-0.019875</v>
      </c>
    </row>
    <row r="398" customFormat="false" ht="15" hidden="false" customHeight="true" outlineLevel="0" collapsed="false">
      <c r="B398" s="30" t="s">
        <v>63</v>
      </c>
      <c r="C398" s="25" t="n">
        <f aca="false">SABR_Base!C28+SABR_Shocks!$D$15*SABR_Shocks!C29</f>
        <v>-0.168789</v>
      </c>
      <c r="D398" s="25" t="n">
        <f aca="false">SABR_Base!D28+SABR_Shocks!$D$15*SABR_Shocks!D29</f>
        <v>-0.149716</v>
      </c>
      <c r="E398" s="25" t="n">
        <f aca="false">SABR_Base!E28+SABR_Shocks!$D$15*SABR_Shocks!E29</f>
        <v>-0.132993</v>
      </c>
      <c r="F398" s="25" t="n">
        <f aca="false">SABR_Base!F28+SABR_Shocks!$D$15*SABR_Shocks!F29</f>
        <v>-0.114354</v>
      </c>
      <c r="G398" s="25" t="n">
        <f aca="false">SABR_Base!G28+SABR_Shocks!$D$15*SABR_Shocks!G29</f>
        <v>-0.0882675</v>
      </c>
      <c r="H398" s="25" t="n">
        <f aca="false">SABR_Base!H28+SABR_Shocks!$D$15*SABR_Shocks!H29</f>
        <v>-0.0642355</v>
      </c>
      <c r="I398" s="25" t="n">
        <f aca="false">SABR_Base!I28+SABR_Shocks!$D$15*SABR_Shocks!I29</f>
        <v>-0.047532</v>
      </c>
      <c r="J398" s="25" t="n">
        <f aca="false">SABR_Base!J28+SABR_Shocks!$D$15*SABR_Shocks!J29</f>
        <v>-0.036975</v>
      </c>
      <c r="K398" s="25" t="n">
        <f aca="false">SABR_Base!K28+SABR_Shocks!$D$15*SABR_Shocks!K29</f>
        <v>-0.014075</v>
      </c>
      <c r="L398" s="25" t="n">
        <f aca="false">SABR_Base!L28+SABR_Shocks!$D$15*SABR_Shocks!L29</f>
        <v>0.008325</v>
      </c>
    </row>
    <row r="400" customFormat="false" ht="15" hidden="false" customHeight="true" outlineLevel="0" collapsed="false">
      <c r="B400" s="34" t="s">
        <v>116</v>
      </c>
      <c r="C400" s="34"/>
      <c r="D400" s="34"/>
      <c r="E400" s="34"/>
      <c r="F400" s="34"/>
      <c r="G400" s="34"/>
      <c r="H400" s="34"/>
      <c r="I400" s="34"/>
      <c r="J400" s="34"/>
      <c r="K400" s="34"/>
      <c r="L400" s="34"/>
    </row>
    <row r="401" customFormat="false" ht="15" hidden="false" customHeight="true" outlineLevel="0" collapsed="false">
      <c r="B401" s="12" t="s">
        <v>113</v>
      </c>
      <c r="C401" s="13" t="s">
        <v>114</v>
      </c>
      <c r="D401" s="13" t="s">
        <v>56</v>
      </c>
      <c r="E401" s="13" t="s">
        <v>57</v>
      </c>
      <c r="F401" s="13" t="s">
        <v>30</v>
      </c>
      <c r="G401" s="13" t="s">
        <v>58</v>
      </c>
      <c r="H401" s="13" t="s">
        <v>59</v>
      </c>
      <c r="I401" s="13" t="s">
        <v>60</v>
      </c>
      <c r="J401" s="13" t="s">
        <v>61</v>
      </c>
      <c r="K401" s="13" t="s">
        <v>62</v>
      </c>
      <c r="L401" s="13" t="s">
        <v>63</v>
      </c>
    </row>
    <row r="402" customFormat="false" ht="15" hidden="false" customHeight="true" outlineLevel="0" collapsed="false">
      <c r="B402" s="30" t="s">
        <v>114</v>
      </c>
      <c r="C402" s="25" t="n">
        <f aca="false">SABR_Base!C33+SABR_Shocks!$E$15*SABR_Shocks!C20</f>
        <v>0.9273535</v>
      </c>
      <c r="D402" s="25" t="n">
        <f aca="false">SABR_Base!D33+SABR_Shocks!$E$15*SABR_Shocks!D20</f>
        <v>0.912213</v>
      </c>
      <c r="E402" s="25" t="n">
        <f aca="false">SABR_Base!E33+SABR_Shocks!$E$15*SABR_Shocks!E20</f>
        <v>0.88977</v>
      </c>
      <c r="F402" s="25" t="n">
        <f aca="false">SABR_Base!F33+SABR_Shocks!$E$15*SABR_Shocks!F20</f>
        <v>0.86069</v>
      </c>
      <c r="G402" s="25" t="n">
        <f aca="false">SABR_Base!G33+SABR_Shocks!$E$15*SABR_Shocks!G20</f>
        <v>0.8322795</v>
      </c>
      <c r="H402" s="25" t="n">
        <f aca="false">SABR_Base!H33+SABR_Shocks!$E$15*SABR_Shocks!H20</f>
        <v>0.7992295</v>
      </c>
      <c r="I402" s="25" t="n">
        <f aca="false">SABR_Base!I33+SABR_Shocks!$E$15*SABR_Shocks!I20</f>
        <v>0.768515</v>
      </c>
      <c r="J402" s="25" t="n">
        <f aca="false">SABR_Base!J33+SABR_Shocks!$E$15*SABR_Shocks!J20</f>
        <v>0.7537</v>
      </c>
      <c r="K402" s="25" t="n">
        <f aca="false">SABR_Base!K33+SABR_Shocks!$E$15*SABR_Shocks!K20</f>
        <v>0.71705</v>
      </c>
      <c r="L402" s="25" t="n">
        <f aca="false">SABR_Base!L33+SABR_Shocks!$E$15*SABR_Shocks!L20</f>
        <v>0.698907</v>
      </c>
    </row>
    <row r="403" customFormat="false" ht="15" hidden="false" customHeight="true" outlineLevel="0" collapsed="false">
      <c r="B403" s="30" t="s">
        <v>56</v>
      </c>
      <c r="C403" s="25" t="n">
        <f aca="false">SABR_Base!C34+SABR_Shocks!$E$15*SABR_Shocks!C21</f>
        <v>0.9173965</v>
      </c>
      <c r="D403" s="25" t="n">
        <f aca="false">SABR_Base!D34+SABR_Shocks!$E$15*SABR_Shocks!D21</f>
        <v>0.878614</v>
      </c>
      <c r="E403" s="25" t="n">
        <f aca="false">SABR_Base!E34+SABR_Shocks!$E$15*SABR_Shocks!E21</f>
        <v>0.8518595</v>
      </c>
      <c r="F403" s="25" t="n">
        <f aca="false">SABR_Base!F34+SABR_Shocks!$E$15*SABR_Shocks!F21</f>
        <v>0.834949</v>
      </c>
      <c r="G403" s="25" t="n">
        <f aca="false">SABR_Base!G34+SABR_Shocks!$E$15*SABR_Shocks!G21</f>
        <v>0.805781</v>
      </c>
      <c r="H403" s="25" t="n">
        <f aca="false">SABR_Base!H34+SABR_Shocks!$E$15*SABR_Shocks!H21</f>
        <v>0.766489</v>
      </c>
      <c r="I403" s="25" t="n">
        <f aca="false">SABR_Base!I34+SABR_Shocks!$E$15*SABR_Shocks!I21</f>
        <v>0.7400185</v>
      </c>
      <c r="J403" s="25" t="n">
        <f aca="false">SABR_Base!J34+SABR_Shocks!$E$15*SABR_Shocks!J21</f>
        <v>0.7119055</v>
      </c>
      <c r="K403" s="25" t="n">
        <f aca="false">SABR_Base!K34+SABR_Shocks!$E$15*SABR_Shocks!K21</f>
        <v>0.7018095</v>
      </c>
      <c r="L403" s="25" t="n">
        <f aca="false">SABR_Base!L34+SABR_Shocks!$E$15*SABR_Shocks!L21</f>
        <v>0.6724735</v>
      </c>
    </row>
    <row r="404" customFormat="false" ht="15" hidden="false" customHeight="true" outlineLevel="0" collapsed="false">
      <c r="B404" s="30" t="s">
        <v>57</v>
      </c>
      <c r="C404" s="25" t="n">
        <f aca="false">SABR_Base!C35+SABR_Shocks!$E$15*SABR_Shocks!C22</f>
        <v>0.872865</v>
      </c>
      <c r="D404" s="25" t="n">
        <f aca="false">SABR_Base!D35+SABR_Shocks!$E$15*SABR_Shocks!D22</f>
        <v>0.8601455</v>
      </c>
      <c r="E404" s="25" t="n">
        <f aca="false">SABR_Base!E35+SABR_Shocks!$E$15*SABR_Shocks!E22</f>
        <v>0.8383775</v>
      </c>
      <c r="F404" s="25" t="n">
        <f aca="false">SABR_Base!F35+SABR_Shocks!$E$15*SABR_Shocks!F22</f>
        <v>0.803418</v>
      </c>
      <c r="G404" s="25" t="n">
        <f aca="false">SABR_Base!G35+SABR_Shocks!$E$15*SABR_Shocks!G22</f>
        <v>0.7719615</v>
      </c>
      <c r="H404" s="25" t="n">
        <f aca="false">SABR_Base!H35+SABR_Shocks!$E$15*SABR_Shocks!H22</f>
        <v>0.746974</v>
      </c>
      <c r="I404" s="25" t="n">
        <f aca="false">SABR_Base!I35+SABR_Shocks!$E$15*SABR_Shocks!I22</f>
        <v>0.710489</v>
      </c>
      <c r="J404" s="25" t="n">
        <f aca="false">SABR_Base!J35+SABR_Shocks!$E$15*SABR_Shocks!J22</f>
        <v>0.682993</v>
      </c>
      <c r="K404" s="25" t="n">
        <f aca="false">SABR_Base!K35+SABR_Shocks!$E$15*SABR_Shocks!K22</f>
        <v>0.6755595</v>
      </c>
      <c r="L404" s="25" t="n">
        <f aca="false">SABR_Base!L35+SABR_Shocks!$E$15*SABR_Shocks!L22</f>
        <v>0.640386</v>
      </c>
    </row>
    <row r="405" customFormat="false" ht="15" hidden="false" customHeight="true" outlineLevel="0" collapsed="false">
      <c r="B405" s="30" t="s">
        <v>30</v>
      </c>
      <c r="C405" s="25" t="n">
        <f aca="false">SABR_Base!C36+SABR_Shocks!$E$15*SABR_Shocks!C23</f>
        <v>0.8537175</v>
      </c>
      <c r="D405" s="25" t="n">
        <f aca="false">SABR_Base!D36+SABR_Shocks!$E$15*SABR_Shocks!D23</f>
        <v>0.835605</v>
      </c>
      <c r="E405" s="25" t="n">
        <f aca="false">SABR_Base!E36+SABR_Shocks!$E$15*SABR_Shocks!E23</f>
        <v>0.800623</v>
      </c>
      <c r="F405" s="25" t="n">
        <f aca="false">SABR_Base!F36+SABR_Shocks!$E$15*SABR_Shocks!F23</f>
        <v>0.7816125</v>
      </c>
      <c r="G405" s="25" t="n">
        <f aca="false">SABR_Base!G36+SABR_Shocks!$E$15*SABR_Shocks!G23</f>
        <v>0.7516645</v>
      </c>
      <c r="H405" s="25" t="n">
        <f aca="false">SABR_Base!H36+SABR_Shocks!$E$15*SABR_Shocks!H23</f>
        <v>0.7126775</v>
      </c>
      <c r="I405" s="25" t="n">
        <f aca="false">SABR_Base!I36+SABR_Shocks!$E$15*SABR_Shocks!I23</f>
        <v>0.685981</v>
      </c>
      <c r="J405" s="25" t="n">
        <f aca="false">SABR_Base!J36+SABR_Shocks!$E$15*SABR_Shocks!J23</f>
        <v>0.659659</v>
      </c>
      <c r="K405" s="25" t="n">
        <f aca="false">SABR_Base!K36+SABR_Shocks!$E$15*SABR_Shocks!K23</f>
        <v>0.633998</v>
      </c>
      <c r="L405" s="25" t="n">
        <f aca="false">SABR_Base!L36+SABR_Shocks!$E$15*SABR_Shocks!L23</f>
        <v>0.6119035</v>
      </c>
    </row>
    <row r="406" customFormat="false" ht="15" hidden="false" customHeight="true" outlineLevel="0" collapsed="false">
      <c r="B406" s="30" t="s">
        <v>58</v>
      </c>
      <c r="C406" s="25" t="n">
        <f aca="false">SABR_Base!C37+SABR_Shocks!$E$15*SABR_Shocks!C24</f>
        <v>0.822854</v>
      </c>
      <c r="D406" s="25" t="n">
        <f aca="false">SABR_Base!D37+SABR_Shocks!$E$15*SABR_Shocks!D24</f>
        <v>0.7986645</v>
      </c>
      <c r="E406" s="25" t="n">
        <f aca="false">SABR_Base!E37+SABR_Shocks!$E$15*SABR_Shocks!E24</f>
        <v>0.7649935</v>
      </c>
      <c r="F406" s="25" t="n">
        <f aca="false">SABR_Base!F37+SABR_Shocks!$E$15*SABR_Shocks!F24</f>
        <v>0.755244</v>
      </c>
      <c r="G406" s="25" t="n">
        <f aca="false">SABR_Base!G37+SABR_Shocks!$E$15*SABR_Shocks!G24</f>
        <v>0.715203</v>
      </c>
      <c r="H406" s="25" t="n">
        <f aca="false">SABR_Base!H37+SABR_Shocks!$E$15*SABR_Shocks!H24</f>
        <v>0.6919465</v>
      </c>
      <c r="I406" s="25" t="n">
        <f aca="false">SABR_Base!I37+SABR_Shocks!$E$15*SABR_Shocks!I24</f>
        <v>0.6656195</v>
      </c>
      <c r="J406" s="25" t="n">
        <f aca="false">SABR_Base!J37+SABR_Shocks!$E$15*SABR_Shocks!J24</f>
        <v>0.6459675</v>
      </c>
      <c r="K406" s="25" t="n">
        <f aca="false">SABR_Base!K37+SABR_Shocks!$E$15*SABR_Shocks!K24</f>
        <v>0.6086105</v>
      </c>
      <c r="L406" s="25" t="n">
        <f aca="false">SABR_Base!L37+SABR_Shocks!$E$15*SABR_Shocks!L24</f>
        <v>0.591756</v>
      </c>
    </row>
    <row r="407" customFormat="false" ht="15" hidden="false" customHeight="true" outlineLevel="0" collapsed="false">
      <c r="B407" s="30" t="s">
        <v>59</v>
      </c>
      <c r="C407" s="25" t="n">
        <f aca="false">SABR_Base!C38+SABR_Shocks!$E$15*SABR_Shocks!C25</f>
        <v>0.801923</v>
      </c>
      <c r="D407" s="25" t="n">
        <f aca="false">SABR_Base!D38+SABR_Shocks!$E$15*SABR_Shocks!D25</f>
        <v>0.774973</v>
      </c>
      <c r="E407" s="25" t="n">
        <f aca="false">SABR_Base!E38+SABR_Shocks!$E$15*SABR_Shocks!E25</f>
        <v>0.746153</v>
      </c>
      <c r="F407" s="25" t="n">
        <f aca="false">SABR_Base!F38+SABR_Shocks!$E$15*SABR_Shocks!F25</f>
        <v>0.7109105</v>
      </c>
      <c r="G407" s="25" t="n">
        <f aca="false">SABR_Base!G38+SABR_Shocks!$E$15*SABR_Shocks!G25</f>
        <v>0.6901555</v>
      </c>
      <c r="H407" s="25" t="n">
        <f aca="false">SABR_Base!H38+SABR_Shocks!$E$15*SABR_Shocks!H25</f>
        <v>0.658529</v>
      </c>
      <c r="I407" s="25" t="n">
        <f aca="false">SABR_Base!I38+SABR_Shocks!$E$15*SABR_Shocks!I25</f>
        <v>0.6293585</v>
      </c>
      <c r="J407" s="25" t="n">
        <f aca="false">SABR_Base!J38+SABR_Shocks!$E$15*SABR_Shocks!J25</f>
        <v>0.6176015</v>
      </c>
      <c r="K407" s="25" t="n">
        <f aca="false">SABR_Base!K38+SABR_Shocks!$E$15*SABR_Shocks!K25</f>
        <v>0.576321</v>
      </c>
      <c r="L407" s="25" t="n">
        <f aca="false">SABR_Base!L38+SABR_Shocks!$E$15*SABR_Shocks!L25</f>
        <v>0.5581415</v>
      </c>
    </row>
    <row r="408" customFormat="false" ht="15" hidden="false" customHeight="true" outlineLevel="0" collapsed="false">
      <c r="B408" s="30" t="s">
        <v>60</v>
      </c>
      <c r="C408" s="25" t="n">
        <f aca="false">SABR_Base!C39+SABR_Shocks!$E$15*SABR_Shocks!C26</f>
        <v>0.7770005</v>
      </c>
      <c r="D408" s="25" t="n">
        <f aca="false">SABR_Base!D39+SABR_Shocks!$E$15*SABR_Shocks!D26</f>
        <v>0.7466925</v>
      </c>
      <c r="E408" s="25" t="n">
        <f aca="false">SABR_Base!E39+SABR_Shocks!$E$15*SABR_Shocks!E26</f>
        <v>0.716636</v>
      </c>
      <c r="F408" s="25" t="n">
        <f aca="false">SABR_Base!F39+SABR_Shocks!$E$15*SABR_Shocks!F26</f>
        <v>0.69213</v>
      </c>
      <c r="G408" s="25" t="n">
        <f aca="false">SABR_Base!G39+SABR_Shocks!$E$15*SABR_Shocks!G26</f>
        <v>0.665708</v>
      </c>
      <c r="H408" s="25" t="n">
        <f aca="false">SABR_Base!H39+SABR_Shocks!$E$15*SABR_Shocks!H26</f>
        <v>0.642444</v>
      </c>
      <c r="I408" s="25" t="n">
        <f aca="false">SABR_Base!I39+SABR_Shocks!$E$15*SABR_Shocks!I26</f>
        <v>0.6019825</v>
      </c>
      <c r="J408" s="25" t="n">
        <f aca="false">SABR_Base!J39+SABR_Shocks!$E$15*SABR_Shocks!J26</f>
        <v>0.5855725</v>
      </c>
      <c r="K408" s="25" t="n">
        <f aca="false">SABR_Base!K39+SABR_Shocks!$E$15*SABR_Shocks!K26</f>
        <v>0.5512875</v>
      </c>
      <c r="L408" s="25" t="n">
        <f aca="false">SABR_Base!L39+SABR_Shocks!$E$15*SABR_Shocks!L26</f>
        <v>0.525896</v>
      </c>
    </row>
    <row r="409" customFormat="false" ht="15" hidden="false" customHeight="true" outlineLevel="0" collapsed="false">
      <c r="B409" s="30" t="s">
        <v>61</v>
      </c>
      <c r="C409" s="25" t="n">
        <f aca="false">SABR_Base!C40+SABR_Shocks!$E$15*SABR_Shocks!C27</f>
        <v>0.751367</v>
      </c>
      <c r="D409" s="25" t="n">
        <f aca="false">SABR_Base!D40+SABR_Shocks!$E$15*SABR_Shocks!D27</f>
        <v>0.7193195</v>
      </c>
      <c r="E409" s="25" t="n">
        <f aca="false">SABR_Base!E40+SABR_Shocks!$E$15*SABR_Shocks!E27</f>
        <v>0.694963</v>
      </c>
      <c r="F409" s="25" t="n">
        <f aca="false">SABR_Base!F40+SABR_Shocks!$E$15*SABR_Shocks!F27</f>
        <v>0.6703965</v>
      </c>
      <c r="G409" s="25" t="n">
        <f aca="false">SABR_Base!G40+SABR_Shocks!$E$15*SABR_Shocks!G27</f>
        <v>0.646649</v>
      </c>
      <c r="H409" s="25" t="n">
        <f aca="false">SABR_Base!H40+SABR_Shocks!$E$15*SABR_Shocks!H27</f>
        <v>0.611197</v>
      </c>
      <c r="I409" s="25" t="n">
        <f aca="false">SABR_Base!I40+SABR_Shocks!$E$15*SABR_Shocks!I27</f>
        <v>0.5853885</v>
      </c>
      <c r="J409" s="25" t="n">
        <f aca="false">SABR_Base!J40+SABR_Shocks!$E$15*SABR_Shocks!J27</f>
        <v>0.5560665</v>
      </c>
      <c r="K409" s="25" t="n">
        <f aca="false">SABR_Base!K40+SABR_Shocks!$E$15*SABR_Shocks!K27</f>
        <v>0.5316125</v>
      </c>
      <c r="L409" s="25" t="n">
        <f aca="false">SABR_Base!L40+SABR_Shocks!$E$15*SABR_Shocks!L27</f>
        <v>0.5078765</v>
      </c>
    </row>
    <row r="410" customFormat="false" ht="15" hidden="false" customHeight="true" outlineLevel="0" collapsed="false">
      <c r="B410" s="30" t="s">
        <v>62</v>
      </c>
      <c r="C410" s="25" t="n">
        <f aca="false">SABR_Base!C41+SABR_Shocks!$E$15*SABR_Shocks!C28</f>
        <v>0.7175775</v>
      </c>
      <c r="D410" s="25" t="n">
        <f aca="false">SABR_Base!D41+SABR_Shocks!$E$15*SABR_Shocks!D28</f>
        <v>0.6919485</v>
      </c>
      <c r="E410" s="25" t="n">
        <f aca="false">SABR_Base!E41+SABR_Shocks!$E$15*SABR_Shocks!E28</f>
        <v>0.665499</v>
      </c>
      <c r="F410" s="25" t="n">
        <f aca="false">SABR_Base!F41+SABR_Shocks!$E$15*SABR_Shocks!F28</f>
        <v>0.648426</v>
      </c>
      <c r="G410" s="25" t="n">
        <f aca="false">SABR_Base!G41+SABR_Shocks!$E$15*SABR_Shocks!G28</f>
        <v>0.614157</v>
      </c>
      <c r="H410" s="25" t="n">
        <f aca="false">SABR_Base!H41+SABR_Shocks!$E$15*SABR_Shocks!H28</f>
        <v>0.5930495</v>
      </c>
      <c r="I410" s="25" t="n">
        <f aca="false">SABR_Base!I41+SABR_Shocks!$E$15*SABR_Shocks!I28</f>
        <v>0.5671205</v>
      </c>
      <c r="J410" s="25" t="n">
        <f aca="false">SABR_Base!J41+SABR_Shocks!$E$15*SABR_Shocks!J28</f>
        <v>0.525596</v>
      </c>
      <c r="K410" s="25" t="n">
        <f aca="false">SABR_Base!K41+SABR_Shocks!$E$15*SABR_Shocks!K28</f>
        <v>0.5038925</v>
      </c>
      <c r="L410" s="25" t="n">
        <f aca="false">SABR_Base!L41+SABR_Shocks!$E$15*SABR_Shocks!L28</f>
        <v>0.489125</v>
      </c>
    </row>
    <row r="411" customFormat="false" ht="15" hidden="false" customHeight="true" outlineLevel="0" collapsed="false">
      <c r="B411" s="30" t="s">
        <v>63</v>
      </c>
      <c r="C411" s="25" t="n">
        <f aca="false">SABR_Base!C42+SABR_Shocks!$E$15*SABR_Shocks!C29</f>
        <v>0.697567</v>
      </c>
      <c r="D411" s="25" t="n">
        <f aca="false">SABR_Base!D42+SABR_Shocks!$E$15*SABR_Shocks!D29</f>
        <v>0.659448</v>
      </c>
      <c r="E411" s="25" t="n">
        <f aca="false">SABR_Base!E42+SABR_Shocks!$E$15*SABR_Shocks!E29</f>
        <v>0.629779</v>
      </c>
      <c r="F411" s="25" t="n">
        <f aca="false">SABR_Base!F42+SABR_Shocks!$E$15*SABR_Shocks!F29</f>
        <v>0.610662</v>
      </c>
      <c r="G411" s="25" t="n">
        <f aca="false">SABR_Base!G42+SABR_Shocks!$E$15*SABR_Shocks!G29</f>
        <v>0.5748025</v>
      </c>
      <c r="H411" s="25" t="n">
        <f aca="false">SABR_Base!H42+SABR_Shocks!$E$15*SABR_Shocks!H29</f>
        <v>0.5529065</v>
      </c>
      <c r="I411" s="25" t="n">
        <f aca="false">SABR_Base!I42+SABR_Shocks!$E$15*SABR_Shocks!I29</f>
        <v>0.521796</v>
      </c>
      <c r="J411" s="25" t="n">
        <f aca="false">SABR_Base!J42+SABR_Shocks!$E$15*SABR_Shocks!J29</f>
        <v>0.505825</v>
      </c>
      <c r="K411" s="25" t="n">
        <f aca="false">SABR_Base!K42+SABR_Shocks!$E$15*SABR_Shocks!K29</f>
        <v>0.485925</v>
      </c>
      <c r="L411" s="25" t="n">
        <f aca="false">SABR_Base!L42+SABR_Shocks!$E$15*SABR_Shocks!L29</f>
        <v>0.465925</v>
      </c>
    </row>
  </sheetData>
  <mergeCells count="42">
    <mergeCell ref="B1:L1"/>
    <mergeCell ref="B2:L2"/>
    <mergeCell ref="B4:L4"/>
    <mergeCell ref="B5:L5"/>
    <mergeCell ref="B18:L18"/>
    <mergeCell ref="B31:L31"/>
    <mergeCell ref="B45:L45"/>
    <mergeCell ref="B46:L46"/>
    <mergeCell ref="B59:L59"/>
    <mergeCell ref="B72:L72"/>
    <mergeCell ref="B86:L86"/>
    <mergeCell ref="B87:L87"/>
    <mergeCell ref="B100:L100"/>
    <mergeCell ref="B113:L113"/>
    <mergeCell ref="B127:L127"/>
    <mergeCell ref="B128:L128"/>
    <mergeCell ref="B141:L141"/>
    <mergeCell ref="B154:L154"/>
    <mergeCell ref="B168:L168"/>
    <mergeCell ref="B169:L169"/>
    <mergeCell ref="B182:L182"/>
    <mergeCell ref="B195:L195"/>
    <mergeCell ref="B209:L209"/>
    <mergeCell ref="B210:L210"/>
    <mergeCell ref="B223:L223"/>
    <mergeCell ref="B236:L236"/>
    <mergeCell ref="B250:L250"/>
    <mergeCell ref="B251:L251"/>
    <mergeCell ref="B264:L264"/>
    <mergeCell ref="B277:L277"/>
    <mergeCell ref="B291:L291"/>
    <mergeCell ref="B292:L292"/>
    <mergeCell ref="B305:L305"/>
    <mergeCell ref="B318:L318"/>
    <mergeCell ref="B332:L332"/>
    <mergeCell ref="B333:L333"/>
    <mergeCell ref="B346:L346"/>
    <mergeCell ref="B359:L359"/>
    <mergeCell ref="B373:L373"/>
    <mergeCell ref="B374:L374"/>
    <mergeCell ref="B387:L387"/>
    <mergeCell ref="B400:L40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9" min="2" style="1" width="13"/>
  </cols>
  <sheetData>
    <row r="1" customFormat="false" ht="17.25" hidden="false" customHeight="true" outlineLevel="0" collapsed="false">
      <c r="A1" s="18" t="s">
        <v>137</v>
      </c>
      <c r="B1" s="18"/>
      <c r="C1" s="18"/>
      <c r="D1" s="18"/>
      <c r="E1" s="18"/>
      <c r="F1" s="18"/>
      <c r="G1" s="18"/>
      <c r="H1" s="18"/>
      <c r="I1" s="18"/>
    </row>
    <row r="2" customFormat="false" ht="42" hidden="false" customHeight="true" outlineLevel="0" collapsed="false">
      <c r="A2" s="22" t="s">
        <v>138</v>
      </c>
      <c r="B2" s="22"/>
      <c r="C2" s="22"/>
      <c r="D2" s="22"/>
      <c r="E2" s="22"/>
      <c r="F2" s="22"/>
      <c r="G2" s="22"/>
      <c r="H2" s="22"/>
      <c r="I2" s="22"/>
    </row>
    <row r="4" customFormat="false" ht="15" hidden="false" customHeight="true" outlineLevel="0" collapsed="false">
      <c r="A4" s="4" t="s">
        <v>26</v>
      </c>
      <c r="B4" s="35" t="n">
        <f aca="false">Trade_Info!B7</f>
        <v>10000000</v>
      </c>
    </row>
    <row r="6" customFormat="false" ht="15" hidden="false" customHeight="true" outlineLevel="0" collapsed="false">
      <c r="A6" s="4" t="s">
        <v>139</v>
      </c>
    </row>
    <row r="7" customFormat="false" ht="15" hidden="false" customHeight="true" outlineLevel="0" collapsed="false">
      <c r="A7" s="9" t="s">
        <v>140</v>
      </c>
      <c r="B7" s="36" t="n">
        <f aca="false">Base_Curves!E6</f>
        <v>0.957768</v>
      </c>
    </row>
    <row r="8" customFormat="false" ht="15" hidden="false" customHeight="true" outlineLevel="0" collapsed="false">
      <c r="A8" s="9" t="s">
        <v>141</v>
      </c>
      <c r="B8" s="36" t="n">
        <f aca="false">Base_Curves!E7</f>
        <v>0.96933</v>
      </c>
    </row>
    <row r="9" customFormat="false" ht="15" hidden="false" customHeight="true" outlineLevel="0" collapsed="false">
      <c r="A9" s="9" t="s">
        <v>142</v>
      </c>
      <c r="B9" s="36" t="n">
        <f aca="false">Base_Curves!E8</f>
        <v>0.958726</v>
      </c>
    </row>
    <row r="10" customFormat="false" ht="15" hidden="false" customHeight="true" outlineLevel="0" collapsed="false">
      <c r="A10" s="9" t="s">
        <v>143</v>
      </c>
      <c r="B10" s="36" t="n">
        <f aca="false">Base_Curves!E9</f>
        <v>0.954899</v>
      </c>
    </row>
    <row r="11" customFormat="false" ht="15" hidden="false" customHeight="true" outlineLevel="0" collapsed="false">
      <c r="A11" s="9" t="s">
        <v>144</v>
      </c>
      <c r="B11" s="36" t="n">
        <f aca="false">Base_Curves!E10</f>
        <v>0.967393</v>
      </c>
    </row>
    <row r="12" customFormat="false" ht="15" hidden="false" customHeight="true" outlineLevel="0" collapsed="false">
      <c r="A12" s="9" t="s">
        <v>145</v>
      </c>
      <c r="B12" s="36" t="n">
        <f aca="false">Base_Curves!E11</f>
        <v>0.960645</v>
      </c>
    </row>
    <row r="13" customFormat="false" ht="15" hidden="false" customHeight="true" outlineLevel="0" collapsed="false">
      <c r="A13" s="9" t="s">
        <v>146</v>
      </c>
      <c r="B13" s="36" t="n">
        <f aca="false">SABR_Base!J8</f>
        <v>0.3819</v>
      </c>
    </row>
    <row r="16" customFormat="false" ht="15" hidden="false" customHeight="true" outlineLevel="0" collapsed="false">
      <c r="A16" s="37" t="s">
        <v>147</v>
      </c>
      <c r="B16" s="37"/>
      <c r="C16" s="37"/>
      <c r="D16" s="37"/>
      <c r="E16" s="37"/>
      <c r="F16" s="37"/>
      <c r="G16" s="37"/>
      <c r="H16" s="37"/>
      <c r="I16" s="37"/>
    </row>
    <row r="17" customFormat="false" ht="26.25" hidden="false" customHeight="true" outlineLevel="0" collapsed="false">
      <c r="A17" s="38" t="s">
        <v>148</v>
      </c>
      <c r="B17" s="38" t="s">
        <v>149</v>
      </c>
      <c r="C17" s="38" t="s">
        <v>150</v>
      </c>
      <c r="D17" s="38" t="s">
        <v>151</v>
      </c>
      <c r="E17" s="38" t="s">
        <v>152</v>
      </c>
      <c r="F17" s="38" t="s">
        <v>153</v>
      </c>
      <c r="G17" s="38" t="s">
        <v>154</v>
      </c>
      <c r="H17" s="38" t="s">
        <v>155</v>
      </c>
      <c r="I17" s="38" t="s">
        <v>156</v>
      </c>
    </row>
    <row r="18" customFormat="false" ht="15" hidden="false" customHeight="true" outlineLevel="0" collapsed="false">
      <c r="A18" s="4" t="s">
        <v>157</v>
      </c>
      <c r="B18" s="29" t="n">
        <f aca="false">$B$7</f>
        <v>0.957768</v>
      </c>
      <c r="C18" s="29" t="n">
        <f aca="false">$B$8</f>
        <v>0.96933</v>
      </c>
      <c r="D18" s="29" t="n">
        <f aca="false">$B$13</f>
        <v>0.3819</v>
      </c>
      <c r="E18" s="29" t="n">
        <f aca="false">$B$9</f>
        <v>0.958726</v>
      </c>
      <c r="F18" s="29" t="n">
        <f aca="false">$B$10</f>
        <v>0.954899</v>
      </c>
      <c r="G18" s="29" t="n">
        <f aca="false">$B$11</f>
        <v>0.967393</v>
      </c>
      <c r="H18" s="29" t="n">
        <f aca="false">$B$12</f>
        <v>0.960645</v>
      </c>
      <c r="I18" s="39" t="n">
        <f aca="false">$B$4*B18*(C18/$B$8)*(1+0.5*(D18-$B$13))*(AVERAGE(E18,F18,G18)/B18)*(H18/$B$12)</f>
        <v>9603393.33333333</v>
      </c>
    </row>
    <row r="19" customFormat="false" ht="15" hidden="false" customHeight="true" outlineLevel="0" collapsed="false">
      <c r="A19" s="9" t="s">
        <v>77</v>
      </c>
      <c r="B19" s="24" t="n">
        <f aca="false">Shocked_Curves_DF!E5</f>
        <v>0.95645567308242</v>
      </c>
      <c r="C19" s="24" t="n">
        <f aca="false">Shocked_Curves_DF!E6</f>
        <v>0.968268575053369</v>
      </c>
      <c r="D19" s="40" t="n">
        <f aca="false">SABR_Shocked!J10</f>
        <v>0.3885726</v>
      </c>
      <c r="E19" s="24" t="n">
        <f aca="false">Shocked_Curves_DF!E7</f>
        <v>0.958061825595622</v>
      </c>
      <c r="F19" s="24" t="n">
        <f aca="false">Shocked_Curves_DF!E8</f>
        <v>0.949311346582243</v>
      </c>
      <c r="G19" s="24" t="n">
        <f aca="false">Shocked_Curves_DF!E9</f>
        <v>0.962297088758501</v>
      </c>
      <c r="H19" s="24" t="n">
        <f aca="false">Shocked_Curves_DF!E10</f>
        <v>0.958550489609229</v>
      </c>
      <c r="I19" s="39" t="n">
        <f aca="false">$B$4*B19*(C19/$B$8)*(1+0.5*(D19-$B$13))*(AVERAGE(E19,F19,G19)/B19)*(H19/$B$12)</f>
        <v>9566069.1771732</v>
      </c>
    </row>
    <row r="20" customFormat="false" ht="15" hidden="false" customHeight="true" outlineLevel="0" collapsed="false">
      <c r="A20" s="9" t="s">
        <v>78</v>
      </c>
      <c r="B20" s="24" t="n">
        <f aca="false">Shocked_Curves_DF!E13</f>
        <v>0.953984470417811</v>
      </c>
      <c r="C20" s="24" t="n">
        <f aca="false">Shocked_Curves_DF!E14</f>
        <v>0.968938897143004</v>
      </c>
      <c r="D20" s="40" t="n">
        <f aca="false">SABR_Shocked!J51</f>
        <v>0.390325</v>
      </c>
      <c r="E20" s="24" t="n">
        <f aca="false">Shocked_Curves_DF!E15</f>
        <v>0.954588922832977</v>
      </c>
      <c r="F20" s="24" t="n">
        <f aca="false">Shocked_Curves_DF!E16</f>
        <v>0.952091864437955</v>
      </c>
      <c r="G20" s="24" t="n">
        <f aca="false">Shocked_Curves_DF!E17</f>
        <v>0.964955584066973</v>
      </c>
      <c r="H20" s="24" t="n">
        <f aca="false">Shocked_Curves_DF!E18</f>
        <v>0.957836117465444</v>
      </c>
      <c r="I20" s="39" t="n">
        <f aca="false">$B$4*B20*(C20/$B$8)*(1+0.5*(D20-$B$13))*(AVERAGE(E20,F20,G20)/B20)*(H20/$B$12)</f>
        <v>9580470.38293553</v>
      </c>
    </row>
    <row r="21" customFormat="false" ht="15" hidden="false" customHeight="true" outlineLevel="0" collapsed="false">
      <c r="A21" s="9" t="s">
        <v>79</v>
      </c>
      <c r="B21" s="24" t="n">
        <f aca="false">Shocked_Curves_DF!E21</f>
        <v>0.953428257833193</v>
      </c>
      <c r="C21" s="24" t="n">
        <f aca="false">Shocked_Curves_DF!E22</f>
        <v>0.967699452636081</v>
      </c>
      <c r="D21" s="40" t="n">
        <f aca="false">SABR_Shocked!J92</f>
        <v>0.389988</v>
      </c>
      <c r="E21" s="24" t="n">
        <f aca="false">Shocked_Curves_DF!E23</f>
        <v>0.954008957495664</v>
      </c>
      <c r="F21" s="24" t="n">
        <f aca="false">Shocked_Curves_DF!E24</f>
        <v>0.953612707835657</v>
      </c>
      <c r="G21" s="24" t="n">
        <f aca="false">Shocked_Curves_DF!E25</f>
        <v>0.961223663488055</v>
      </c>
      <c r="H21" s="24" t="n">
        <f aca="false">Shocked_Curves_DF!E26</f>
        <v>0.95758460198965</v>
      </c>
      <c r="I21" s="39" t="n">
        <f aca="false">$B$4*B21*(C21/$B$8)*(1+0.5*(D21-$B$13))*(AVERAGE(E21,F21,G21)/B21)*(H21/$B$12)</f>
        <v>9554802.03713941</v>
      </c>
    </row>
    <row r="22" customFormat="false" ht="15" hidden="false" customHeight="true" outlineLevel="0" collapsed="false">
      <c r="A22" s="9" t="s">
        <v>80</v>
      </c>
      <c r="B22" s="24" t="n">
        <f aca="false">Shocked_Curves_DF!E29</f>
        <v>0.953041785744194</v>
      </c>
      <c r="C22" s="24" t="n">
        <f aca="false">Shocked_Curves_DF!E30</f>
        <v>0.965269080950153</v>
      </c>
      <c r="D22" s="40" t="n">
        <f aca="false">SABR_Shocked!J133</f>
        <v>0.395717</v>
      </c>
      <c r="E22" s="24" t="n">
        <f aca="false">Shocked_Curves_DF!E31</f>
        <v>0.95320762385314</v>
      </c>
      <c r="F22" s="24" t="n">
        <f aca="false">Shocked_Curves_DF!E32</f>
        <v>0.946234479809646</v>
      </c>
      <c r="G22" s="24" t="n">
        <f aca="false">Shocked_Curves_DF!E33</f>
        <v>0.960336700770215</v>
      </c>
      <c r="H22" s="24" t="n">
        <f aca="false">Shocked_Curves_DF!E34</f>
        <v>0.962263559855125</v>
      </c>
      <c r="I22" s="39" t="n">
        <f aca="false">$B$4*B22*(C22/$B$8)*(1+0.5*(D22-$B$13))*(AVERAGE(E22,F22,G22)/B22)*(H22/$B$12)</f>
        <v>9574344.49230359</v>
      </c>
    </row>
    <row r="23" customFormat="false" ht="15" hidden="false" customHeight="true" outlineLevel="0" collapsed="false">
      <c r="A23" s="9" t="s">
        <v>81</v>
      </c>
      <c r="B23" s="24" t="n">
        <f aca="false">Shocked_Curves_DF!E37</f>
        <v>0.955487984146696</v>
      </c>
      <c r="C23" s="24" t="n">
        <f aca="false">Shocked_Curves_DF!E38</f>
        <v>0.964836228667716</v>
      </c>
      <c r="D23" s="40" t="n">
        <f aca="false">SABR_Shocked!J174</f>
        <v>0.3926166</v>
      </c>
      <c r="E23" s="24" t="n">
        <f aca="false">Shocked_Curves_DF!E39</f>
        <v>0.9563957060858</v>
      </c>
      <c r="F23" s="24" t="n">
        <f aca="false">Shocked_Curves_DF!E40</f>
        <v>0.945344255389449</v>
      </c>
      <c r="G23" s="24" t="n">
        <f aca="false">Shocked_Curves_DF!E41</f>
        <v>0.960043506585016</v>
      </c>
      <c r="H23" s="24" t="n">
        <f aca="false">Shocked_Curves_DF!E42</f>
        <v>0.956804885239764</v>
      </c>
      <c r="I23" s="39" t="n">
        <f aca="false">$B$4*B23*(C23/$B$8)*(1+0.5*(D23-$B$13))*(AVERAGE(E23,F23,G23)/B23)*(H23/$B$12)</f>
        <v>9507772.67201276</v>
      </c>
    </row>
    <row r="24" customFormat="false" ht="15" hidden="false" customHeight="true" outlineLevel="0" collapsed="false">
      <c r="A24" s="9" t="s">
        <v>82</v>
      </c>
      <c r="B24" s="24" t="n">
        <f aca="false">Shocked_Curves_DF!E45</f>
        <v>0.954991103789659</v>
      </c>
      <c r="C24" s="24" t="n">
        <f aca="false">Shocked_Curves_DF!E46</f>
        <v>0.96434631914572</v>
      </c>
      <c r="D24" s="40" t="n">
        <f aca="false">SABR_Shocked!J215</f>
        <v>0.3938972</v>
      </c>
      <c r="E24" s="24" t="n">
        <f aca="false">Shocked_Curves_DF!E47</f>
        <v>0.952137896569466</v>
      </c>
      <c r="F24" s="24" t="n">
        <f aca="false">Shocked_Curves_DF!E48</f>
        <v>0.944482088523894</v>
      </c>
      <c r="G24" s="24" t="n">
        <f aca="false">Shocked_Curves_DF!E49</f>
        <v>0.958612050918359</v>
      </c>
      <c r="H24" s="24" t="n">
        <f aca="false">Shocked_Curves_DF!E50</f>
        <v>0.958736934866277</v>
      </c>
      <c r="I24" s="39" t="n">
        <f aca="false">$B$4*B24*(C24/$B$8)*(1+0.5*(D24-$B$13))*(AVERAGE(E24,F24,G24)/B24)*(H24/$B$12)</f>
        <v>9506385.78157298</v>
      </c>
    </row>
    <row r="25" customFormat="false" ht="15" hidden="false" customHeight="true" outlineLevel="0" collapsed="false">
      <c r="A25" s="9" t="s">
        <v>83</v>
      </c>
      <c r="B25" s="24" t="n">
        <f aca="false">Shocked_Curves_DF!E53</f>
        <v>0.954631571739291</v>
      </c>
      <c r="C25" s="24" t="n">
        <f aca="false">Shocked_Curves_DF!E54</f>
        <v>0.963898937861947</v>
      </c>
      <c r="D25" s="40" t="n">
        <f aca="false">SABR_Shocked!J256</f>
        <v>0.3996262</v>
      </c>
      <c r="E25" s="24" t="n">
        <f aca="false">Shocked_Curves_DF!E55</f>
        <v>0.951644904713199</v>
      </c>
      <c r="F25" s="24" t="n">
        <f aca="false">Shocked_Curves_DF!E56</f>
        <v>0.950115469489328</v>
      </c>
      <c r="G25" s="24" t="n">
        <f aca="false">Shocked_Curves_DF!E57</f>
        <v>0.957808375985025</v>
      </c>
      <c r="H25" s="24" t="n">
        <f aca="false">Shocked_Curves_DF!E58</f>
        <v>0.956260628257328</v>
      </c>
      <c r="I25" s="39" t="n">
        <f aca="false">$B$4*B25*(C25/$B$8)*(1+0.5*(D25-$B$13))*(AVERAGE(E25,F25,G25)/B25)*(H25/$B$12)</f>
        <v>9518855.22254989</v>
      </c>
    </row>
    <row r="26" customFormat="false" ht="15" hidden="false" customHeight="true" outlineLevel="0" collapsed="false">
      <c r="A26" s="9" t="s">
        <v>84</v>
      </c>
      <c r="B26" s="24" t="n">
        <f aca="false">Shocked_Curves_DF!E61</f>
        <v>0.950859692250137</v>
      </c>
      <c r="C26" s="24" t="n">
        <f aca="false">Shocked_Curves_DF!E62</f>
        <v>0.972017712190285</v>
      </c>
      <c r="D26" s="40" t="n">
        <f aca="false">SABR_Shocked!J297</f>
        <v>0.3969976</v>
      </c>
      <c r="E26" s="24" t="n">
        <f aca="false">Shocked_Curves_DF!E63</f>
        <v>0.950824572103433</v>
      </c>
      <c r="F26" s="24" t="n">
        <f aca="false">Shocked_Curves_DF!E64</f>
        <v>0.942346869047631</v>
      </c>
      <c r="G26" s="24" t="n">
        <f aca="false">Shocked_Curves_DF!E65</f>
        <v>0.957056963924134</v>
      </c>
      <c r="H26" s="24" t="n">
        <f aca="false">Shocked_Curves_DF!E66</f>
        <v>0.960229712665626</v>
      </c>
      <c r="I26" s="39" t="n">
        <f aca="false">$B$4*B26*(C26/$B$8)*(1+0.5*(D26-$B$13))*(AVERAGE(E26,F26,G26)/B26)*(H26/$B$12)</f>
        <v>9594873.1548413</v>
      </c>
    </row>
    <row r="27" customFormat="false" ht="15" hidden="false" customHeight="true" outlineLevel="0" collapsed="false">
      <c r="A27" s="9" t="s">
        <v>85</v>
      </c>
      <c r="B27" s="24" t="n">
        <f aca="false">Shocked_Curves_DF!E69</f>
        <v>0.950629998326299</v>
      </c>
      <c r="C27" s="24" t="n">
        <f aca="false">Shocked_Curves_DF!E70</f>
        <v>0.963171513076289</v>
      </c>
      <c r="D27" s="40" t="n">
        <f aca="false">SABR_Shocked!J338</f>
        <v>0.399761</v>
      </c>
      <c r="E27" s="24" t="n">
        <f aca="false">Shocked_Curves_DF!E71</f>
        <v>0.950069418905633</v>
      </c>
      <c r="F27" s="24" t="n">
        <f aca="false">Shocked_Curves_DF!E72</f>
        <v>0.941085187512815</v>
      </c>
      <c r="G27" s="24" t="n">
        <f aca="false">Shocked_Curves_DF!E73</f>
        <v>0.956168103382636</v>
      </c>
      <c r="H27" s="24" t="n">
        <f aca="false">Shocked_Curves_DF!E74</f>
        <v>0.955591148630945</v>
      </c>
      <c r="I27" s="39" t="n">
        <f aca="false">$B$4*B27*(C27/$B$8)*(1+0.5*(D27-$B$13))*(AVERAGE(E27,F27,G27)/B27)*(H27/$B$12)</f>
        <v>9464939.78234062</v>
      </c>
    </row>
    <row r="28" customFormat="false" ht="15" hidden="false" customHeight="true" outlineLevel="0" collapsed="false">
      <c r="A28" s="9" t="s">
        <v>86</v>
      </c>
      <c r="B28" s="24" t="n">
        <f aca="false">Shocked_Curves_DF!E77</f>
        <v>0.949924622570429</v>
      </c>
      <c r="C28" s="24" t="n">
        <f aca="false">Shocked_Curves_DF!E78</f>
        <v>0.972647724846082</v>
      </c>
      <c r="D28" s="40" t="n">
        <f aca="false">SABR_Shocked!J379</f>
        <v>0.4031984</v>
      </c>
      <c r="E28" s="24" t="n">
        <f aca="false">Shocked_Curves_DF!E79</f>
        <v>0.957237796944819</v>
      </c>
      <c r="F28" s="24" t="n">
        <f aca="false">Shocked_Curves_DF!E80</f>
        <v>0.94825631913984</v>
      </c>
      <c r="G28" s="24" t="n">
        <f aca="false">Shocked_Curves_DF!E81</f>
        <v>0.966039723186702</v>
      </c>
      <c r="H28" s="24" t="n">
        <f aca="false">Shocked_Curves_DF!E82</f>
        <v>0.955213344747142</v>
      </c>
      <c r="I28" s="39" t="n">
        <f aca="false">$B$4*B28*(C28/$B$8)*(1+0.5*(D28-$B$13))*(AVERAGE(E28,F28,G28)/B28)*(H28/$B$12)</f>
        <v>9651937.38983952</v>
      </c>
    </row>
    <row r="31" customFormat="false" ht="15" hidden="false" customHeight="true" outlineLevel="0" collapsed="false">
      <c r="A31" s="41" t="s">
        <v>158</v>
      </c>
      <c r="B31" s="41"/>
      <c r="C31" s="41"/>
      <c r="D31" s="41"/>
      <c r="E31" s="41"/>
      <c r="F31" s="41"/>
      <c r="G31" s="41"/>
      <c r="H31" s="41"/>
      <c r="I31" s="41"/>
    </row>
    <row r="32" customFormat="false" ht="26.25" hidden="false" customHeight="true" outlineLevel="0" collapsed="false">
      <c r="A32" s="38" t="s">
        <v>148</v>
      </c>
      <c r="B32" s="38" t="s">
        <v>149</v>
      </c>
      <c r="C32" s="38" t="s">
        <v>150</v>
      </c>
      <c r="D32" s="38" t="s">
        <v>151</v>
      </c>
      <c r="E32" s="38" t="s">
        <v>152</v>
      </c>
      <c r="F32" s="38" t="s">
        <v>153</v>
      </c>
      <c r="G32" s="38" t="s">
        <v>154</v>
      </c>
      <c r="H32" s="38" t="s">
        <v>155</v>
      </c>
      <c r="I32" s="38" t="s">
        <v>156</v>
      </c>
    </row>
    <row r="33" customFormat="false" ht="15" hidden="false" customHeight="true" outlineLevel="0" collapsed="false">
      <c r="A33" s="4" t="s">
        <v>157</v>
      </c>
      <c r="B33" s="29" t="n">
        <f aca="false">$B$7</f>
        <v>0.957768</v>
      </c>
      <c r="C33" s="29" t="n">
        <f aca="false">$B$8</f>
        <v>0.96933</v>
      </c>
      <c r="D33" s="29" t="n">
        <f aca="false">$B$13</f>
        <v>0.3819</v>
      </c>
      <c r="E33" s="29" t="n">
        <f aca="false">$B$9</f>
        <v>0.958726</v>
      </c>
      <c r="F33" s="29" t="n">
        <f aca="false">$B$10</f>
        <v>0.954899</v>
      </c>
      <c r="G33" s="29" t="n">
        <f aca="false">$B$11</f>
        <v>0.967393</v>
      </c>
      <c r="H33" s="29" t="n">
        <f aca="false">$B$12</f>
        <v>0.960645</v>
      </c>
      <c r="I33" s="39" t="n">
        <f aca="false">$B$4*B33*(C33/$B$8)*(1+0.5*(D33-$B$13))*(AVERAGE(E33,F33,G33)/B33)*(H33/$B$12)</f>
        <v>9603393.33333333</v>
      </c>
    </row>
    <row r="34" customFormat="false" ht="15" hidden="false" customHeight="true" outlineLevel="0" collapsed="false">
      <c r="A34" s="9" t="s">
        <v>77</v>
      </c>
      <c r="B34" s="24" t="n">
        <f aca="false">Shocked_Curves_DF!E5</f>
        <v>0.95645567308242</v>
      </c>
      <c r="C34" s="24" t="n">
        <f aca="false">Shocked_Curves_DF!E6</f>
        <v>0.968268575053369</v>
      </c>
      <c r="D34" s="40" t="n">
        <f aca="false">SABR_Shocked!J10</f>
        <v>0.3885726</v>
      </c>
      <c r="E34" s="29" t="n">
        <f aca="false">$B$9</f>
        <v>0.958726</v>
      </c>
      <c r="F34" s="29" t="n">
        <f aca="false">$B$10</f>
        <v>0.954899</v>
      </c>
      <c r="G34" s="29" t="n">
        <f aca="false">$B$11</f>
        <v>0.967393</v>
      </c>
      <c r="H34" s="29" t="n">
        <f aca="false">$B$12</f>
        <v>0.960645</v>
      </c>
      <c r="I34" s="39" t="n">
        <f aca="false">$B$4*B34*(C34/$B$8)*(1+0.5*(D34-$B$13))*(AVERAGE(E34,F34,G34)/B34)*(H34/$B$12)</f>
        <v>9624882.24977593</v>
      </c>
    </row>
    <row r="35" customFormat="false" ht="15" hidden="false" customHeight="true" outlineLevel="0" collapsed="false">
      <c r="A35" s="9" t="s">
        <v>78</v>
      </c>
      <c r="B35" s="24" t="n">
        <f aca="false">Shocked_Curves_DF!E13</f>
        <v>0.953984470417811</v>
      </c>
      <c r="C35" s="24" t="n">
        <f aca="false">Shocked_Curves_DF!E14</f>
        <v>0.968938897143004</v>
      </c>
      <c r="D35" s="40" t="n">
        <f aca="false">SABR_Shocked!J51</f>
        <v>0.390325</v>
      </c>
      <c r="E35" s="29" t="n">
        <f aca="false">$B$9</f>
        <v>0.958726</v>
      </c>
      <c r="F35" s="29" t="n">
        <f aca="false">$B$10</f>
        <v>0.954899</v>
      </c>
      <c r="G35" s="29" t="n">
        <f aca="false">$B$11</f>
        <v>0.967393</v>
      </c>
      <c r="H35" s="29" t="n">
        <f aca="false">$B$12</f>
        <v>0.960645</v>
      </c>
      <c r="I35" s="39" t="n">
        <f aca="false">$B$4*B35*(C35/$B$8)*(1+0.5*(D35-$B$13))*(AVERAGE(E35,F35,G35)/B35)*(H35/$B$12)</f>
        <v>9639956.55210018</v>
      </c>
    </row>
    <row r="36" customFormat="false" ht="15" hidden="false" customHeight="true" outlineLevel="0" collapsed="false">
      <c r="A36" s="9" t="s">
        <v>79</v>
      </c>
      <c r="B36" s="24" t="n">
        <f aca="false">Shocked_Curves_DF!E21</f>
        <v>0.953428257833193</v>
      </c>
      <c r="C36" s="24" t="n">
        <f aca="false">Shocked_Curves_DF!E22</f>
        <v>0.967699452636081</v>
      </c>
      <c r="D36" s="40" t="n">
        <f aca="false">SABR_Shocked!J92</f>
        <v>0.389988</v>
      </c>
      <c r="E36" s="29" t="n">
        <f aca="false">$B$9</f>
        <v>0.958726</v>
      </c>
      <c r="F36" s="29" t="n">
        <f aca="false">$B$10</f>
        <v>0.954899</v>
      </c>
      <c r="G36" s="29" t="n">
        <f aca="false">$B$11</f>
        <v>0.967393</v>
      </c>
      <c r="H36" s="29" t="n">
        <f aca="false">$B$12</f>
        <v>0.960645</v>
      </c>
      <c r="I36" s="39" t="n">
        <f aca="false">$B$4*B36*(C36/$B$8)*(1+0.5*(D36-$B$13))*(AVERAGE(E36,F36,G36)/B36)*(H36/$B$12)</f>
        <v>9626009.89006518</v>
      </c>
    </row>
    <row r="37" customFormat="false" ht="15" hidden="false" customHeight="true" outlineLevel="0" collapsed="false">
      <c r="A37" s="9" t="s">
        <v>80</v>
      </c>
      <c r="B37" s="24" t="n">
        <f aca="false">Shocked_Curves_DF!E29</f>
        <v>0.953041785744194</v>
      </c>
      <c r="C37" s="24" t="n">
        <f aca="false">Shocked_Curves_DF!E30</f>
        <v>0.965269080950153</v>
      </c>
      <c r="D37" s="40" t="n">
        <f aca="false">SABR_Shocked!J133</f>
        <v>0.395717</v>
      </c>
      <c r="E37" s="29" t="n">
        <f aca="false">$B$9</f>
        <v>0.958726</v>
      </c>
      <c r="F37" s="29" t="n">
        <f aca="false">$B$10</f>
        <v>0.954899</v>
      </c>
      <c r="G37" s="29" t="n">
        <f aca="false">$B$11</f>
        <v>0.967393</v>
      </c>
      <c r="H37" s="29" t="n">
        <f aca="false">$B$12</f>
        <v>0.960645</v>
      </c>
      <c r="I37" s="39" t="n">
        <f aca="false">$B$4*B37*(C37/$B$8)*(1+0.5*(D37-$B$13))*(AVERAGE(E37,F37,G37)/B37)*(H37/$B$12)</f>
        <v>9629227.89493823</v>
      </c>
    </row>
    <row r="38" customFormat="false" ht="15" hidden="false" customHeight="true" outlineLevel="0" collapsed="false">
      <c r="A38" s="9" t="s">
        <v>81</v>
      </c>
      <c r="B38" s="24" t="n">
        <f aca="false">Shocked_Curves_DF!E37</f>
        <v>0.955487984146696</v>
      </c>
      <c r="C38" s="24" t="n">
        <f aca="false">Shocked_Curves_DF!E38</f>
        <v>0.964836228667716</v>
      </c>
      <c r="D38" s="40" t="n">
        <f aca="false">SABR_Shocked!J174</f>
        <v>0.3926166</v>
      </c>
      <c r="E38" s="29" t="n">
        <f aca="false">$B$9</f>
        <v>0.958726</v>
      </c>
      <c r="F38" s="29" t="n">
        <f aca="false">$B$10</f>
        <v>0.954899</v>
      </c>
      <c r="G38" s="29" t="n">
        <f aca="false">$B$11</f>
        <v>0.967393</v>
      </c>
      <c r="H38" s="29" t="n">
        <f aca="false">$B$12</f>
        <v>0.960645</v>
      </c>
      <c r="I38" s="39" t="n">
        <f aca="false">$B$4*B38*(C38/$B$8)*(1+0.5*(D38-$B$13))*(AVERAGE(E38,F38,G38)/B38)*(H38/$B$12)</f>
        <v>9610091.72947695</v>
      </c>
    </row>
    <row r="39" customFormat="false" ht="15" hidden="false" customHeight="true" outlineLevel="0" collapsed="false">
      <c r="A39" s="9" t="s">
        <v>82</v>
      </c>
      <c r="B39" s="24" t="n">
        <f aca="false">Shocked_Curves_DF!E45</f>
        <v>0.954991103789659</v>
      </c>
      <c r="C39" s="24" t="n">
        <f aca="false">Shocked_Curves_DF!E46</f>
        <v>0.96434631914572</v>
      </c>
      <c r="D39" s="40" t="n">
        <f aca="false">SABR_Shocked!J215</f>
        <v>0.3938972</v>
      </c>
      <c r="E39" s="29" t="n">
        <f aca="false">$B$9</f>
        <v>0.958726</v>
      </c>
      <c r="F39" s="29" t="n">
        <f aca="false">$B$10</f>
        <v>0.954899</v>
      </c>
      <c r="G39" s="29" t="n">
        <f aca="false">$B$11</f>
        <v>0.967393</v>
      </c>
      <c r="H39" s="29" t="n">
        <f aca="false">$B$12</f>
        <v>0.960645</v>
      </c>
      <c r="I39" s="39" t="n">
        <f aca="false">$B$4*B39*(C39/$B$8)*(1+0.5*(D39-$B$13))*(AVERAGE(E39,F39,G39)/B39)*(H39/$B$12)</f>
        <v>9611329.50490192</v>
      </c>
    </row>
    <row r="40" customFormat="false" ht="15" hidden="false" customHeight="true" outlineLevel="0" collapsed="false">
      <c r="A40" s="9" t="s">
        <v>83</v>
      </c>
      <c r="B40" s="24" t="n">
        <f aca="false">Shocked_Curves_DF!E53</f>
        <v>0.954631571739291</v>
      </c>
      <c r="C40" s="24" t="n">
        <f aca="false">Shocked_Curves_DF!E54</f>
        <v>0.963898937861947</v>
      </c>
      <c r="D40" s="40" t="n">
        <f aca="false">SABR_Shocked!J256</f>
        <v>0.3996262</v>
      </c>
      <c r="E40" s="29" t="n">
        <f aca="false">$B$9</f>
        <v>0.958726</v>
      </c>
      <c r="F40" s="29" t="n">
        <f aca="false">$B$10</f>
        <v>0.954899</v>
      </c>
      <c r="G40" s="29" t="n">
        <f aca="false">$B$11</f>
        <v>0.967393</v>
      </c>
      <c r="H40" s="29" t="n">
        <f aca="false">$B$12</f>
        <v>0.960645</v>
      </c>
      <c r="I40" s="39" t="n">
        <f aca="false">$B$4*B40*(C40/$B$8)*(1+0.5*(D40-$B$13))*(AVERAGE(E40,F40,G40)/B40)*(H40/$B$12)</f>
        <v>9634225.38996891</v>
      </c>
    </row>
    <row r="41" customFormat="false" ht="15" hidden="false" customHeight="true" outlineLevel="0" collapsed="false">
      <c r="A41" s="9" t="s">
        <v>84</v>
      </c>
      <c r="B41" s="24" t="n">
        <f aca="false">Shocked_Curves_DF!E61</f>
        <v>0.950859692250137</v>
      </c>
      <c r="C41" s="24" t="n">
        <f aca="false">Shocked_Curves_DF!E62</f>
        <v>0.972017712190285</v>
      </c>
      <c r="D41" s="40" t="n">
        <f aca="false">SABR_Shocked!J297</f>
        <v>0.3969976</v>
      </c>
      <c r="E41" s="29" t="n">
        <f aca="false">$B$9</f>
        <v>0.958726</v>
      </c>
      <c r="F41" s="29" t="n">
        <f aca="false">$B$10</f>
        <v>0.954899</v>
      </c>
      <c r="G41" s="29" t="n">
        <f aca="false">$B$11</f>
        <v>0.967393</v>
      </c>
      <c r="H41" s="29" t="n">
        <f aca="false">$B$12</f>
        <v>0.960645</v>
      </c>
      <c r="I41" s="39" t="n">
        <f aca="false">$B$4*B41*(C41/$B$8)*(1+0.5*(D41-$B$13))*(AVERAGE(E41,F41,G41)/B41)*(H41/$B$12)</f>
        <v>9702716.2700807</v>
      </c>
    </row>
    <row r="42" customFormat="false" ht="15" hidden="false" customHeight="true" outlineLevel="0" collapsed="false">
      <c r="A42" s="9" t="s">
        <v>85</v>
      </c>
      <c r="B42" s="24" t="n">
        <f aca="false">Shocked_Curves_DF!E69</f>
        <v>0.950629998326299</v>
      </c>
      <c r="C42" s="24" t="n">
        <f aca="false">Shocked_Curves_DF!E70</f>
        <v>0.963171513076289</v>
      </c>
      <c r="D42" s="40" t="n">
        <f aca="false">SABR_Shocked!J338</f>
        <v>0.399761</v>
      </c>
      <c r="E42" s="29" t="n">
        <f aca="false">$B$9</f>
        <v>0.958726</v>
      </c>
      <c r="F42" s="29" t="n">
        <f aca="false">$B$10</f>
        <v>0.954899</v>
      </c>
      <c r="G42" s="29" t="n">
        <f aca="false">$B$11</f>
        <v>0.967393</v>
      </c>
      <c r="H42" s="29" t="n">
        <f aca="false">$B$12</f>
        <v>0.960645</v>
      </c>
      <c r="I42" s="39" t="n">
        <f aca="false">$B$4*B42*(C42/$B$8)*(1+0.5*(D42-$B$13))*(AVERAGE(E42,F42,G42)/B42)*(H42/$B$12)</f>
        <v>9627597.89373746</v>
      </c>
    </row>
    <row r="43" customFormat="false" ht="15" hidden="false" customHeight="true" outlineLevel="0" collapsed="false">
      <c r="A43" s="9" t="s">
        <v>86</v>
      </c>
      <c r="B43" s="24" t="n">
        <f aca="false">Shocked_Curves_DF!E77</f>
        <v>0.949924622570429</v>
      </c>
      <c r="C43" s="24" t="n">
        <f aca="false">Shocked_Curves_DF!E78</f>
        <v>0.972647724846082</v>
      </c>
      <c r="D43" s="40" t="n">
        <f aca="false">SABR_Shocked!J379</f>
        <v>0.4031984</v>
      </c>
      <c r="E43" s="29" t="n">
        <f aca="false">$B$9</f>
        <v>0.958726</v>
      </c>
      <c r="F43" s="29" t="n">
        <f aca="false">$B$10</f>
        <v>0.954899</v>
      </c>
      <c r="G43" s="29" t="n">
        <f aca="false">$B$11</f>
        <v>0.967393</v>
      </c>
      <c r="H43" s="29" t="n">
        <f aca="false">$B$12</f>
        <v>0.960645</v>
      </c>
      <c r="I43" s="39" t="n">
        <f aca="false">$B$4*B43*(C43/$B$8)*(1+0.5*(D43-$B$13))*(AVERAGE(E43,F43,G43)/B43)*(H43/$B$12)</f>
        <v>9738881.34876476</v>
      </c>
    </row>
    <row r="46" customFormat="false" ht="15" hidden="false" customHeight="true" outlineLevel="0" collapsed="false">
      <c r="A46" s="42" t="s">
        <v>159</v>
      </c>
      <c r="B46" s="42"/>
      <c r="C46" s="42"/>
      <c r="D46" s="42"/>
      <c r="E46" s="42"/>
      <c r="F46" s="42"/>
      <c r="G46" s="42"/>
      <c r="H46" s="42"/>
      <c r="I46" s="42"/>
    </row>
    <row r="47" customFormat="false" ht="26.25" hidden="false" customHeight="true" outlineLevel="0" collapsed="false">
      <c r="A47" s="38" t="s">
        <v>148</v>
      </c>
      <c r="B47" s="38" t="s">
        <v>149</v>
      </c>
      <c r="C47" s="38" t="s">
        <v>150</v>
      </c>
      <c r="D47" s="38" t="s">
        <v>151</v>
      </c>
      <c r="E47" s="38" t="s">
        <v>152</v>
      </c>
      <c r="F47" s="38" t="s">
        <v>153</v>
      </c>
      <c r="G47" s="38" t="s">
        <v>154</v>
      </c>
      <c r="H47" s="38" t="s">
        <v>155</v>
      </c>
      <c r="I47" s="38" t="s">
        <v>156</v>
      </c>
    </row>
    <row r="48" customFormat="false" ht="15" hidden="false" customHeight="true" outlineLevel="0" collapsed="false">
      <c r="A48" s="4" t="s">
        <v>157</v>
      </c>
      <c r="B48" s="29" t="n">
        <f aca="false">$B$7</f>
        <v>0.957768</v>
      </c>
      <c r="C48" s="29" t="n">
        <f aca="false">$B$8</f>
        <v>0.96933</v>
      </c>
      <c r="D48" s="29" t="n">
        <f aca="false">$B$13</f>
        <v>0.3819</v>
      </c>
      <c r="E48" s="29" t="n">
        <f aca="false">$B$9</f>
        <v>0.958726</v>
      </c>
      <c r="F48" s="29" t="n">
        <f aca="false">$B$10</f>
        <v>0.954899</v>
      </c>
      <c r="G48" s="29" t="n">
        <f aca="false">$B$11</f>
        <v>0.967393</v>
      </c>
      <c r="H48" s="29" t="n">
        <f aca="false">$B$12</f>
        <v>0.960645</v>
      </c>
      <c r="I48" s="39" t="n">
        <f aca="false">$B$4*B48*(C48/$B$8)*(1+0.5*(D48-$B$13))*(AVERAGE(E48,F48,G48)/B48)*(H48/$B$12)</f>
        <v>9603393.33333333</v>
      </c>
    </row>
    <row r="49" customFormat="false" ht="15" hidden="false" customHeight="true" outlineLevel="0" collapsed="false">
      <c r="A49" s="9" t="s">
        <v>77</v>
      </c>
      <c r="B49" s="29" t="n">
        <f aca="false">$B$7</f>
        <v>0.957768</v>
      </c>
      <c r="C49" s="29" t="n">
        <f aca="false">$B$8</f>
        <v>0.96933</v>
      </c>
      <c r="D49" s="25" t="n">
        <f aca="false">$B$13</f>
        <v>0.3819</v>
      </c>
      <c r="E49" s="24" t="n">
        <f aca="false">Shocked_Curves_DF!E7</f>
        <v>0.958061825595622</v>
      </c>
      <c r="F49" s="24" t="n">
        <f aca="false">Shocked_Curves_DF!E8</f>
        <v>0.949311346582243</v>
      </c>
      <c r="G49" s="24" t="n">
        <f aca="false">Shocked_Curves_DF!E9</f>
        <v>0.962297088758501</v>
      </c>
      <c r="H49" s="29" t="n">
        <f aca="false">$B$12</f>
        <v>0.960645</v>
      </c>
      <c r="I49" s="39" t="n">
        <f aca="false">$B$4*B49*(C49/$B$8)*(1+0.5*(D49-$B$13))*(AVERAGE(E49,F49,G49)/B49)*(H49/$B$12)</f>
        <v>9565567.53645455</v>
      </c>
    </row>
    <row r="50" customFormat="false" ht="15" hidden="false" customHeight="true" outlineLevel="0" collapsed="false">
      <c r="A50" s="9" t="s">
        <v>78</v>
      </c>
      <c r="B50" s="29" t="n">
        <f aca="false">$B$7</f>
        <v>0.957768</v>
      </c>
      <c r="C50" s="29" t="n">
        <f aca="false">$B$8</f>
        <v>0.96933</v>
      </c>
      <c r="D50" s="25" t="n">
        <f aca="false">$B$13</f>
        <v>0.3819</v>
      </c>
      <c r="E50" s="24" t="n">
        <f aca="false">Shocked_Curves_DF!E15</f>
        <v>0.954588922832977</v>
      </c>
      <c r="F50" s="24" t="n">
        <f aca="false">Shocked_Curves_DF!E16</f>
        <v>0.952091864437955</v>
      </c>
      <c r="G50" s="24" t="n">
        <f aca="false">Shocked_Curves_DF!E17</f>
        <v>0.964955584066973</v>
      </c>
      <c r="H50" s="29" t="n">
        <f aca="false">$B$12</f>
        <v>0.960645</v>
      </c>
      <c r="I50" s="39" t="n">
        <f aca="false">$B$4*B50*(C50/$B$8)*(1+0.5*(D50-$B$13))*(AVERAGE(E50,F50,G50)/B50)*(H50/$B$12)</f>
        <v>9572121.23779302</v>
      </c>
    </row>
    <row r="51" customFormat="false" ht="15" hidden="false" customHeight="true" outlineLevel="0" collapsed="false">
      <c r="A51" s="9" t="s">
        <v>79</v>
      </c>
      <c r="B51" s="29" t="n">
        <f aca="false">$B$7</f>
        <v>0.957768</v>
      </c>
      <c r="C51" s="29" t="n">
        <f aca="false">$B$8</f>
        <v>0.96933</v>
      </c>
      <c r="D51" s="25" t="n">
        <f aca="false">$B$13</f>
        <v>0.3819</v>
      </c>
      <c r="E51" s="24" t="n">
        <f aca="false">Shocked_Curves_DF!E23</f>
        <v>0.954008957495664</v>
      </c>
      <c r="F51" s="24" t="n">
        <f aca="false">Shocked_Curves_DF!E24</f>
        <v>0.953612707835657</v>
      </c>
      <c r="G51" s="24" t="n">
        <f aca="false">Shocked_Curves_DF!E25</f>
        <v>0.961223663488055</v>
      </c>
      <c r="H51" s="29" t="n">
        <f aca="false">$B$12</f>
        <v>0.960645</v>
      </c>
      <c r="I51" s="39" t="n">
        <f aca="false">$B$4*B51*(C51/$B$8)*(1+0.5*(D51-$B$13))*(AVERAGE(E51,F51,G51)/B51)*(H51/$B$12)</f>
        <v>9562817.76273125</v>
      </c>
    </row>
    <row r="52" customFormat="false" ht="15" hidden="false" customHeight="true" outlineLevel="0" collapsed="false">
      <c r="A52" s="9" t="s">
        <v>80</v>
      </c>
      <c r="B52" s="29" t="n">
        <f aca="false">$B$7</f>
        <v>0.957768</v>
      </c>
      <c r="C52" s="29" t="n">
        <f aca="false">$B$8</f>
        <v>0.96933</v>
      </c>
      <c r="D52" s="25" t="n">
        <f aca="false">$B$13</f>
        <v>0.3819</v>
      </c>
      <c r="E52" s="24" t="n">
        <f aca="false">Shocked_Curves_DF!E31</f>
        <v>0.95320762385314</v>
      </c>
      <c r="F52" s="24" t="n">
        <f aca="false">Shocked_Curves_DF!E32</f>
        <v>0.946234479809646</v>
      </c>
      <c r="G52" s="24" t="n">
        <f aca="false">Shocked_Curves_DF!E33</f>
        <v>0.960336700770215</v>
      </c>
      <c r="H52" s="29" t="n">
        <f aca="false">$B$12</f>
        <v>0.960645</v>
      </c>
      <c r="I52" s="39" t="n">
        <f aca="false">$B$4*B52*(C52/$B$8)*(1+0.5*(D52-$B$13))*(AVERAGE(E52,F52,G52)/B52)*(H52/$B$12)</f>
        <v>9532596.01477667</v>
      </c>
    </row>
    <row r="53" customFormat="false" ht="15" hidden="false" customHeight="true" outlineLevel="0" collapsed="false">
      <c r="A53" s="9" t="s">
        <v>81</v>
      </c>
      <c r="B53" s="29" t="n">
        <f aca="false">$B$7</f>
        <v>0.957768</v>
      </c>
      <c r="C53" s="29" t="n">
        <f aca="false">$B$8</f>
        <v>0.96933</v>
      </c>
      <c r="D53" s="25" t="n">
        <f aca="false">$B$13</f>
        <v>0.3819</v>
      </c>
      <c r="E53" s="24" t="n">
        <f aca="false">Shocked_Curves_DF!E39</f>
        <v>0.9563957060858</v>
      </c>
      <c r="F53" s="24" t="n">
        <f aca="false">Shocked_Curves_DF!E40</f>
        <v>0.945344255389449</v>
      </c>
      <c r="G53" s="24" t="n">
        <f aca="false">Shocked_Curves_DF!E41</f>
        <v>0.960043506585016</v>
      </c>
      <c r="H53" s="29" t="n">
        <f aca="false">$B$12</f>
        <v>0.960645</v>
      </c>
      <c r="I53" s="39" t="n">
        <f aca="false">$B$4*B53*(C53/$B$8)*(1+0.5*(D53-$B$13))*(AVERAGE(E53,F53,G53)/B53)*(H53/$B$12)</f>
        <v>9539278.22686755</v>
      </c>
    </row>
    <row r="54" customFormat="false" ht="15" hidden="false" customHeight="true" outlineLevel="0" collapsed="false">
      <c r="A54" s="9" t="s">
        <v>82</v>
      </c>
      <c r="B54" s="29" t="n">
        <f aca="false">$B$7</f>
        <v>0.957768</v>
      </c>
      <c r="C54" s="29" t="n">
        <f aca="false">$B$8</f>
        <v>0.96933</v>
      </c>
      <c r="D54" s="25" t="n">
        <f aca="false">$B$13</f>
        <v>0.3819</v>
      </c>
      <c r="E54" s="24" t="n">
        <f aca="false">Shocked_Curves_DF!E47</f>
        <v>0.952137896569466</v>
      </c>
      <c r="F54" s="24" t="n">
        <f aca="false">Shocked_Curves_DF!E48</f>
        <v>0.944482088523894</v>
      </c>
      <c r="G54" s="24" t="n">
        <f aca="false">Shocked_Curves_DF!E49</f>
        <v>0.958612050918359</v>
      </c>
      <c r="H54" s="29" t="n">
        <f aca="false">$B$12</f>
        <v>0.960645</v>
      </c>
      <c r="I54" s="39" t="n">
        <f aca="false">$B$4*B54*(C54/$B$8)*(1+0.5*(D54-$B$13))*(AVERAGE(E54,F54,G54)/B54)*(H54/$B$12)</f>
        <v>9517440.12003906</v>
      </c>
    </row>
    <row r="55" customFormat="false" ht="15" hidden="false" customHeight="true" outlineLevel="0" collapsed="false">
      <c r="A55" s="9" t="s">
        <v>83</v>
      </c>
      <c r="B55" s="29" t="n">
        <f aca="false">$B$7</f>
        <v>0.957768</v>
      </c>
      <c r="C55" s="29" t="n">
        <f aca="false">$B$8</f>
        <v>0.96933</v>
      </c>
      <c r="D55" s="25" t="n">
        <f aca="false">$B$13</f>
        <v>0.3819</v>
      </c>
      <c r="E55" s="24" t="n">
        <f aca="false">Shocked_Curves_DF!E55</f>
        <v>0.951644904713199</v>
      </c>
      <c r="F55" s="24" t="n">
        <f aca="false">Shocked_Curves_DF!E56</f>
        <v>0.950115469489328</v>
      </c>
      <c r="G55" s="24" t="n">
        <f aca="false">Shocked_Curves_DF!E57</f>
        <v>0.957808375985025</v>
      </c>
      <c r="H55" s="29" t="n">
        <f aca="false">$B$12</f>
        <v>0.960645</v>
      </c>
      <c r="I55" s="39" t="n">
        <f aca="false">$B$4*B55*(C55/$B$8)*(1+0.5*(D55-$B$13))*(AVERAGE(E55,F55,G55)/B55)*(H55/$B$12)</f>
        <v>9531895.83395851</v>
      </c>
    </row>
    <row r="56" customFormat="false" ht="15" hidden="false" customHeight="true" outlineLevel="0" collapsed="false">
      <c r="A56" s="9" t="s">
        <v>84</v>
      </c>
      <c r="B56" s="29" t="n">
        <f aca="false">$B$7</f>
        <v>0.957768</v>
      </c>
      <c r="C56" s="29" t="n">
        <f aca="false">$B$8</f>
        <v>0.96933</v>
      </c>
      <c r="D56" s="25" t="n">
        <f aca="false">$B$13</f>
        <v>0.3819</v>
      </c>
      <c r="E56" s="24" t="n">
        <f aca="false">Shocked_Curves_DF!E63</f>
        <v>0.950824572103433</v>
      </c>
      <c r="F56" s="24" t="n">
        <f aca="false">Shocked_Curves_DF!E64</f>
        <v>0.942346869047631</v>
      </c>
      <c r="G56" s="24" t="n">
        <f aca="false">Shocked_Curves_DF!E65</f>
        <v>0.957056963924134</v>
      </c>
      <c r="H56" s="29" t="n">
        <f aca="false">$B$12</f>
        <v>0.960645</v>
      </c>
      <c r="I56" s="39" t="n">
        <f aca="false">$B$4*B56*(C56/$B$8)*(1+0.5*(D56-$B$13))*(AVERAGE(E56,F56,G56)/B56)*(H56/$B$12)</f>
        <v>9500761.35025066</v>
      </c>
    </row>
    <row r="57" customFormat="false" ht="15" hidden="false" customHeight="true" outlineLevel="0" collapsed="false">
      <c r="A57" s="9" t="s">
        <v>85</v>
      </c>
      <c r="B57" s="29" t="n">
        <f aca="false">$B$7</f>
        <v>0.957768</v>
      </c>
      <c r="C57" s="29" t="n">
        <f aca="false">$B$8</f>
        <v>0.96933</v>
      </c>
      <c r="D57" s="25" t="n">
        <f aca="false">$B$13</f>
        <v>0.3819</v>
      </c>
      <c r="E57" s="24" t="n">
        <f aca="false">Shocked_Curves_DF!E71</f>
        <v>0.950069418905633</v>
      </c>
      <c r="F57" s="24" t="n">
        <f aca="false">Shocked_Curves_DF!E72</f>
        <v>0.941085187512815</v>
      </c>
      <c r="G57" s="24" t="n">
        <f aca="false">Shocked_Curves_DF!E73</f>
        <v>0.956168103382636</v>
      </c>
      <c r="H57" s="29" t="n">
        <f aca="false">$B$12</f>
        <v>0.960645</v>
      </c>
      <c r="I57" s="39" t="n">
        <f aca="false">$B$4*B57*(C57/$B$8)*(1+0.5*(D57-$B$13))*(AVERAGE(E57,F57,G57)/B57)*(H57/$B$12)</f>
        <v>9491075.69933695</v>
      </c>
    </row>
    <row r="58" customFormat="false" ht="15" hidden="false" customHeight="true" outlineLevel="0" collapsed="false">
      <c r="A58" s="9" t="s">
        <v>86</v>
      </c>
      <c r="B58" s="29" t="n">
        <f aca="false">$B$7</f>
        <v>0.957768</v>
      </c>
      <c r="C58" s="29" t="n">
        <f aca="false">$B$8</f>
        <v>0.96933</v>
      </c>
      <c r="D58" s="25" t="n">
        <f aca="false">$B$13</f>
        <v>0.3819</v>
      </c>
      <c r="E58" s="24" t="n">
        <f aca="false">Shocked_Curves_DF!E79</f>
        <v>0.957237796944819</v>
      </c>
      <c r="F58" s="24" t="n">
        <f aca="false">Shocked_Curves_DF!E80</f>
        <v>0.94825631913984</v>
      </c>
      <c r="G58" s="24" t="n">
        <f aca="false">Shocked_Curves_DF!E81</f>
        <v>0.966039723186702</v>
      </c>
      <c r="H58" s="29" t="n">
        <f aca="false">$B$12</f>
        <v>0.960645</v>
      </c>
      <c r="I58" s="39" t="n">
        <f aca="false">$B$4*B58*(C58/$B$8)*(1+0.5*(D58-$B$13))*(AVERAGE(E58,F58,G58)/B58)*(H58/$B$12)</f>
        <v>9571779.46423787</v>
      </c>
    </row>
    <row r="61" customFormat="false" ht="15" hidden="false" customHeight="true" outlineLevel="0" collapsed="false">
      <c r="A61" s="43" t="s">
        <v>160</v>
      </c>
      <c r="B61" s="43"/>
      <c r="C61" s="43"/>
      <c r="D61" s="43"/>
      <c r="E61" s="43"/>
      <c r="F61" s="43"/>
      <c r="G61" s="43"/>
      <c r="H61" s="43"/>
      <c r="I61" s="43"/>
    </row>
    <row r="62" customFormat="false" ht="26.25" hidden="false" customHeight="true" outlineLevel="0" collapsed="false">
      <c r="A62" s="38" t="s">
        <v>148</v>
      </c>
      <c r="B62" s="38" t="s">
        <v>149</v>
      </c>
      <c r="C62" s="38" t="s">
        <v>150</v>
      </c>
      <c r="D62" s="38" t="s">
        <v>151</v>
      </c>
      <c r="E62" s="38" t="s">
        <v>152</v>
      </c>
      <c r="F62" s="38" t="s">
        <v>153</v>
      </c>
      <c r="G62" s="38" t="s">
        <v>154</v>
      </c>
      <c r="H62" s="38" t="s">
        <v>155</v>
      </c>
      <c r="I62" s="38" t="s">
        <v>156</v>
      </c>
    </row>
    <row r="63" customFormat="false" ht="15" hidden="false" customHeight="true" outlineLevel="0" collapsed="false">
      <c r="A63" s="4" t="s">
        <v>157</v>
      </c>
      <c r="B63" s="29" t="n">
        <f aca="false">$B$7</f>
        <v>0.957768</v>
      </c>
      <c r="C63" s="29" t="n">
        <f aca="false">$B$8</f>
        <v>0.96933</v>
      </c>
      <c r="D63" s="29" t="n">
        <f aca="false">$B$13</f>
        <v>0.3819</v>
      </c>
      <c r="E63" s="29" t="n">
        <f aca="false">$B$9</f>
        <v>0.958726</v>
      </c>
      <c r="F63" s="29" t="n">
        <f aca="false">$B$10</f>
        <v>0.954899</v>
      </c>
      <c r="G63" s="29" t="n">
        <f aca="false">$B$11</f>
        <v>0.967393</v>
      </c>
      <c r="H63" s="29" t="n">
        <f aca="false">$B$12</f>
        <v>0.960645</v>
      </c>
      <c r="I63" s="39" t="n">
        <f aca="false">$B$4*B63*(C63/$B$8)*(1+0.5*(D63-$B$13))*(AVERAGE(E63,F63,G63)/B63)*(H63/$B$12)</f>
        <v>9603393.33333333</v>
      </c>
    </row>
    <row r="64" customFormat="false" ht="15" hidden="false" customHeight="true" outlineLevel="0" collapsed="false">
      <c r="A64" s="9" t="s">
        <v>77</v>
      </c>
      <c r="B64" s="29" t="n">
        <f aca="false">$B$7</f>
        <v>0.957768</v>
      </c>
      <c r="C64" s="29" t="n">
        <f aca="false">$B$8</f>
        <v>0.96933</v>
      </c>
      <c r="D64" s="25" t="n">
        <f aca="false">$B$13</f>
        <v>0.3819</v>
      </c>
      <c r="E64" s="29" t="n">
        <f aca="false">$B$9</f>
        <v>0.958726</v>
      </c>
      <c r="F64" s="29" t="n">
        <f aca="false">$B$10</f>
        <v>0.954899</v>
      </c>
      <c r="G64" s="29" t="n">
        <f aca="false">$B$11</f>
        <v>0.967393</v>
      </c>
      <c r="H64" s="24" t="n">
        <f aca="false">Shocked_Curves_DF!E10</f>
        <v>0.958550489609229</v>
      </c>
      <c r="I64" s="39" t="n">
        <f aca="false">$B$4*B64*(C64/$B$8)*(1+0.5*(D64-$B$13))*(AVERAGE(E64,F64,G64)/B64)*(H64/$B$12)</f>
        <v>9582454.89392718</v>
      </c>
    </row>
    <row r="65" customFormat="false" ht="15" hidden="false" customHeight="true" outlineLevel="0" collapsed="false">
      <c r="A65" s="9" t="s">
        <v>78</v>
      </c>
      <c r="B65" s="29" t="n">
        <f aca="false">$B$7</f>
        <v>0.957768</v>
      </c>
      <c r="C65" s="29" t="n">
        <f aca="false">$B$8</f>
        <v>0.96933</v>
      </c>
      <c r="D65" s="25" t="n">
        <f aca="false">$B$13</f>
        <v>0.3819</v>
      </c>
      <c r="E65" s="29" t="n">
        <f aca="false">$B$9</f>
        <v>0.958726</v>
      </c>
      <c r="F65" s="29" t="n">
        <f aca="false">$B$10</f>
        <v>0.954899</v>
      </c>
      <c r="G65" s="29" t="n">
        <f aca="false">$B$11</f>
        <v>0.967393</v>
      </c>
      <c r="H65" s="24" t="n">
        <f aca="false">Shocked_Curves_DF!E18</f>
        <v>0.957836117465444</v>
      </c>
      <c r="I65" s="39" t="n">
        <f aca="false">$B$4*B65*(C65/$B$8)*(1+0.5*(D65-$B$13))*(AVERAGE(E65,F65,G65)/B65)*(H65/$B$12)</f>
        <v>9575313.44554287</v>
      </c>
    </row>
    <row r="66" customFormat="false" ht="15" hidden="false" customHeight="true" outlineLevel="0" collapsed="false">
      <c r="A66" s="9" t="s">
        <v>79</v>
      </c>
      <c r="B66" s="29" t="n">
        <f aca="false">$B$7</f>
        <v>0.957768</v>
      </c>
      <c r="C66" s="29" t="n">
        <f aca="false">$B$8</f>
        <v>0.96933</v>
      </c>
      <c r="D66" s="25" t="n">
        <f aca="false">$B$13</f>
        <v>0.3819</v>
      </c>
      <c r="E66" s="29" t="n">
        <f aca="false">$B$9</f>
        <v>0.958726</v>
      </c>
      <c r="F66" s="29" t="n">
        <f aca="false">$B$10</f>
        <v>0.954899</v>
      </c>
      <c r="G66" s="29" t="n">
        <f aca="false">$B$11</f>
        <v>0.967393</v>
      </c>
      <c r="H66" s="24" t="n">
        <f aca="false">Shocked_Curves_DF!E26</f>
        <v>0.95758460198965</v>
      </c>
      <c r="I66" s="39" t="n">
        <f aca="false">$B$4*B66*(C66/$B$8)*(1+0.5*(D66-$B$13))*(AVERAGE(E66,F66,G66)/B66)*(H66/$B$12)</f>
        <v>9572799.09107949</v>
      </c>
    </row>
    <row r="67" customFormat="false" ht="15" hidden="false" customHeight="true" outlineLevel="0" collapsed="false">
      <c r="A67" s="9" t="s">
        <v>80</v>
      </c>
      <c r="B67" s="29" t="n">
        <f aca="false">$B$7</f>
        <v>0.957768</v>
      </c>
      <c r="C67" s="29" t="n">
        <f aca="false">$B$8</f>
        <v>0.96933</v>
      </c>
      <c r="D67" s="25" t="n">
        <f aca="false">$B$13</f>
        <v>0.3819</v>
      </c>
      <c r="E67" s="29" t="n">
        <f aca="false">$B$9</f>
        <v>0.958726</v>
      </c>
      <c r="F67" s="29" t="n">
        <f aca="false">$B$10</f>
        <v>0.954899</v>
      </c>
      <c r="G67" s="29" t="n">
        <f aca="false">$B$11</f>
        <v>0.967393</v>
      </c>
      <c r="H67" s="24" t="n">
        <f aca="false">Shocked_Curves_DF!E34</f>
        <v>0.962263559855125</v>
      </c>
      <c r="I67" s="39" t="n">
        <f aca="false">$B$4*B67*(C67/$B$8)*(1+0.5*(D67-$B$13))*(AVERAGE(E67,F67,G67)/B67)*(H67/$B$12)</f>
        <v>9619573.78180526</v>
      </c>
    </row>
    <row r="68" customFormat="false" ht="15" hidden="false" customHeight="true" outlineLevel="0" collapsed="false">
      <c r="A68" s="9" t="s">
        <v>81</v>
      </c>
      <c r="B68" s="29" t="n">
        <f aca="false">$B$7</f>
        <v>0.957768</v>
      </c>
      <c r="C68" s="29" t="n">
        <f aca="false">$B$8</f>
        <v>0.96933</v>
      </c>
      <c r="D68" s="25" t="n">
        <f aca="false">$B$13</f>
        <v>0.3819</v>
      </c>
      <c r="E68" s="29" t="n">
        <f aca="false">$B$9</f>
        <v>0.958726</v>
      </c>
      <c r="F68" s="29" t="n">
        <f aca="false">$B$10</f>
        <v>0.954899</v>
      </c>
      <c r="G68" s="29" t="n">
        <f aca="false">$B$11</f>
        <v>0.967393</v>
      </c>
      <c r="H68" s="24" t="n">
        <f aca="false">Shocked_Curves_DF!E42</f>
        <v>0.956804885239764</v>
      </c>
      <c r="I68" s="39" t="n">
        <f aca="false">$B$4*B68*(C68/$B$8)*(1+0.5*(D68-$B$13))*(AVERAGE(E68,F68,G68)/B68)*(H68/$B$12)</f>
        <v>9565004.40455352</v>
      </c>
    </row>
    <row r="69" customFormat="false" ht="15" hidden="false" customHeight="true" outlineLevel="0" collapsed="false">
      <c r="A69" s="9" t="s">
        <v>82</v>
      </c>
      <c r="B69" s="29" t="n">
        <f aca="false">$B$7</f>
        <v>0.957768</v>
      </c>
      <c r="C69" s="29" t="n">
        <f aca="false">$B$8</f>
        <v>0.96933</v>
      </c>
      <c r="D69" s="25" t="n">
        <f aca="false">$B$13</f>
        <v>0.3819</v>
      </c>
      <c r="E69" s="29" t="n">
        <f aca="false">$B$9</f>
        <v>0.958726</v>
      </c>
      <c r="F69" s="29" t="n">
        <f aca="false">$B$10</f>
        <v>0.954899</v>
      </c>
      <c r="G69" s="29" t="n">
        <f aca="false">$B$11</f>
        <v>0.967393</v>
      </c>
      <c r="H69" s="24" t="n">
        <f aca="false">Shocked_Curves_DF!E50</f>
        <v>0.958736934866277</v>
      </c>
      <c r="I69" s="39" t="n">
        <f aca="false">$B$4*B69*(C69/$B$8)*(1+0.5*(D69-$B$13))*(AVERAGE(E69,F69,G69)/B69)*(H69/$B$12)</f>
        <v>9584318.75324937</v>
      </c>
    </row>
    <row r="70" customFormat="false" ht="15" hidden="false" customHeight="true" outlineLevel="0" collapsed="false">
      <c r="A70" s="9" t="s">
        <v>83</v>
      </c>
      <c r="B70" s="29" t="n">
        <f aca="false">$B$7</f>
        <v>0.957768</v>
      </c>
      <c r="C70" s="29" t="n">
        <f aca="false">$B$8</f>
        <v>0.96933</v>
      </c>
      <c r="D70" s="25" t="n">
        <f aca="false">$B$13</f>
        <v>0.3819</v>
      </c>
      <c r="E70" s="29" t="n">
        <f aca="false">$B$9</f>
        <v>0.958726</v>
      </c>
      <c r="F70" s="29" t="n">
        <f aca="false">$B$10</f>
        <v>0.954899</v>
      </c>
      <c r="G70" s="29" t="n">
        <f aca="false">$B$11</f>
        <v>0.967393</v>
      </c>
      <c r="H70" s="24" t="n">
        <f aca="false">Shocked_Curves_DF!E58</f>
        <v>0.956260628257328</v>
      </c>
      <c r="I70" s="39" t="n">
        <f aca="false">$B$4*B70*(C70/$B$8)*(1+0.5*(D70-$B$13))*(AVERAGE(E70,F70,G70)/B70)*(H70/$B$12)</f>
        <v>9559563.56649498</v>
      </c>
    </row>
    <row r="71" customFormat="false" ht="15" hidden="false" customHeight="true" outlineLevel="0" collapsed="false">
      <c r="A71" s="9" t="s">
        <v>84</v>
      </c>
      <c r="B71" s="29" t="n">
        <f aca="false">$B$7</f>
        <v>0.957768</v>
      </c>
      <c r="C71" s="29" t="n">
        <f aca="false">$B$8</f>
        <v>0.96933</v>
      </c>
      <c r="D71" s="25" t="n">
        <f aca="false">$B$13</f>
        <v>0.3819</v>
      </c>
      <c r="E71" s="29" t="n">
        <f aca="false">$B$9</f>
        <v>0.958726</v>
      </c>
      <c r="F71" s="29" t="n">
        <f aca="false">$B$10</f>
        <v>0.954899</v>
      </c>
      <c r="G71" s="29" t="n">
        <f aca="false">$B$11</f>
        <v>0.967393</v>
      </c>
      <c r="H71" s="24" t="n">
        <f aca="false">Shocked_Curves_DF!E66</f>
        <v>0.960229712665626</v>
      </c>
      <c r="I71" s="39" t="n">
        <f aca="false">$B$4*B71*(C71/$B$8)*(1+0.5*(D71-$B$13))*(AVERAGE(E71,F71,G71)/B71)*(H71/$B$12)</f>
        <v>9599241.78138819</v>
      </c>
    </row>
    <row r="72" customFormat="false" ht="15" hidden="false" customHeight="true" outlineLevel="0" collapsed="false">
      <c r="A72" s="9" t="s">
        <v>85</v>
      </c>
      <c r="B72" s="29" t="n">
        <f aca="false">$B$7</f>
        <v>0.957768</v>
      </c>
      <c r="C72" s="29" t="n">
        <f aca="false">$B$8</f>
        <v>0.96933</v>
      </c>
      <c r="D72" s="25" t="n">
        <f aca="false">$B$13</f>
        <v>0.3819</v>
      </c>
      <c r="E72" s="29" t="n">
        <f aca="false">$B$9</f>
        <v>0.958726</v>
      </c>
      <c r="F72" s="29" t="n">
        <f aca="false">$B$10</f>
        <v>0.954899</v>
      </c>
      <c r="G72" s="29" t="n">
        <f aca="false">$B$11</f>
        <v>0.967393</v>
      </c>
      <c r="H72" s="24" t="n">
        <f aca="false">Shocked_Curves_DF!E74</f>
        <v>0.955591148630945</v>
      </c>
      <c r="I72" s="39" t="n">
        <f aca="false">$B$4*B72*(C72/$B$8)*(1+0.5*(D72-$B$13))*(AVERAGE(E72,F72,G72)/B72)*(H72/$B$12)</f>
        <v>9552870.90044165</v>
      </c>
    </row>
    <row r="73" customFormat="false" ht="15" hidden="false" customHeight="true" outlineLevel="0" collapsed="false">
      <c r="A73" s="9" t="s">
        <v>86</v>
      </c>
      <c r="B73" s="29" t="n">
        <f aca="false">$B$7</f>
        <v>0.957768</v>
      </c>
      <c r="C73" s="29" t="n">
        <f aca="false">$B$8</f>
        <v>0.96933</v>
      </c>
      <c r="D73" s="25" t="n">
        <f aca="false">$B$13</f>
        <v>0.3819</v>
      </c>
      <c r="E73" s="29" t="n">
        <f aca="false">$B$9</f>
        <v>0.958726</v>
      </c>
      <c r="F73" s="29" t="n">
        <f aca="false">$B$10</f>
        <v>0.954899</v>
      </c>
      <c r="G73" s="29" t="n">
        <f aca="false">$B$11</f>
        <v>0.967393</v>
      </c>
      <c r="H73" s="24" t="n">
        <f aca="false">Shocked_Curves_DF!E82</f>
        <v>0.955213344747142</v>
      </c>
      <c r="I73" s="39" t="n">
        <f aca="false">$B$4*B73*(C73/$B$8)*(1+0.5*(D73-$B$13))*(AVERAGE(E73,F73,G73)/B73)*(H73/$B$12)</f>
        <v>9549094.06373399</v>
      </c>
    </row>
  </sheetData>
  <mergeCells count="6">
    <mergeCell ref="A1:I1"/>
    <mergeCell ref="A2:I2"/>
    <mergeCell ref="A16:I16"/>
    <mergeCell ref="A31:I31"/>
    <mergeCell ref="A46:I46"/>
    <mergeCell ref="A61:I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5" min="2" style="1" width="16"/>
  </cols>
  <sheetData>
    <row r="1" customFormat="false" ht="17.25" hidden="false" customHeight="true" outlineLevel="0" collapsed="false">
      <c r="A1" s="18" t="s">
        <v>161</v>
      </c>
      <c r="B1" s="18"/>
      <c r="C1" s="18"/>
      <c r="D1" s="18"/>
      <c r="E1" s="18"/>
    </row>
    <row r="2" customFormat="false" ht="27.75" hidden="false" customHeight="true" outlineLevel="0" collapsed="false">
      <c r="A2" s="22" t="s">
        <v>162</v>
      </c>
      <c r="B2" s="22"/>
      <c r="C2" s="22"/>
      <c r="D2" s="22"/>
      <c r="E2" s="22"/>
    </row>
    <row r="4" customFormat="false" ht="26.25" hidden="false" customHeight="true" outlineLevel="0" collapsed="false">
      <c r="A4" s="12" t="s">
        <v>120</v>
      </c>
      <c r="B4" s="38" t="s">
        <v>163</v>
      </c>
      <c r="C4" s="38" t="s">
        <v>164</v>
      </c>
      <c r="D4" s="38" t="s">
        <v>165</v>
      </c>
      <c r="E4" s="38" t="s">
        <v>166</v>
      </c>
    </row>
    <row r="5" customFormat="false" ht="15" hidden="false" customHeight="true" outlineLevel="0" collapsed="false">
      <c r="A5" s="9" t="s">
        <v>77</v>
      </c>
      <c r="B5" s="44" t="n">
        <f aca="false">NPV_Engine!I19-NPV_Engine!I18</f>
        <v>-37324.1561601348</v>
      </c>
      <c r="C5" s="44" t="n">
        <f aca="false">NPV_Engine!I34-NPV_Engine!I33</f>
        <v>21488.9164425991</v>
      </c>
      <c r="D5" s="44" t="n">
        <f aca="false">NPV_Engine!I49-NPV_Engine!I48</f>
        <v>-37825.7968787812</v>
      </c>
      <c r="E5" s="44" t="n">
        <f aca="false">NPV_Engine!I64-NPV_Engine!I63</f>
        <v>-20938.4394061528</v>
      </c>
    </row>
    <row r="6" customFormat="false" ht="15" hidden="false" customHeight="true" outlineLevel="0" collapsed="false">
      <c r="A6" s="9" t="s">
        <v>78</v>
      </c>
      <c r="B6" s="44" t="n">
        <f aca="false">NPV_Engine!I20-NPV_Engine!I18</f>
        <v>-22922.9503978081</v>
      </c>
      <c r="C6" s="44" t="n">
        <f aca="false">NPV_Engine!I35-NPV_Engine!I33</f>
        <v>36563.218766842</v>
      </c>
      <c r="D6" s="44" t="n">
        <f aca="false">NPV_Engine!I50-NPV_Engine!I48</f>
        <v>-31272.0955403186</v>
      </c>
      <c r="E6" s="44" t="n">
        <f aca="false">NPV_Engine!I65-NPV_Engine!I63</f>
        <v>-28079.8877904695</v>
      </c>
    </row>
    <row r="7" customFormat="false" ht="15" hidden="false" customHeight="true" outlineLevel="0" collapsed="false">
      <c r="A7" s="9" t="s">
        <v>79</v>
      </c>
      <c r="B7" s="44" t="n">
        <f aca="false">NPV_Engine!I21-NPV_Engine!I18</f>
        <v>-48591.2961939294</v>
      </c>
      <c r="C7" s="44" t="n">
        <f aca="false">NPV_Engine!I36-NPV_Engine!I33</f>
        <v>22616.5567318499</v>
      </c>
      <c r="D7" s="44" t="n">
        <f aca="false">NPV_Engine!I51-NPV_Engine!I48</f>
        <v>-40575.5706020817</v>
      </c>
      <c r="E7" s="44" t="n">
        <f aca="false">NPV_Engine!I66-NPV_Engine!I63</f>
        <v>-30594.2422538474</v>
      </c>
    </row>
    <row r="8" customFormat="false" ht="15" hidden="false" customHeight="true" outlineLevel="0" collapsed="false">
      <c r="A8" s="9" t="s">
        <v>80</v>
      </c>
      <c r="B8" s="44" t="n">
        <f aca="false">NPV_Engine!I22-NPV_Engine!I18</f>
        <v>-29048.8410297465</v>
      </c>
      <c r="C8" s="44" t="n">
        <f aca="false">NPV_Engine!I37-NPV_Engine!I33</f>
        <v>25834.5616048966</v>
      </c>
      <c r="D8" s="44" t="n">
        <f aca="false">NPV_Engine!I52-NPV_Engine!I48</f>
        <v>-70797.3185566664</v>
      </c>
      <c r="E8" s="44" t="n">
        <f aca="false">NPV_Engine!I67-NPV_Engine!I63</f>
        <v>16180.4484719206</v>
      </c>
    </row>
    <row r="9" customFormat="false" ht="15" hidden="false" customHeight="true" outlineLevel="0" collapsed="false">
      <c r="A9" s="9" t="s">
        <v>81</v>
      </c>
      <c r="B9" s="44" t="n">
        <f aca="false">NPV_Engine!I23-NPV_Engine!I18</f>
        <v>-95620.6613205727</v>
      </c>
      <c r="C9" s="44" t="n">
        <f aca="false">NPV_Engine!I38-NPV_Engine!I33</f>
        <v>6698.39614361152</v>
      </c>
      <c r="D9" s="44" t="n">
        <f aca="false">NPV_Engine!I53-NPV_Engine!I48</f>
        <v>-64115.106465783</v>
      </c>
      <c r="E9" s="44" t="n">
        <f aca="false">NPV_Engine!I68-NPV_Engine!I63</f>
        <v>-38388.9287798144</v>
      </c>
    </row>
    <row r="10" customFormat="false" ht="15" hidden="false" customHeight="true" outlineLevel="0" collapsed="false">
      <c r="A10" s="9" t="s">
        <v>82</v>
      </c>
      <c r="B10" s="44" t="n">
        <f aca="false">NPV_Engine!I24-NPV_Engine!I18</f>
        <v>-97007.5517603569</v>
      </c>
      <c r="C10" s="44" t="n">
        <f aca="false">NPV_Engine!I39-NPV_Engine!I33</f>
        <v>7936.17156858742</v>
      </c>
      <c r="D10" s="44" t="n">
        <f aca="false">NPV_Engine!I54-NPV_Engine!I48</f>
        <v>-85953.2132942695</v>
      </c>
      <c r="E10" s="44" t="n">
        <f aca="false">NPV_Engine!I69-NPV_Engine!I63</f>
        <v>-19074.5800839607</v>
      </c>
    </row>
    <row r="11" customFormat="false" ht="15" hidden="false" customHeight="true" outlineLevel="0" collapsed="false">
      <c r="A11" s="9" t="s">
        <v>83</v>
      </c>
      <c r="B11" s="44" t="n">
        <f aca="false">NPV_Engine!I25-NPV_Engine!I18</f>
        <v>-84538.1107834484</v>
      </c>
      <c r="C11" s="44" t="n">
        <f aca="false">NPV_Engine!I40-NPV_Engine!I33</f>
        <v>30832.0566355772</v>
      </c>
      <c r="D11" s="44" t="n">
        <f aca="false">NPV_Engine!I55-NPV_Engine!I48</f>
        <v>-71497.4993748292</v>
      </c>
      <c r="E11" s="44" t="n">
        <f aca="false">NPV_Engine!I70-NPV_Engine!I63</f>
        <v>-43829.766838355</v>
      </c>
    </row>
    <row r="12" customFormat="false" ht="15" hidden="false" customHeight="true" outlineLevel="0" collapsed="false">
      <c r="A12" s="9" t="s">
        <v>84</v>
      </c>
      <c r="B12" s="44" t="n">
        <f aca="false">NPV_Engine!I26-NPV_Engine!I18</f>
        <v>-8520.17849203758</v>
      </c>
      <c r="C12" s="44" t="n">
        <f aca="false">NPV_Engine!I41-NPV_Engine!I33</f>
        <v>99322.9367473666</v>
      </c>
      <c r="D12" s="44" t="n">
        <f aca="false">NPV_Engine!I56-NPV_Engine!I48</f>
        <v>-102631.983082671</v>
      </c>
      <c r="E12" s="44" t="n">
        <f aca="false">NPV_Engine!I71-NPV_Engine!I63</f>
        <v>-4151.55194514617</v>
      </c>
    </row>
    <row r="13" customFormat="false" ht="15" hidden="false" customHeight="true" outlineLevel="0" collapsed="false">
      <c r="A13" s="9" t="s">
        <v>85</v>
      </c>
      <c r="B13" s="44" t="n">
        <f aca="false">NPV_Engine!I27-NPV_Engine!I18</f>
        <v>-138453.550992718</v>
      </c>
      <c r="C13" s="44" t="n">
        <f aca="false">NPV_Engine!I42-NPV_Engine!I33</f>
        <v>24204.5604041275</v>
      </c>
      <c r="D13" s="44" t="n">
        <f aca="false">NPV_Engine!I57-NPV_Engine!I48</f>
        <v>-112317.633996386</v>
      </c>
      <c r="E13" s="44" t="n">
        <f aca="false">NPV_Engine!I72-NPV_Engine!I63</f>
        <v>-50522.4328916892</v>
      </c>
    </row>
    <row r="14" customFormat="false" ht="15" hidden="false" customHeight="true" outlineLevel="0" collapsed="false">
      <c r="A14" s="9" t="s">
        <v>86</v>
      </c>
      <c r="B14" s="44" t="n">
        <f aca="false">NPV_Engine!I28-NPV_Engine!I18</f>
        <v>48544.0565061811</v>
      </c>
      <c r="C14" s="44" t="n">
        <f aca="false">NPV_Engine!I43-NPV_Engine!I33</f>
        <v>135488.015431425</v>
      </c>
      <c r="D14" s="44" t="n">
        <f aca="false">NPV_Engine!I58-NPV_Engine!I48</f>
        <v>-31613.8690954633</v>
      </c>
      <c r="E14" s="44" t="n">
        <f aca="false">NPV_Engine!I73-NPV_Engine!I63</f>
        <v>-54299.2695993483</v>
      </c>
    </row>
    <row r="16" customFormat="false" ht="15" hidden="false" customHeight="true" outlineLevel="0" collapsed="false">
      <c r="A16" s="4" t="s">
        <v>167</v>
      </c>
      <c r="B16" s="45" t="n">
        <f aca="false">MIN(B5:B14)</f>
        <v>-138453.550992718</v>
      </c>
      <c r="C16" s="45" t="n">
        <f aca="false">MIN(C5:C14)</f>
        <v>6698.39614361152</v>
      </c>
      <c r="D16" s="45" t="n">
        <f aca="false">MIN(D5:D14)</f>
        <v>-112317.633996386</v>
      </c>
      <c r="E16" s="45" t="n">
        <f aca="false">MIN(E5:E14)</f>
        <v>-54299.2695993483</v>
      </c>
    </row>
    <row r="17" customFormat="false" ht="15" hidden="false" customHeight="true" outlineLevel="0" collapsed="false">
      <c r="A17" s="4" t="s">
        <v>168</v>
      </c>
      <c r="B17" s="45" t="n">
        <f aca="false">MAX(B5:B14)</f>
        <v>48544.0565061811</v>
      </c>
      <c r="C17" s="45" t="n">
        <f aca="false">MAX(C5:C14)</f>
        <v>135488.015431425</v>
      </c>
      <c r="D17" s="45" t="n">
        <f aca="false">MAX(D5:D14)</f>
        <v>-31272.0955403186</v>
      </c>
      <c r="E17" s="45" t="n">
        <f aca="false">MAX(E5:E14)</f>
        <v>16180.4484719206</v>
      </c>
    </row>
    <row r="18" customFormat="false" ht="15" hidden="false" customHeight="true" outlineLevel="0" collapsed="false">
      <c r="A18" s="4" t="s">
        <v>169</v>
      </c>
      <c r="B18" s="45" t="n">
        <f aca="false">AVERAGE(B5:B14)</f>
        <v>-51348.3240624571</v>
      </c>
      <c r="C18" s="45" t="n">
        <f aca="false">AVERAGE(C5:C14)</f>
        <v>41098.5390476882</v>
      </c>
      <c r="D18" s="45" t="n">
        <f aca="false">AVERAGE(D5:D14)</f>
        <v>-64860.008688725</v>
      </c>
      <c r="E18" s="45" t="n">
        <f aca="false">AVERAGE(E5:E14)</f>
        <v>-27369.8651116863</v>
      </c>
    </row>
    <row r="20" customFormat="false" ht="15" hidden="false" customHeight="true" outlineLevel="0" collapsed="false">
      <c r="A20" s="17" t="s">
        <v>170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2026-08-04T11:28:17Z</dcterms:created>
  <dc:creator>openpyxl</dc:creator>
  <dc:description/>
  <dc:language>en-US</dc:language>
  <cp:lastModifiedBy/>
  <dcterms:modified xsi:type="dcterms:W3CDTF">2026-08-04T11:32:02Z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