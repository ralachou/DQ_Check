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46584a777bbbf/Python/AI/FRTB_IMA/RPOs/Implied Vol Calculation/"/>
    </mc:Choice>
  </mc:AlternateContent>
  <xr:revisionPtr revIDLastSave="12" documentId="8_{2202906B-1F4A-4344-8364-52E27FD7BB65}" xr6:coauthVersionLast="47" xr6:coauthVersionMax="47" xr10:uidLastSave="{3F59E6CB-2ABA-4FB5-A401-CDA2FA701CA5}"/>
  <bookViews>
    <workbookView xWindow="28680" yWindow="-120" windowWidth="29040" windowHeight="15840" xr2:uid="{845D9CC0-3A36-49FB-B52C-010E4ED232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I29" i="1"/>
  <c r="I27" i="1"/>
  <c r="I25" i="1"/>
</calcChain>
</file>

<file path=xl/sharedStrings.xml><?xml version="1.0" encoding="utf-8"?>
<sst xmlns="http://schemas.openxmlformats.org/spreadsheetml/2006/main" count="118" uniqueCount="65">
  <si>
    <t>Field</t>
  </si>
  <si>
    <t>Value</t>
  </si>
  <si>
    <t>Strike</t>
  </si>
  <si>
    <r>
      <t xml:space="preserve">0.0600 = </t>
    </r>
    <r>
      <rPr>
        <b/>
        <sz val="11"/>
        <color theme="1"/>
        <rFont val="Calibri"/>
        <family val="2"/>
        <scheme val="minor"/>
      </rPr>
      <t>6.00%</t>
    </r>
  </si>
  <si>
    <t>Strike notation</t>
  </si>
  <si>
    <t>3 = decimal</t>
  </si>
  <si>
    <t>Premium</t>
  </si>
  <si>
    <t>$27MM</t>
  </si>
  <si>
    <t>Floating index</t>
  </si>
  <si>
    <t>CME Term SOFR</t>
  </si>
  <si>
    <t>Reset</t>
  </si>
  <si>
    <t>1M</t>
  </si>
  <si>
    <t>Currency</t>
  </si>
  <si>
    <t>USD</t>
  </si>
  <si>
    <t>Effective</t>
  </si>
  <si>
    <t>Expiry</t>
  </si>
  <si>
    <t>SDR</t>
  </si>
  <si>
    <t>A 3-year 1M SOFR cap</t>
  </si>
  <si>
    <t>Caplet</t>
  </si>
  <si>
    <t>1M SOFR forward</t>
  </si>
  <si>
    <t>...</t>
  </si>
  <si>
    <t>step 1 = pure input</t>
  </si>
  <si>
    <t>step 3 : derive the ATMF</t>
  </si>
  <si>
    <t xml:space="preserve">Trade StartDate, Expiry, Freq --&gt;SOFR Curve ---&gt; Fi--&gt; K-Fi </t>
  </si>
  <si>
    <t xml:space="preserve">step 2 =reconstruct payment/reset schedule </t>
  </si>
  <si>
    <t>Forward Fi</t>
  </si>
  <si>
    <t>expiry/Payment Schedule</t>
  </si>
  <si>
    <t xml:space="preserve">               calculate each: Fi (caplet ATMF) </t>
  </si>
  <si>
    <t xml:space="preserve">               calculate Relative Strikes(i) = K- Fi</t>
  </si>
  <si>
    <r>
      <rPr>
        <b/>
        <sz val="11"/>
        <color theme="1"/>
        <rFont val="Calibri"/>
        <family val="2"/>
        <scheme val="minor"/>
      </rPr>
      <t xml:space="preserve">historical forward curve /or DF </t>
    </r>
    <r>
      <rPr>
        <sz val="11"/>
        <color theme="1"/>
        <rFont val="Calibri"/>
        <family val="2"/>
        <scheme val="minor"/>
      </rPr>
      <t>as of execution timestamp</t>
    </r>
  </si>
  <si>
    <t>M</t>
  </si>
  <si>
    <t>ATM Fi</t>
  </si>
  <si>
    <t>Relative Strike(i)</t>
  </si>
  <si>
    <t>ATM + 59</t>
  </si>
  <si>
    <t>ATM -25</t>
  </si>
  <si>
    <t>ATM - 51</t>
  </si>
  <si>
    <t>ATM +80</t>
  </si>
  <si>
    <t>Whole-cap ATM Strike</t>
  </si>
  <si>
    <t>K(atm) = 5.3%</t>
  </si>
  <si>
    <t>ATM + 70pb</t>
  </si>
  <si>
    <t>Step 4 : Implied Vol --- we can use ours Sabr Curves</t>
  </si>
  <si>
    <t xml:space="preserve">SDR ---&gt; Fi --&gt; K ---&gt; Strikes ---&gt; Sabr ( Fi, K, Ti, Strikes) ---- Alpha (i) </t>
  </si>
  <si>
    <t xml:space="preserve">caplet ATMF  (i) </t>
  </si>
  <si>
    <t>Step 5  detla delta</t>
  </si>
  <si>
    <r>
      <t>Our own Sabr ( Fi, K, Ti) ---&gt; Alpha -------&gt;</t>
    </r>
    <r>
      <rPr>
        <sz val="11"/>
        <color rgb="FF0000FF"/>
        <rFont val="Calibri"/>
        <family val="2"/>
        <scheme val="minor"/>
      </rPr>
      <t xml:space="preserve"> Normal Vol</t>
    </r>
  </si>
  <si>
    <t xml:space="preserve">I need the MDO of Sofr ( 8/8/2024) </t>
  </si>
  <si>
    <t>Caplet expiry</t>
  </si>
  <si>
    <t>ATMF</t>
  </si>
  <si>
    <t>Relative strike</t>
  </si>
  <si>
    <t>α</t>
  </si>
  <si>
    <t>ρ</t>
  </si>
  <si>
    <t>ν</t>
  </si>
  <si>
    <t>Normal vol</t>
  </si>
  <si>
    <t>δ</t>
  </si>
  <si>
    <t>RFET δ bucket</t>
  </si>
  <si>
    <t>+68bp</t>
  </si>
  <si>
    <t>…</t>
  </si>
  <si>
    <t>2M</t>
  </si>
  <si>
    <t>+79bp</t>
  </si>
  <si>
    <t>6M</t>
  </si>
  <si>
    <t>+113bp</t>
  </si>
  <si>
    <t>1Y</t>
  </si>
  <si>
    <t>+158bp</t>
  </si>
  <si>
    <t>2Y</t>
  </si>
  <si>
    <t>+199bp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</si>
</sst>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wrapText="1"/>
    </xf>
    <xf numFmtId="10" fontId="0" fillId="0" borderId="0" xfId="0" applyNumberFormat="1"/>
    <xf numFmtId="10" fontId="0" fillId="0" borderId="0" xfId="0" applyNumberFormat="1" applyAlignment="1">
      <alignment horizontal="right" vertical="center" wrapText="1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3" borderId="0" xfId="0" applyFill="1"/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indent="5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15" fontId="0" fillId="3" borderId="0" xfId="0" applyNumberFormat="1" applyFill="1" applyAlignment="1">
      <alignment horizontal="right" vertical="center" wrapText="1"/>
    </xf>
    <xf numFmtId="10" fontId="0" fillId="0" borderId="0" xfId="0" applyNumberFormat="1" applyAlignment="1">
      <alignment horizontal="left" vertical="center" wrapText="1"/>
    </xf>
    <xf numFmtId="10" fontId="1" fillId="0" borderId="0" xfId="0" applyNumberFormat="1" applyFont="1" applyAlignment="1">
      <alignment horizontal="center" vertical="center" wrapText="1"/>
    </xf>
    <xf numFmtId="17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12</xdr:row>
      <xdr:rowOff>38100</xdr:rowOff>
    </xdr:from>
    <xdr:to>
      <xdr:col>2</xdr:col>
      <xdr:colOff>990393</xdr:colOff>
      <xdr:row>14</xdr:row>
      <xdr:rowOff>161838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21220-EE7E-AFAE-AF47-C7941450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086100"/>
          <a:ext cx="1657143" cy="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1390650</xdr:colOff>
      <xdr:row>33</xdr:row>
      <xdr:rowOff>76200</xdr:rowOff>
    </xdr:from>
    <xdr:to>
      <xdr:col>4</xdr:col>
      <xdr:colOff>56948</xdr:colOff>
      <xdr:row>36</xdr:row>
      <xdr:rowOff>190414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D0C6BB-C4B4-90F3-F899-EBDFF56B3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6425" y="6934200"/>
          <a:ext cx="1619048" cy="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3324225</xdr:colOff>
      <xdr:row>48</xdr:row>
      <xdr:rowOff>51089</xdr:rowOff>
    </xdr:from>
    <xdr:to>
      <xdr:col>1</xdr:col>
      <xdr:colOff>1257130</xdr:colOff>
      <xdr:row>50</xdr:row>
      <xdr:rowOff>180882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85C61A-74B0-637B-E3E1-18AB716C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4225" y="9766589"/>
          <a:ext cx="1285705" cy="701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78D8-A25E-4B8B-8406-4B63370F2CEA}">
  <dimension ref="A1:M55"/>
  <sheetViews>
    <sheetView tabSelected="1" topLeftCell="B25" workbookViewId="0">
      <selection activeCell="M50" sqref="D50:M54"/>
    </sheetView>
  </sheetViews>
  <sheetFormatPr defaultRowHeight="15" x14ac:dyDescent="0.25"/>
  <cols>
    <col min="1" max="1" width="50.28515625" customWidth="1"/>
    <col min="2" max="2" width="22.5703125" customWidth="1"/>
    <col min="3" max="3" width="21.5703125" customWidth="1"/>
    <col min="4" max="4" width="22.7109375" customWidth="1"/>
    <col min="5" max="5" width="13.28515625" customWidth="1"/>
    <col min="6" max="6" width="27.42578125" customWidth="1"/>
    <col min="7" max="7" width="36.28515625" customWidth="1"/>
    <col min="8" max="8" width="16.7109375" customWidth="1"/>
    <col min="9" max="9" width="10.5703125" customWidth="1"/>
    <col min="10" max="10" width="19.42578125" customWidth="1"/>
  </cols>
  <sheetData>
    <row r="1" spans="1:8" x14ac:dyDescent="0.25">
      <c r="B1" s="5" t="s">
        <v>16</v>
      </c>
      <c r="C1" s="5"/>
    </row>
    <row r="2" spans="1:8" x14ac:dyDescent="0.25">
      <c r="B2" s="1" t="s">
        <v>0</v>
      </c>
      <c r="C2" s="3" t="s">
        <v>1</v>
      </c>
    </row>
    <row r="3" spans="1:8" x14ac:dyDescent="0.25">
      <c r="B3" s="4" t="s">
        <v>2</v>
      </c>
      <c r="C3" s="2" t="s">
        <v>3</v>
      </c>
    </row>
    <row r="4" spans="1:8" ht="30" x14ac:dyDescent="0.25">
      <c r="B4" s="4" t="s">
        <v>4</v>
      </c>
      <c r="C4" s="2" t="s">
        <v>5</v>
      </c>
    </row>
    <row r="5" spans="1:8" x14ac:dyDescent="0.25">
      <c r="B5" s="4" t="s">
        <v>6</v>
      </c>
      <c r="C5" s="2" t="s">
        <v>7</v>
      </c>
    </row>
    <row r="6" spans="1:8" x14ac:dyDescent="0.25">
      <c r="A6" s="9" t="s">
        <v>21</v>
      </c>
      <c r="B6" s="4" t="s">
        <v>8</v>
      </c>
      <c r="C6" s="2" t="s">
        <v>9</v>
      </c>
    </row>
    <row r="7" spans="1:8" x14ac:dyDescent="0.25">
      <c r="B7" s="15" t="s">
        <v>10</v>
      </c>
      <c r="C7" s="16" t="s">
        <v>11</v>
      </c>
    </row>
    <row r="8" spans="1:8" x14ac:dyDescent="0.25">
      <c r="B8" s="15" t="s">
        <v>12</v>
      </c>
      <c r="C8" s="16" t="s">
        <v>13</v>
      </c>
    </row>
    <row r="9" spans="1:8" x14ac:dyDescent="0.25">
      <c r="B9" s="15" t="s">
        <v>14</v>
      </c>
      <c r="C9" s="17">
        <v>45512</v>
      </c>
    </row>
    <row r="10" spans="1:8" x14ac:dyDescent="0.25">
      <c r="B10" s="15" t="s">
        <v>15</v>
      </c>
      <c r="C10" s="17">
        <v>46600</v>
      </c>
    </row>
    <row r="11" spans="1:8" s="8" customFormat="1" x14ac:dyDescent="0.25"/>
    <row r="12" spans="1:8" x14ac:dyDescent="0.25">
      <c r="C12" s="12" t="s">
        <v>17</v>
      </c>
    </row>
    <row r="13" spans="1:8" ht="30" x14ac:dyDescent="0.25">
      <c r="E13" s="1" t="s">
        <v>18</v>
      </c>
      <c r="F13" s="1" t="s">
        <v>26</v>
      </c>
      <c r="G13" s="1" t="s">
        <v>25</v>
      </c>
      <c r="H13" s="3" t="s">
        <v>2</v>
      </c>
    </row>
    <row r="14" spans="1:8" x14ac:dyDescent="0.25">
      <c r="E14" s="11">
        <v>1</v>
      </c>
      <c r="F14" s="13">
        <v>45559</v>
      </c>
      <c r="G14" s="11" t="s">
        <v>19</v>
      </c>
      <c r="H14" s="7">
        <v>0.06</v>
      </c>
    </row>
    <row r="15" spans="1:8" x14ac:dyDescent="0.25">
      <c r="A15" s="9" t="s">
        <v>24</v>
      </c>
      <c r="E15" s="11">
        <v>2</v>
      </c>
      <c r="F15" s="13">
        <v>45589</v>
      </c>
      <c r="G15" s="11" t="s">
        <v>19</v>
      </c>
      <c r="H15" s="7">
        <v>0.06</v>
      </c>
    </row>
    <row r="16" spans="1:8" x14ac:dyDescent="0.25">
      <c r="E16" s="11" t="s">
        <v>20</v>
      </c>
      <c r="F16" s="11" t="s">
        <v>20</v>
      </c>
      <c r="G16" s="11" t="s">
        <v>20</v>
      </c>
      <c r="H16" s="2" t="s">
        <v>20</v>
      </c>
    </row>
    <row r="17" spans="1:10" x14ac:dyDescent="0.25">
      <c r="E17" s="11">
        <v>24</v>
      </c>
      <c r="F17" s="13">
        <v>45530</v>
      </c>
      <c r="G17" s="11" t="s">
        <v>19</v>
      </c>
      <c r="H17" s="7">
        <v>0.06</v>
      </c>
    </row>
    <row r="18" spans="1:10" x14ac:dyDescent="0.25">
      <c r="E18" s="11" t="s">
        <v>20</v>
      </c>
      <c r="F18" s="11" t="s">
        <v>20</v>
      </c>
      <c r="G18" s="11" t="s">
        <v>20</v>
      </c>
      <c r="H18" s="2" t="s">
        <v>20</v>
      </c>
    </row>
    <row r="19" spans="1:10" x14ac:dyDescent="0.25">
      <c r="E19" s="11">
        <v>36</v>
      </c>
      <c r="F19" s="13">
        <v>45500</v>
      </c>
      <c r="G19" s="11" t="s">
        <v>19</v>
      </c>
      <c r="H19" s="7">
        <v>0.06</v>
      </c>
    </row>
    <row r="22" spans="1:10" x14ac:dyDescent="0.25">
      <c r="A22" s="9" t="s">
        <v>22</v>
      </c>
    </row>
    <row r="23" spans="1:10" ht="30" x14ac:dyDescent="0.25">
      <c r="A23" s="9" t="s">
        <v>23</v>
      </c>
      <c r="B23" s="9"/>
      <c r="E23" s="1" t="s">
        <v>18</v>
      </c>
      <c r="F23" s="1" t="s">
        <v>26</v>
      </c>
      <c r="G23" s="1" t="s">
        <v>31</v>
      </c>
      <c r="H23" s="3" t="s">
        <v>2</v>
      </c>
      <c r="I23" s="1" t="s">
        <v>30</v>
      </c>
      <c r="J23" s="1" t="s">
        <v>32</v>
      </c>
    </row>
    <row r="24" spans="1:10" x14ac:dyDescent="0.25">
      <c r="A24" s="14" t="s">
        <v>29</v>
      </c>
      <c r="E24" s="11">
        <v>1</v>
      </c>
      <c r="F24" s="13">
        <v>45559</v>
      </c>
      <c r="G24" s="18">
        <v>5.4100000000000002E-2</v>
      </c>
      <c r="H24" s="7">
        <v>0.06</v>
      </c>
      <c r="I24" s="6">
        <v>5.8999999999999999E-3</v>
      </c>
      <c r="J24" t="s">
        <v>33</v>
      </c>
    </row>
    <row r="25" spans="1:10" x14ac:dyDescent="0.25">
      <c r="A25" t="s">
        <v>27</v>
      </c>
      <c r="E25" s="11">
        <v>2</v>
      </c>
      <c r="F25" s="13">
        <v>45589</v>
      </c>
      <c r="G25" s="18">
        <v>5.1999999999999998E-2</v>
      </c>
      <c r="H25" s="7">
        <v>0.06</v>
      </c>
      <c r="I25" s="6">
        <f>H25-G25</f>
        <v>8.0000000000000002E-3</v>
      </c>
      <c r="J25" t="s">
        <v>36</v>
      </c>
    </row>
    <row r="26" spans="1:10" x14ac:dyDescent="0.25">
      <c r="A26" t="s">
        <v>28</v>
      </c>
      <c r="D26" s="9" t="s">
        <v>42</v>
      </c>
      <c r="E26" s="11" t="s">
        <v>20</v>
      </c>
      <c r="F26" s="11" t="s">
        <v>20</v>
      </c>
      <c r="G26" s="11" t="s">
        <v>20</v>
      </c>
      <c r="H26" s="2" t="s">
        <v>20</v>
      </c>
    </row>
    <row r="27" spans="1:10" x14ac:dyDescent="0.25">
      <c r="E27" s="11">
        <v>24</v>
      </c>
      <c r="F27" s="13">
        <v>46625</v>
      </c>
      <c r="G27" s="18">
        <v>6.25E-2</v>
      </c>
      <c r="H27" s="7">
        <v>0.06</v>
      </c>
      <c r="I27" s="6">
        <f>H27-G27</f>
        <v>-2.5000000000000022E-3</v>
      </c>
      <c r="J27" t="s">
        <v>34</v>
      </c>
    </row>
    <row r="28" spans="1:10" x14ac:dyDescent="0.25">
      <c r="E28" s="11" t="s">
        <v>20</v>
      </c>
      <c r="F28" s="11" t="s">
        <v>20</v>
      </c>
      <c r="G28" s="11" t="s">
        <v>20</v>
      </c>
      <c r="H28" s="2" t="s">
        <v>20</v>
      </c>
    </row>
    <row r="29" spans="1:10" x14ac:dyDescent="0.25">
      <c r="E29" s="11">
        <v>36</v>
      </c>
      <c r="F29" s="13">
        <v>46595</v>
      </c>
      <c r="G29" s="18">
        <v>6.5100000000000005E-2</v>
      </c>
      <c r="H29" s="7">
        <v>0.06</v>
      </c>
      <c r="I29" s="6">
        <f>H29-G29</f>
        <v>-5.1000000000000073E-3</v>
      </c>
      <c r="J29" t="s">
        <v>35</v>
      </c>
    </row>
    <row r="33" spans="1:10" x14ac:dyDescent="0.25">
      <c r="A33" s="21" t="s">
        <v>45</v>
      </c>
      <c r="D33" s="9" t="s">
        <v>37</v>
      </c>
    </row>
    <row r="35" spans="1:10" x14ac:dyDescent="0.25">
      <c r="G35" s="10" t="s">
        <v>38</v>
      </c>
      <c r="H35" s="19">
        <v>0.06</v>
      </c>
      <c r="I35" s="20">
        <f>H35-5.3%</f>
        <v>6.9999999999999993E-3</v>
      </c>
      <c r="J35" s="9" t="s">
        <v>39</v>
      </c>
    </row>
    <row r="38" spans="1:10" s="8" customFormat="1" x14ac:dyDescent="0.25"/>
    <row r="40" spans="1:10" x14ac:dyDescent="0.25">
      <c r="A40" s="9" t="s">
        <v>40</v>
      </c>
    </row>
    <row r="42" spans="1:10" x14ac:dyDescent="0.25">
      <c r="A42" t="s">
        <v>41</v>
      </c>
      <c r="D42" s="21" t="s">
        <v>44</v>
      </c>
    </row>
    <row r="45" spans="1:10" s="8" customFormat="1" x14ac:dyDescent="0.25"/>
    <row r="48" spans="1:10" x14ac:dyDescent="0.25">
      <c r="A48" t="s">
        <v>43</v>
      </c>
    </row>
    <row r="50" spans="4:13" ht="30" x14ac:dyDescent="0.25">
      <c r="D50" s="1" t="s">
        <v>46</v>
      </c>
      <c r="E50" s="3" t="s">
        <v>2</v>
      </c>
      <c r="F50" s="3" t="s">
        <v>47</v>
      </c>
      <c r="G50" s="3" t="s">
        <v>48</v>
      </c>
      <c r="H50" s="3" t="s">
        <v>49</v>
      </c>
      <c r="I50" s="3" t="s">
        <v>50</v>
      </c>
      <c r="J50" s="3" t="s">
        <v>51</v>
      </c>
      <c r="K50" s="3" t="s">
        <v>52</v>
      </c>
      <c r="L50" s="1" t="s">
        <v>53</v>
      </c>
      <c r="M50" s="1" t="s">
        <v>54</v>
      </c>
    </row>
    <row r="51" spans="4:13" x14ac:dyDescent="0.25">
      <c r="D51" s="4" t="s">
        <v>11</v>
      </c>
      <c r="E51" s="7">
        <v>0.06</v>
      </c>
      <c r="F51" s="7">
        <v>5.3199999999999997E-2</v>
      </c>
      <c r="G51" s="2" t="s">
        <v>55</v>
      </c>
      <c r="H51" s="2" t="s">
        <v>56</v>
      </c>
      <c r="I51" s="2" t="s">
        <v>56</v>
      </c>
      <c r="J51" s="2" t="s">
        <v>56</v>
      </c>
      <c r="K51" s="2" t="s">
        <v>56</v>
      </c>
      <c r="L51" s="2" t="s">
        <v>56</v>
      </c>
      <c r="M51" s="4" t="s">
        <v>56</v>
      </c>
    </row>
    <row r="52" spans="4:13" x14ac:dyDescent="0.25">
      <c r="D52" s="4" t="s">
        <v>57</v>
      </c>
      <c r="E52" s="7">
        <v>0.06</v>
      </c>
      <c r="F52" s="7">
        <v>5.21E-2</v>
      </c>
      <c r="G52" s="2" t="s">
        <v>58</v>
      </c>
      <c r="H52" s="2" t="s">
        <v>56</v>
      </c>
      <c r="I52" s="2" t="s">
        <v>56</v>
      </c>
      <c r="J52" s="2" t="s">
        <v>56</v>
      </c>
      <c r="K52" s="2" t="s">
        <v>56</v>
      </c>
      <c r="L52" s="2" t="s">
        <v>56</v>
      </c>
      <c r="M52" s="4" t="s">
        <v>56</v>
      </c>
    </row>
    <row r="53" spans="4:13" x14ac:dyDescent="0.25">
      <c r="D53" s="4" t="s">
        <v>59</v>
      </c>
      <c r="E53" s="7">
        <v>0.06</v>
      </c>
      <c r="F53" s="7">
        <v>4.87E-2</v>
      </c>
      <c r="G53" s="2" t="s">
        <v>60</v>
      </c>
      <c r="H53" s="2" t="s">
        <v>56</v>
      </c>
      <c r="I53" s="2" t="s">
        <v>56</v>
      </c>
      <c r="J53" s="2" t="s">
        <v>56</v>
      </c>
      <c r="K53" s="2" t="s">
        <v>56</v>
      </c>
      <c r="L53" s="2" t="s">
        <v>56</v>
      </c>
      <c r="M53" s="4" t="s">
        <v>56</v>
      </c>
    </row>
    <row r="54" spans="4:13" x14ac:dyDescent="0.25">
      <c r="D54" s="4" t="s">
        <v>61</v>
      </c>
      <c r="E54" s="7">
        <v>0.06</v>
      </c>
      <c r="F54" s="7">
        <v>4.4200000000000003E-2</v>
      </c>
      <c r="G54" s="2" t="s">
        <v>62</v>
      </c>
      <c r="H54" s="2" t="s">
        <v>56</v>
      </c>
      <c r="I54" s="2" t="s">
        <v>56</v>
      </c>
      <c r="J54" s="2" t="s">
        <v>56</v>
      </c>
      <c r="K54" s="2" t="s">
        <v>56</v>
      </c>
      <c r="L54" s="2" t="s">
        <v>56</v>
      </c>
      <c r="M54" s="4" t="s">
        <v>56</v>
      </c>
    </row>
    <row r="55" spans="4:13" x14ac:dyDescent="0.25">
      <c r="D55" s="4" t="s">
        <v>63</v>
      </c>
      <c r="E55" s="7">
        <v>0.06</v>
      </c>
      <c r="F55" s="7">
        <v>4.0099999999999997E-2</v>
      </c>
      <c r="G55" s="2" t="s">
        <v>64</v>
      </c>
      <c r="H55" s="2" t="s">
        <v>56</v>
      </c>
      <c r="I55" s="2" t="s">
        <v>56</v>
      </c>
      <c r="J55" s="2" t="s">
        <v>56</v>
      </c>
      <c r="K55" s="2" t="s">
        <v>56</v>
      </c>
      <c r="L55" s="2" t="s">
        <v>56</v>
      </c>
      <c r="M55" s="4" t="s">
        <v>56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CHOUKRI ABDELILAH</dc:creator>
  <cp:lastModifiedBy>CHOUKRI ABDELILAH</cp:lastModifiedBy>
  <dcterms:created xsi:type="dcterms:W3CDTF">2026-09-28T16:37:14Z</dcterms:created>
  <dcterms:modified xsi:type="dcterms:W3CDTF">2026-09-28T17:30:44Z</dcterms:modified>
</cp:coreProperties>
</file>