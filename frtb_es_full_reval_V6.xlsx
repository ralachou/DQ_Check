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b46584a777bbbf/Python/AI/FRTB_IMA/Full_Reval/"/>
    </mc:Choice>
  </mc:AlternateContent>
  <xr:revisionPtr revIDLastSave="3" documentId="11_F67527D59E076CDF0391EA74F90E45273306EE01" xr6:coauthVersionLast="47" xr6:coauthVersionMax="47" xr10:uidLastSave="{020580AD-9A97-44BB-AAFA-DA9FC7360404}"/>
  <bookViews>
    <workbookView xWindow="28680" yWindow="-120" windowWidth="29040" windowHeight="15840" tabRatio="500" activeTab="6" xr2:uid="{00000000-000D-0000-FFFF-FFFF00000000}"/>
  </bookViews>
  <sheets>
    <sheet name="ReadMe" sheetId="1" r:id="rId1"/>
    <sheet name="Formula" sheetId="7" r:id="rId2"/>
    <sheet name="Trade_Info" sheetId="2" r:id="rId3"/>
    <sheet name="Curves" sheetId="3" r:id="rId4"/>
    <sheet name="SABR" sheetId="4" r:id="rId5"/>
    <sheet name="NPV_Engine" sheetId="5" r:id="rId6"/>
    <sheet name="PnL_Summary" sheetId="6" r:id="rId7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3" i="5" l="1"/>
  <c r="F73" i="5"/>
  <c r="E73" i="5"/>
  <c r="B73" i="5"/>
  <c r="G72" i="5"/>
  <c r="F72" i="5"/>
  <c r="E72" i="5"/>
  <c r="B72" i="5"/>
  <c r="G71" i="5"/>
  <c r="F71" i="5"/>
  <c r="E71" i="5"/>
  <c r="B71" i="5"/>
  <c r="G70" i="5"/>
  <c r="F70" i="5"/>
  <c r="E70" i="5"/>
  <c r="B70" i="5"/>
  <c r="G69" i="5"/>
  <c r="F69" i="5"/>
  <c r="E69" i="5"/>
  <c r="B69" i="5"/>
  <c r="G68" i="5"/>
  <c r="F68" i="5"/>
  <c r="E68" i="5"/>
  <c r="B68" i="5"/>
  <c r="G67" i="5"/>
  <c r="F67" i="5"/>
  <c r="E67" i="5"/>
  <c r="B67" i="5"/>
  <c r="G66" i="5"/>
  <c r="F66" i="5"/>
  <c r="E66" i="5"/>
  <c r="B66" i="5"/>
  <c r="G65" i="5"/>
  <c r="F65" i="5"/>
  <c r="E65" i="5"/>
  <c r="B65" i="5"/>
  <c r="G64" i="5"/>
  <c r="F64" i="5"/>
  <c r="E64" i="5"/>
  <c r="B64" i="5"/>
  <c r="H63" i="5"/>
  <c r="G63" i="5"/>
  <c r="F63" i="5"/>
  <c r="E63" i="5"/>
  <c r="B63" i="5"/>
  <c r="H58" i="5"/>
  <c r="B58" i="5"/>
  <c r="H57" i="5"/>
  <c r="B57" i="5"/>
  <c r="H56" i="5"/>
  <c r="B56" i="5"/>
  <c r="H55" i="5"/>
  <c r="B55" i="5"/>
  <c r="H54" i="5"/>
  <c r="B54" i="5"/>
  <c r="H53" i="5"/>
  <c r="B53" i="5"/>
  <c r="H52" i="5"/>
  <c r="B52" i="5"/>
  <c r="H51" i="5"/>
  <c r="B51" i="5"/>
  <c r="H50" i="5"/>
  <c r="B50" i="5"/>
  <c r="H49" i="5"/>
  <c r="B49" i="5"/>
  <c r="H48" i="5"/>
  <c r="G48" i="5"/>
  <c r="F48" i="5"/>
  <c r="E48" i="5"/>
  <c r="B48" i="5"/>
  <c r="H43" i="5"/>
  <c r="G43" i="5"/>
  <c r="F43" i="5"/>
  <c r="E43" i="5"/>
  <c r="H42" i="5"/>
  <c r="G42" i="5"/>
  <c r="F42" i="5"/>
  <c r="E42" i="5"/>
  <c r="H41" i="5"/>
  <c r="G41" i="5"/>
  <c r="F41" i="5"/>
  <c r="E41" i="5"/>
  <c r="D41" i="5"/>
  <c r="H40" i="5"/>
  <c r="G40" i="5"/>
  <c r="F40" i="5"/>
  <c r="E40" i="5"/>
  <c r="H39" i="5"/>
  <c r="G39" i="5"/>
  <c r="F39" i="5"/>
  <c r="E39" i="5"/>
  <c r="H38" i="5"/>
  <c r="G38" i="5"/>
  <c r="F38" i="5"/>
  <c r="E38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B33" i="5"/>
  <c r="D26" i="5"/>
  <c r="H18" i="5"/>
  <c r="G18" i="5"/>
  <c r="F18" i="5"/>
  <c r="E18" i="5"/>
  <c r="B18" i="5"/>
  <c r="B12" i="5"/>
  <c r="B11" i="5"/>
  <c r="B10" i="5"/>
  <c r="B9" i="5"/>
  <c r="B8" i="5"/>
  <c r="C73" i="5" s="1"/>
  <c r="B7" i="5"/>
  <c r="B4" i="5"/>
  <c r="AV192" i="4"/>
  <c r="AT192" i="4"/>
  <c r="AR192" i="4"/>
  <c r="AP192" i="4"/>
  <c r="AO192" i="4"/>
  <c r="AN192" i="4"/>
  <c r="AM192" i="4"/>
  <c r="AJ192" i="4"/>
  <c r="AI192" i="4"/>
  <c r="AH192" i="4"/>
  <c r="AG192" i="4"/>
  <c r="AF192" i="4"/>
  <c r="AE192" i="4"/>
  <c r="AD192" i="4"/>
  <c r="AC192" i="4"/>
  <c r="AB192" i="4"/>
  <c r="AA192" i="4"/>
  <c r="X192" i="4"/>
  <c r="W192" i="4"/>
  <c r="AU192" i="4" s="1"/>
  <c r="V192" i="4"/>
  <c r="U192" i="4"/>
  <c r="T192" i="4"/>
  <c r="S192" i="4"/>
  <c r="R192" i="4"/>
  <c r="Q192" i="4"/>
  <c r="P192" i="4"/>
  <c r="O192" i="4"/>
  <c r="L192" i="4"/>
  <c r="K192" i="4"/>
  <c r="J192" i="4"/>
  <c r="I192" i="4"/>
  <c r="AS192" i="4" s="1"/>
  <c r="H192" i="4"/>
  <c r="G192" i="4"/>
  <c r="AQ192" i="4" s="1"/>
  <c r="F192" i="4"/>
  <c r="E192" i="4"/>
  <c r="D192" i="4"/>
  <c r="C192" i="4"/>
  <c r="AV191" i="4"/>
  <c r="AT191" i="4"/>
  <c r="AS191" i="4"/>
  <c r="AR191" i="4"/>
  <c r="AQ191" i="4"/>
  <c r="AP191" i="4"/>
  <c r="AN191" i="4"/>
  <c r="AJ191" i="4"/>
  <c r="AI191" i="4"/>
  <c r="AH191" i="4"/>
  <c r="AG191" i="4"/>
  <c r="AF191" i="4"/>
  <c r="AE191" i="4"/>
  <c r="AD191" i="4"/>
  <c r="AC191" i="4"/>
  <c r="AO191" i="4" s="1"/>
  <c r="AB191" i="4"/>
  <c r="AA191" i="4"/>
  <c r="X191" i="4"/>
  <c r="W191" i="4"/>
  <c r="V191" i="4"/>
  <c r="U191" i="4"/>
  <c r="T191" i="4"/>
  <c r="S191" i="4"/>
  <c r="R191" i="4"/>
  <c r="Q191" i="4"/>
  <c r="P191" i="4"/>
  <c r="O191" i="4"/>
  <c r="AM191" i="4" s="1"/>
  <c r="L191" i="4"/>
  <c r="K191" i="4"/>
  <c r="AU191" i="4" s="1"/>
  <c r="J191" i="4"/>
  <c r="I191" i="4"/>
  <c r="H191" i="4"/>
  <c r="G191" i="4"/>
  <c r="F191" i="4"/>
  <c r="E191" i="4"/>
  <c r="D191" i="4"/>
  <c r="C191" i="4"/>
  <c r="AV190" i="4"/>
  <c r="AU190" i="4"/>
  <c r="AT190" i="4"/>
  <c r="AR190" i="4"/>
  <c r="AP190" i="4"/>
  <c r="AN190" i="4"/>
  <c r="AJ190" i="4"/>
  <c r="AI190" i="4"/>
  <c r="AH190" i="4"/>
  <c r="AG190" i="4"/>
  <c r="AS190" i="4" s="1"/>
  <c r="AF190" i="4"/>
  <c r="AE190" i="4"/>
  <c r="AD190" i="4"/>
  <c r="AC190" i="4"/>
  <c r="AB190" i="4"/>
  <c r="AA190" i="4"/>
  <c r="X190" i="4"/>
  <c r="W190" i="4"/>
  <c r="V190" i="4"/>
  <c r="U190" i="4"/>
  <c r="T190" i="4"/>
  <c r="S190" i="4"/>
  <c r="AQ190" i="4" s="1"/>
  <c r="R190" i="4"/>
  <c r="Q190" i="4"/>
  <c r="P190" i="4"/>
  <c r="O190" i="4"/>
  <c r="L190" i="4"/>
  <c r="K190" i="4"/>
  <c r="J190" i="4"/>
  <c r="I190" i="4"/>
  <c r="H190" i="4"/>
  <c r="G190" i="4"/>
  <c r="F190" i="4"/>
  <c r="E190" i="4"/>
  <c r="AO190" i="4" s="1"/>
  <c r="D190" i="4"/>
  <c r="C190" i="4"/>
  <c r="AM190" i="4" s="1"/>
  <c r="AV189" i="4"/>
  <c r="AT189" i="4"/>
  <c r="AR189" i="4"/>
  <c r="AP189" i="4"/>
  <c r="AO189" i="4"/>
  <c r="AN189" i="4"/>
  <c r="AM189" i="4"/>
  <c r="AJ189" i="4"/>
  <c r="AI189" i="4"/>
  <c r="AH189" i="4"/>
  <c r="AG189" i="4"/>
  <c r="AF189" i="4"/>
  <c r="AE189" i="4"/>
  <c r="AD189" i="4"/>
  <c r="AC189" i="4"/>
  <c r="AB189" i="4"/>
  <c r="AA189" i="4"/>
  <c r="X189" i="4"/>
  <c r="W189" i="4"/>
  <c r="AU189" i="4" s="1"/>
  <c r="V189" i="4"/>
  <c r="U189" i="4"/>
  <c r="T189" i="4"/>
  <c r="S189" i="4"/>
  <c r="R189" i="4"/>
  <c r="Q189" i="4"/>
  <c r="P189" i="4"/>
  <c r="O189" i="4"/>
  <c r="L189" i="4"/>
  <c r="K189" i="4"/>
  <c r="J189" i="4"/>
  <c r="I189" i="4"/>
  <c r="AS189" i="4" s="1"/>
  <c r="H189" i="4"/>
  <c r="G189" i="4"/>
  <c r="AQ189" i="4" s="1"/>
  <c r="F189" i="4"/>
  <c r="E189" i="4"/>
  <c r="D189" i="4"/>
  <c r="C189" i="4"/>
  <c r="AV188" i="4"/>
  <c r="AT188" i="4"/>
  <c r="AS188" i="4"/>
  <c r="AR188" i="4"/>
  <c r="AQ188" i="4"/>
  <c r="AP188" i="4"/>
  <c r="AN188" i="4"/>
  <c r="AJ188" i="4"/>
  <c r="AI188" i="4"/>
  <c r="AH188" i="4"/>
  <c r="AG188" i="4"/>
  <c r="AF188" i="4"/>
  <c r="AE188" i="4"/>
  <c r="AD188" i="4"/>
  <c r="AC188" i="4"/>
  <c r="AO188" i="4" s="1"/>
  <c r="AB188" i="4"/>
  <c r="AA188" i="4"/>
  <c r="X188" i="4"/>
  <c r="W188" i="4"/>
  <c r="V188" i="4"/>
  <c r="U188" i="4"/>
  <c r="T188" i="4"/>
  <c r="S188" i="4"/>
  <c r="R188" i="4"/>
  <c r="Q188" i="4"/>
  <c r="P188" i="4"/>
  <c r="O188" i="4"/>
  <c r="AM188" i="4" s="1"/>
  <c r="L188" i="4"/>
  <c r="K188" i="4"/>
  <c r="AU188" i="4" s="1"/>
  <c r="J188" i="4"/>
  <c r="I188" i="4"/>
  <c r="H188" i="4"/>
  <c r="G188" i="4"/>
  <c r="F188" i="4"/>
  <c r="E188" i="4"/>
  <c r="D188" i="4"/>
  <c r="C188" i="4"/>
  <c r="AV187" i="4"/>
  <c r="AU187" i="4"/>
  <c r="AT187" i="4"/>
  <c r="AR187" i="4"/>
  <c r="AP187" i="4"/>
  <c r="AN187" i="4"/>
  <c r="AJ187" i="4"/>
  <c r="AI187" i="4"/>
  <c r="AH187" i="4"/>
  <c r="AG187" i="4"/>
  <c r="AS187" i="4" s="1"/>
  <c r="AF187" i="4"/>
  <c r="AE187" i="4"/>
  <c r="AD187" i="4"/>
  <c r="AC187" i="4"/>
  <c r="AB187" i="4"/>
  <c r="AA187" i="4"/>
  <c r="X187" i="4"/>
  <c r="W187" i="4"/>
  <c r="V187" i="4"/>
  <c r="U187" i="4"/>
  <c r="T187" i="4"/>
  <c r="S187" i="4"/>
  <c r="AQ187" i="4" s="1"/>
  <c r="R187" i="4"/>
  <c r="Q187" i="4"/>
  <c r="P187" i="4"/>
  <c r="O187" i="4"/>
  <c r="L187" i="4"/>
  <c r="K187" i="4"/>
  <c r="J187" i="4"/>
  <c r="I187" i="4"/>
  <c r="H187" i="4"/>
  <c r="G187" i="4"/>
  <c r="F187" i="4"/>
  <c r="E187" i="4"/>
  <c r="AO187" i="4" s="1"/>
  <c r="D187" i="4"/>
  <c r="C187" i="4"/>
  <c r="AM187" i="4" s="1"/>
  <c r="AV186" i="4"/>
  <c r="AT186" i="4"/>
  <c r="D43" i="5" s="1"/>
  <c r="AR186" i="4"/>
  <c r="AP186" i="4"/>
  <c r="AO186" i="4"/>
  <c r="AN186" i="4"/>
  <c r="AM186" i="4"/>
  <c r="AJ186" i="4"/>
  <c r="AI186" i="4"/>
  <c r="AH186" i="4"/>
  <c r="AG186" i="4"/>
  <c r="AF186" i="4"/>
  <c r="AE186" i="4"/>
  <c r="AD186" i="4"/>
  <c r="AC186" i="4"/>
  <c r="AB186" i="4"/>
  <c r="AA186" i="4"/>
  <c r="X186" i="4"/>
  <c r="W186" i="4"/>
  <c r="AU186" i="4" s="1"/>
  <c r="V186" i="4"/>
  <c r="U186" i="4"/>
  <c r="T186" i="4"/>
  <c r="S186" i="4"/>
  <c r="R186" i="4"/>
  <c r="Q186" i="4"/>
  <c r="P186" i="4"/>
  <c r="O186" i="4"/>
  <c r="L186" i="4"/>
  <c r="K186" i="4"/>
  <c r="J186" i="4"/>
  <c r="I186" i="4"/>
  <c r="AS186" i="4" s="1"/>
  <c r="H186" i="4"/>
  <c r="G186" i="4"/>
  <c r="AQ186" i="4" s="1"/>
  <c r="F186" i="4"/>
  <c r="E186" i="4"/>
  <c r="D186" i="4"/>
  <c r="C186" i="4"/>
  <c r="AV185" i="4"/>
  <c r="AT185" i="4"/>
  <c r="AS185" i="4"/>
  <c r="AR185" i="4"/>
  <c r="AQ185" i="4"/>
  <c r="AP185" i="4"/>
  <c r="AN185" i="4"/>
  <c r="AJ185" i="4"/>
  <c r="AI185" i="4"/>
  <c r="AH185" i="4"/>
  <c r="AG185" i="4"/>
  <c r="AF185" i="4"/>
  <c r="AE185" i="4"/>
  <c r="AD185" i="4"/>
  <c r="AC185" i="4"/>
  <c r="AO185" i="4" s="1"/>
  <c r="AB185" i="4"/>
  <c r="AA185" i="4"/>
  <c r="X185" i="4"/>
  <c r="W185" i="4"/>
  <c r="V185" i="4"/>
  <c r="U185" i="4"/>
  <c r="T185" i="4"/>
  <c r="S185" i="4"/>
  <c r="R185" i="4"/>
  <c r="Q185" i="4"/>
  <c r="P185" i="4"/>
  <c r="O185" i="4"/>
  <c r="AM185" i="4" s="1"/>
  <c r="L185" i="4"/>
  <c r="K185" i="4"/>
  <c r="AU185" i="4" s="1"/>
  <c r="J185" i="4"/>
  <c r="I185" i="4"/>
  <c r="H185" i="4"/>
  <c r="G185" i="4"/>
  <c r="F185" i="4"/>
  <c r="E185" i="4"/>
  <c r="D185" i="4"/>
  <c r="C185" i="4"/>
  <c r="AV184" i="4"/>
  <c r="AU184" i="4"/>
  <c r="AT184" i="4"/>
  <c r="AR184" i="4"/>
  <c r="AP184" i="4"/>
  <c r="AN184" i="4"/>
  <c r="AJ184" i="4"/>
  <c r="AI184" i="4"/>
  <c r="AH184" i="4"/>
  <c r="AG184" i="4"/>
  <c r="AS184" i="4" s="1"/>
  <c r="AF184" i="4"/>
  <c r="AE184" i="4"/>
  <c r="AD184" i="4"/>
  <c r="AC184" i="4"/>
  <c r="AB184" i="4"/>
  <c r="AA184" i="4"/>
  <c r="X184" i="4"/>
  <c r="W184" i="4"/>
  <c r="V184" i="4"/>
  <c r="U184" i="4"/>
  <c r="T184" i="4"/>
  <c r="S184" i="4"/>
  <c r="AQ184" i="4" s="1"/>
  <c r="R184" i="4"/>
  <c r="Q184" i="4"/>
  <c r="P184" i="4"/>
  <c r="O184" i="4"/>
  <c r="L184" i="4"/>
  <c r="K184" i="4"/>
  <c r="J184" i="4"/>
  <c r="I184" i="4"/>
  <c r="H184" i="4"/>
  <c r="G184" i="4"/>
  <c r="F184" i="4"/>
  <c r="E184" i="4"/>
  <c r="AO184" i="4" s="1"/>
  <c r="D184" i="4"/>
  <c r="C184" i="4"/>
  <c r="AM184" i="4" s="1"/>
  <c r="AV183" i="4"/>
  <c r="AT183" i="4"/>
  <c r="AR183" i="4"/>
  <c r="AP183" i="4"/>
  <c r="AO183" i="4"/>
  <c r="AN183" i="4"/>
  <c r="AM183" i="4"/>
  <c r="AJ183" i="4"/>
  <c r="AI183" i="4"/>
  <c r="AH183" i="4"/>
  <c r="AG183" i="4"/>
  <c r="AF183" i="4"/>
  <c r="AE183" i="4"/>
  <c r="AD183" i="4"/>
  <c r="AC183" i="4"/>
  <c r="AB183" i="4"/>
  <c r="AA183" i="4"/>
  <c r="X183" i="4"/>
  <c r="W183" i="4"/>
  <c r="AU183" i="4" s="1"/>
  <c r="V183" i="4"/>
  <c r="U183" i="4"/>
  <c r="T183" i="4"/>
  <c r="S183" i="4"/>
  <c r="R183" i="4"/>
  <c r="Q183" i="4"/>
  <c r="P183" i="4"/>
  <c r="O183" i="4"/>
  <c r="L183" i="4"/>
  <c r="K183" i="4"/>
  <c r="J183" i="4"/>
  <c r="I183" i="4"/>
  <c r="AS183" i="4" s="1"/>
  <c r="H183" i="4"/>
  <c r="G183" i="4"/>
  <c r="AQ183" i="4" s="1"/>
  <c r="F183" i="4"/>
  <c r="E183" i="4"/>
  <c r="D183" i="4"/>
  <c r="C183" i="4"/>
  <c r="AV178" i="4"/>
  <c r="AT178" i="4"/>
  <c r="AS178" i="4"/>
  <c r="AR178" i="4"/>
  <c r="AQ178" i="4"/>
  <c r="AP178" i="4"/>
  <c r="AN178" i="4"/>
  <c r="AJ178" i="4"/>
  <c r="AI178" i="4"/>
  <c r="AH178" i="4"/>
  <c r="AG178" i="4"/>
  <c r="AF178" i="4"/>
  <c r="AE178" i="4"/>
  <c r="AD178" i="4"/>
  <c r="AC178" i="4"/>
  <c r="AO178" i="4" s="1"/>
  <c r="AB178" i="4"/>
  <c r="AA178" i="4"/>
  <c r="X178" i="4"/>
  <c r="W178" i="4"/>
  <c r="V178" i="4"/>
  <c r="U178" i="4"/>
  <c r="T178" i="4"/>
  <c r="S178" i="4"/>
  <c r="R178" i="4"/>
  <c r="Q178" i="4"/>
  <c r="P178" i="4"/>
  <c r="O178" i="4"/>
  <c r="AM178" i="4" s="1"/>
  <c r="L178" i="4"/>
  <c r="K178" i="4"/>
  <c r="AU178" i="4" s="1"/>
  <c r="J178" i="4"/>
  <c r="I178" i="4"/>
  <c r="H178" i="4"/>
  <c r="G178" i="4"/>
  <c r="F178" i="4"/>
  <c r="E178" i="4"/>
  <c r="D178" i="4"/>
  <c r="C178" i="4"/>
  <c r="AV177" i="4"/>
  <c r="AU177" i="4"/>
  <c r="AT177" i="4"/>
  <c r="AR177" i="4"/>
  <c r="AP177" i="4"/>
  <c r="AN177" i="4"/>
  <c r="AJ177" i="4"/>
  <c r="AI177" i="4"/>
  <c r="AH177" i="4"/>
  <c r="AG177" i="4"/>
  <c r="AS177" i="4" s="1"/>
  <c r="AF177" i="4"/>
  <c r="AE177" i="4"/>
  <c r="AD177" i="4"/>
  <c r="AC177" i="4"/>
  <c r="AB177" i="4"/>
  <c r="AA177" i="4"/>
  <c r="X177" i="4"/>
  <c r="W177" i="4"/>
  <c r="V177" i="4"/>
  <c r="U177" i="4"/>
  <c r="T177" i="4"/>
  <c r="S177" i="4"/>
  <c r="AQ177" i="4" s="1"/>
  <c r="R177" i="4"/>
  <c r="Q177" i="4"/>
  <c r="P177" i="4"/>
  <c r="O177" i="4"/>
  <c r="L177" i="4"/>
  <c r="K177" i="4"/>
  <c r="J177" i="4"/>
  <c r="I177" i="4"/>
  <c r="H177" i="4"/>
  <c r="G177" i="4"/>
  <c r="F177" i="4"/>
  <c r="E177" i="4"/>
  <c r="AO177" i="4" s="1"/>
  <c r="D177" i="4"/>
  <c r="C177" i="4"/>
  <c r="AM177" i="4" s="1"/>
  <c r="AV176" i="4"/>
  <c r="AT176" i="4"/>
  <c r="AR176" i="4"/>
  <c r="AP176" i="4"/>
  <c r="AO176" i="4"/>
  <c r="AN176" i="4"/>
  <c r="AM176" i="4"/>
  <c r="AJ176" i="4"/>
  <c r="AI176" i="4"/>
  <c r="AH176" i="4"/>
  <c r="AG176" i="4"/>
  <c r="AF176" i="4"/>
  <c r="AE176" i="4"/>
  <c r="AD176" i="4"/>
  <c r="AC176" i="4"/>
  <c r="AB176" i="4"/>
  <c r="AA176" i="4"/>
  <c r="X176" i="4"/>
  <c r="W176" i="4"/>
  <c r="AU176" i="4" s="1"/>
  <c r="V176" i="4"/>
  <c r="U176" i="4"/>
  <c r="T176" i="4"/>
  <c r="S176" i="4"/>
  <c r="R176" i="4"/>
  <c r="Q176" i="4"/>
  <c r="P176" i="4"/>
  <c r="O176" i="4"/>
  <c r="L176" i="4"/>
  <c r="K176" i="4"/>
  <c r="J176" i="4"/>
  <c r="I176" i="4"/>
  <c r="AS176" i="4" s="1"/>
  <c r="H176" i="4"/>
  <c r="G176" i="4"/>
  <c r="AQ176" i="4" s="1"/>
  <c r="F176" i="4"/>
  <c r="E176" i="4"/>
  <c r="D176" i="4"/>
  <c r="C176" i="4"/>
  <c r="AV175" i="4"/>
  <c r="AT175" i="4"/>
  <c r="AS175" i="4"/>
  <c r="AR175" i="4"/>
  <c r="AQ175" i="4"/>
  <c r="AP175" i="4"/>
  <c r="AN175" i="4"/>
  <c r="AJ175" i="4"/>
  <c r="AI175" i="4"/>
  <c r="AH175" i="4"/>
  <c r="AG175" i="4"/>
  <c r="AF175" i="4"/>
  <c r="AE175" i="4"/>
  <c r="AD175" i="4"/>
  <c r="AC175" i="4"/>
  <c r="AO175" i="4" s="1"/>
  <c r="AB175" i="4"/>
  <c r="AA175" i="4"/>
  <c r="X175" i="4"/>
  <c r="W175" i="4"/>
  <c r="V175" i="4"/>
  <c r="U175" i="4"/>
  <c r="T175" i="4"/>
  <c r="S175" i="4"/>
  <c r="R175" i="4"/>
  <c r="Q175" i="4"/>
  <c r="P175" i="4"/>
  <c r="O175" i="4"/>
  <c r="AM175" i="4" s="1"/>
  <c r="L175" i="4"/>
  <c r="K175" i="4"/>
  <c r="AU175" i="4" s="1"/>
  <c r="J175" i="4"/>
  <c r="I175" i="4"/>
  <c r="H175" i="4"/>
  <c r="G175" i="4"/>
  <c r="F175" i="4"/>
  <c r="E175" i="4"/>
  <c r="D175" i="4"/>
  <c r="C175" i="4"/>
  <c r="AV174" i="4"/>
  <c r="AU174" i="4"/>
  <c r="AT174" i="4"/>
  <c r="AR174" i="4"/>
  <c r="AP174" i="4"/>
  <c r="AN174" i="4"/>
  <c r="AJ174" i="4"/>
  <c r="AI174" i="4"/>
  <c r="AH174" i="4"/>
  <c r="AG174" i="4"/>
  <c r="AS174" i="4" s="1"/>
  <c r="AF174" i="4"/>
  <c r="AE174" i="4"/>
  <c r="AD174" i="4"/>
  <c r="AC174" i="4"/>
  <c r="AB174" i="4"/>
  <c r="AA174" i="4"/>
  <c r="X174" i="4"/>
  <c r="W174" i="4"/>
  <c r="V174" i="4"/>
  <c r="U174" i="4"/>
  <c r="T174" i="4"/>
  <c r="S174" i="4"/>
  <c r="AQ174" i="4" s="1"/>
  <c r="R174" i="4"/>
  <c r="Q174" i="4"/>
  <c r="P174" i="4"/>
  <c r="O174" i="4"/>
  <c r="L174" i="4"/>
  <c r="K174" i="4"/>
  <c r="J174" i="4"/>
  <c r="I174" i="4"/>
  <c r="H174" i="4"/>
  <c r="G174" i="4"/>
  <c r="F174" i="4"/>
  <c r="E174" i="4"/>
  <c r="AO174" i="4" s="1"/>
  <c r="D174" i="4"/>
  <c r="C174" i="4"/>
  <c r="AM174" i="4" s="1"/>
  <c r="AV173" i="4"/>
  <c r="AT173" i="4"/>
  <c r="AR173" i="4"/>
  <c r="AP173" i="4"/>
  <c r="AO173" i="4"/>
  <c r="AN173" i="4"/>
  <c r="AM173" i="4"/>
  <c r="AJ173" i="4"/>
  <c r="AI173" i="4"/>
  <c r="AH173" i="4"/>
  <c r="AG173" i="4"/>
  <c r="AF173" i="4"/>
  <c r="AE173" i="4"/>
  <c r="AD173" i="4"/>
  <c r="AC173" i="4"/>
  <c r="AB173" i="4"/>
  <c r="AA173" i="4"/>
  <c r="X173" i="4"/>
  <c r="W173" i="4"/>
  <c r="AU173" i="4" s="1"/>
  <c r="V173" i="4"/>
  <c r="U173" i="4"/>
  <c r="T173" i="4"/>
  <c r="S173" i="4"/>
  <c r="R173" i="4"/>
  <c r="Q173" i="4"/>
  <c r="P173" i="4"/>
  <c r="O173" i="4"/>
  <c r="L173" i="4"/>
  <c r="K173" i="4"/>
  <c r="J173" i="4"/>
  <c r="I173" i="4"/>
  <c r="AS173" i="4" s="1"/>
  <c r="H173" i="4"/>
  <c r="G173" i="4"/>
  <c r="AQ173" i="4" s="1"/>
  <c r="F173" i="4"/>
  <c r="E173" i="4"/>
  <c r="D173" i="4"/>
  <c r="C173" i="4"/>
  <c r="AV172" i="4"/>
  <c r="AT172" i="4"/>
  <c r="D42" i="5" s="1"/>
  <c r="AS172" i="4"/>
  <c r="AR172" i="4"/>
  <c r="AQ172" i="4"/>
  <c r="AP172" i="4"/>
  <c r="AN172" i="4"/>
  <c r="AJ172" i="4"/>
  <c r="AI172" i="4"/>
  <c r="AH172" i="4"/>
  <c r="AG172" i="4"/>
  <c r="AF172" i="4"/>
  <c r="AE172" i="4"/>
  <c r="AD172" i="4"/>
  <c r="AC172" i="4"/>
  <c r="AO172" i="4" s="1"/>
  <c r="AB172" i="4"/>
  <c r="AA172" i="4"/>
  <c r="X172" i="4"/>
  <c r="W172" i="4"/>
  <c r="V172" i="4"/>
  <c r="U172" i="4"/>
  <c r="T172" i="4"/>
  <c r="S172" i="4"/>
  <c r="R172" i="4"/>
  <c r="Q172" i="4"/>
  <c r="P172" i="4"/>
  <c r="O172" i="4"/>
  <c r="AM172" i="4" s="1"/>
  <c r="L172" i="4"/>
  <c r="K172" i="4"/>
  <c r="AU172" i="4" s="1"/>
  <c r="J172" i="4"/>
  <c r="I172" i="4"/>
  <c r="H172" i="4"/>
  <c r="G172" i="4"/>
  <c r="F172" i="4"/>
  <c r="E172" i="4"/>
  <c r="D172" i="4"/>
  <c r="C172" i="4"/>
  <c r="AV171" i="4"/>
  <c r="AU171" i="4"/>
  <c r="AT171" i="4"/>
  <c r="AR171" i="4"/>
  <c r="AP171" i="4"/>
  <c r="AN171" i="4"/>
  <c r="AJ171" i="4"/>
  <c r="AI171" i="4"/>
  <c r="AH171" i="4"/>
  <c r="AG171" i="4"/>
  <c r="AS171" i="4" s="1"/>
  <c r="AF171" i="4"/>
  <c r="AE171" i="4"/>
  <c r="AD171" i="4"/>
  <c r="AC171" i="4"/>
  <c r="AB171" i="4"/>
  <c r="AA171" i="4"/>
  <c r="X171" i="4"/>
  <c r="W171" i="4"/>
  <c r="V171" i="4"/>
  <c r="U171" i="4"/>
  <c r="T171" i="4"/>
  <c r="S171" i="4"/>
  <c r="AQ171" i="4" s="1"/>
  <c r="R171" i="4"/>
  <c r="Q171" i="4"/>
  <c r="P171" i="4"/>
  <c r="O171" i="4"/>
  <c r="L171" i="4"/>
  <c r="K171" i="4"/>
  <c r="J171" i="4"/>
  <c r="I171" i="4"/>
  <c r="H171" i="4"/>
  <c r="G171" i="4"/>
  <c r="F171" i="4"/>
  <c r="E171" i="4"/>
  <c r="AO171" i="4" s="1"/>
  <c r="D171" i="4"/>
  <c r="C171" i="4"/>
  <c r="AM171" i="4" s="1"/>
  <c r="AV170" i="4"/>
  <c r="AT170" i="4"/>
  <c r="AR170" i="4"/>
  <c r="AP170" i="4"/>
  <c r="AO170" i="4"/>
  <c r="AN170" i="4"/>
  <c r="AM170" i="4"/>
  <c r="AJ170" i="4"/>
  <c r="AI170" i="4"/>
  <c r="AH170" i="4"/>
  <c r="AG170" i="4"/>
  <c r="AF170" i="4"/>
  <c r="AE170" i="4"/>
  <c r="AD170" i="4"/>
  <c r="AC170" i="4"/>
  <c r="AB170" i="4"/>
  <c r="AA170" i="4"/>
  <c r="X170" i="4"/>
  <c r="W170" i="4"/>
  <c r="AU170" i="4" s="1"/>
  <c r="V170" i="4"/>
  <c r="U170" i="4"/>
  <c r="T170" i="4"/>
  <c r="S170" i="4"/>
  <c r="R170" i="4"/>
  <c r="Q170" i="4"/>
  <c r="P170" i="4"/>
  <c r="O170" i="4"/>
  <c r="L170" i="4"/>
  <c r="K170" i="4"/>
  <c r="J170" i="4"/>
  <c r="I170" i="4"/>
  <c r="AS170" i="4" s="1"/>
  <c r="H170" i="4"/>
  <c r="G170" i="4"/>
  <c r="AQ170" i="4" s="1"/>
  <c r="F170" i="4"/>
  <c r="E170" i="4"/>
  <c r="D170" i="4"/>
  <c r="C170" i="4"/>
  <c r="AV169" i="4"/>
  <c r="AT169" i="4"/>
  <c r="AS169" i="4"/>
  <c r="AR169" i="4"/>
  <c r="AQ169" i="4"/>
  <c r="AP169" i="4"/>
  <c r="AN169" i="4"/>
  <c r="AJ169" i="4"/>
  <c r="AI169" i="4"/>
  <c r="AH169" i="4"/>
  <c r="AG169" i="4"/>
  <c r="AF169" i="4"/>
  <c r="AE169" i="4"/>
  <c r="AD169" i="4"/>
  <c r="AC169" i="4"/>
  <c r="AO169" i="4" s="1"/>
  <c r="AB169" i="4"/>
  <c r="AA169" i="4"/>
  <c r="X169" i="4"/>
  <c r="W169" i="4"/>
  <c r="V169" i="4"/>
  <c r="U169" i="4"/>
  <c r="T169" i="4"/>
  <c r="S169" i="4"/>
  <c r="R169" i="4"/>
  <c r="Q169" i="4"/>
  <c r="P169" i="4"/>
  <c r="O169" i="4"/>
  <c r="AM169" i="4" s="1"/>
  <c r="L169" i="4"/>
  <c r="K169" i="4"/>
  <c r="AU169" i="4" s="1"/>
  <c r="J169" i="4"/>
  <c r="I169" i="4"/>
  <c r="H169" i="4"/>
  <c r="G169" i="4"/>
  <c r="F169" i="4"/>
  <c r="E169" i="4"/>
  <c r="D169" i="4"/>
  <c r="C169" i="4"/>
  <c r="AV164" i="4"/>
  <c r="AU164" i="4"/>
  <c r="AT164" i="4"/>
  <c r="AR164" i="4"/>
  <c r="AP164" i="4"/>
  <c r="AN164" i="4"/>
  <c r="AJ164" i="4"/>
  <c r="AI164" i="4"/>
  <c r="AH164" i="4"/>
  <c r="AG164" i="4"/>
  <c r="AS164" i="4" s="1"/>
  <c r="AF164" i="4"/>
  <c r="AE164" i="4"/>
  <c r="AD164" i="4"/>
  <c r="AC164" i="4"/>
  <c r="AB164" i="4"/>
  <c r="AA164" i="4"/>
  <c r="X164" i="4"/>
  <c r="W164" i="4"/>
  <c r="V164" i="4"/>
  <c r="U164" i="4"/>
  <c r="T164" i="4"/>
  <c r="S164" i="4"/>
  <c r="AQ164" i="4" s="1"/>
  <c r="R164" i="4"/>
  <c r="Q164" i="4"/>
  <c r="P164" i="4"/>
  <c r="O164" i="4"/>
  <c r="L164" i="4"/>
  <c r="K164" i="4"/>
  <c r="J164" i="4"/>
  <c r="I164" i="4"/>
  <c r="H164" i="4"/>
  <c r="G164" i="4"/>
  <c r="F164" i="4"/>
  <c r="E164" i="4"/>
  <c r="AO164" i="4" s="1"/>
  <c r="D164" i="4"/>
  <c r="C164" i="4"/>
  <c r="AM164" i="4" s="1"/>
  <c r="AV163" i="4"/>
  <c r="AT163" i="4"/>
  <c r="AR163" i="4"/>
  <c r="AP163" i="4"/>
  <c r="AO163" i="4"/>
  <c r="AN163" i="4"/>
  <c r="AM163" i="4"/>
  <c r="AJ163" i="4"/>
  <c r="AI163" i="4"/>
  <c r="AH163" i="4"/>
  <c r="AG163" i="4"/>
  <c r="AF163" i="4"/>
  <c r="AE163" i="4"/>
  <c r="AD163" i="4"/>
  <c r="AC163" i="4"/>
  <c r="AB163" i="4"/>
  <c r="AA163" i="4"/>
  <c r="X163" i="4"/>
  <c r="W163" i="4"/>
  <c r="AU163" i="4" s="1"/>
  <c r="V163" i="4"/>
  <c r="U163" i="4"/>
  <c r="T163" i="4"/>
  <c r="S163" i="4"/>
  <c r="R163" i="4"/>
  <c r="Q163" i="4"/>
  <c r="P163" i="4"/>
  <c r="O163" i="4"/>
  <c r="L163" i="4"/>
  <c r="K163" i="4"/>
  <c r="J163" i="4"/>
  <c r="I163" i="4"/>
  <c r="AS163" i="4" s="1"/>
  <c r="H163" i="4"/>
  <c r="G163" i="4"/>
  <c r="AQ163" i="4" s="1"/>
  <c r="F163" i="4"/>
  <c r="E163" i="4"/>
  <c r="D163" i="4"/>
  <c r="C163" i="4"/>
  <c r="AV162" i="4"/>
  <c r="AT162" i="4"/>
  <c r="AS162" i="4"/>
  <c r="AR162" i="4"/>
  <c r="AQ162" i="4"/>
  <c r="AP162" i="4"/>
  <c r="AN162" i="4"/>
  <c r="AJ162" i="4"/>
  <c r="AI162" i="4"/>
  <c r="AH162" i="4"/>
  <c r="AG162" i="4"/>
  <c r="AF162" i="4"/>
  <c r="AE162" i="4"/>
  <c r="AD162" i="4"/>
  <c r="AC162" i="4"/>
  <c r="AO162" i="4" s="1"/>
  <c r="AB162" i="4"/>
  <c r="AA162" i="4"/>
  <c r="X162" i="4"/>
  <c r="W162" i="4"/>
  <c r="V162" i="4"/>
  <c r="U162" i="4"/>
  <c r="T162" i="4"/>
  <c r="S162" i="4"/>
  <c r="R162" i="4"/>
  <c r="Q162" i="4"/>
  <c r="P162" i="4"/>
  <c r="O162" i="4"/>
  <c r="AM162" i="4" s="1"/>
  <c r="L162" i="4"/>
  <c r="K162" i="4"/>
  <c r="AU162" i="4" s="1"/>
  <c r="J162" i="4"/>
  <c r="I162" i="4"/>
  <c r="H162" i="4"/>
  <c r="G162" i="4"/>
  <c r="F162" i="4"/>
  <c r="E162" i="4"/>
  <c r="D162" i="4"/>
  <c r="C162" i="4"/>
  <c r="AV161" i="4"/>
  <c r="AU161" i="4"/>
  <c r="AT161" i="4"/>
  <c r="AR161" i="4"/>
  <c r="AP161" i="4"/>
  <c r="AN161" i="4"/>
  <c r="AJ161" i="4"/>
  <c r="AI161" i="4"/>
  <c r="AH161" i="4"/>
  <c r="AG161" i="4"/>
  <c r="AS161" i="4" s="1"/>
  <c r="AF161" i="4"/>
  <c r="AE161" i="4"/>
  <c r="AD161" i="4"/>
  <c r="AC161" i="4"/>
  <c r="AB161" i="4"/>
  <c r="AA161" i="4"/>
  <c r="X161" i="4"/>
  <c r="W161" i="4"/>
  <c r="V161" i="4"/>
  <c r="U161" i="4"/>
  <c r="T161" i="4"/>
  <c r="S161" i="4"/>
  <c r="AQ161" i="4" s="1"/>
  <c r="R161" i="4"/>
  <c r="Q161" i="4"/>
  <c r="P161" i="4"/>
  <c r="O161" i="4"/>
  <c r="L161" i="4"/>
  <c r="K161" i="4"/>
  <c r="J161" i="4"/>
  <c r="I161" i="4"/>
  <c r="H161" i="4"/>
  <c r="G161" i="4"/>
  <c r="F161" i="4"/>
  <c r="E161" i="4"/>
  <c r="AO161" i="4" s="1"/>
  <c r="D161" i="4"/>
  <c r="C161" i="4"/>
  <c r="AM161" i="4" s="1"/>
  <c r="AV160" i="4"/>
  <c r="AT160" i="4"/>
  <c r="AR160" i="4"/>
  <c r="AP160" i="4"/>
  <c r="AO160" i="4"/>
  <c r="AN160" i="4"/>
  <c r="AM160" i="4"/>
  <c r="AJ160" i="4"/>
  <c r="AI160" i="4"/>
  <c r="AH160" i="4"/>
  <c r="AG160" i="4"/>
  <c r="AF160" i="4"/>
  <c r="AE160" i="4"/>
  <c r="AD160" i="4"/>
  <c r="AC160" i="4"/>
  <c r="AB160" i="4"/>
  <c r="AA160" i="4"/>
  <c r="X160" i="4"/>
  <c r="W160" i="4"/>
  <c r="AU160" i="4" s="1"/>
  <c r="V160" i="4"/>
  <c r="U160" i="4"/>
  <c r="T160" i="4"/>
  <c r="S160" i="4"/>
  <c r="R160" i="4"/>
  <c r="Q160" i="4"/>
  <c r="P160" i="4"/>
  <c r="O160" i="4"/>
  <c r="L160" i="4"/>
  <c r="K160" i="4"/>
  <c r="J160" i="4"/>
  <c r="I160" i="4"/>
  <c r="AS160" i="4" s="1"/>
  <c r="H160" i="4"/>
  <c r="G160" i="4"/>
  <c r="AQ160" i="4" s="1"/>
  <c r="F160" i="4"/>
  <c r="E160" i="4"/>
  <c r="D160" i="4"/>
  <c r="C160" i="4"/>
  <c r="AV159" i="4"/>
  <c r="AT159" i="4"/>
  <c r="AS159" i="4"/>
  <c r="AR159" i="4"/>
  <c r="AQ159" i="4"/>
  <c r="AP159" i="4"/>
  <c r="AN159" i="4"/>
  <c r="AJ159" i="4"/>
  <c r="AI159" i="4"/>
  <c r="AH159" i="4"/>
  <c r="AG159" i="4"/>
  <c r="AF159" i="4"/>
  <c r="AE159" i="4"/>
  <c r="AD159" i="4"/>
  <c r="AC159" i="4"/>
  <c r="AO159" i="4" s="1"/>
  <c r="AB159" i="4"/>
  <c r="AA159" i="4"/>
  <c r="X159" i="4"/>
  <c r="W159" i="4"/>
  <c r="V159" i="4"/>
  <c r="U159" i="4"/>
  <c r="T159" i="4"/>
  <c r="S159" i="4"/>
  <c r="R159" i="4"/>
  <c r="Q159" i="4"/>
  <c r="P159" i="4"/>
  <c r="O159" i="4"/>
  <c r="AM159" i="4" s="1"/>
  <c r="L159" i="4"/>
  <c r="K159" i="4"/>
  <c r="AU159" i="4" s="1"/>
  <c r="J159" i="4"/>
  <c r="I159" i="4"/>
  <c r="H159" i="4"/>
  <c r="G159" i="4"/>
  <c r="F159" i="4"/>
  <c r="E159" i="4"/>
  <c r="D159" i="4"/>
  <c r="C159" i="4"/>
  <c r="AV158" i="4"/>
  <c r="AU158" i="4"/>
  <c r="AT158" i="4"/>
  <c r="AS158" i="4"/>
  <c r="AR158" i="4"/>
  <c r="AP158" i="4"/>
  <c r="AN158" i="4"/>
  <c r="AJ158" i="4"/>
  <c r="AI158" i="4"/>
  <c r="AH158" i="4"/>
  <c r="AG158" i="4"/>
  <c r="AF158" i="4"/>
  <c r="AE158" i="4"/>
  <c r="AD158" i="4"/>
  <c r="AC158" i="4"/>
  <c r="AB158" i="4"/>
  <c r="AA158" i="4"/>
  <c r="X158" i="4"/>
  <c r="W158" i="4"/>
  <c r="V158" i="4"/>
  <c r="U158" i="4"/>
  <c r="T158" i="4"/>
  <c r="S158" i="4"/>
  <c r="AQ158" i="4" s="1"/>
  <c r="R158" i="4"/>
  <c r="Q158" i="4"/>
  <c r="P158" i="4"/>
  <c r="O158" i="4"/>
  <c r="L158" i="4"/>
  <c r="K158" i="4"/>
  <c r="J158" i="4"/>
  <c r="I158" i="4"/>
  <c r="H158" i="4"/>
  <c r="G158" i="4"/>
  <c r="F158" i="4"/>
  <c r="E158" i="4"/>
  <c r="AO158" i="4" s="1"/>
  <c r="D158" i="4"/>
  <c r="C158" i="4"/>
  <c r="AM158" i="4" s="1"/>
  <c r="AV157" i="4"/>
  <c r="AT157" i="4"/>
  <c r="AR157" i="4"/>
  <c r="AP157" i="4"/>
  <c r="AO157" i="4"/>
  <c r="AN157" i="4"/>
  <c r="AM157" i="4"/>
  <c r="AJ157" i="4"/>
  <c r="AI157" i="4"/>
  <c r="AH157" i="4"/>
  <c r="AG157" i="4"/>
  <c r="AF157" i="4"/>
  <c r="AE157" i="4"/>
  <c r="AD157" i="4"/>
  <c r="AC157" i="4"/>
  <c r="AB157" i="4"/>
  <c r="AA157" i="4"/>
  <c r="X157" i="4"/>
  <c r="W157" i="4"/>
  <c r="AU157" i="4" s="1"/>
  <c r="V157" i="4"/>
  <c r="U157" i="4"/>
  <c r="T157" i="4"/>
  <c r="S157" i="4"/>
  <c r="R157" i="4"/>
  <c r="Q157" i="4"/>
  <c r="P157" i="4"/>
  <c r="O157" i="4"/>
  <c r="L157" i="4"/>
  <c r="K157" i="4"/>
  <c r="J157" i="4"/>
  <c r="I157" i="4"/>
  <c r="AS157" i="4" s="1"/>
  <c r="H157" i="4"/>
  <c r="G157" i="4"/>
  <c r="AQ157" i="4" s="1"/>
  <c r="F157" i="4"/>
  <c r="E157" i="4"/>
  <c r="D157" i="4"/>
  <c r="C157" i="4"/>
  <c r="AV156" i="4"/>
  <c r="AT156" i="4"/>
  <c r="AS156" i="4"/>
  <c r="AR156" i="4"/>
  <c r="AQ156" i="4"/>
  <c r="AP156" i="4"/>
  <c r="AN156" i="4"/>
  <c r="AJ156" i="4"/>
  <c r="AI156" i="4"/>
  <c r="AH156" i="4"/>
  <c r="AG156" i="4"/>
  <c r="AF156" i="4"/>
  <c r="AE156" i="4"/>
  <c r="AD156" i="4"/>
  <c r="AC156" i="4"/>
  <c r="AO156" i="4" s="1"/>
  <c r="AB156" i="4"/>
  <c r="AA156" i="4"/>
  <c r="X156" i="4"/>
  <c r="W156" i="4"/>
  <c r="V156" i="4"/>
  <c r="U156" i="4"/>
  <c r="T156" i="4"/>
  <c r="S156" i="4"/>
  <c r="R156" i="4"/>
  <c r="Q156" i="4"/>
  <c r="P156" i="4"/>
  <c r="O156" i="4"/>
  <c r="L156" i="4"/>
  <c r="K156" i="4"/>
  <c r="AU156" i="4" s="1"/>
  <c r="J156" i="4"/>
  <c r="I156" i="4"/>
  <c r="H156" i="4"/>
  <c r="G156" i="4"/>
  <c r="F156" i="4"/>
  <c r="E156" i="4"/>
  <c r="D156" i="4"/>
  <c r="C156" i="4"/>
  <c r="AV155" i="4"/>
  <c r="AU155" i="4"/>
  <c r="AT155" i="4"/>
  <c r="AS155" i="4"/>
  <c r="AR155" i="4"/>
  <c r="AP155" i="4"/>
  <c r="AN155" i="4"/>
  <c r="AJ155" i="4"/>
  <c r="AI155" i="4"/>
  <c r="AH155" i="4"/>
  <c r="AG155" i="4"/>
  <c r="AF155" i="4"/>
  <c r="AE155" i="4"/>
  <c r="AD155" i="4"/>
  <c r="AC155" i="4"/>
  <c r="AB155" i="4"/>
  <c r="AA155" i="4"/>
  <c r="X155" i="4"/>
  <c r="W155" i="4"/>
  <c r="V155" i="4"/>
  <c r="U155" i="4"/>
  <c r="T155" i="4"/>
  <c r="S155" i="4"/>
  <c r="R155" i="4"/>
  <c r="Q155" i="4"/>
  <c r="P155" i="4"/>
  <c r="O155" i="4"/>
  <c r="L155" i="4"/>
  <c r="K155" i="4"/>
  <c r="J155" i="4"/>
  <c r="I155" i="4"/>
  <c r="H155" i="4"/>
  <c r="G155" i="4"/>
  <c r="F155" i="4"/>
  <c r="E155" i="4"/>
  <c r="D155" i="4"/>
  <c r="C155" i="4"/>
  <c r="AM155" i="4" s="1"/>
  <c r="AV150" i="4"/>
  <c r="AT150" i="4"/>
  <c r="AR150" i="4"/>
  <c r="AP150" i="4"/>
  <c r="AO150" i="4"/>
  <c r="AN150" i="4"/>
  <c r="AM150" i="4"/>
  <c r="AJ150" i="4"/>
  <c r="AI150" i="4"/>
  <c r="AH150" i="4"/>
  <c r="AG150" i="4"/>
  <c r="AF150" i="4"/>
  <c r="AE150" i="4"/>
  <c r="AD150" i="4"/>
  <c r="AC150" i="4"/>
  <c r="AB150" i="4"/>
  <c r="AA150" i="4"/>
  <c r="X150" i="4"/>
  <c r="W150" i="4"/>
  <c r="V150" i="4"/>
  <c r="U150" i="4"/>
  <c r="T150" i="4"/>
  <c r="S150" i="4"/>
  <c r="R150" i="4"/>
  <c r="Q150" i="4"/>
  <c r="P150" i="4"/>
  <c r="O150" i="4"/>
  <c r="L150" i="4"/>
  <c r="K150" i="4"/>
  <c r="J150" i="4"/>
  <c r="I150" i="4"/>
  <c r="H150" i="4"/>
  <c r="G150" i="4"/>
  <c r="AQ150" i="4" s="1"/>
  <c r="F150" i="4"/>
  <c r="E150" i="4"/>
  <c r="D150" i="4"/>
  <c r="C150" i="4"/>
  <c r="AV149" i="4"/>
  <c r="AT149" i="4"/>
  <c r="AS149" i="4"/>
  <c r="AR149" i="4"/>
  <c r="AQ149" i="4"/>
  <c r="AP149" i="4"/>
  <c r="AN149" i="4"/>
  <c r="AJ149" i="4"/>
  <c r="AI149" i="4"/>
  <c r="AH149" i="4"/>
  <c r="AG149" i="4"/>
  <c r="AF149" i="4"/>
  <c r="AE149" i="4"/>
  <c r="AD149" i="4"/>
  <c r="AC149" i="4"/>
  <c r="AO149" i="4" s="1"/>
  <c r="AB149" i="4"/>
  <c r="AA149" i="4"/>
  <c r="X149" i="4"/>
  <c r="W149" i="4"/>
  <c r="V149" i="4"/>
  <c r="U149" i="4"/>
  <c r="T149" i="4"/>
  <c r="S149" i="4"/>
  <c r="R149" i="4"/>
  <c r="Q149" i="4"/>
  <c r="P149" i="4"/>
  <c r="O149" i="4"/>
  <c r="L149" i="4"/>
  <c r="K149" i="4"/>
  <c r="AU149" i="4" s="1"/>
  <c r="J149" i="4"/>
  <c r="I149" i="4"/>
  <c r="H149" i="4"/>
  <c r="G149" i="4"/>
  <c r="F149" i="4"/>
  <c r="E149" i="4"/>
  <c r="D149" i="4"/>
  <c r="C149" i="4"/>
  <c r="AV148" i="4"/>
  <c r="AU148" i="4"/>
  <c r="AT148" i="4"/>
  <c r="AS148" i="4"/>
  <c r="AR148" i="4"/>
  <c r="AP148" i="4"/>
  <c r="AN148" i="4"/>
  <c r="AJ148" i="4"/>
  <c r="AI148" i="4"/>
  <c r="AH148" i="4"/>
  <c r="AG148" i="4"/>
  <c r="AF148" i="4"/>
  <c r="AE148" i="4"/>
  <c r="AD148" i="4"/>
  <c r="AC148" i="4"/>
  <c r="AB148" i="4"/>
  <c r="AA148" i="4"/>
  <c r="X148" i="4"/>
  <c r="W148" i="4"/>
  <c r="V148" i="4"/>
  <c r="U148" i="4"/>
  <c r="T148" i="4"/>
  <c r="S148" i="4"/>
  <c r="AQ148" i="4" s="1"/>
  <c r="R148" i="4"/>
  <c r="Q148" i="4"/>
  <c r="P148" i="4"/>
  <c r="O148" i="4"/>
  <c r="L148" i="4"/>
  <c r="K148" i="4"/>
  <c r="J148" i="4"/>
  <c r="I148" i="4"/>
  <c r="H148" i="4"/>
  <c r="G148" i="4"/>
  <c r="F148" i="4"/>
  <c r="E148" i="4"/>
  <c r="AO148" i="4" s="1"/>
  <c r="D148" i="4"/>
  <c r="C148" i="4"/>
  <c r="AM148" i="4" s="1"/>
  <c r="AV147" i="4"/>
  <c r="AT147" i="4"/>
  <c r="AR147" i="4"/>
  <c r="AP147" i="4"/>
  <c r="AO147" i="4"/>
  <c r="AN147" i="4"/>
  <c r="AM147" i="4"/>
  <c r="AJ147" i="4"/>
  <c r="AI147" i="4"/>
  <c r="AH147" i="4"/>
  <c r="AG147" i="4"/>
  <c r="AF147" i="4"/>
  <c r="AE147" i="4"/>
  <c r="AD147" i="4"/>
  <c r="AC147" i="4"/>
  <c r="AB147" i="4"/>
  <c r="AA147" i="4"/>
  <c r="X147" i="4"/>
  <c r="W147" i="4"/>
  <c r="AU147" i="4" s="1"/>
  <c r="V147" i="4"/>
  <c r="U147" i="4"/>
  <c r="T147" i="4"/>
  <c r="S147" i="4"/>
  <c r="R147" i="4"/>
  <c r="Q147" i="4"/>
  <c r="P147" i="4"/>
  <c r="O147" i="4"/>
  <c r="L147" i="4"/>
  <c r="K147" i="4"/>
  <c r="J147" i="4"/>
  <c r="I147" i="4"/>
  <c r="AS147" i="4" s="1"/>
  <c r="H147" i="4"/>
  <c r="G147" i="4"/>
  <c r="AQ147" i="4" s="1"/>
  <c r="F147" i="4"/>
  <c r="E147" i="4"/>
  <c r="D147" i="4"/>
  <c r="C147" i="4"/>
  <c r="AV146" i="4"/>
  <c r="AT146" i="4"/>
  <c r="AS146" i="4"/>
  <c r="AR146" i="4"/>
  <c r="AQ146" i="4"/>
  <c r="AP146" i="4"/>
  <c r="AN146" i="4"/>
  <c r="AJ146" i="4"/>
  <c r="AI146" i="4"/>
  <c r="AH146" i="4"/>
  <c r="AG146" i="4"/>
  <c r="AF146" i="4"/>
  <c r="AE146" i="4"/>
  <c r="AD146" i="4"/>
  <c r="AC146" i="4"/>
  <c r="AO146" i="4" s="1"/>
  <c r="AB146" i="4"/>
  <c r="AA146" i="4"/>
  <c r="X146" i="4"/>
  <c r="W146" i="4"/>
  <c r="V146" i="4"/>
  <c r="U146" i="4"/>
  <c r="T146" i="4"/>
  <c r="S146" i="4"/>
  <c r="R146" i="4"/>
  <c r="Q146" i="4"/>
  <c r="P146" i="4"/>
  <c r="O146" i="4"/>
  <c r="L146" i="4"/>
  <c r="K146" i="4"/>
  <c r="AU146" i="4" s="1"/>
  <c r="J146" i="4"/>
  <c r="I146" i="4"/>
  <c r="H146" i="4"/>
  <c r="G146" i="4"/>
  <c r="F146" i="4"/>
  <c r="E146" i="4"/>
  <c r="D146" i="4"/>
  <c r="C146" i="4"/>
  <c r="AV145" i="4"/>
  <c r="AU145" i="4"/>
  <c r="AT145" i="4"/>
  <c r="AS145" i="4"/>
  <c r="AR145" i="4"/>
  <c r="AP145" i="4"/>
  <c r="AN145" i="4"/>
  <c r="AJ145" i="4"/>
  <c r="AI145" i="4"/>
  <c r="AH145" i="4"/>
  <c r="AG145" i="4"/>
  <c r="AF145" i="4"/>
  <c r="AE145" i="4"/>
  <c r="AD145" i="4"/>
  <c r="AC145" i="4"/>
  <c r="AB145" i="4"/>
  <c r="AA145" i="4"/>
  <c r="X145" i="4"/>
  <c r="W145" i="4"/>
  <c r="V145" i="4"/>
  <c r="U145" i="4"/>
  <c r="T145" i="4"/>
  <c r="S145" i="4"/>
  <c r="AQ145" i="4" s="1"/>
  <c r="R145" i="4"/>
  <c r="Q145" i="4"/>
  <c r="P145" i="4"/>
  <c r="O145" i="4"/>
  <c r="L145" i="4"/>
  <c r="K145" i="4"/>
  <c r="J145" i="4"/>
  <c r="I145" i="4"/>
  <c r="H145" i="4"/>
  <c r="G145" i="4"/>
  <c r="F145" i="4"/>
  <c r="E145" i="4"/>
  <c r="AO145" i="4" s="1"/>
  <c r="D145" i="4"/>
  <c r="C145" i="4"/>
  <c r="AM145" i="4" s="1"/>
  <c r="AV144" i="4"/>
  <c r="AT144" i="4"/>
  <c r="D40" i="5" s="1"/>
  <c r="AR144" i="4"/>
  <c r="AP144" i="4"/>
  <c r="AO144" i="4"/>
  <c r="AN144" i="4"/>
  <c r="AM144" i="4"/>
  <c r="AJ144" i="4"/>
  <c r="AI144" i="4"/>
  <c r="AH144" i="4"/>
  <c r="AG144" i="4"/>
  <c r="AF144" i="4"/>
  <c r="AE144" i="4"/>
  <c r="AD144" i="4"/>
  <c r="AC144" i="4"/>
  <c r="AB144" i="4"/>
  <c r="AA144" i="4"/>
  <c r="X144" i="4"/>
  <c r="W144" i="4"/>
  <c r="AU144" i="4" s="1"/>
  <c r="V144" i="4"/>
  <c r="U144" i="4"/>
  <c r="T144" i="4"/>
  <c r="S144" i="4"/>
  <c r="R144" i="4"/>
  <c r="Q144" i="4"/>
  <c r="P144" i="4"/>
  <c r="O144" i="4"/>
  <c r="L144" i="4"/>
  <c r="K144" i="4"/>
  <c r="J144" i="4"/>
  <c r="I144" i="4"/>
  <c r="AS144" i="4" s="1"/>
  <c r="H144" i="4"/>
  <c r="G144" i="4"/>
  <c r="AQ144" i="4" s="1"/>
  <c r="F144" i="4"/>
  <c r="E144" i="4"/>
  <c r="D144" i="4"/>
  <c r="C144" i="4"/>
  <c r="AV143" i="4"/>
  <c r="AT143" i="4"/>
  <c r="AS143" i="4"/>
  <c r="AR143" i="4"/>
  <c r="AQ143" i="4"/>
  <c r="AP143" i="4"/>
  <c r="AN143" i="4"/>
  <c r="AJ143" i="4"/>
  <c r="AI143" i="4"/>
  <c r="AH143" i="4"/>
  <c r="AG143" i="4"/>
  <c r="AF143" i="4"/>
  <c r="AE143" i="4"/>
  <c r="AD143" i="4"/>
  <c r="AC143" i="4"/>
  <c r="AO143" i="4" s="1"/>
  <c r="AB143" i="4"/>
  <c r="AA143" i="4"/>
  <c r="X143" i="4"/>
  <c r="W143" i="4"/>
  <c r="V143" i="4"/>
  <c r="U143" i="4"/>
  <c r="T143" i="4"/>
  <c r="S143" i="4"/>
  <c r="R143" i="4"/>
  <c r="Q143" i="4"/>
  <c r="P143" i="4"/>
  <c r="O143" i="4"/>
  <c r="L143" i="4"/>
  <c r="K143" i="4"/>
  <c r="AU143" i="4" s="1"/>
  <c r="J143" i="4"/>
  <c r="I143" i="4"/>
  <c r="H143" i="4"/>
  <c r="G143" i="4"/>
  <c r="F143" i="4"/>
  <c r="E143" i="4"/>
  <c r="D143" i="4"/>
  <c r="C143" i="4"/>
  <c r="AV142" i="4"/>
  <c r="AU142" i="4"/>
  <c r="AT142" i="4"/>
  <c r="AS142" i="4"/>
  <c r="AR142" i="4"/>
  <c r="AP142" i="4"/>
  <c r="AN142" i="4"/>
  <c r="AJ142" i="4"/>
  <c r="AI142" i="4"/>
  <c r="AH142" i="4"/>
  <c r="AG142" i="4"/>
  <c r="AF142" i="4"/>
  <c r="AE142" i="4"/>
  <c r="AD142" i="4"/>
  <c r="AC142" i="4"/>
  <c r="AB142" i="4"/>
  <c r="AA142" i="4"/>
  <c r="X142" i="4"/>
  <c r="W142" i="4"/>
  <c r="V142" i="4"/>
  <c r="U142" i="4"/>
  <c r="T142" i="4"/>
  <c r="S142" i="4"/>
  <c r="AQ142" i="4" s="1"/>
  <c r="R142" i="4"/>
  <c r="Q142" i="4"/>
  <c r="P142" i="4"/>
  <c r="O142" i="4"/>
  <c r="L142" i="4"/>
  <c r="K142" i="4"/>
  <c r="J142" i="4"/>
  <c r="I142" i="4"/>
  <c r="H142" i="4"/>
  <c r="G142" i="4"/>
  <c r="F142" i="4"/>
  <c r="E142" i="4"/>
  <c r="AO142" i="4" s="1"/>
  <c r="D142" i="4"/>
  <c r="C142" i="4"/>
  <c r="AM142" i="4" s="1"/>
  <c r="AV141" i="4"/>
  <c r="AT141" i="4"/>
  <c r="AR141" i="4"/>
  <c r="AP141" i="4"/>
  <c r="AO141" i="4"/>
  <c r="AN141" i="4"/>
  <c r="AM141" i="4"/>
  <c r="AJ141" i="4"/>
  <c r="AI141" i="4"/>
  <c r="AH141" i="4"/>
  <c r="AG141" i="4"/>
  <c r="AF141" i="4"/>
  <c r="AE141" i="4"/>
  <c r="AD141" i="4"/>
  <c r="AC141" i="4"/>
  <c r="AB141" i="4"/>
  <c r="AA141" i="4"/>
  <c r="X141" i="4"/>
  <c r="W141" i="4"/>
  <c r="V141" i="4"/>
  <c r="U141" i="4"/>
  <c r="T141" i="4"/>
  <c r="S141" i="4"/>
  <c r="R141" i="4"/>
  <c r="Q141" i="4"/>
  <c r="P141" i="4"/>
  <c r="O141" i="4"/>
  <c r="L141" i="4"/>
  <c r="K141" i="4"/>
  <c r="J141" i="4"/>
  <c r="I141" i="4"/>
  <c r="H141" i="4"/>
  <c r="G141" i="4"/>
  <c r="AQ141" i="4" s="1"/>
  <c r="F141" i="4"/>
  <c r="E141" i="4"/>
  <c r="D141" i="4"/>
  <c r="C141" i="4"/>
  <c r="AV136" i="4"/>
  <c r="AT136" i="4"/>
  <c r="AS136" i="4"/>
  <c r="AR136" i="4"/>
  <c r="AQ136" i="4"/>
  <c r="AP136" i="4"/>
  <c r="AN136" i="4"/>
  <c r="AJ136" i="4"/>
  <c r="AI136" i="4"/>
  <c r="AH136" i="4"/>
  <c r="AG136" i="4"/>
  <c r="AF136" i="4"/>
  <c r="AE136" i="4"/>
  <c r="AD136" i="4"/>
  <c r="AC136" i="4"/>
  <c r="AO136" i="4" s="1"/>
  <c r="AB136" i="4"/>
  <c r="AA136" i="4"/>
  <c r="X136" i="4"/>
  <c r="W136" i="4"/>
  <c r="V136" i="4"/>
  <c r="U136" i="4"/>
  <c r="T136" i="4"/>
  <c r="S136" i="4"/>
  <c r="R136" i="4"/>
  <c r="Q136" i="4"/>
  <c r="P136" i="4"/>
  <c r="O136" i="4"/>
  <c r="L136" i="4"/>
  <c r="K136" i="4"/>
  <c r="AU136" i="4" s="1"/>
  <c r="J136" i="4"/>
  <c r="I136" i="4"/>
  <c r="H136" i="4"/>
  <c r="G136" i="4"/>
  <c r="F136" i="4"/>
  <c r="E136" i="4"/>
  <c r="D136" i="4"/>
  <c r="C136" i="4"/>
  <c r="AV135" i="4"/>
  <c r="AU135" i="4"/>
  <c r="AT135" i="4"/>
  <c r="AS135" i="4"/>
  <c r="AR135" i="4"/>
  <c r="AP135" i="4"/>
  <c r="AN135" i="4"/>
  <c r="AJ135" i="4"/>
  <c r="AI135" i="4"/>
  <c r="AH135" i="4"/>
  <c r="AG135" i="4"/>
  <c r="AF135" i="4"/>
  <c r="AE135" i="4"/>
  <c r="AD135" i="4"/>
  <c r="AC135" i="4"/>
  <c r="AB135" i="4"/>
  <c r="AA135" i="4"/>
  <c r="X135" i="4"/>
  <c r="W135" i="4"/>
  <c r="V135" i="4"/>
  <c r="U135" i="4"/>
  <c r="T135" i="4"/>
  <c r="S135" i="4"/>
  <c r="AQ135" i="4" s="1"/>
  <c r="R135" i="4"/>
  <c r="Q135" i="4"/>
  <c r="P135" i="4"/>
  <c r="O135" i="4"/>
  <c r="L135" i="4"/>
  <c r="K135" i="4"/>
  <c r="J135" i="4"/>
  <c r="I135" i="4"/>
  <c r="H135" i="4"/>
  <c r="G135" i="4"/>
  <c r="F135" i="4"/>
  <c r="E135" i="4"/>
  <c r="AO135" i="4" s="1"/>
  <c r="D135" i="4"/>
  <c r="C135" i="4"/>
  <c r="AM135" i="4" s="1"/>
  <c r="AV134" i="4"/>
  <c r="AR134" i="4"/>
  <c r="AP134" i="4"/>
  <c r="AO134" i="4"/>
  <c r="AN134" i="4"/>
  <c r="AM134" i="4"/>
  <c r="AJ134" i="4"/>
  <c r="AI134" i="4"/>
  <c r="AH134" i="4"/>
  <c r="AG134" i="4"/>
  <c r="AF134" i="4"/>
  <c r="AE134" i="4"/>
  <c r="AD134" i="4"/>
  <c r="AC134" i="4"/>
  <c r="AB134" i="4"/>
  <c r="AA134" i="4"/>
  <c r="X134" i="4"/>
  <c r="W134" i="4"/>
  <c r="AU134" i="4" s="1"/>
  <c r="V134" i="4"/>
  <c r="U134" i="4"/>
  <c r="T134" i="4"/>
  <c r="S134" i="4"/>
  <c r="R134" i="4"/>
  <c r="Q134" i="4"/>
  <c r="P134" i="4"/>
  <c r="O134" i="4"/>
  <c r="L134" i="4"/>
  <c r="K134" i="4"/>
  <c r="J134" i="4"/>
  <c r="AT134" i="4" s="1"/>
  <c r="I134" i="4"/>
  <c r="AS134" i="4" s="1"/>
  <c r="H134" i="4"/>
  <c r="G134" i="4"/>
  <c r="AQ134" i="4" s="1"/>
  <c r="F134" i="4"/>
  <c r="E134" i="4"/>
  <c r="D134" i="4"/>
  <c r="C134" i="4"/>
  <c r="AV133" i="4"/>
  <c r="AT133" i="4"/>
  <c r="AS133" i="4"/>
  <c r="AR133" i="4"/>
  <c r="AQ133" i="4"/>
  <c r="AN133" i="4"/>
  <c r="AJ133" i="4"/>
  <c r="AI133" i="4"/>
  <c r="AH133" i="4"/>
  <c r="AG133" i="4"/>
  <c r="AF133" i="4"/>
  <c r="AE133" i="4"/>
  <c r="AD133" i="4"/>
  <c r="AP133" i="4" s="1"/>
  <c r="AC133" i="4"/>
  <c r="AO133" i="4" s="1"/>
  <c r="AB133" i="4"/>
  <c r="AA133" i="4"/>
  <c r="X133" i="4"/>
  <c r="W133" i="4"/>
  <c r="V133" i="4"/>
  <c r="U133" i="4"/>
  <c r="T133" i="4"/>
  <c r="S133" i="4"/>
  <c r="R133" i="4"/>
  <c r="Q133" i="4"/>
  <c r="P133" i="4"/>
  <c r="O133" i="4"/>
  <c r="L133" i="4"/>
  <c r="K133" i="4"/>
  <c r="AU133" i="4" s="1"/>
  <c r="J133" i="4"/>
  <c r="I133" i="4"/>
  <c r="H133" i="4"/>
  <c r="G133" i="4"/>
  <c r="F133" i="4"/>
  <c r="E133" i="4"/>
  <c r="D133" i="4"/>
  <c r="C133" i="4"/>
  <c r="AV132" i="4"/>
  <c r="AU132" i="4"/>
  <c r="AR132" i="4"/>
  <c r="AN132" i="4"/>
  <c r="AJ132" i="4"/>
  <c r="AI132" i="4"/>
  <c r="AH132" i="4"/>
  <c r="AT132" i="4" s="1"/>
  <c r="AG132" i="4"/>
  <c r="AS132" i="4" s="1"/>
  <c r="AF132" i="4"/>
  <c r="AE132" i="4"/>
  <c r="AD132" i="4"/>
  <c r="AC132" i="4"/>
  <c r="AB132" i="4"/>
  <c r="AA132" i="4"/>
  <c r="X132" i="4"/>
  <c r="W132" i="4"/>
  <c r="V132" i="4"/>
  <c r="U132" i="4"/>
  <c r="T132" i="4"/>
  <c r="S132" i="4"/>
  <c r="AQ132" i="4" s="1"/>
  <c r="R132" i="4"/>
  <c r="Q132" i="4"/>
  <c r="P132" i="4"/>
  <c r="O132" i="4"/>
  <c r="L132" i="4"/>
  <c r="K132" i="4"/>
  <c r="J132" i="4"/>
  <c r="I132" i="4"/>
  <c r="H132" i="4"/>
  <c r="G132" i="4"/>
  <c r="F132" i="4"/>
  <c r="AP132" i="4" s="1"/>
  <c r="E132" i="4"/>
  <c r="AO132" i="4" s="1"/>
  <c r="D132" i="4"/>
  <c r="C132" i="4"/>
  <c r="AM132" i="4" s="1"/>
  <c r="AR131" i="4"/>
  <c r="AP131" i="4"/>
  <c r="AO131" i="4"/>
  <c r="AN131" i="4"/>
  <c r="AM131" i="4"/>
  <c r="AJ131" i="4"/>
  <c r="AI131" i="4"/>
  <c r="AH131" i="4"/>
  <c r="AG131" i="4"/>
  <c r="AF131" i="4"/>
  <c r="AE131" i="4"/>
  <c r="AD131" i="4"/>
  <c r="AC131" i="4"/>
  <c r="AB131" i="4"/>
  <c r="AA131" i="4"/>
  <c r="X131" i="4"/>
  <c r="AV131" i="4" s="1"/>
  <c r="W131" i="4"/>
  <c r="AU131" i="4" s="1"/>
  <c r="V131" i="4"/>
  <c r="U131" i="4"/>
  <c r="T131" i="4"/>
  <c r="S131" i="4"/>
  <c r="R131" i="4"/>
  <c r="Q131" i="4"/>
  <c r="P131" i="4"/>
  <c r="O131" i="4"/>
  <c r="L131" i="4"/>
  <c r="K131" i="4"/>
  <c r="J131" i="4"/>
  <c r="AT131" i="4" s="1"/>
  <c r="I131" i="4"/>
  <c r="AS131" i="4" s="1"/>
  <c r="H131" i="4"/>
  <c r="G131" i="4"/>
  <c r="AQ131" i="4" s="1"/>
  <c r="F131" i="4"/>
  <c r="E131" i="4"/>
  <c r="D131" i="4"/>
  <c r="C131" i="4"/>
  <c r="AV130" i="4"/>
  <c r="AT130" i="4"/>
  <c r="D39" i="5" s="1"/>
  <c r="AS130" i="4"/>
  <c r="AR130" i="4"/>
  <c r="AQ130" i="4"/>
  <c r="AN130" i="4"/>
  <c r="AJ130" i="4"/>
  <c r="AI130" i="4"/>
  <c r="AH130" i="4"/>
  <c r="AG130" i="4"/>
  <c r="AF130" i="4"/>
  <c r="AE130" i="4"/>
  <c r="AD130" i="4"/>
  <c r="AP130" i="4" s="1"/>
  <c r="AC130" i="4"/>
  <c r="AO130" i="4" s="1"/>
  <c r="AB130" i="4"/>
  <c r="AA130" i="4"/>
  <c r="X130" i="4"/>
  <c r="W130" i="4"/>
  <c r="V130" i="4"/>
  <c r="U130" i="4"/>
  <c r="T130" i="4"/>
  <c r="S130" i="4"/>
  <c r="R130" i="4"/>
  <c r="Q130" i="4"/>
  <c r="P130" i="4"/>
  <c r="O130" i="4"/>
  <c r="L130" i="4"/>
  <c r="K130" i="4"/>
  <c r="AU130" i="4" s="1"/>
  <c r="J130" i="4"/>
  <c r="I130" i="4"/>
  <c r="H130" i="4"/>
  <c r="G130" i="4"/>
  <c r="F130" i="4"/>
  <c r="E130" i="4"/>
  <c r="D130" i="4"/>
  <c r="C130" i="4"/>
  <c r="AV129" i="4"/>
  <c r="AU129" i="4"/>
  <c r="AR129" i="4"/>
  <c r="AN129" i="4"/>
  <c r="AJ129" i="4"/>
  <c r="AI129" i="4"/>
  <c r="AH129" i="4"/>
  <c r="AT129" i="4" s="1"/>
  <c r="AG129" i="4"/>
  <c r="AS129" i="4" s="1"/>
  <c r="AF129" i="4"/>
  <c r="AE129" i="4"/>
  <c r="AD129" i="4"/>
  <c r="AC129" i="4"/>
  <c r="AB129" i="4"/>
  <c r="AA129" i="4"/>
  <c r="X129" i="4"/>
  <c r="W129" i="4"/>
  <c r="V129" i="4"/>
  <c r="U129" i="4"/>
  <c r="T129" i="4"/>
  <c r="S129" i="4"/>
  <c r="AQ129" i="4" s="1"/>
  <c r="R129" i="4"/>
  <c r="Q129" i="4"/>
  <c r="P129" i="4"/>
  <c r="O129" i="4"/>
  <c r="L129" i="4"/>
  <c r="K129" i="4"/>
  <c r="J129" i="4"/>
  <c r="I129" i="4"/>
  <c r="H129" i="4"/>
  <c r="G129" i="4"/>
  <c r="F129" i="4"/>
  <c r="AP129" i="4" s="1"/>
  <c r="E129" i="4"/>
  <c r="AO129" i="4" s="1"/>
  <c r="D129" i="4"/>
  <c r="C129" i="4"/>
  <c r="AM129" i="4" s="1"/>
  <c r="AP128" i="4"/>
  <c r="AO128" i="4"/>
  <c r="AN128" i="4"/>
  <c r="AM128" i="4"/>
  <c r="AJ128" i="4"/>
  <c r="AI128" i="4"/>
  <c r="AH128" i="4"/>
  <c r="AG128" i="4"/>
  <c r="AF128" i="4"/>
  <c r="AE128" i="4"/>
  <c r="AD128" i="4"/>
  <c r="AC128" i="4"/>
  <c r="AB128" i="4"/>
  <c r="AA128" i="4"/>
  <c r="X128" i="4"/>
  <c r="AV128" i="4" s="1"/>
  <c r="W128" i="4"/>
  <c r="AU128" i="4" s="1"/>
  <c r="V128" i="4"/>
  <c r="U128" i="4"/>
  <c r="T128" i="4"/>
  <c r="S128" i="4"/>
  <c r="R128" i="4"/>
  <c r="Q128" i="4"/>
  <c r="P128" i="4"/>
  <c r="O128" i="4"/>
  <c r="L128" i="4"/>
  <c r="K128" i="4"/>
  <c r="J128" i="4"/>
  <c r="AT128" i="4" s="1"/>
  <c r="I128" i="4"/>
  <c r="AS128" i="4" s="1"/>
  <c r="H128" i="4"/>
  <c r="AR128" i="4" s="1"/>
  <c r="G128" i="4"/>
  <c r="AQ128" i="4" s="1"/>
  <c r="F128" i="4"/>
  <c r="E128" i="4"/>
  <c r="D128" i="4"/>
  <c r="C128" i="4"/>
  <c r="AS127" i="4"/>
  <c r="AQ127" i="4"/>
  <c r="AO127" i="4"/>
  <c r="AJ127" i="4"/>
  <c r="AI127" i="4"/>
  <c r="AH127" i="4"/>
  <c r="AG127" i="4"/>
  <c r="AF127" i="4"/>
  <c r="AE127" i="4"/>
  <c r="AD127" i="4"/>
  <c r="AP127" i="4" s="1"/>
  <c r="AC127" i="4"/>
  <c r="AB127" i="4"/>
  <c r="AA127" i="4"/>
  <c r="X127" i="4"/>
  <c r="W127" i="4"/>
  <c r="V127" i="4"/>
  <c r="U127" i="4"/>
  <c r="T127" i="4"/>
  <c r="AR127" i="4" s="1"/>
  <c r="S127" i="4"/>
  <c r="R127" i="4"/>
  <c r="Q127" i="4"/>
  <c r="P127" i="4"/>
  <c r="AN127" i="4" s="1"/>
  <c r="O127" i="4"/>
  <c r="L127" i="4"/>
  <c r="K127" i="4"/>
  <c r="AU127" i="4" s="1"/>
  <c r="J127" i="4"/>
  <c r="AT127" i="4" s="1"/>
  <c r="I127" i="4"/>
  <c r="H127" i="4"/>
  <c r="G127" i="4"/>
  <c r="F127" i="4"/>
  <c r="E127" i="4"/>
  <c r="D127" i="4"/>
  <c r="C127" i="4"/>
  <c r="AU122" i="4"/>
  <c r="AS122" i="4"/>
  <c r="AR122" i="4"/>
  <c r="AJ122" i="4"/>
  <c r="AI122" i="4"/>
  <c r="AH122" i="4"/>
  <c r="AG122" i="4"/>
  <c r="AF122" i="4"/>
  <c r="AE122" i="4"/>
  <c r="AD122" i="4"/>
  <c r="AC122" i="4"/>
  <c r="AB122" i="4"/>
  <c r="AA122" i="4"/>
  <c r="X122" i="4"/>
  <c r="AV122" i="4" s="1"/>
  <c r="W122" i="4"/>
  <c r="V122" i="4"/>
  <c r="U122" i="4"/>
  <c r="T122" i="4"/>
  <c r="S122" i="4"/>
  <c r="R122" i="4"/>
  <c r="Q122" i="4"/>
  <c r="P122" i="4"/>
  <c r="O122" i="4"/>
  <c r="L122" i="4"/>
  <c r="K122" i="4"/>
  <c r="J122" i="4"/>
  <c r="AT122" i="4" s="1"/>
  <c r="I122" i="4"/>
  <c r="H122" i="4"/>
  <c r="G122" i="4"/>
  <c r="F122" i="4"/>
  <c r="E122" i="4"/>
  <c r="D122" i="4"/>
  <c r="AN122" i="4" s="1"/>
  <c r="C122" i="4"/>
  <c r="AM122" i="4" s="1"/>
  <c r="AP121" i="4"/>
  <c r="AO121" i="4"/>
  <c r="AN121" i="4"/>
  <c r="AJ121" i="4"/>
  <c r="AI121" i="4"/>
  <c r="AH121" i="4"/>
  <c r="AG121" i="4"/>
  <c r="AF121" i="4"/>
  <c r="AE121" i="4"/>
  <c r="AD121" i="4"/>
  <c r="AC121" i="4"/>
  <c r="AB121" i="4"/>
  <c r="AA121" i="4"/>
  <c r="X121" i="4"/>
  <c r="AV121" i="4" s="1"/>
  <c r="W121" i="4"/>
  <c r="V121" i="4"/>
  <c r="U121" i="4"/>
  <c r="T121" i="4"/>
  <c r="S121" i="4"/>
  <c r="R121" i="4"/>
  <c r="Q121" i="4"/>
  <c r="P121" i="4"/>
  <c r="O121" i="4"/>
  <c r="L121" i="4"/>
  <c r="K121" i="4"/>
  <c r="AU121" i="4" s="1"/>
  <c r="J121" i="4"/>
  <c r="AT121" i="4" s="1"/>
  <c r="I121" i="4"/>
  <c r="AS121" i="4" s="1"/>
  <c r="H121" i="4"/>
  <c r="AR121" i="4" s="1"/>
  <c r="G121" i="4"/>
  <c r="AQ121" i="4" s="1"/>
  <c r="F121" i="4"/>
  <c r="E121" i="4"/>
  <c r="D121" i="4"/>
  <c r="C121" i="4"/>
  <c r="AM121" i="4" s="1"/>
  <c r="AS120" i="4"/>
  <c r="AR120" i="4"/>
  <c r="AQ120" i="4"/>
  <c r="AJ120" i="4"/>
  <c r="AI120" i="4"/>
  <c r="AH120" i="4"/>
  <c r="AG120" i="4"/>
  <c r="AF120" i="4"/>
  <c r="AE120" i="4"/>
  <c r="AD120" i="4"/>
  <c r="AC120" i="4"/>
  <c r="AO120" i="4" s="1"/>
  <c r="AB120" i="4"/>
  <c r="AA120" i="4"/>
  <c r="X120" i="4"/>
  <c r="W120" i="4"/>
  <c r="V120" i="4"/>
  <c r="U120" i="4"/>
  <c r="T120" i="4"/>
  <c r="S120" i="4"/>
  <c r="R120" i="4"/>
  <c r="Q120" i="4"/>
  <c r="P120" i="4"/>
  <c r="AN120" i="4" s="1"/>
  <c r="O120" i="4"/>
  <c r="L120" i="4"/>
  <c r="AV120" i="4" s="1"/>
  <c r="K120" i="4"/>
  <c r="AU120" i="4" s="1"/>
  <c r="J120" i="4"/>
  <c r="AT120" i="4" s="1"/>
  <c r="I120" i="4"/>
  <c r="H120" i="4"/>
  <c r="G120" i="4"/>
  <c r="F120" i="4"/>
  <c r="E120" i="4"/>
  <c r="D120" i="4"/>
  <c r="C120" i="4"/>
  <c r="AV119" i="4"/>
  <c r="AU119" i="4"/>
  <c r="AT119" i="4"/>
  <c r="AS119" i="4"/>
  <c r="AJ119" i="4"/>
  <c r="AI119" i="4"/>
  <c r="AH119" i="4"/>
  <c r="AG119" i="4"/>
  <c r="AF119" i="4"/>
  <c r="AE119" i="4"/>
  <c r="AD119" i="4"/>
  <c r="AC119" i="4"/>
  <c r="AB119" i="4"/>
  <c r="AA119" i="4"/>
  <c r="X119" i="4"/>
  <c r="W119" i="4"/>
  <c r="V119" i="4"/>
  <c r="U119" i="4"/>
  <c r="T119" i="4"/>
  <c r="S119" i="4"/>
  <c r="R119" i="4"/>
  <c r="Q119" i="4"/>
  <c r="AO119" i="4" s="1"/>
  <c r="P119" i="4"/>
  <c r="O119" i="4"/>
  <c r="L119" i="4"/>
  <c r="K119" i="4"/>
  <c r="J119" i="4"/>
  <c r="I119" i="4"/>
  <c r="H119" i="4"/>
  <c r="G119" i="4"/>
  <c r="F119" i="4"/>
  <c r="E119" i="4"/>
  <c r="D119" i="4"/>
  <c r="AN119" i="4" s="1"/>
  <c r="C119" i="4"/>
  <c r="AM119" i="4" s="1"/>
  <c r="AV118" i="4"/>
  <c r="AJ118" i="4"/>
  <c r="AI118" i="4"/>
  <c r="AH118" i="4"/>
  <c r="AG118" i="4"/>
  <c r="AF118" i="4"/>
  <c r="AE118" i="4"/>
  <c r="AD118" i="4"/>
  <c r="AC118" i="4"/>
  <c r="AB118" i="4"/>
  <c r="AA118" i="4"/>
  <c r="X118" i="4"/>
  <c r="W118" i="4"/>
  <c r="V118" i="4"/>
  <c r="U118" i="4"/>
  <c r="T118" i="4"/>
  <c r="S118" i="4"/>
  <c r="R118" i="4"/>
  <c r="Q118" i="4"/>
  <c r="AO118" i="4" s="1"/>
  <c r="P118" i="4"/>
  <c r="O118" i="4"/>
  <c r="L118" i="4"/>
  <c r="K118" i="4"/>
  <c r="J118" i="4"/>
  <c r="I118" i="4"/>
  <c r="AS118" i="4" s="1"/>
  <c r="H118" i="4"/>
  <c r="G118" i="4"/>
  <c r="F118" i="4"/>
  <c r="AP118" i="4" s="1"/>
  <c r="E118" i="4"/>
  <c r="D118" i="4"/>
  <c r="AN118" i="4" s="1"/>
  <c r="C118" i="4"/>
  <c r="AM118" i="4" s="1"/>
  <c r="AO117" i="4"/>
  <c r="AJ117" i="4"/>
  <c r="AI117" i="4"/>
  <c r="AH117" i="4"/>
  <c r="AG117" i="4"/>
  <c r="AF117" i="4"/>
  <c r="AE117" i="4"/>
  <c r="AD117" i="4"/>
  <c r="AC117" i="4"/>
  <c r="AB117" i="4"/>
  <c r="AA117" i="4"/>
  <c r="X117" i="4"/>
  <c r="W117" i="4"/>
  <c r="V117" i="4"/>
  <c r="U117" i="4"/>
  <c r="AS117" i="4" s="1"/>
  <c r="T117" i="4"/>
  <c r="S117" i="4"/>
  <c r="R117" i="4"/>
  <c r="Q117" i="4"/>
  <c r="P117" i="4"/>
  <c r="AN117" i="4" s="1"/>
  <c r="O117" i="4"/>
  <c r="L117" i="4"/>
  <c r="AV117" i="4" s="1"/>
  <c r="K117" i="4"/>
  <c r="J117" i="4"/>
  <c r="AT117" i="4" s="1"/>
  <c r="I117" i="4"/>
  <c r="H117" i="4"/>
  <c r="G117" i="4"/>
  <c r="AQ117" i="4" s="1"/>
  <c r="F117" i="4"/>
  <c r="AP117" i="4" s="1"/>
  <c r="E117" i="4"/>
  <c r="D117" i="4"/>
  <c r="C117" i="4"/>
  <c r="AR116" i="4"/>
  <c r="AP116" i="4"/>
  <c r="AO116" i="4"/>
  <c r="AN116" i="4"/>
  <c r="AJ116" i="4"/>
  <c r="AI116" i="4"/>
  <c r="AH116" i="4"/>
  <c r="AG116" i="4"/>
  <c r="AF116" i="4"/>
  <c r="AE116" i="4"/>
  <c r="AD116" i="4"/>
  <c r="AC116" i="4"/>
  <c r="AB116" i="4"/>
  <c r="AA116" i="4"/>
  <c r="X116" i="4"/>
  <c r="W116" i="4"/>
  <c r="V116" i="4"/>
  <c r="U116" i="4"/>
  <c r="T116" i="4"/>
  <c r="S116" i="4"/>
  <c r="R116" i="4"/>
  <c r="Q116" i="4"/>
  <c r="P116" i="4"/>
  <c r="O116" i="4"/>
  <c r="L116" i="4"/>
  <c r="AV116" i="4" s="1"/>
  <c r="K116" i="4"/>
  <c r="AU116" i="4" s="1"/>
  <c r="J116" i="4"/>
  <c r="AT116" i="4" s="1"/>
  <c r="I116" i="4"/>
  <c r="AS116" i="4" s="1"/>
  <c r="H116" i="4"/>
  <c r="G116" i="4"/>
  <c r="AQ116" i="4" s="1"/>
  <c r="F116" i="4"/>
  <c r="E116" i="4"/>
  <c r="D116" i="4"/>
  <c r="C116" i="4"/>
  <c r="AM116" i="4" s="1"/>
  <c r="AV115" i="4"/>
  <c r="AT115" i="4"/>
  <c r="AS115" i="4"/>
  <c r="AR115" i="4"/>
  <c r="AJ115" i="4"/>
  <c r="AI115" i="4"/>
  <c r="AH115" i="4"/>
  <c r="AG115" i="4"/>
  <c r="AF115" i="4"/>
  <c r="AE115" i="4"/>
  <c r="AD115" i="4"/>
  <c r="AC115" i="4"/>
  <c r="AB115" i="4"/>
  <c r="AA115" i="4"/>
  <c r="X115" i="4"/>
  <c r="W115" i="4"/>
  <c r="V115" i="4"/>
  <c r="U115" i="4"/>
  <c r="T115" i="4"/>
  <c r="S115" i="4"/>
  <c r="R115" i="4"/>
  <c r="Q115" i="4"/>
  <c r="AO115" i="4" s="1"/>
  <c r="P115" i="4"/>
  <c r="O115" i="4"/>
  <c r="L115" i="4"/>
  <c r="K115" i="4"/>
  <c r="AU115" i="4" s="1"/>
  <c r="J115" i="4"/>
  <c r="I115" i="4"/>
  <c r="H115" i="4"/>
  <c r="G115" i="4"/>
  <c r="AQ115" i="4" s="1"/>
  <c r="F115" i="4"/>
  <c r="AP115" i="4" s="1"/>
  <c r="E115" i="4"/>
  <c r="D115" i="4"/>
  <c r="C115" i="4"/>
  <c r="AM115" i="4" s="1"/>
  <c r="AV114" i="4"/>
  <c r="AN114" i="4"/>
  <c r="AJ114" i="4"/>
  <c r="AI114" i="4"/>
  <c r="AH114" i="4"/>
  <c r="AG114" i="4"/>
  <c r="AF114" i="4"/>
  <c r="AE114" i="4"/>
  <c r="AD114" i="4"/>
  <c r="AC114" i="4"/>
  <c r="AB114" i="4"/>
  <c r="AA114" i="4"/>
  <c r="X114" i="4"/>
  <c r="W114" i="4"/>
  <c r="V114" i="4"/>
  <c r="U114" i="4"/>
  <c r="AS114" i="4" s="1"/>
  <c r="T114" i="4"/>
  <c r="S114" i="4"/>
  <c r="R114" i="4"/>
  <c r="Q114" i="4"/>
  <c r="P114" i="4"/>
  <c r="O114" i="4"/>
  <c r="L114" i="4"/>
  <c r="K114" i="4"/>
  <c r="AU114" i="4" s="1"/>
  <c r="J114" i="4"/>
  <c r="I114" i="4"/>
  <c r="H114" i="4"/>
  <c r="G114" i="4"/>
  <c r="AQ114" i="4" s="1"/>
  <c r="F114" i="4"/>
  <c r="AP114" i="4" s="1"/>
  <c r="E114" i="4"/>
  <c r="AO114" i="4" s="1"/>
  <c r="D114" i="4"/>
  <c r="C114" i="4"/>
  <c r="AM114" i="4" s="1"/>
  <c r="AR113" i="4"/>
  <c r="AP113" i="4"/>
  <c r="AO113" i="4"/>
  <c r="AN113" i="4"/>
  <c r="AJ113" i="4"/>
  <c r="AI113" i="4"/>
  <c r="AH113" i="4"/>
  <c r="AG113" i="4"/>
  <c r="AF113" i="4"/>
  <c r="AE113" i="4"/>
  <c r="AD113" i="4"/>
  <c r="AC113" i="4"/>
  <c r="AB113" i="4"/>
  <c r="AA113" i="4"/>
  <c r="X113" i="4"/>
  <c r="W113" i="4"/>
  <c r="V113" i="4"/>
  <c r="U113" i="4"/>
  <c r="T113" i="4"/>
  <c r="S113" i="4"/>
  <c r="R113" i="4"/>
  <c r="Q113" i="4"/>
  <c r="P113" i="4"/>
  <c r="O113" i="4"/>
  <c r="L113" i="4"/>
  <c r="AV113" i="4" s="1"/>
  <c r="K113" i="4"/>
  <c r="AU113" i="4" s="1"/>
  <c r="J113" i="4"/>
  <c r="AT113" i="4" s="1"/>
  <c r="I113" i="4"/>
  <c r="AS113" i="4" s="1"/>
  <c r="H113" i="4"/>
  <c r="G113" i="4"/>
  <c r="AQ113" i="4" s="1"/>
  <c r="F113" i="4"/>
  <c r="E113" i="4"/>
  <c r="D113" i="4"/>
  <c r="C113" i="4"/>
  <c r="AM113" i="4" s="1"/>
  <c r="AV108" i="4"/>
  <c r="AT108" i="4"/>
  <c r="AS108" i="4"/>
  <c r="AR108" i="4"/>
  <c r="AJ108" i="4"/>
  <c r="AI108" i="4"/>
  <c r="AH108" i="4"/>
  <c r="AG108" i="4"/>
  <c r="AF108" i="4"/>
  <c r="AE108" i="4"/>
  <c r="AD108" i="4"/>
  <c r="AC108" i="4"/>
  <c r="AB108" i="4"/>
  <c r="AA108" i="4"/>
  <c r="X108" i="4"/>
  <c r="W108" i="4"/>
  <c r="V108" i="4"/>
  <c r="U108" i="4"/>
  <c r="T108" i="4"/>
  <c r="S108" i="4"/>
  <c r="R108" i="4"/>
  <c r="Q108" i="4"/>
  <c r="AO108" i="4" s="1"/>
  <c r="P108" i="4"/>
  <c r="O108" i="4"/>
  <c r="L108" i="4"/>
  <c r="K108" i="4"/>
  <c r="AU108" i="4" s="1"/>
  <c r="J108" i="4"/>
  <c r="I108" i="4"/>
  <c r="H108" i="4"/>
  <c r="G108" i="4"/>
  <c r="AQ108" i="4" s="1"/>
  <c r="F108" i="4"/>
  <c r="E108" i="4"/>
  <c r="D108" i="4"/>
  <c r="C108" i="4"/>
  <c r="AM108" i="4" s="1"/>
  <c r="AV107" i="4"/>
  <c r="AN107" i="4"/>
  <c r="AJ107" i="4"/>
  <c r="AI107" i="4"/>
  <c r="AH107" i="4"/>
  <c r="AG107" i="4"/>
  <c r="AF107" i="4"/>
  <c r="AE107" i="4"/>
  <c r="AD107" i="4"/>
  <c r="AC107" i="4"/>
  <c r="AB107" i="4"/>
  <c r="AA107" i="4"/>
  <c r="X107" i="4"/>
  <c r="W107" i="4"/>
  <c r="V107" i="4"/>
  <c r="U107" i="4"/>
  <c r="AS107" i="4" s="1"/>
  <c r="T107" i="4"/>
  <c r="S107" i="4"/>
  <c r="R107" i="4"/>
  <c r="Q107" i="4"/>
  <c r="P107" i="4"/>
  <c r="O107" i="4"/>
  <c r="L107" i="4"/>
  <c r="K107" i="4"/>
  <c r="AU107" i="4" s="1"/>
  <c r="J107" i="4"/>
  <c r="AT107" i="4" s="1"/>
  <c r="I107" i="4"/>
  <c r="H107" i="4"/>
  <c r="AR107" i="4" s="1"/>
  <c r="G107" i="4"/>
  <c r="AQ107" i="4" s="1"/>
  <c r="F107" i="4"/>
  <c r="AP107" i="4" s="1"/>
  <c r="E107" i="4"/>
  <c r="AO107" i="4" s="1"/>
  <c r="D107" i="4"/>
  <c r="C107" i="4"/>
  <c r="AM107" i="4" s="1"/>
  <c r="AR106" i="4"/>
  <c r="AP106" i="4"/>
  <c r="AO106" i="4"/>
  <c r="AN106" i="4"/>
  <c r="AJ106" i="4"/>
  <c r="AI106" i="4"/>
  <c r="AH106" i="4"/>
  <c r="AG106" i="4"/>
  <c r="AF106" i="4"/>
  <c r="AE106" i="4"/>
  <c r="AD106" i="4"/>
  <c r="AC106" i="4"/>
  <c r="AB106" i="4"/>
  <c r="AA106" i="4"/>
  <c r="X106" i="4"/>
  <c r="W106" i="4"/>
  <c r="V106" i="4"/>
  <c r="U106" i="4"/>
  <c r="T106" i="4"/>
  <c r="S106" i="4"/>
  <c r="R106" i="4"/>
  <c r="Q106" i="4"/>
  <c r="P106" i="4"/>
  <c r="O106" i="4"/>
  <c r="L106" i="4"/>
  <c r="AV106" i="4" s="1"/>
  <c r="K106" i="4"/>
  <c r="AU106" i="4" s="1"/>
  <c r="J106" i="4"/>
  <c r="AT106" i="4" s="1"/>
  <c r="I106" i="4"/>
  <c r="AS106" i="4" s="1"/>
  <c r="H106" i="4"/>
  <c r="G106" i="4"/>
  <c r="AQ106" i="4" s="1"/>
  <c r="F106" i="4"/>
  <c r="E106" i="4"/>
  <c r="D106" i="4"/>
  <c r="C106" i="4"/>
  <c r="AM106" i="4" s="1"/>
  <c r="AV105" i="4"/>
  <c r="AT105" i="4"/>
  <c r="AS105" i="4"/>
  <c r="AJ105" i="4"/>
  <c r="AI105" i="4"/>
  <c r="AH105" i="4"/>
  <c r="AG105" i="4"/>
  <c r="AF105" i="4"/>
  <c r="AR105" i="4" s="1"/>
  <c r="AE105" i="4"/>
  <c r="AD105" i="4"/>
  <c r="AC105" i="4"/>
  <c r="AB105" i="4"/>
  <c r="AA105" i="4"/>
  <c r="X105" i="4"/>
  <c r="W105" i="4"/>
  <c r="V105" i="4"/>
  <c r="U105" i="4"/>
  <c r="T105" i="4"/>
  <c r="S105" i="4"/>
  <c r="R105" i="4"/>
  <c r="Q105" i="4"/>
  <c r="AO105" i="4" s="1"/>
  <c r="P105" i="4"/>
  <c r="O105" i="4"/>
  <c r="L105" i="4"/>
  <c r="K105" i="4"/>
  <c r="AU105" i="4" s="1"/>
  <c r="J105" i="4"/>
  <c r="I105" i="4"/>
  <c r="H105" i="4"/>
  <c r="G105" i="4"/>
  <c r="AQ105" i="4" s="1"/>
  <c r="F105" i="4"/>
  <c r="AP105" i="4" s="1"/>
  <c r="E105" i="4"/>
  <c r="D105" i="4"/>
  <c r="AN105" i="4" s="1"/>
  <c r="C105" i="4"/>
  <c r="AM105" i="4" s="1"/>
  <c r="AV104" i="4"/>
  <c r="AN104" i="4"/>
  <c r="AJ104" i="4"/>
  <c r="AI104" i="4"/>
  <c r="AH104" i="4"/>
  <c r="AG104" i="4"/>
  <c r="AF104" i="4"/>
  <c r="AE104" i="4"/>
  <c r="AD104" i="4"/>
  <c r="AC104" i="4"/>
  <c r="AB104" i="4"/>
  <c r="AA104" i="4"/>
  <c r="X104" i="4"/>
  <c r="W104" i="4"/>
  <c r="V104" i="4"/>
  <c r="U104" i="4"/>
  <c r="AS104" i="4" s="1"/>
  <c r="T104" i="4"/>
  <c r="S104" i="4"/>
  <c r="R104" i="4"/>
  <c r="Q104" i="4"/>
  <c r="P104" i="4"/>
  <c r="O104" i="4"/>
  <c r="L104" i="4"/>
  <c r="K104" i="4"/>
  <c r="AU104" i="4" s="1"/>
  <c r="J104" i="4"/>
  <c r="AT104" i="4" s="1"/>
  <c r="I104" i="4"/>
  <c r="H104" i="4"/>
  <c r="G104" i="4"/>
  <c r="AQ104" i="4" s="1"/>
  <c r="F104" i="4"/>
  <c r="AP104" i="4" s="1"/>
  <c r="E104" i="4"/>
  <c r="AO104" i="4" s="1"/>
  <c r="D104" i="4"/>
  <c r="C104" i="4"/>
  <c r="AM104" i="4" s="1"/>
  <c r="AR103" i="4"/>
  <c r="AP103" i="4"/>
  <c r="AO103" i="4"/>
  <c r="AN103" i="4"/>
  <c r="AJ103" i="4"/>
  <c r="AI103" i="4"/>
  <c r="AH103" i="4"/>
  <c r="AG103" i="4"/>
  <c r="AF103" i="4"/>
  <c r="AE103" i="4"/>
  <c r="AD103" i="4"/>
  <c r="AC103" i="4"/>
  <c r="AB103" i="4"/>
  <c r="AA103" i="4"/>
  <c r="X103" i="4"/>
  <c r="W103" i="4"/>
  <c r="V103" i="4"/>
  <c r="U103" i="4"/>
  <c r="T103" i="4"/>
  <c r="S103" i="4"/>
  <c r="R103" i="4"/>
  <c r="Q103" i="4"/>
  <c r="P103" i="4"/>
  <c r="O103" i="4"/>
  <c r="L103" i="4"/>
  <c r="AV103" i="4" s="1"/>
  <c r="K103" i="4"/>
  <c r="AU103" i="4" s="1"/>
  <c r="J103" i="4"/>
  <c r="AT103" i="4" s="1"/>
  <c r="I103" i="4"/>
  <c r="AS103" i="4" s="1"/>
  <c r="H103" i="4"/>
  <c r="G103" i="4"/>
  <c r="AQ103" i="4" s="1"/>
  <c r="F103" i="4"/>
  <c r="E103" i="4"/>
  <c r="D103" i="4"/>
  <c r="C103" i="4"/>
  <c r="AM103" i="4" s="1"/>
  <c r="AV102" i="4"/>
  <c r="AT102" i="4"/>
  <c r="AS102" i="4"/>
  <c r="AR102" i="4"/>
  <c r="AJ102" i="4"/>
  <c r="AI102" i="4"/>
  <c r="AH102" i="4"/>
  <c r="AG102" i="4"/>
  <c r="AF102" i="4"/>
  <c r="AE102" i="4"/>
  <c r="AD102" i="4"/>
  <c r="AC102" i="4"/>
  <c r="AB102" i="4"/>
  <c r="AA102" i="4"/>
  <c r="X102" i="4"/>
  <c r="W102" i="4"/>
  <c r="V102" i="4"/>
  <c r="U102" i="4"/>
  <c r="T102" i="4"/>
  <c r="S102" i="4"/>
  <c r="R102" i="4"/>
  <c r="Q102" i="4"/>
  <c r="AO102" i="4" s="1"/>
  <c r="P102" i="4"/>
  <c r="O102" i="4"/>
  <c r="L102" i="4"/>
  <c r="K102" i="4"/>
  <c r="AU102" i="4" s="1"/>
  <c r="J102" i="4"/>
  <c r="I102" i="4"/>
  <c r="H102" i="4"/>
  <c r="G102" i="4"/>
  <c r="AQ102" i="4" s="1"/>
  <c r="F102" i="4"/>
  <c r="AP102" i="4" s="1"/>
  <c r="E102" i="4"/>
  <c r="D102" i="4"/>
  <c r="C102" i="4"/>
  <c r="AM102" i="4" s="1"/>
  <c r="AV101" i="4"/>
  <c r="AN101" i="4"/>
  <c r="AJ101" i="4"/>
  <c r="AI101" i="4"/>
  <c r="AH101" i="4"/>
  <c r="AG101" i="4"/>
  <c r="AF101" i="4"/>
  <c r="AE101" i="4"/>
  <c r="AD101" i="4"/>
  <c r="AC101" i="4"/>
  <c r="AB101" i="4"/>
  <c r="AA101" i="4"/>
  <c r="X101" i="4"/>
  <c r="W101" i="4"/>
  <c r="V101" i="4"/>
  <c r="U101" i="4"/>
  <c r="AS101" i="4" s="1"/>
  <c r="T101" i="4"/>
  <c r="S101" i="4"/>
  <c r="R101" i="4"/>
  <c r="Q101" i="4"/>
  <c r="P101" i="4"/>
  <c r="O101" i="4"/>
  <c r="L101" i="4"/>
  <c r="K101" i="4"/>
  <c r="AU101" i="4" s="1"/>
  <c r="J101" i="4"/>
  <c r="I101" i="4"/>
  <c r="H101" i="4"/>
  <c r="G101" i="4"/>
  <c r="AQ101" i="4" s="1"/>
  <c r="F101" i="4"/>
  <c r="AP101" i="4" s="1"/>
  <c r="E101" i="4"/>
  <c r="AO101" i="4" s="1"/>
  <c r="D101" i="4"/>
  <c r="C101" i="4"/>
  <c r="AM101" i="4" s="1"/>
  <c r="AR100" i="4"/>
  <c r="AP100" i="4"/>
  <c r="AO100" i="4"/>
  <c r="AN100" i="4"/>
  <c r="AJ100" i="4"/>
  <c r="AI100" i="4"/>
  <c r="AH100" i="4"/>
  <c r="AG100" i="4"/>
  <c r="AF100" i="4"/>
  <c r="AE100" i="4"/>
  <c r="AD100" i="4"/>
  <c r="AC100" i="4"/>
  <c r="AB100" i="4"/>
  <c r="AA100" i="4"/>
  <c r="X100" i="4"/>
  <c r="W100" i="4"/>
  <c r="V100" i="4"/>
  <c r="U100" i="4"/>
  <c r="T100" i="4"/>
  <c r="S100" i="4"/>
  <c r="R100" i="4"/>
  <c r="Q100" i="4"/>
  <c r="P100" i="4"/>
  <c r="O100" i="4"/>
  <c r="L100" i="4"/>
  <c r="AV100" i="4" s="1"/>
  <c r="K100" i="4"/>
  <c r="AU100" i="4" s="1"/>
  <c r="J100" i="4"/>
  <c r="AT100" i="4" s="1"/>
  <c r="I100" i="4"/>
  <c r="AS100" i="4" s="1"/>
  <c r="H100" i="4"/>
  <c r="G100" i="4"/>
  <c r="AQ100" i="4" s="1"/>
  <c r="F100" i="4"/>
  <c r="E100" i="4"/>
  <c r="D100" i="4"/>
  <c r="C100" i="4"/>
  <c r="AM100" i="4" s="1"/>
  <c r="AV99" i="4"/>
  <c r="AT99" i="4"/>
  <c r="AS99" i="4"/>
  <c r="AR99" i="4"/>
  <c r="AJ99" i="4"/>
  <c r="AI99" i="4"/>
  <c r="AH99" i="4"/>
  <c r="AG99" i="4"/>
  <c r="AF99" i="4"/>
  <c r="AE99" i="4"/>
  <c r="AD99" i="4"/>
  <c r="AC99" i="4"/>
  <c r="AB99" i="4"/>
  <c r="AA99" i="4"/>
  <c r="X99" i="4"/>
  <c r="W99" i="4"/>
  <c r="V99" i="4"/>
  <c r="U99" i="4"/>
  <c r="T99" i="4"/>
  <c r="S99" i="4"/>
  <c r="R99" i="4"/>
  <c r="Q99" i="4"/>
  <c r="P99" i="4"/>
  <c r="O99" i="4"/>
  <c r="L99" i="4"/>
  <c r="K99" i="4"/>
  <c r="AU99" i="4" s="1"/>
  <c r="J99" i="4"/>
  <c r="I99" i="4"/>
  <c r="H99" i="4"/>
  <c r="G99" i="4"/>
  <c r="AQ99" i="4" s="1"/>
  <c r="F99" i="4"/>
  <c r="E99" i="4"/>
  <c r="AO99" i="4" s="1"/>
  <c r="D99" i="4"/>
  <c r="C99" i="4"/>
  <c r="AM99" i="4" s="1"/>
  <c r="AV94" i="4"/>
  <c r="AN94" i="4"/>
  <c r="AJ94" i="4"/>
  <c r="AI94" i="4"/>
  <c r="AH94" i="4"/>
  <c r="AG94" i="4"/>
  <c r="AF94" i="4"/>
  <c r="AE94" i="4"/>
  <c r="AD94" i="4"/>
  <c r="AC94" i="4"/>
  <c r="AB94" i="4"/>
  <c r="AA94" i="4"/>
  <c r="X94" i="4"/>
  <c r="W94" i="4"/>
  <c r="V94" i="4"/>
  <c r="U94" i="4"/>
  <c r="T94" i="4"/>
  <c r="S94" i="4"/>
  <c r="R94" i="4"/>
  <c r="Q94" i="4"/>
  <c r="P94" i="4"/>
  <c r="O94" i="4"/>
  <c r="L94" i="4"/>
  <c r="K94" i="4"/>
  <c r="AU94" i="4" s="1"/>
  <c r="J94" i="4"/>
  <c r="AT94" i="4" s="1"/>
  <c r="I94" i="4"/>
  <c r="AS94" i="4" s="1"/>
  <c r="H94" i="4"/>
  <c r="AR94" i="4" s="1"/>
  <c r="G94" i="4"/>
  <c r="AQ94" i="4" s="1"/>
  <c r="F94" i="4"/>
  <c r="AP94" i="4" s="1"/>
  <c r="E94" i="4"/>
  <c r="AO94" i="4" s="1"/>
  <c r="D94" i="4"/>
  <c r="C94" i="4"/>
  <c r="AM94" i="4" s="1"/>
  <c r="AR93" i="4"/>
  <c r="AP93" i="4"/>
  <c r="AO93" i="4"/>
  <c r="AN93" i="4"/>
  <c r="AJ93" i="4"/>
  <c r="AI93" i="4"/>
  <c r="AH93" i="4"/>
  <c r="AG93" i="4"/>
  <c r="AF93" i="4"/>
  <c r="AE93" i="4"/>
  <c r="AD93" i="4"/>
  <c r="AC93" i="4"/>
  <c r="AB93" i="4"/>
  <c r="AA93" i="4"/>
  <c r="X93" i="4"/>
  <c r="W93" i="4"/>
  <c r="V93" i="4"/>
  <c r="U93" i="4"/>
  <c r="T93" i="4"/>
  <c r="S93" i="4"/>
  <c r="R93" i="4"/>
  <c r="Q93" i="4"/>
  <c r="P93" i="4"/>
  <c r="O93" i="4"/>
  <c r="L93" i="4"/>
  <c r="AV93" i="4" s="1"/>
  <c r="K93" i="4"/>
  <c r="AU93" i="4" s="1"/>
  <c r="J93" i="4"/>
  <c r="AT93" i="4" s="1"/>
  <c r="I93" i="4"/>
  <c r="AS93" i="4" s="1"/>
  <c r="H93" i="4"/>
  <c r="G93" i="4"/>
  <c r="AQ93" i="4" s="1"/>
  <c r="F93" i="4"/>
  <c r="E93" i="4"/>
  <c r="D93" i="4"/>
  <c r="C93" i="4"/>
  <c r="AM93" i="4" s="1"/>
  <c r="AV92" i="4"/>
  <c r="AT92" i="4"/>
  <c r="AS92" i="4"/>
  <c r="AJ92" i="4"/>
  <c r="AI92" i="4"/>
  <c r="AH92" i="4"/>
  <c r="AG92" i="4"/>
  <c r="AF92" i="4"/>
  <c r="AR92" i="4" s="1"/>
  <c r="AE92" i="4"/>
  <c r="AD92" i="4"/>
  <c r="AC92" i="4"/>
  <c r="AB92" i="4"/>
  <c r="AA92" i="4"/>
  <c r="X92" i="4"/>
  <c r="W92" i="4"/>
  <c r="V92" i="4"/>
  <c r="U92" i="4"/>
  <c r="T92" i="4"/>
  <c r="S92" i="4"/>
  <c r="R92" i="4"/>
  <c r="Q92" i="4"/>
  <c r="P92" i="4"/>
  <c r="O92" i="4"/>
  <c r="L92" i="4"/>
  <c r="K92" i="4"/>
  <c r="AU92" i="4" s="1"/>
  <c r="J92" i="4"/>
  <c r="I92" i="4"/>
  <c r="H92" i="4"/>
  <c r="G92" i="4"/>
  <c r="AQ92" i="4" s="1"/>
  <c r="F92" i="4"/>
  <c r="AP92" i="4" s="1"/>
  <c r="E92" i="4"/>
  <c r="AO92" i="4" s="1"/>
  <c r="D92" i="4"/>
  <c r="C92" i="4"/>
  <c r="AM92" i="4" s="1"/>
  <c r="AV91" i="4"/>
  <c r="AN91" i="4"/>
  <c r="AJ91" i="4"/>
  <c r="AI91" i="4"/>
  <c r="AH91" i="4"/>
  <c r="AG91" i="4"/>
  <c r="AF91" i="4"/>
  <c r="AE91" i="4"/>
  <c r="AD91" i="4"/>
  <c r="AC91" i="4"/>
  <c r="AB91" i="4"/>
  <c r="AA91" i="4"/>
  <c r="X91" i="4"/>
  <c r="W91" i="4"/>
  <c r="V91" i="4"/>
  <c r="U91" i="4"/>
  <c r="T91" i="4"/>
  <c r="S91" i="4"/>
  <c r="R91" i="4"/>
  <c r="Q91" i="4"/>
  <c r="P91" i="4"/>
  <c r="O91" i="4"/>
  <c r="L91" i="4"/>
  <c r="K91" i="4"/>
  <c r="AU91" i="4" s="1"/>
  <c r="J91" i="4"/>
  <c r="AT91" i="4" s="1"/>
  <c r="I91" i="4"/>
  <c r="AS91" i="4" s="1"/>
  <c r="H91" i="4"/>
  <c r="G91" i="4"/>
  <c r="AQ91" i="4" s="1"/>
  <c r="F91" i="4"/>
  <c r="AP91" i="4" s="1"/>
  <c r="E91" i="4"/>
  <c r="AO91" i="4" s="1"/>
  <c r="D91" i="4"/>
  <c r="C91" i="4"/>
  <c r="AM91" i="4" s="1"/>
  <c r="AR90" i="4"/>
  <c r="AP90" i="4"/>
  <c r="AO90" i="4"/>
  <c r="AN90" i="4"/>
  <c r="AJ90" i="4"/>
  <c r="AI90" i="4"/>
  <c r="AH90" i="4"/>
  <c r="AG90" i="4"/>
  <c r="AF90" i="4"/>
  <c r="AE90" i="4"/>
  <c r="AD90" i="4"/>
  <c r="AC90" i="4"/>
  <c r="AB90" i="4"/>
  <c r="AA90" i="4"/>
  <c r="X90" i="4"/>
  <c r="W90" i="4"/>
  <c r="V90" i="4"/>
  <c r="U90" i="4"/>
  <c r="T90" i="4"/>
  <c r="S90" i="4"/>
  <c r="R90" i="4"/>
  <c r="Q90" i="4"/>
  <c r="P90" i="4"/>
  <c r="O90" i="4"/>
  <c r="L90" i="4"/>
  <c r="AV90" i="4" s="1"/>
  <c r="K90" i="4"/>
  <c r="AU90" i="4" s="1"/>
  <c r="J90" i="4"/>
  <c r="AT90" i="4" s="1"/>
  <c r="I90" i="4"/>
  <c r="AS90" i="4" s="1"/>
  <c r="H90" i="4"/>
  <c r="G90" i="4"/>
  <c r="AQ90" i="4" s="1"/>
  <c r="F90" i="4"/>
  <c r="E90" i="4"/>
  <c r="D90" i="4"/>
  <c r="C90" i="4"/>
  <c r="AM90" i="4" s="1"/>
  <c r="AV89" i="4"/>
  <c r="AT89" i="4"/>
  <c r="AS89" i="4"/>
  <c r="AR89" i="4"/>
  <c r="AJ89" i="4"/>
  <c r="AI89" i="4"/>
  <c r="AH89" i="4"/>
  <c r="AG89" i="4"/>
  <c r="AF89" i="4"/>
  <c r="AE89" i="4"/>
  <c r="AD89" i="4"/>
  <c r="AC89" i="4"/>
  <c r="AB89" i="4"/>
  <c r="AA89" i="4"/>
  <c r="X89" i="4"/>
  <c r="W89" i="4"/>
  <c r="V89" i="4"/>
  <c r="U89" i="4"/>
  <c r="T89" i="4"/>
  <c r="S89" i="4"/>
  <c r="R89" i="4"/>
  <c r="Q89" i="4"/>
  <c r="P89" i="4"/>
  <c r="O89" i="4"/>
  <c r="L89" i="4"/>
  <c r="K89" i="4"/>
  <c r="AU89" i="4" s="1"/>
  <c r="J89" i="4"/>
  <c r="I89" i="4"/>
  <c r="H89" i="4"/>
  <c r="G89" i="4"/>
  <c r="AQ89" i="4" s="1"/>
  <c r="F89" i="4"/>
  <c r="AP89" i="4" s="1"/>
  <c r="E89" i="4"/>
  <c r="AO89" i="4" s="1"/>
  <c r="D89" i="4"/>
  <c r="C89" i="4"/>
  <c r="AM89" i="4" s="1"/>
  <c r="AV88" i="4"/>
  <c r="AN88" i="4"/>
  <c r="AJ88" i="4"/>
  <c r="AI88" i="4"/>
  <c r="AH88" i="4"/>
  <c r="AG88" i="4"/>
  <c r="AF88" i="4"/>
  <c r="AE88" i="4"/>
  <c r="AD88" i="4"/>
  <c r="AC88" i="4"/>
  <c r="AB88" i="4"/>
  <c r="AA88" i="4"/>
  <c r="X88" i="4"/>
  <c r="W88" i="4"/>
  <c r="V88" i="4"/>
  <c r="U88" i="4"/>
  <c r="T88" i="4"/>
  <c r="S88" i="4"/>
  <c r="R88" i="4"/>
  <c r="Q88" i="4"/>
  <c r="P88" i="4"/>
  <c r="O88" i="4"/>
  <c r="L88" i="4"/>
  <c r="K88" i="4"/>
  <c r="AU88" i="4" s="1"/>
  <c r="J88" i="4"/>
  <c r="I88" i="4"/>
  <c r="AS88" i="4" s="1"/>
  <c r="H88" i="4"/>
  <c r="G88" i="4"/>
  <c r="AQ88" i="4" s="1"/>
  <c r="F88" i="4"/>
  <c r="AP88" i="4" s="1"/>
  <c r="E88" i="4"/>
  <c r="AO88" i="4" s="1"/>
  <c r="D88" i="4"/>
  <c r="C88" i="4"/>
  <c r="AM88" i="4" s="1"/>
  <c r="AR87" i="4"/>
  <c r="AP87" i="4"/>
  <c r="AO87" i="4"/>
  <c r="AN87" i="4"/>
  <c r="AJ87" i="4"/>
  <c r="AI87" i="4"/>
  <c r="AH87" i="4"/>
  <c r="AG87" i="4"/>
  <c r="AF87" i="4"/>
  <c r="AE87" i="4"/>
  <c r="AD87" i="4"/>
  <c r="AC87" i="4"/>
  <c r="AB87" i="4"/>
  <c r="AA87" i="4"/>
  <c r="X87" i="4"/>
  <c r="W87" i="4"/>
  <c r="V87" i="4"/>
  <c r="U87" i="4"/>
  <c r="T87" i="4"/>
  <c r="S87" i="4"/>
  <c r="R87" i="4"/>
  <c r="Q87" i="4"/>
  <c r="P87" i="4"/>
  <c r="O87" i="4"/>
  <c r="L87" i="4"/>
  <c r="AV87" i="4" s="1"/>
  <c r="K87" i="4"/>
  <c r="AU87" i="4" s="1"/>
  <c r="J87" i="4"/>
  <c r="AT87" i="4" s="1"/>
  <c r="I87" i="4"/>
  <c r="AS87" i="4" s="1"/>
  <c r="H87" i="4"/>
  <c r="G87" i="4"/>
  <c r="AQ87" i="4" s="1"/>
  <c r="F87" i="4"/>
  <c r="E87" i="4"/>
  <c r="D87" i="4"/>
  <c r="C87" i="4"/>
  <c r="AM87" i="4" s="1"/>
  <c r="AV86" i="4"/>
  <c r="AT86" i="4"/>
  <c r="AS86" i="4"/>
  <c r="AR86" i="4"/>
  <c r="AJ86" i="4"/>
  <c r="AI86" i="4"/>
  <c r="AH86" i="4"/>
  <c r="AG86" i="4"/>
  <c r="AF86" i="4"/>
  <c r="AE86" i="4"/>
  <c r="AD86" i="4"/>
  <c r="AC86" i="4"/>
  <c r="AB86" i="4"/>
  <c r="AA86" i="4"/>
  <c r="X86" i="4"/>
  <c r="W86" i="4"/>
  <c r="V86" i="4"/>
  <c r="U86" i="4"/>
  <c r="T86" i="4"/>
  <c r="S86" i="4"/>
  <c r="R86" i="4"/>
  <c r="Q86" i="4"/>
  <c r="P86" i="4"/>
  <c r="O86" i="4"/>
  <c r="L86" i="4"/>
  <c r="K86" i="4"/>
  <c r="AU86" i="4" s="1"/>
  <c r="J86" i="4"/>
  <c r="I86" i="4"/>
  <c r="H86" i="4"/>
  <c r="G86" i="4"/>
  <c r="AQ86" i="4" s="1"/>
  <c r="F86" i="4"/>
  <c r="E86" i="4"/>
  <c r="AO86" i="4" s="1"/>
  <c r="D86" i="4"/>
  <c r="C86" i="4"/>
  <c r="AM86" i="4" s="1"/>
  <c r="AV85" i="4"/>
  <c r="AN85" i="4"/>
  <c r="AJ85" i="4"/>
  <c r="AI85" i="4"/>
  <c r="AH85" i="4"/>
  <c r="AG85" i="4"/>
  <c r="AF85" i="4"/>
  <c r="AE85" i="4"/>
  <c r="AD85" i="4"/>
  <c r="AC85" i="4"/>
  <c r="AB85" i="4"/>
  <c r="AA85" i="4"/>
  <c r="X85" i="4"/>
  <c r="W85" i="4"/>
  <c r="V85" i="4"/>
  <c r="U85" i="4"/>
  <c r="T85" i="4"/>
  <c r="S85" i="4"/>
  <c r="R85" i="4"/>
  <c r="Q85" i="4"/>
  <c r="P85" i="4"/>
  <c r="O85" i="4"/>
  <c r="L85" i="4"/>
  <c r="K85" i="4"/>
  <c r="AU85" i="4" s="1"/>
  <c r="J85" i="4"/>
  <c r="AT85" i="4" s="1"/>
  <c r="I85" i="4"/>
  <c r="AS85" i="4" s="1"/>
  <c r="H85" i="4"/>
  <c r="G85" i="4"/>
  <c r="AQ85" i="4" s="1"/>
  <c r="F85" i="4"/>
  <c r="AP85" i="4" s="1"/>
  <c r="E85" i="4"/>
  <c r="AO85" i="4" s="1"/>
  <c r="D85" i="4"/>
  <c r="C85" i="4"/>
  <c r="AM85" i="4" s="1"/>
  <c r="AR80" i="4"/>
  <c r="AP80" i="4"/>
  <c r="AO80" i="4"/>
  <c r="AN80" i="4"/>
  <c r="AJ80" i="4"/>
  <c r="AI80" i="4"/>
  <c r="AH80" i="4"/>
  <c r="AG80" i="4"/>
  <c r="AF80" i="4"/>
  <c r="AE80" i="4"/>
  <c r="AD80" i="4"/>
  <c r="AC80" i="4"/>
  <c r="AB80" i="4"/>
  <c r="AA80" i="4"/>
  <c r="X80" i="4"/>
  <c r="W80" i="4"/>
  <c r="V80" i="4"/>
  <c r="U80" i="4"/>
  <c r="T80" i="4"/>
  <c r="S80" i="4"/>
  <c r="R80" i="4"/>
  <c r="Q80" i="4"/>
  <c r="P80" i="4"/>
  <c r="O80" i="4"/>
  <c r="L80" i="4"/>
  <c r="AV80" i="4" s="1"/>
  <c r="K80" i="4"/>
  <c r="AU80" i="4" s="1"/>
  <c r="J80" i="4"/>
  <c r="AT80" i="4" s="1"/>
  <c r="I80" i="4"/>
  <c r="AS80" i="4" s="1"/>
  <c r="H80" i="4"/>
  <c r="G80" i="4"/>
  <c r="AQ80" i="4" s="1"/>
  <c r="F80" i="4"/>
  <c r="E80" i="4"/>
  <c r="D80" i="4"/>
  <c r="C80" i="4"/>
  <c r="AM80" i="4" s="1"/>
  <c r="AV79" i="4"/>
  <c r="AT79" i="4"/>
  <c r="AS79" i="4"/>
  <c r="AJ79" i="4"/>
  <c r="AI79" i="4"/>
  <c r="AH79" i="4"/>
  <c r="AG79" i="4"/>
  <c r="AF79" i="4"/>
  <c r="AR79" i="4" s="1"/>
  <c r="AE79" i="4"/>
  <c r="AD79" i="4"/>
  <c r="AC79" i="4"/>
  <c r="AB79" i="4"/>
  <c r="AA79" i="4"/>
  <c r="X79" i="4"/>
  <c r="W79" i="4"/>
  <c r="V79" i="4"/>
  <c r="U79" i="4"/>
  <c r="T79" i="4"/>
  <c r="S79" i="4"/>
  <c r="R79" i="4"/>
  <c r="Q79" i="4"/>
  <c r="P79" i="4"/>
  <c r="O79" i="4"/>
  <c r="L79" i="4"/>
  <c r="K79" i="4"/>
  <c r="AU79" i="4" s="1"/>
  <c r="J79" i="4"/>
  <c r="I79" i="4"/>
  <c r="H79" i="4"/>
  <c r="G79" i="4"/>
  <c r="AQ79" i="4" s="1"/>
  <c r="F79" i="4"/>
  <c r="AP79" i="4" s="1"/>
  <c r="E79" i="4"/>
  <c r="AO79" i="4" s="1"/>
  <c r="D79" i="4"/>
  <c r="C79" i="4"/>
  <c r="AM79" i="4" s="1"/>
  <c r="AV78" i="4"/>
  <c r="AN78" i="4"/>
  <c r="AJ78" i="4"/>
  <c r="AI78" i="4"/>
  <c r="AH78" i="4"/>
  <c r="AG78" i="4"/>
  <c r="AF78" i="4"/>
  <c r="AE78" i="4"/>
  <c r="AD78" i="4"/>
  <c r="AC78" i="4"/>
  <c r="AB78" i="4"/>
  <c r="AA78" i="4"/>
  <c r="X78" i="4"/>
  <c r="W78" i="4"/>
  <c r="V78" i="4"/>
  <c r="U78" i="4"/>
  <c r="T78" i="4"/>
  <c r="S78" i="4"/>
  <c r="R78" i="4"/>
  <c r="Q78" i="4"/>
  <c r="P78" i="4"/>
  <c r="O78" i="4"/>
  <c r="L78" i="4"/>
  <c r="K78" i="4"/>
  <c r="AU78" i="4" s="1"/>
  <c r="J78" i="4"/>
  <c r="AT78" i="4" s="1"/>
  <c r="I78" i="4"/>
  <c r="AS78" i="4" s="1"/>
  <c r="H78" i="4"/>
  <c r="G78" i="4"/>
  <c r="AQ78" i="4" s="1"/>
  <c r="F78" i="4"/>
  <c r="AP78" i="4" s="1"/>
  <c r="E78" i="4"/>
  <c r="AO78" i="4" s="1"/>
  <c r="D78" i="4"/>
  <c r="C78" i="4"/>
  <c r="AM78" i="4" s="1"/>
  <c r="AR77" i="4"/>
  <c r="AP77" i="4"/>
  <c r="AO77" i="4"/>
  <c r="AN77" i="4"/>
  <c r="AJ77" i="4"/>
  <c r="AI77" i="4"/>
  <c r="AH77" i="4"/>
  <c r="AG77" i="4"/>
  <c r="AF77" i="4"/>
  <c r="AE77" i="4"/>
  <c r="AD77" i="4"/>
  <c r="AC77" i="4"/>
  <c r="AB77" i="4"/>
  <c r="AA77" i="4"/>
  <c r="X77" i="4"/>
  <c r="W77" i="4"/>
  <c r="V77" i="4"/>
  <c r="U77" i="4"/>
  <c r="T77" i="4"/>
  <c r="S77" i="4"/>
  <c r="R77" i="4"/>
  <c r="Q77" i="4"/>
  <c r="P77" i="4"/>
  <c r="O77" i="4"/>
  <c r="L77" i="4"/>
  <c r="AV77" i="4" s="1"/>
  <c r="K77" i="4"/>
  <c r="AU77" i="4" s="1"/>
  <c r="J77" i="4"/>
  <c r="AT77" i="4" s="1"/>
  <c r="I77" i="4"/>
  <c r="AS77" i="4" s="1"/>
  <c r="H77" i="4"/>
  <c r="G77" i="4"/>
  <c r="AQ77" i="4" s="1"/>
  <c r="F77" i="4"/>
  <c r="E77" i="4"/>
  <c r="D77" i="4"/>
  <c r="C77" i="4"/>
  <c r="AM77" i="4" s="1"/>
  <c r="AV76" i="4"/>
  <c r="AT76" i="4"/>
  <c r="AS76" i="4"/>
  <c r="AR76" i="4"/>
  <c r="AJ76" i="4"/>
  <c r="AI76" i="4"/>
  <c r="AH76" i="4"/>
  <c r="AG76" i="4"/>
  <c r="AF76" i="4"/>
  <c r="AE76" i="4"/>
  <c r="AD76" i="4"/>
  <c r="AC76" i="4"/>
  <c r="AB76" i="4"/>
  <c r="AA76" i="4"/>
  <c r="X76" i="4"/>
  <c r="W76" i="4"/>
  <c r="V76" i="4"/>
  <c r="U76" i="4"/>
  <c r="T76" i="4"/>
  <c r="S76" i="4"/>
  <c r="R76" i="4"/>
  <c r="Q76" i="4"/>
  <c r="P76" i="4"/>
  <c r="O76" i="4"/>
  <c r="L76" i="4"/>
  <c r="K76" i="4"/>
  <c r="AU76" i="4" s="1"/>
  <c r="J76" i="4"/>
  <c r="I76" i="4"/>
  <c r="H76" i="4"/>
  <c r="G76" i="4"/>
  <c r="AQ76" i="4" s="1"/>
  <c r="F76" i="4"/>
  <c r="AP76" i="4" s="1"/>
  <c r="E76" i="4"/>
  <c r="AO76" i="4" s="1"/>
  <c r="D76" i="4"/>
  <c r="C76" i="4"/>
  <c r="AM76" i="4" s="1"/>
  <c r="AN75" i="4"/>
  <c r="AJ75" i="4"/>
  <c r="AI75" i="4"/>
  <c r="AH75" i="4"/>
  <c r="AG75" i="4"/>
  <c r="AF75" i="4"/>
  <c r="AE75" i="4"/>
  <c r="AD75" i="4"/>
  <c r="AC75" i="4"/>
  <c r="AB75" i="4"/>
  <c r="AA75" i="4"/>
  <c r="X75" i="4"/>
  <c r="AV75" i="4" s="1"/>
  <c r="W75" i="4"/>
  <c r="V75" i="4"/>
  <c r="U75" i="4"/>
  <c r="T75" i="4"/>
  <c r="S75" i="4"/>
  <c r="R75" i="4"/>
  <c r="Q75" i="4"/>
  <c r="P75" i="4"/>
  <c r="O75" i="4"/>
  <c r="L75" i="4"/>
  <c r="K75" i="4"/>
  <c r="AU75" i="4" s="1"/>
  <c r="J75" i="4"/>
  <c r="I75" i="4"/>
  <c r="AS75" i="4" s="1"/>
  <c r="H75" i="4"/>
  <c r="G75" i="4"/>
  <c r="AQ75" i="4" s="1"/>
  <c r="F75" i="4"/>
  <c r="AP75" i="4" s="1"/>
  <c r="E75" i="4"/>
  <c r="AO75" i="4" s="1"/>
  <c r="D75" i="4"/>
  <c r="C75" i="4"/>
  <c r="AM75" i="4" s="1"/>
  <c r="AR74" i="4"/>
  <c r="AP74" i="4"/>
  <c r="AO74" i="4"/>
  <c r="AN74" i="4"/>
  <c r="AJ74" i="4"/>
  <c r="AI74" i="4"/>
  <c r="AH74" i="4"/>
  <c r="AG74" i="4"/>
  <c r="AF74" i="4"/>
  <c r="AE74" i="4"/>
  <c r="AD74" i="4"/>
  <c r="AC74" i="4"/>
  <c r="AB74" i="4"/>
  <c r="AA74" i="4"/>
  <c r="X74" i="4"/>
  <c r="W74" i="4"/>
  <c r="V74" i="4"/>
  <c r="U74" i="4"/>
  <c r="T74" i="4"/>
  <c r="S74" i="4"/>
  <c r="R74" i="4"/>
  <c r="Q74" i="4"/>
  <c r="P74" i="4"/>
  <c r="O74" i="4"/>
  <c r="L74" i="4"/>
  <c r="AV74" i="4" s="1"/>
  <c r="K74" i="4"/>
  <c r="AU74" i="4" s="1"/>
  <c r="J74" i="4"/>
  <c r="AT74" i="4" s="1"/>
  <c r="I74" i="4"/>
  <c r="AS74" i="4" s="1"/>
  <c r="H74" i="4"/>
  <c r="G74" i="4"/>
  <c r="AQ74" i="4" s="1"/>
  <c r="F74" i="4"/>
  <c r="E74" i="4"/>
  <c r="D74" i="4"/>
  <c r="C74" i="4"/>
  <c r="AM74" i="4" s="1"/>
  <c r="AV73" i="4"/>
  <c r="AT73" i="4"/>
  <c r="AS73" i="4"/>
  <c r="AR73" i="4"/>
  <c r="AJ73" i="4"/>
  <c r="AI73" i="4"/>
  <c r="AH73" i="4"/>
  <c r="AG73" i="4"/>
  <c r="AF73" i="4"/>
  <c r="AE73" i="4"/>
  <c r="AD73" i="4"/>
  <c r="AC73" i="4"/>
  <c r="AB73" i="4"/>
  <c r="AA73" i="4"/>
  <c r="X73" i="4"/>
  <c r="W73" i="4"/>
  <c r="V73" i="4"/>
  <c r="U73" i="4"/>
  <c r="T73" i="4"/>
  <c r="S73" i="4"/>
  <c r="R73" i="4"/>
  <c r="Q73" i="4"/>
  <c r="P73" i="4"/>
  <c r="O73" i="4"/>
  <c r="L73" i="4"/>
  <c r="K73" i="4"/>
  <c r="AU73" i="4" s="1"/>
  <c r="J73" i="4"/>
  <c r="I73" i="4"/>
  <c r="H73" i="4"/>
  <c r="G73" i="4"/>
  <c r="AQ73" i="4" s="1"/>
  <c r="F73" i="4"/>
  <c r="E73" i="4"/>
  <c r="AO73" i="4" s="1"/>
  <c r="D73" i="4"/>
  <c r="C73" i="4"/>
  <c r="AM73" i="4" s="1"/>
  <c r="AN72" i="4"/>
  <c r="AJ72" i="4"/>
  <c r="AI72" i="4"/>
  <c r="AH72" i="4"/>
  <c r="AG72" i="4"/>
  <c r="AF72" i="4"/>
  <c r="AE72" i="4"/>
  <c r="AD72" i="4"/>
  <c r="AC72" i="4"/>
  <c r="AB72" i="4"/>
  <c r="AA72" i="4"/>
  <c r="X72" i="4"/>
  <c r="AV72" i="4" s="1"/>
  <c r="W72" i="4"/>
  <c r="V72" i="4"/>
  <c r="U72" i="4"/>
  <c r="T72" i="4"/>
  <c r="S72" i="4"/>
  <c r="R72" i="4"/>
  <c r="Q72" i="4"/>
  <c r="P72" i="4"/>
  <c r="O72" i="4"/>
  <c r="L72" i="4"/>
  <c r="K72" i="4"/>
  <c r="AU72" i="4" s="1"/>
  <c r="J72" i="4"/>
  <c r="AT72" i="4" s="1"/>
  <c r="I72" i="4"/>
  <c r="AS72" i="4" s="1"/>
  <c r="H72" i="4"/>
  <c r="G72" i="4"/>
  <c r="AQ72" i="4" s="1"/>
  <c r="F72" i="4"/>
  <c r="AP72" i="4" s="1"/>
  <c r="E72" i="4"/>
  <c r="AO72" i="4" s="1"/>
  <c r="D72" i="4"/>
  <c r="C72" i="4"/>
  <c r="AM72" i="4" s="1"/>
  <c r="AR71" i="4"/>
  <c r="AP71" i="4"/>
  <c r="AO71" i="4"/>
  <c r="AN71" i="4"/>
  <c r="AJ71" i="4"/>
  <c r="AI71" i="4"/>
  <c r="AH71" i="4"/>
  <c r="AG71" i="4"/>
  <c r="AF71" i="4"/>
  <c r="AE71" i="4"/>
  <c r="AD71" i="4"/>
  <c r="AC71" i="4"/>
  <c r="AB71" i="4"/>
  <c r="AA71" i="4"/>
  <c r="X71" i="4"/>
  <c r="W71" i="4"/>
  <c r="V71" i="4"/>
  <c r="U71" i="4"/>
  <c r="T71" i="4"/>
  <c r="S71" i="4"/>
  <c r="R71" i="4"/>
  <c r="Q71" i="4"/>
  <c r="P71" i="4"/>
  <c r="O71" i="4"/>
  <c r="L71" i="4"/>
  <c r="AV71" i="4" s="1"/>
  <c r="K71" i="4"/>
  <c r="AU71" i="4" s="1"/>
  <c r="J71" i="4"/>
  <c r="AT71" i="4" s="1"/>
  <c r="I71" i="4"/>
  <c r="AS71" i="4" s="1"/>
  <c r="H71" i="4"/>
  <c r="G71" i="4"/>
  <c r="AQ71" i="4" s="1"/>
  <c r="F71" i="4"/>
  <c r="E71" i="4"/>
  <c r="D71" i="4"/>
  <c r="C71" i="4"/>
  <c r="AM71" i="4" s="1"/>
  <c r="AV66" i="4"/>
  <c r="AT66" i="4"/>
  <c r="AS66" i="4"/>
  <c r="AJ66" i="4"/>
  <c r="AI66" i="4"/>
  <c r="AH66" i="4"/>
  <c r="AG66" i="4"/>
  <c r="AF66" i="4"/>
  <c r="AE66" i="4"/>
  <c r="AD66" i="4"/>
  <c r="AC66" i="4"/>
  <c r="AB66" i="4"/>
  <c r="AA66" i="4"/>
  <c r="X66" i="4"/>
  <c r="W66" i="4"/>
  <c r="V66" i="4"/>
  <c r="U66" i="4"/>
  <c r="T66" i="4"/>
  <c r="AR66" i="4" s="1"/>
  <c r="S66" i="4"/>
  <c r="R66" i="4"/>
  <c r="Q66" i="4"/>
  <c r="P66" i="4"/>
  <c r="O66" i="4"/>
  <c r="L66" i="4"/>
  <c r="K66" i="4"/>
  <c r="AU66" i="4" s="1"/>
  <c r="J66" i="4"/>
  <c r="I66" i="4"/>
  <c r="H66" i="4"/>
  <c r="G66" i="4"/>
  <c r="AQ66" i="4" s="1"/>
  <c r="F66" i="4"/>
  <c r="AP66" i="4" s="1"/>
  <c r="E66" i="4"/>
  <c r="AO66" i="4" s="1"/>
  <c r="D66" i="4"/>
  <c r="C66" i="4"/>
  <c r="AM66" i="4" s="1"/>
  <c r="AN65" i="4"/>
  <c r="AJ65" i="4"/>
  <c r="AI65" i="4"/>
  <c r="AH65" i="4"/>
  <c r="AG65" i="4"/>
  <c r="AF65" i="4"/>
  <c r="AE65" i="4"/>
  <c r="AD65" i="4"/>
  <c r="AC65" i="4"/>
  <c r="AB65" i="4"/>
  <c r="AA65" i="4"/>
  <c r="X65" i="4"/>
  <c r="AV65" i="4" s="1"/>
  <c r="W65" i="4"/>
  <c r="V65" i="4"/>
  <c r="U65" i="4"/>
  <c r="T65" i="4"/>
  <c r="S65" i="4"/>
  <c r="R65" i="4"/>
  <c r="Q65" i="4"/>
  <c r="P65" i="4"/>
  <c r="O65" i="4"/>
  <c r="L65" i="4"/>
  <c r="K65" i="4"/>
  <c r="AU65" i="4" s="1"/>
  <c r="J65" i="4"/>
  <c r="AT65" i="4" s="1"/>
  <c r="I65" i="4"/>
  <c r="AS65" i="4" s="1"/>
  <c r="H65" i="4"/>
  <c r="G65" i="4"/>
  <c r="AQ65" i="4" s="1"/>
  <c r="F65" i="4"/>
  <c r="AP65" i="4" s="1"/>
  <c r="E65" i="4"/>
  <c r="AO65" i="4" s="1"/>
  <c r="D65" i="4"/>
  <c r="C65" i="4"/>
  <c r="AM65" i="4" s="1"/>
  <c r="AR64" i="4"/>
  <c r="AP64" i="4"/>
  <c r="AO64" i="4"/>
  <c r="AN64" i="4"/>
  <c r="AJ64" i="4"/>
  <c r="AI64" i="4"/>
  <c r="AH64" i="4"/>
  <c r="AG64" i="4"/>
  <c r="AF64" i="4"/>
  <c r="AE64" i="4"/>
  <c r="AD64" i="4"/>
  <c r="AC64" i="4"/>
  <c r="AB64" i="4"/>
  <c r="AA64" i="4"/>
  <c r="X64" i="4"/>
  <c r="W64" i="4"/>
  <c r="V64" i="4"/>
  <c r="U64" i="4"/>
  <c r="T64" i="4"/>
  <c r="S64" i="4"/>
  <c r="R64" i="4"/>
  <c r="Q64" i="4"/>
  <c r="P64" i="4"/>
  <c r="O64" i="4"/>
  <c r="L64" i="4"/>
  <c r="AV64" i="4" s="1"/>
  <c r="K64" i="4"/>
  <c r="AU64" i="4" s="1"/>
  <c r="J64" i="4"/>
  <c r="AT64" i="4" s="1"/>
  <c r="I64" i="4"/>
  <c r="AS64" i="4" s="1"/>
  <c r="H64" i="4"/>
  <c r="G64" i="4"/>
  <c r="AQ64" i="4" s="1"/>
  <c r="F64" i="4"/>
  <c r="E64" i="4"/>
  <c r="D64" i="4"/>
  <c r="C64" i="4"/>
  <c r="AV63" i="4"/>
  <c r="AT63" i="4"/>
  <c r="AS63" i="4"/>
  <c r="AR63" i="4"/>
  <c r="AJ63" i="4"/>
  <c r="AI63" i="4"/>
  <c r="AH63" i="4"/>
  <c r="AG63" i="4"/>
  <c r="AF63" i="4"/>
  <c r="AE63" i="4"/>
  <c r="AD63" i="4"/>
  <c r="AC63" i="4"/>
  <c r="AB63" i="4"/>
  <c r="AA63" i="4"/>
  <c r="X63" i="4"/>
  <c r="W63" i="4"/>
  <c r="V63" i="4"/>
  <c r="U63" i="4"/>
  <c r="T63" i="4"/>
  <c r="S63" i="4"/>
  <c r="R63" i="4"/>
  <c r="Q63" i="4"/>
  <c r="P63" i="4"/>
  <c r="O63" i="4"/>
  <c r="L63" i="4"/>
  <c r="K63" i="4"/>
  <c r="AU63" i="4" s="1"/>
  <c r="J63" i="4"/>
  <c r="I63" i="4"/>
  <c r="H63" i="4"/>
  <c r="G63" i="4"/>
  <c r="AQ63" i="4" s="1"/>
  <c r="F63" i="4"/>
  <c r="AP63" i="4" s="1"/>
  <c r="E63" i="4"/>
  <c r="D63" i="4"/>
  <c r="C63" i="4"/>
  <c r="AM63" i="4" s="1"/>
  <c r="AN62" i="4"/>
  <c r="AJ62" i="4"/>
  <c r="AI62" i="4"/>
  <c r="AH62" i="4"/>
  <c r="AG62" i="4"/>
  <c r="AF62" i="4"/>
  <c r="AE62" i="4"/>
  <c r="AD62" i="4"/>
  <c r="AC62" i="4"/>
  <c r="AB62" i="4"/>
  <c r="AA62" i="4"/>
  <c r="X62" i="4"/>
  <c r="AV62" i="4" s="1"/>
  <c r="W62" i="4"/>
  <c r="V62" i="4"/>
  <c r="U62" i="4"/>
  <c r="T62" i="4"/>
  <c r="S62" i="4"/>
  <c r="R62" i="4"/>
  <c r="Q62" i="4"/>
  <c r="P62" i="4"/>
  <c r="O62" i="4"/>
  <c r="L62" i="4"/>
  <c r="K62" i="4"/>
  <c r="AU62" i="4" s="1"/>
  <c r="J62" i="4"/>
  <c r="I62" i="4"/>
  <c r="H62" i="4"/>
  <c r="G62" i="4"/>
  <c r="AQ62" i="4" s="1"/>
  <c r="F62" i="4"/>
  <c r="AP62" i="4" s="1"/>
  <c r="E62" i="4"/>
  <c r="AO62" i="4" s="1"/>
  <c r="D62" i="4"/>
  <c r="C62" i="4"/>
  <c r="AM62" i="4" s="1"/>
  <c r="AR61" i="4"/>
  <c r="AP61" i="4"/>
  <c r="AO61" i="4"/>
  <c r="AN61" i="4"/>
  <c r="AJ61" i="4"/>
  <c r="AI61" i="4"/>
  <c r="AH61" i="4"/>
  <c r="AG61" i="4"/>
  <c r="AF61" i="4"/>
  <c r="AE61" i="4"/>
  <c r="AD61" i="4"/>
  <c r="AC61" i="4"/>
  <c r="AB61" i="4"/>
  <c r="AA61" i="4"/>
  <c r="X61" i="4"/>
  <c r="W61" i="4"/>
  <c r="V61" i="4"/>
  <c r="U61" i="4"/>
  <c r="T61" i="4"/>
  <c r="S61" i="4"/>
  <c r="R61" i="4"/>
  <c r="Q61" i="4"/>
  <c r="P61" i="4"/>
  <c r="O61" i="4"/>
  <c r="L61" i="4"/>
  <c r="AV61" i="4" s="1"/>
  <c r="K61" i="4"/>
  <c r="AU61" i="4" s="1"/>
  <c r="J61" i="4"/>
  <c r="AT61" i="4" s="1"/>
  <c r="I61" i="4"/>
  <c r="AS61" i="4" s="1"/>
  <c r="H61" i="4"/>
  <c r="G61" i="4"/>
  <c r="AQ61" i="4" s="1"/>
  <c r="F61" i="4"/>
  <c r="E61" i="4"/>
  <c r="D61" i="4"/>
  <c r="C61" i="4"/>
  <c r="AM61" i="4" s="1"/>
  <c r="AV60" i="4"/>
  <c r="AT60" i="4"/>
  <c r="AS60" i="4"/>
  <c r="AR60" i="4"/>
  <c r="AJ60" i="4"/>
  <c r="AI60" i="4"/>
  <c r="AH60" i="4"/>
  <c r="AG60" i="4"/>
  <c r="AF60" i="4"/>
  <c r="AE60" i="4"/>
  <c r="AD60" i="4"/>
  <c r="AC60" i="4"/>
  <c r="AB60" i="4"/>
  <c r="AA60" i="4"/>
  <c r="X60" i="4"/>
  <c r="W60" i="4"/>
  <c r="V60" i="4"/>
  <c r="U60" i="4"/>
  <c r="T60" i="4"/>
  <c r="S60" i="4"/>
  <c r="R60" i="4"/>
  <c r="Q60" i="4"/>
  <c r="P60" i="4"/>
  <c r="O60" i="4"/>
  <c r="L60" i="4"/>
  <c r="K60" i="4"/>
  <c r="AU60" i="4" s="1"/>
  <c r="J60" i="4"/>
  <c r="I60" i="4"/>
  <c r="H60" i="4"/>
  <c r="G60" i="4"/>
  <c r="AQ60" i="4" s="1"/>
  <c r="F60" i="4"/>
  <c r="E60" i="4"/>
  <c r="D60" i="4"/>
  <c r="C60" i="4"/>
  <c r="AM60" i="4" s="1"/>
  <c r="AN59" i="4"/>
  <c r="AJ59" i="4"/>
  <c r="AI59" i="4"/>
  <c r="AH59" i="4"/>
  <c r="AG59" i="4"/>
  <c r="AF59" i="4"/>
  <c r="AE59" i="4"/>
  <c r="AD59" i="4"/>
  <c r="AC59" i="4"/>
  <c r="AB59" i="4"/>
  <c r="AA59" i="4"/>
  <c r="X59" i="4"/>
  <c r="AV59" i="4" s="1"/>
  <c r="W59" i="4"/>
  <c r="V59" i="4"/>
  <c r="U59" i="4"/>
  <c r="T59" i="4"/>
  <c r="S59" i="4"/>
  <c r="R59" i="4"/>
  <c r="Q59" i="4"/>
  <c r="P59" i="4"/>
  <c r="O59" i="4"/>
  <c r="L59" i="4"/>
  <c r="K59" i="4"/>
  <c r="J59" i="4"/>
  <c r="AT59" i="4" s="1"/>
  <c r="I59" i="4"/>
  <c r="AS59" i="4" s="1"/>
  <c r="H59" i="4"/>
  <c r="G59" i="4"/>
  <c r="AQ59" i="4" s="1"/>
  <c r="F59" i="4"/>
  <c r="AP59" i="4" s="1"/>
  <c r="E59" i="4"/>
  <c r="AO59" i="4" s="1"/>
  <c r="D59" i="4"/>
  <c r="C59" i="4"/>
  <c r="AM59" i="4" s="1"/>
  <c r="AR58" i="4"/>
  <c r="AP58" i="4"/>
  <c r="AO58" i="4"/>
  <c r="AN58" i="4"/>
  <c r="AJ58" i="4"/>
  <c r="AI58" i="4"/>
  <c r="AH58" i="4"/>
  <c r="AG58" i="4"/>
  <c r="AF58" i="4"/>
  <c r="AE58" i="4"/>
  <c r="AD58" i="4"/>
  <c r="AC58" i="4"/>
  <c r="AB58" i="4"/>
  <c r="AA58" i="4"/>
  <c r="X58" i="4"/>
  <c r="W58" i="4"/>
  <c r="V58" i="4"/>
  <c r="U58" i="4"/>
  <c r="T58" i="4"/>
  <c r="S58" i="4"/>
  <c r="R58" i="4"/>
  <c r="Q58" i="4"/>
  <c r="P58" i="4"/>
  <c r="O58" i="4"/>
  <c r="L58" i="4"/>
  <c r="AV58" i="4" s="1"/>
  <c r="K58" i="4"/>
  <c r="AU58" i="4" s="1"/>
  <c r="J58" i="4"/>
  <c r="AT58" i="4" s="1"/>
  <c r="I58" i="4"/>
  <c r="AS58" i="4" s="1"/>
  <c r="H58" i="4"/>
  <c r="G58" i="4"/>
  <c r="AQ58" i="4" s="1"/>
  <c r="F58" i="4"/>
  <c r="E58" i="4"/>
  <c r="D58" i="4"/>
  <c r="C58" i="4"/>
  <c r="AM58" i="4" s="1"/>
  <c r="AV57" i="4"/>
  <c r="AT57" i="4"/>
  <c r="AS57" i="4"/>
  <c r="AJ57" i="4"/>
  <c r="AI57" i="4"/>
  <c r="AH57" i="4"/>
  <c r="AG57" i="4"/>
  <c r="AF57" i="4"/>
  <c r="AE57" i="4"/>
  <c r="AD57" i="4"/>
  <c r="AC57" i="4"/>
  <c r="AB57" i="4"/>
  <c r="AA57" i="4"/>
  <c r="X57" i="4"/>
  <c r="W57" i="4"/>
  <c r="V57" i="4"/>
  <c r="U57" i="4"/>
  <c r="T57" i="4"/>
  <c r="AR57" i="4" s="1"/>
  <c r="S57" i="4"/>
  <c r="R57" i="4"/>
  <c r="Q57" i="4"/>
  <c r="P57" i="4"/>
  <c r="O57" i="4"/>
  <c r="L57" i="4"/>
  <c r="K57" i="4"/>
  <c r="AU57" i="4" s="1"/>
  <c r="J57" i="4"/>
  <c r="I57" i="4"/>
  <c r="H57" i="4"/>
  <c r="G57" i="4"/>
  <c r="F57" i="4"/>
  <c r="AP57" i="4" s="1"/>
  <c r="E57" i="4"/>
  <c r="AO57" i="4" s="1"/>
  <c r="D57" i="4"/>
  <c r="C57" i="4"/>
  <c r="AM57" i="4" s="1"/>
  <c r="AV16" i="4"/>
  <c r="AU16" i="4"/>
  <c r="AT16" i="4"/>
  <c r="AS16" i="4"/>
  <c r="AR16" i="4"/>
  <c r="AQ16" i="4"/>
  <c r="AP16" i="4"/>
  <c r="AO16" i="4"/>
  <c r="AN16" i="4"/>
  <c r="AM16" i="4"/>
  <c r="AV15" i="4"/>
  <c r="AU15" i="4"/>
  <c r="AT15" i="4"/>
  <c r="AS15" i="4"/>
  <c r="AR15" i="4"/>
  <c r="AQ15" i="4"/>
  <c r="AP15" i="4"/>
  <c r="AO15" i="4"/>
  <c r="AN15" i="4"/>
  <c r="AM15" i="4"/>
  <c r="AV14" i="4"/>
  <c r="AU14" i="4"/>
  <c r="AT14" i="4"/>
  <c r="AS14" i="4"/>
  <c r="AR14" i="4"/>
  <c r="AQ14" i="4"/>
  <c r="AP14" i="4"/>
  <c r="AO14" i="4"/>
  <c r="AN14" i="4"/>
  <c r="AM14" i="4"/>
  <c r="AV13" i="4"/>
  <c r="AU13" i="4"/>
  <c r="AT13" i="4"/>
  <c r="AS13" i="4"/>
  <c r="AR13" i="4"/>
  <c r="AQ13" i="4"/>
  <c r="AP13" i="4"/>
  <c r="AO13" i="4"/>
  <c r="AN13" i="4"/>
  <c r="AM13" i="4"/>
  <c r="AV12" i="4"/>
  <c r="AU12" i="4"/>
  <c r="AT12" i="4"/>
  <c r="AS12" i="4"/>
  <c r="AR12" i="4"/>
  <c r="AQ12" i="4"/>
  <c r="AP12" i="4"/>
  <c r="AO12" i="4"/>
  <c r="AN12" i="4"/>
  <c r="AM12" i="4"/>
  <c r="AV11" i="4"/>
  <c r="AU11" i="4"/>
  <c r="AT11" i="4"/>
  <c r="AS11" i="4"/>
  <c r="AR11" i="4"/>
  <c r="AQ11" i="4"/>
  <c r="AP11" i="4"/>
  <c r="AO11" i="4"/>
  <c r="AN11" i="4"/>
  <c r="AM11" i="4"/>
  <c r="AV10" i="4"/>
  <c r="AU10" i="4"/>
  <c r="AT10" i="4"/>
  <c r="B13" i="5" s="1"/>
  <c r="AS10" i="4"/>
  <c r="AR10" i="4"/>
  <c r="AQ10" i="4"/>
  <c r="AP10" i="4"/>
  <c r="AO10" i="4"/>
  <c r="AN10" i="4"/>
  <c r="AM10" i="4"/>
  <c r="AV9" i="4"/>
  <c r="AU9" i="4"/>
  <c r="AT9" i="4"/>
  <c r="AS9" i="4"/>
  <c r="AR9" i="4"/>
  <c r="AQ9" i="4"/>
  <c r="AP9" i="4"/>
  <c r="AO9" i="4"/>
  <c r="AN9" i="4"/>
  <c r="AM9" i="4"/>
  <c r="AV8" i="4"/>
  <c r="AU8" i="4"/>
  <c r="AT8" i="4"/>
  <c r="AS8" i="4"/>
  <c r="AR8" i="4"/>
  <c r="AQ8" i="4"/>
  <c r="AP8" i="4"/>
  <c r="AO8" i="4"/>
  <c r="AN8" i="4"/>
  <c r="AM8" i="4"/>
  <c r="AV7" i="4"/>
  <c r="AU7" i="4"/>
  <c r="AT7" i="4"/>
  <c r="AS7" i="4"/>
  <c r="AR7" i="4"/>
  <c r="AQ7" i="4"/>
  <c r="AP7" i="4"/>
  <c r="AO7" i="4"/>
  <c r="AN7" i="4"/>
  <c r="AM7" i="4"/>
  <c r="O114" i="3"/>
  <c r="P114" i="3" s="1"/>
  <c r="Q114" i="3" s="1"/>
  <c r="P113" i="3"/>
  <c r="Q113" i="3" s="1"/>
  <c r="O113" i="3"/>
  <c r="O112" i="3"/>
  <c r="P112" i="3" s="1"/>
  <c r="Q112" i="3" s="1"/>
  <c r="T111" i="3"/>
  <c r="U111" i="3" s="1"/>
  <c r="V111" i="3" s="1"/>
  <c r="W111" i="3" s="1"/>
  <c r="S111" i="3"/>
  <c r="R111" i="3"/>
  <c r="O111" i="3"/>
  <c r="P111" i="3" s="1"/>
  <c r="Q111" i="3" s="1"/>
  <c r="P110" i="3"/>
  <c r="Q110" i="3" s="1"/>
  <c r="O110" i="3"/>
  <c r="P109" i="3"/>
  <c r="Q109" i="3" s="1"/>
  <c r="O109" i="3"/>
  <c r="O106" i="3"/>
  <c r="P106" i="3" s="1"/>
  <c r="Q106" i="3" s="1"/>
  <c r="O105" i="3"/>
  <c r="P105" i="3" s="1"/>
  <c r="Q105" i="3" s="1"/>
  <c r="Q104" i="3"/>
  <c r="P104" i="3"/>
  <c r="O104" i="3"/>
  <c r="P103" i="3"/>
  <c r="Q103" i="3" s="1"/>
  <c r="O103" i="3"/>
  <c r="O102" i="3"/>
  <c r="P102" i="3" s="1"/>
  <c r="Q102" i="3" s="1"/>
  <c r="R101" i="3"/>
  <c r="S101" i="3" s="1"/>
  <c r="T101" i="3" s="1"/>
  <c r="U101" i="3" s="1"/>
  <c r="V101" i="3" s="1"/>
  <c r="W101" i="3" s="1"/>
  <c r="O101" i="3"/>
  <c r="P101" i="3" s="1"/>
  <c r="Q101" i="3" s="1"/>
  <c r="P98" i="3"/>
  <c r="Q98" i="3" s="1"/>
  <c r="O98" i="3"/>
  <c r="P97" i="3"/>
  <c r="Q97" i="3" s="1"/>
  <c r="O97" i="3"/>
  <c r="O96" i="3"/>
  <c r="P96" i="3" s="1"/>
  <c r="Q96" i="3" s="1"/>
  <c r="O95" i="3"/>
  <c r="P95" i="3" s="1"/>
  <c r="Q95" i="3" s="1"/>
  <c r="O94" i="3"/>
  <c r="P94" i="3" s="1"/>
  <c r="Q94" i="3" s="1"/>
  <c r="P93" i="3"/>
  <c r="Q93" i="3" s="1"/>
  <c r="O93" i="3"/>
  <c r="O90" i="3"/>
  <c r="P90" i="3" s="1"/>
  <c r="Q90" i="3" s="1"/>
  <c r="T89" i="3"/>
  <c r="U89" i="3" s="1"/>
  <c r="V89" i="3" s="1"/>
  <c r="W89" i="3" s="1"/>
  <c r="S89" i="3"/>
  <c r="R89" i="3"/>
  <c r="O89" i="3"/>
  <c r="P89" i="3" s="1"/>
  <c r="Q89" i="3" s="1"/>
  <c r="O88" i="3"/>
  <c r="P88" i="3" s="1"/>
  <c r="Q88" i="3" s="1"/>
  <c r="R87" i="3"/>
  <c r="S87" i="3" s="1"/>
  <c r="T87" i="3" s="1"/>
  <c r="U87" i="3" s="1"/>
  <c r="V87" i="3" s="1"/>
  <c r="W87" i="3" s="1"/>
  <c r="P87" i="3"/>
  <c r="Q87" i="3" s="1"/>
  <c r="O87" i="3"/>
  <c r="O86" i="3"/>
  <c r="P86" i="3" s="1"/>
  <c r="Q86" i="3" s="1"/>
  <c r="O85" i="3"/>
  <c r="P85" i="3" s="1"/>
  <c r="Q85" i="3" s="1"/>
  <c r="P82" i="3"/>
  <c r="Q82" i="3" s="1"/>
  <c r="O82" i="3"/>
  <c r="R81" i="3"/>
  <c r="S81" i="3" s="1"/>
  <c r="T81" i="3" s="1"/>
  <c r="U81" i="3" s="1"/>
  <c r="V81" i="3" s="1"/>
  <c r="W81" i="3" s="1"/>
  <c r="P81" i="3"/>
  <c r="Q81" i="3" s="1"/>
  <c r="O81" i="3"/>
  <c r="O80" i="3"/>
  <c r="P80" i="3" s="1"/>
  <c r="Q80" i="3" s="1"/>
  <c r="R79" i="3"/>
  <c r="S79" i="3" s="1"/>
  <c r="T79" i="3" s="1"/>
  <c r="U79" i="3" s="1"/>
  <c r="V79" i="3" s="1"/>
  <c r="W79" i="3" s="1"/>
  <c r="O79" i="3"/>
  <c r="P79" i="3" s="1"/>
  <c r="Q79" i="3" s="1"/>
  <c r="O78" i="3"/>
  <c r="P78" i="3" s="1"/>
  <c r="Q78" i="3" s="1"/>
  <c r="R77" i="3"/>
  <c r="S77" i="3" s="1"/>
  <c r="T77" i="3" s="1"/>
  <c r="U77" i="3" s="1"/>
  <c r="V77" i="3" s="1"/>
  <c r="W77" i="3" s="1"/>
  <c r="P77" i="3"/>
  <c r="Q77" i="3" s="1"/>
  <c r="O77" i="3"/>
  <c r="O74" i="3"/>
  <c r="P74" i="3" s="1"/>
  <c r="Q74" i="3" s="1"/>
  <c r="S73" i="3"/>
  <c r="T73" i="3" s="1"/>
  <c r="U73" i="3" s="1"/>
  <c r="V73" i="3" s="1"/>
  <c r="W73" i="3" s="1"/>
  <c r="R73" i="3"/>
  <c r="O73" i="3"/>
  <c r="P73" i="3" s="1"/>
  <c r="Q73" i="3" s="1"/>
  <c r="O72" i="3"/>
  <c r="P72" i="3" s="1"/>
  <c r="Q72" i="3" s="1"/>
  <c r="R71" i="3"/>
  <c r="S71" i="3" s="1"/>
  <c r="T71" i="3" s="1"/>
  <c r="U71" i="3" s="1"/>
  <c r="V71" i="3" s="1"/>
  <c r="W71" i="3" s="1"/>
  <c r="P71" i="3"/>
  <c r="Q71" i="3" s="1"/>
  <c r="O71" i="3"/>
  <c r="O70" i="3"/>
  <c r="P70" i="3" s="1"/>
  <c r="Q70" i="3" s="1"/>
  <c r="S69" i="3"/>
  <c r="T69" i="3" s="1"/>
  <c r="U69" i="3" s="1"/>
  <c r="V69" i="3" s="1"/>
  <c r="W69" i="3" s="1"/>
  <c r="R69" i="3"/>
  <c r="O69" i="3"/>
  <c r="P69" i="3" s="1"/>
  <c r="Q69" i="3" s="1"/>
  <c r="O66" i="3"/>
  <c r="P66" i="3" s="1"/>
  <c r="Q66" i="3" s="1"/>
  <c r="R65" i="3"/>
  <c r="S65" i="3" s="1"/>
  <c r="T65" i="3" s="1"/>
  <c r="U65" i="3" s="1"/>
  <c r="V65" i="3" s="1"/>
  <c r="W65" i="3" s="1"/>
  <c r="P65" i="3"/>
  <c r="Q65" i="3" s="1"/>
  <c r="O65" i="3"/>
  <c r="O64" i="3"/>
  <c r="P64" i="3" s="1"/>
  <c r="Q64" i="3" s="1"/>
  <c r="S63" i="3"/>
  <c r="T63" i="3" s="1"/>
  <c r="U63" i="3" s="1"/>
  <c r="V63" i="3" s="1"/>
  <c r="W63" i="3" s="1"/>
  <c r="R63" i="3"/>
  <c r="P63" i="3"/>
  <c r="Q63" i="3" s="1"/>
  <c r="O63" i="3"/>
  <c r="O62" i="3"/>
  <c r="P62" i="3" s="1"/>
  <c r="Q62" i="3" s="1"/>
  <c r="O61" i="3"/>
  <c r="P61" i="3" s="1"/>
  <c r="Q61" i="3" s="1"/>
  <c r="Q58" i="3"/>
  <c r="P58" i="3"/>
  <c r="O58" i="3"/>
  <c r="P57" i="3"/>
  <c r="Q57" i="3" s="1"/>
  <c r="O57" i="3"/>
  <c r="O56" i="3"/>
  <c r="P56" i="3" s="1"/>
  <c r="Q56" i="3" s="1"/>
  <c r="P55" i="3"/>
  <c r="Q55" i="3" s="1"/>
  <c r="O55" i="3"/>
  <c r="Q54" i="3"/>
  <c r="P54" i="3"/>
  <c r="O54" i="3"/>
  <c r="P53" i="3"/>
  <c r="Q53" i="3" s="1"/>
  <c r="O53" i="3"/>
  <c r="O50" i="3"/>
  <c r="P50" i="3" s="1"/>
  <c r="Q50" i="3" s="1"/>
  <c r="P49" i="3"/>
  <c r="Q49" i="3" s="1"/>
  <c r="O49" i="3"/>
  <c r="Q48" i="3"/>
  <c r="P48" i="3"/>
  <c r="O48" i="3"/>
  <c r="P47" i="3"/>
  <c r="Q47" i="3" s="1"/>
  <c r="O47" i="3"/>
  <c r="O46" i="3"/>
  <c r="P46" i="3" s="1"/>
  <c r="Q46" i="3" s="1"/>
  <c r="P45" i="3"/>
  <c r="Q45" i="3" s="1"/>
  <c r="O45" i="3"/>
  <c r="Q42" i="3"/>
  <c r="P42" i="3"/>
  <c r="O42" i="3"/>
  <c r="P41" i="3"/>
  <c r="Q41" i="3" s="1"/>
  <c r="O41" i="3"/>
  <c r="O40" i="3"/>
  <c r="P40" i="3" s="1"/>
  <c r="Q40" i="3" s="1"/>
  <c r="P39" i="3"/>
  <c r="Q39" i="3" s="1"/>
  <c r="O39" i="3"/>
  <c r="Q38" i="3"/>
  <c r="P38" i="3"/>
  <c r="O38" i="3"/>
  <c r="P37" i="3"/>
  <c r="Q37" i="3" s="1"/>
  <c r="O37" i="3"/>
  <c r="F30" i="3"/>
  <c r="D30" i="3"/>
  <c r="C30" i="3"/>
  <c r="E30" i="3" s="1"/>
  <c r="G30" i="3" s="1"/>
  <c r="F29" i="3"/>
  <c r="D29" i="3"/>
  <c r="E29" i="3" s="1"/>
  <c r="G29" i="3" s="1"/>
  <c r="C29" i="3"/>
  <c r="F28" i="3"/>
  <c r="D28" i="3"/>
  <c r="C28" i="3"/>
  <c r="E28" i="3" s="1"/>
  <c r="G28" i="3" s="1"/>
  <c r="F27" i="3"/>
  <c r="D27" i="3"/>
  <c r="E27" i="3" s="1"/>
  <c r="G27" i="3" s="1"/>
  <c r="C27" i="3"/>
  <c r="F26" i="3"/>
  <c r="D26" i="3"/>
  <c r="C26" i="3"/>
  <c r="E26" i="3" s="1"/>
  <c r="G26" i="3" s="1"/>
  <c r="F25" i="3"/>
  <c r="D25" i="3"/>
  <c r="E25" i="3" s="1"/>
  <c r="G25" i="3" s="1"/>
  <c r="C25" i="3"/>
  <c r="F24" i="3"/>
  <c r="D24" i="3"/>
  <c r="C24" i="3"/>
  <c r="E24" i="3" s="1"/>
  <c r="G24" i="3" s="1"/>
  <c r="F23" i="3"/>
  <c r="D23" i="3"/>
  <c r="E23" i="3" s="1"/>
  <c r="G23" i="3" s="1"/>
  <c r="C23" i="3"/>
  <c r="F22" i="3"/>
  <c r="D22" i="3"/>
  <c r="E22" i="3" s="1"/>
  <c r="G22" i="3" s="1"/>
  <c r="H22" i="3" s="1"/>
  <c r="H73" i="5" l="1"/>
  <c r="H28" i="5"/>
  <c r="R114" i="3"/>
  <c r="S114" i="3" s="1"/>
  <c r="T114" i="3" s="1"/>
  <c r="U114" i="3" s="1"/>
  <c r="V114" i="3" s="1"/>
  <c r="W114" i="3" s="1"/>
  <c r="E49" i="5"/>
  <c r="E19" i="5"/>
  <c r="R39" i="3"/>
  <c r="S39" i="3" s="1"/>
  <c r="T39" i="3" s="1"/>
  <c r="U39" i="3" s="1"/>
  <c r="V39" i="3" s="1"/>
  <c r="W39" i="3" s="1"/>
  <c r="E21" i="5"/>
  <c r="E51" i="5"/>
  <c r="R55" i="3"/>
  <c r="S55" i="3" s="1"/>
  <c r="T55" i="3" s="1"/>
  <c r="U55" i="3" s="1"/>
  <c r="V55" i="3" s="1"/>
  <c r="W55" i="3" s="1"/>
  <c r="F55" i="5"/>
  <c r="F25" i="5"/>
  <c r="R88" i="3"/>
  <c r="S88" i="3" s="1"/>
  <c r="T88" i="3" s="1"/>
  <c r="U88" i="3" s="1"/>
  <c r="V88" i="3" s="1"/>
  <c r="W88" i="3" s="1"/>
  <c r="F49" i="5"/>
  <c r="F19" i="5"/>
  <c r="R40" i="3"/>
  <c r="S40" i="3" s="1"/>
  <c r="T40" i="3" s="1"/>
  <c r="U40" i="3" s="1"/>
  <c r="V40" i="3" s="1"/>
  <c r="W40" i="3" s="1"/>
  <c r="F21" i="5"/>
  <c r="F51" i="5"/>
  <c r="R56" i="3"/>
  <c r="S56" i="3" s="1"/>
  <c r="T56" i="3" s="1"/>
  <c r="U56" i="3" s="1"/>
  <c r="V56" i="3" s="1"/>
  <c r="W56" i="3" s="1"/>
  <c r="F52" i="5"/>
  <c r="F22" i="5"/>
  <c r="R64" i="3"/>
  <c r="S64" i="3" s="1"/>
  <c r="T64" i="3" s="1"/>
  <c r="U64" i="3" s="1"/>
  <c r="V64" i="3" s="1"/>
  <c r="W64" i="3" s="1"/>
  <c r="F23" i="5"/>
  <c r="F53" i="5"/>
  <c r="R72" i="3"/>
  <c r="S72" i="3" s="1"/>
  <c r="T72" i="3" s="1"/>
  <c r="U72" i="3" s="1"/>
  <c r="V72" i="3" s="1"/>
  <c r="W72" i="3" s="1"/>
  <c r="H71" i="5"/>
  <c r="H26" i="5"/>
  <c r="R98" i="3"/>
  <c r="S98" i="3" s="1"/>
  <c r="T98" i="3" s="1"/>
  <c r="U98" i="3" s="1"/>
  <c r="V98" i="3" s="1"/>
  <c r="W98" i="3" s="1"/>
  <c r="E20" i="5"/>
  <c r="E50" i="5"/>
  <c r="R47" i="3"/>
  <c r="S47" i="3" s="1"/>
  <c r="T47" i="3" s="1"/>
  <c r="U47" i="3" s="1"/>
  <c r="V47" i="3" s="1"/>
  <c r="W47" i="3" s="1"/>
  <c r="G49" i="5"/>
  <c r="G19" i="5"/>
  <c r="R41" i="3"/>
  <c r="S41" i="3" s="1"/>
  <c r="T41" i="3" s="1"/>
  <c r="U41" i="3" s="1"/>
  <c r="V41" i="3" s="1"/>
  <c r="W41" i="3" s="1"/>
  <c r="G21" i="5"/>
  <c r="G51" i="5"/>
  <c r="R57" i="3"/>
  <c r="S57" i="3" s="1"/>
  <c r="T57" i="3" s="1"/>
  <c r="U57" i="3" s="1"/>
  <c r="V57" i="3" s="1"/>
  <c r="W57" i="3" s="1"/>
  <c r="C28" i="5"/>
  <c r="C43" i="5"/>
  <c r="R110" i="3"/>
  <c r="S110" i="3" s="1"/>
  <c r="T110" i="3" s="1"/>
  <c r="U110" i="3" s="1"/>
  <c r="V110" i="3" s="1"/>
  <c r="W110" i="3" s="1"/>
  <c r="H23" i="3"/>
  <c r="H24" i="3" s="1"/>
  <c r="H25" i="3" s="1"/>
  <c r="H26" i="3" s="1"/>
  <c r="H27" i="3" s="1"/>
  <c r="H28" i="3" s="1"/>
  <c r="H29" i="3" s="1"/>
  <c r="H30" i="3" s="1"/>
  <c r="G20" i="5"/>
  <c r="G50" i="5"/>
  <c r="R49" i="3"/>
  <c r="S49" i="3" s="1"/>
  <c r="T49" i="3" s="1"/>
  <c r="U49" i="3" s="1"/>
  <c r="V49" i="3" s="1"/>
  <c r="W49" i="3" s="1"/>
  <c r="H65" i="5"/>
  <c r="H20" i="5"/>
  <c r="R50" i="3"/>
  <c r="S50" i="3" s="1"/>
  <c r="T50" i="3" s="1"/>
  <c r="U50" i="3" s="1"/>
  <c r="V50" i="3" s="1"/>
  <c r="W50" i="3" s="1"/>
  <c r="H67" i="5"/>
  <c r="H22" i="5"/>
  <c r="R66" i="3"/>
  <c r="S66" i="3" s="1"/>
  <c r="T66" i="3" s="1"/>
  <c r="U66" i="3" s="1"/>
  <c r="V66" i="3" s="1"/>
  <c r="W66" i="3" s="1"/>
  <c r="H68" i="5"/>
  <c r="H23" i="5"/>
  <c r="R74" i="3"/>
  <c r="S74" i="3" s="1"/>
  <c r="T74" i="3" s="1"/>
  <c r="U74" i="3" s="1"/>
  <c r="V74" i="3" s="1"/>
  <c r="W74" i="3" s="1"/>
  <c r="H69" i="5"/>
  <c r="H24" i="5"/>
  <c r="R82" i="3"/>
  <c r="S82" i="3" s="1"/>
  <c r="T82" i="3" s="1"/>
  <c r="U82" i="3" s="1"/>
  <c r="V82" i="3" s="1"/>
  <c r="W82" i="3" s="1"/>
  <c r="B19" i="5"/>
  <c r="B34" i="5"/>
  <c r="I34" i="5" s="1"/>
  <c r="R37" i="3"/>
  <c r="S37" i="3" s="1"/>
  <c r="T37" i="3" s="1"/>
  <c r="U37" i="3" s="1"/>
  <c r="V37" i="3" s="1"/>
  <c r="W37" i="3" s="1"/>
  <c r="B36" i="5"/>
  <c r="B21" i="5"/>
  <c r="R53" i="3"/>
  <c r="S53" i="3" s="1"/>
  <c r="T53" i="3" s="1"/>
  <c r="U53" i="3" s="1"/>
  <c r="V53" i="3" s="1"/>
  <c r="W53" i="3" s="1"/>
  <c r="B22" i="5"/>
  <c r="B37" i="5"/>
  <c r="R61" i="3"/>
  <c r="S61" i="3" s="1"/>
  <c r="T61" i="3" s="1"/>
  <c r="U61" i="3" s="1"/>
  <c r="V61" i="3" s="1"/>
  <c r="W61" i="3" s="1"/>
  <c r="C41" i="5"/>
  <c r="C26" i="5"/>
  <c r="R94" i="3"/>
  <c r="S94" i="3" s="1"/>
  <c r="T94" i="3" s="1"/>
  <c r="U94" i="3" s="1"/>
  <c r="V94" i="3" s="1"/>
  <c r="W94" i="3" s="1"/>
  <c r="B35" i="5"/>
  <c r="B20" i="5"/>
  <c r="I20" i="5" s="1"/>
  <c r="R45" i="3"/>
  <c r="S45" i="3" s="1"/>
  <c r="T45" i="3" s="1"/>
  <c r="U45" i="3" s="1"/>
  <c r="V45" i="3" s="1"/>
  <c r="W45" i="3" s="1"/>
  <c r="C22" i="5"/>
  <c r="C37" i="5"/>
  <c r="R62" i="3"/>
  <c r="S62" i="3" s="1"/>
  <c r="T62" i="3" s="1"/>
  <c r="U62" i="3" s="1"/>
  <c r="V62" i="3" s="1"/>
  <c r="W62" i="3" s="1"/>
  <c r="C35" i="5"/>
  <c r="C20" i="5"/>
  <c r="R46" i="3"/>
  <c r="S46" i="3" s="1"/>
  <c r="T46" i="3" s="1"/>
  <c r="U46" i="3" s="1"/>
  <c r="V46" i="3" s="1"/>
  <c r="W46" i="3" s="1"/>
  <c r="C38" i="5"/>
  <c r="C23" i="5"/>
  <c r="R70" i="3"/>
  <c r="S70" i="3" s="1"/>
  <c r="T70" i="3" s="1"/>
  <c r="U70" i="3" s="1"/>
  <c r="V70" i="3" s="1"/>
  <c r="W70" i="3" s="1"/>
  <c r="C39" i="5"/>
  <c r="C24" i="5"/>
  <c r="I24" i="5" s="1"/>
  <c r="B10" i="6" s="1"/>
  <c r="R78" i="3"/>
  <c r="S78" i="3" s="1"/>
  <c r="T78" i="3" s="1"/>
  <c r="U78" i="3" s="1"/>
  <c r="V78" i="3" s="1"/>
  <c r="W78" i="3" s="1"/>
  <c r="G52" i="5"/>
  <c r="G22" i="5"/>
  <c r="E23" i="5"/>
  <c r="E53" i="5"/>
  <c r="B39" i="5"/>
  <c r="I39" i="5" s="1"/>
  <c r="B24" i="5"/>
  <c r="B42" i="5"/>
  <c r="B27" i="5"/>
  <c r="C19" i="5"/>
  <c r="C34" i="5"/>
  <c r="H64" i="5"/>
  <c r="I64" i="5" s="1"/>
  <c r="E5" i="6" s="1"/>
  <c r="H19" i="5"/>
  <c r="H66" i="5"/>
  <c r="H21" i="5"/>
  <c r="F24" i="5"/>
  <c r="F54" i="5"/>
  <c r="R80" i="3"/>
  <c r="S80" i="3" s="1"/>
  <c r="T80" i="3" s="1"/>
  <c r="U80" i="3" s="1"/>
  <c r="V80" i="3" s="1"/>
  <c r="W80" i="3" s="1"/>
  <c r="B25" i="5"/>
  <c r="B40" i="5"/>
  <c r="F27" i="5"/>
  <c r="F57" i="5"/>
  <c r="R104" i="3"/>
  <c r="S104" i="3" s="1"/>
  <c r="T104" i="3" s="1"/>
  <c r="U104" i="3" s="1"/>
  <c r="V104" i="3" s="1"/>
  <c r="W104" i="3" s="1"/>
  <c r="B28" i="5"/>
  <c r="I28" i="5" s="1"/>
  <c r="B14" i="6" s="1"/>
  <c r="B43" i="5"/>
  <c r="R109" i="3"/>
  <c r="S109" i="3" s="1"/>
  <c r="T109" i="3" s="1"/>
  <c r="U109" i="3" s="1"/>
  <c r="V109" i="3" s="1"/>
  <c r="W109" i="3" s="1"/>
  <c r="D34" i="5"/>
  <c r="D19" i="5"/>
  <c r="F20" i="5"/>
  <c r="F50" i="5"/>
  <c r="C36" i="5"/>
  <c r="C21" i="5"/>
  <c r="R38" i="3"/>
  <c r="S38" i="3" s="1"/>
  <c r="T38" i="3" s="1"/>
  <c r="U38" i="3" s="1"/>
  <c r="V38" i="3" s="1"/>
  <c r="W38" i="3" s="1"/>
  <c r="R42" i="3"/>
  <c r="S42" i="3" s="1"/>
  <c r="T42" i="3" s="1"/>
  <c r="U42" i="3" s="1"/>
  <c r="V42" i="3" s="1"/>
  <c r="W42" i="3" s="1"/>
  <c r="R48" i="3"/>
  <c r="S48" i="3" s="1"/>
  <c r="T48" i="3" s="1"/>
  <c r="U48" i="3" s="1"/>
  <c r="V48" i="3" s="1"/>
  <c r="W48" i="3" s="1"/>
  <c r="R54" i="3"/>
  <c r="S54" i="3" s="1"/>
  <c r="T54" i="3" s="1"/>
  <c r="U54" i="3" s="1"/>
  <c r="V54" i="3" s="1"/>
  <c r="W54" i="3" s="1"/>
  <c r="R58" i="3"/>
  <c r="S58" i="3" s="1"/>
  <c r="T58" i="3" s="1"/>
  <c r="U58" i="3" s="1"/>
  <c r="V58" i="3" s="1"/>
  <c r="W58" i="3" s="1"/>
  <c r="R85" i="3"/>
  <c r="S85" i="3" s="1"/>
  <c r="T85" i="3" s="1"/>
  <c r="U85" i="3" s="1"/>
  <c r="V85" i="3" s="1"/>
  <c r="W85" i="3" s="1"/>
  <c r="F26" i="5"/>
  <c r="F56" i="5"/>
  <c r="R96" i="3"/>
  <c r="S96" i="3" s="1"/>
  <c r="T96" i="3" s="1"/>
  <c r="U96" i="3" s="1"/>
  <c r="V96" i="3" s="1"/>
  <c r="W96" i="3" s="1"/>
  <c r="AN57" i="4"/>
  <c r="AR59" i="4"/>
  <c r="AN66" i="4"/>
  <c r="AR72" i="4"/>
  <c r="AN79" i="4"/>
  <c r="AR85" i="4"/>
  <c r="AN92" i="4"/>
  <c r="D23" i="5"/>
  <c r="D38" i="5"/>
  <c r="G27" i="5"/>
  <c r="G57" i="5"/>
  <c r="B41" i="5"/>
  <c r="B26" i="5"/>
  <c r="I26" i="5" s="1"/>
  <c r="R93" i="3"/>
  <c r="S93" i="3" s="1"/>
  <c r="T93" i="3" s="1"/>
  <c r="U93" i="3" s="1"/>
  <c r="V93" i="3" s="1"/>
  <c r="W93" i="3" s="1"/>
  <c r="R105" i="3"/>
  <c r="S105" i="3" s="1"/>
  <c r="T105" i="3" s="1"/>
  <c r="U105" i="3" s="1"/>
  <c r="V105" i="3" s="1"/>
  <c r="W105" i="3" s="1"/>
  <c r="G58" i="5"/>
  <c r="G28" i="5"/>
  <c r="R113" i="3"/>
  <c r="S113" i="3" s="1"/>
  <c r="T113" i="3" s="1"/>
  <c r="U113" i="3" s="1"/>
  <c r="V113" i="3" s="1"/>
  <c r="W113" i="3" s="1"/>
  <c r="AM146" i="4"/>
  <c r="C42" i="5"/>
  <c r="C27" i="5"/>
  <c r="R102" i="3"/>
  <c r="S102" i="3" s="1"/>
  <c r="T102" i="3" s="1"/>
  <c r="U102" i="3" s="1"/>
  <c r="V102" i="3" s="1"/>
  <c r="W102" i="3" s="1"/>
  <c r="AQ57" i="4"/>
  <c r="AU59" i="4"/>
  <c r="D37" i="5"/>
  <c r="D22" i="5"/>
  <c r="AR118" i="4"/>
  <c r="AT118" i="4"/>
  <c r="G24" i="5"/>
  <c r="G54" i="5"/>
  <c r="C25" i="5"/>
  <c r="I25" i="5" s="1"/>
  <c r="B11" i="6" s="1"/>
  <c r="C40" i="5"/>
  <c r="R86" i="3"/>
  <c r="S86" i="3" s="1"/>
  <c r="T86" i="3" s="1"/>
  <c r="U86" i="3" s="1"/>
  <c r="V86" i="3" s="1"/>
  <c r="W86" i="3" s="1"/>
  <c r="G55" i="5"/>
  <c r="G25" i="5"/>
  <c r="E58" i="5"/>
  <c r="E28" i="5"/>
  <c r="AN60" i="4"/>
  <c r="AR62" i="4"/>
  <c r="AN73" i="4"/>
  <c r="AR75" i="4"/>
  <c r="AN86" i="4"/>
  <c r="AR88" i="4"/>
  <c r="AN99" i="4"/>
  <c r="AR101" i="4"/>
  <c r="AN108" i="4"/>
  <c r="AR114" i="4"/>
  <c r="AV127" i="4"/>
  <c r="G26" i="5"/>
  <c r="G56" i="5"/>
  <c r="R97" i="3"/>
  <c r="S97" i="3" s="1"/>
  <c r="T97" i="3" s="1"/>
  <c r="U97" i="3" s="1"/>
  <c r="V97" i="3" s="1"/>
  <c r="W97" i="3" s="1"/>
  <c r="AO60" i="4"/>
  <c r="AS62" i="4"/>
  <c r="AM64" i="4"/>
  <c r="E24" i="5"/>
  <c r="E54" i="5"/>
  <c r="H72" i="5"/>
  <c r="H27" i="5"/>
  <c r="R106" i="3"/>
  <c r="S106" i="3" s="1"/>
  <c r="T106" i="3" s="1"/>
  <c r="U106" i="3" s="1"/>
  <c r="V106" i="3" s="1"/>
  <c r="W106" i="3" s="1"/>
  <c r="AP60" i="4"/>
  <c r="AT62" i="4"/>
  <c r="AP73" i="4"/>
  <c r="AT75" i="4"/>
  <c r="AP86" i="4"/>
  <c r="AT88" i="4"/>
  <c r="AP99" i="4"/>
  <c r="AT101" i="4"/>
  <c r="AP108" i="4"/>
  <c r="AT114" i="4"/>
  <c r="AP120" i="4"/>
  <c r="E26" i="5"/>
  <c r="E56" i="5"/>
  <c r="R95" i="3"/>
  <c r="S95" i="3" s="1"/>
  <c r="T95" i="3" s="1"/>
  <c r="U95" i="3" s="1"/>
  <c r="V95" i="3" s="1"/>
  <c r="W95" i="3" s="1"/>
  <c r="E27" i="5"/>
  <c r="R103" i="3"/>
  <c r="S103" i="3" s="1"/>
  <c r="T103" i="3" s="1"/>
  <c r="U103" i="3" s="1"/>
  <c r="V103" i="3" s="1"/>
  <c r="W103" i="3" s="1"/>
  <c r="D71" i="5"/>
  <c r="D68" i="5"/>
  <c r="D65" i="5"/>
  <c r="D58" i="5"/>
  <c r="D55" i="5"/>
  <c r="D52" i="5"/>
  <c r="D49" i="5"/>
  <c r="D33" i="5"/>
  <c r="D72" i="5"/>
  <c r="D69" i="5"/>
  <c r="D66" i="5"/>
  <c r="D63" i="5"/>
  <c r="D56" i="5"/>
  <c r="D53" i="5"/>
  <c r="D50" i="5"/>
  <c r="D18" i="5"/>
  <c r="I18" i="5" s="1"/>
  <c r="D73" i="5"/>
  <c r="I73" i="5" s="1"/>
  <c r="E14" i="6" s="1"/>
  <c r="D70" i="5"/>
  <c r="D67" i="5"/>
  <c r="D64" i="5"/>
  <c r="D57" i="5"/>
  <c r="D54" i="5"/>
  <c r="I54" i="5" s="1"/>
  <c r="D10" i="6" s="1"/>
  <c r="D51" i="5"/>
  <c r="D48" i="5"/>
  <c r="AN63" i="4"/>
  <c r="AR65" i="4"/>
  <c r="D20" i="5"/>
  <c r="D35" i="5"/>
  <c r="I35" i="5" s="1"/>
  <c r="AN76" i="4"/>
  <c r="AR78" i="4"/>
  <c r="AN89" i="4"/>
  <c r="AR91" i="4"/>
  <c r="AN102" i="4"/>
  <c r="AR104" i="4"/>
  <c r="AN115" i="4"/>
  <c r="AR117" i="4"/>
  <c r="AP119" i="4"/>
  <c r="AR119" i="4"/>
  <c r="E52" i="5"/>
  <c r="E22" i="5"/>
  <c r="I22" i="5" s="1"/>
  <c r="B8" i="6" s="1"/>
  <c r="B38" i="5"/>
  <c r="I38" i="5" s="1"/>
  <c r="B23" i="5"/>
  <c r="G23" i="5"/>
  <c r="G53" i="5"/>
  <c r="E55" i="5"/>
  <c r="E25" i="5"/>
  <c r="H70" i="5"/>
  <c r="H25" i="5"/>
  <c r="R90" i="3"/>
  <c r="S90" i="3" s="1"/>
  <c r="T90" i="3" s="1"/>
  <c r="U90" i="3" s="1"/>
  <c r="V90" i="3" s="1"/>
  <c r="W90" i="3" s="1"/>
  <c r="F58" i="5"/>
  <c r="F28" i="5"/>
  <c r="R112" i="3"/>
  <c r="S112" i="3" s="1"/>
  <c r="T112" i="3" s="1"/>
  <c r="U112" i="3" s="1"/>
  <c r="V112" i="3" s="1"/>
  <c r="W112" i="3" s="1"/>
  <c r="AO63" i="4"/>
  <c r="E57" i="5"/>
  <c r="AO155" i="4"/>
  <c r="AQ155" i="4"/>
  <c r="AQ118" i="4"/>
  <c r="AM120" i="4"/>
  <c r="AM127" i="4"/>
  <c r="AM130" i="4"/>
  <c r="AM133" i="4"/>
  <c r="AS141" i="4"/>
  <c r="AU141" i="4"/>
  <c r="AS150" i="4"/>
  <c r="AU150" i="4"/>
  <c r="AU117" i="4"/>
  <c r="AQ119" i="4"/>
  <c r="AM136" i="4"/>
  <c r="AM149" i="4"/>
  <c r="AU118" i="4"/>
  <c r="AO122" i="4"/>
  <c r="AQ122" i="4"/>
  <c r="AP122" i="4"/>
  <c r="AM117" i="4"/>
  <c r="AM143" i="4"/>
  <c r="AM156" i="4"/>
  <c r="I72" i="5"/>
  <c r="D25" i="5"/>
  <c r="D28" i="5"/>
  <c r="C18" i="5"/>
  <c r="C50" i="5"/>
  <c r="C53" i="5"/>
  <c r="C56" i="5"/>
  <c r="I56" i="5" s="1"/>
  <c r="D12" i="6" s="1"/>
  <c r="C63" i="5"/>
  <c r="C66" i="5"/>
  <c r="C69" i="5"/>
  <c r="C72" i="5"/>
  <c r="D24" i="5"/>
  <c r="D27" i="5"/>
  <c r="I27" i="5" s="1"/>
  <c r="B13" i="6" s="1"/>
  <c r="I19" i="5"/>
  <c r="I41" i="5"/>
  <c r="I48" i="5"/>
  <c r="I51" i="5"/>
  <c r="I57" i="5"/>
  <c r="D13" i="6" s="1"/>
  <c r="C33" i="5"/>
  <c r="C49" i="5"/>
  <c r="I49" i="5" s="1"/>
  <c r="D5" i="6" s="1"/>
  <c r="C52" i="5"/>
  <c r="I52" i="5" s="1"/>
  <c r="C55" i="5"/>
  <c r="I55" i="5" s="1"/>
  <c r="C58" i="5"/>
  <c r="C65" i="5"/>
  <c r="I65" i="5" s="1"/>
  <c r="C68" i="5"/>
  <c r="C71" i="5"/>
  <c r="I71" i="5" s="1"/>
  <c r="E12" i="6" s="1"/>
  <c r="I37" i="5"/>
  <c r="I40" i="5"/>
  <c r="I43" i="5"/>
  <c r="I50" i="5"/>
  <c r="D6" i="6" s="1"/>
  <c r="I53" i="5"/>
  <c r="D9" i="6" s="1"/>
  <c r="I63" i="5"/>
  <c r="I66" i="5"/>
  <c r="I69" i="5"/>
  <c r="C48" i="5"/>
  <c r="C51" i="5"/>
  <c r="C54" i="5"/>
  <c r="C57" i="5"/>
  <c r="C64" i="5"/>
  <c r="C67" i="5"/>
  <c r="I67" i="5" s="1"/>
  <c r="E8" i="6" s="1"/>
  <c r="C70" i="5"/>
  <c r="I70" i="5" s="1"/>
  <c r="E11" i="6" s="1"/>
  <c r="E18" i="6" l="1"/>
  <c r="E10" i="6"/>
  <c r="B5" i="6"/>
  <c r="I23" i="5"/>
  <c r="B9" i="6" s="1"/>
  <c r="E7" i="6"/>
  <c r="E13" i="6"/>
  <c r="I68" i="5"/>
  <c r="E9" i="6" s="1"/>
  <c r="E6" i="6"/>
  <c r="E16" i="6" s="1"/>
  <c r="D7" i="6"/>
  <c r="D17" i="6" s="1"/>
  <c r="D36" i="5"/>
  <c r="I36" i="5" s="1"/>
  <c r="C7" i="6" s="1"/>
  <c r="F7" i="6" s="1"/>
  <c r="D21" i="5"/>
  <c r="I21" i="5" s="1"/>
  <c r="B7" i="6" s="1"/>
  <c r="B6" i="6"/>
  <c r="I58" i="5"/>
  <c r="D14" i="6" s="1"/>
  <c r="D18" i="6" s="1"/>
  <c r="D11" i="6"/>
  <c r="I42" i="5"/>
  <c r="D8" i="6"/>
  <c r="B12" i="6"/>
  <c r="I33" i="5"/>
  <c r="C14" i="6" s="1"/>
  <c r="F14" i="6" s="1"/>
  <c r="G14" i="6" s="1"/>
  <c r="C6" i="6" l="1"/>
  <c r="F6" i="6" s="1"/>
  <c r="G6" i="6" s="1"/>
  <c r="G7" i="6"/>
  <c r="C5" i="6"/>
  <c r="C10" i="6"/>
  <c r="F10" i="6" s="1"/>
  <c r="G10" i="6" s="1"/>
  <c r="C8" i="6"/>
  <c r="F8" i="6" s="1"/>
  <c r="G8" i="6" s="1"/>
  <c r="E17" i="6"/>
  <c r="C11" i="6"/>
  <c r="F11" i="6" s="1"/>
  <c r="G11" i="6" s="1"/>
  <c r="C12" i="6"/>
  <c r="F12" i="6" s="1"/>
  <c r="G12" i="6" s="1"/>
  <c r="D16" i="6"/>
  <c r="G9" i="6"/>
  <c r="C9" i="6"/>
  <c r="F9" i="6" s="1"/>
  <c r="C13" i="6"/>
  <c r="F13" i="6" s="1"/>
  <c r="G13" i="6" s="1"/>
  <c r="B18" i="6"/>
  <c r="B16" i="6"/>
  <c r="B17" i="6"/>
  <c r="F5" i="6" l="1"/>
  <c r="C18" i="6"/>
  <c r="C16" i="6"/>
  <c r="C17" i="6"/>
  <c r="F18" i="6" l="1"/>
  <c r="F16" i="6"/>
  <c r="F17" i="6"/>
  <c r="G5" i="6"/>
  <c r="G18" i="6" l="1"/>
  <c r="G16" i="6"/>
  <c r="G17" i="6"/>
</calcChain>
</file>

<file path=xl/sharedStrings.xml><?xml version="1.0" encoding="utf-8"?>
<sst xmlns="http://schemas.openxmlformats.org/spreadsheetml/2006/main" count="1720" uniqueCount="188">
  <si>
    <t>FRTB IMA — Full Revaluation PnL Vectors for Expected Shortfall (ES)</t>
  </si>
  <si>
    <t>Illustrative workbook — trade 123456, valuation date 7/23/2026. Demonstrates the mechanics of a full-revaluation Stressed PnL vector: PnL = StressedNPV − BaseNPV, built curve-by-curve and then combined cross-risk-class.</t>
  </si>
  <si>
    <t>Purpose</t>
  </si>
  <si>
    <t>Illustrate, end to end, how a full-reval ES PnL vector is constructed: base curve objects → shocked curve objects (10 scenarios, stress date 20-Nov-2008) → base/stressed NPV via full reval → PnL vector, both cross-risk-class and isolated by risk class (IR / Credit / FX).</t>
  </si>
  <si>
    <t>Tabs</t>
  </si>
  <si>
    <t>ReadMe | Trade_Info | Curves (Base, Shift Illustration, Shocks+Shocked aligned side-by-side) | SABR (Base, Shocks, Shocked - ATM/RHO/NU/Combined aligned horizontally per scenario) | NPV_Engine | PnL_Summary</t>
  </si>
  <si>
    <t>Curve shift mechanic</t>
  </si>
  <si>
    <t>gxlCurveDiscShift is simulated with a sequential (cascading) bootstrap: the simple forward rate implied by the BASE curve between consecutive tenors is bumped by the scenario shock (bps), and the SHOCKED discount factor for tenor i is solved from the SHOCKED discount factor at tenor i-1 (not the base one). 3M is bumped first; 6M relies on the bumped 3M; and so on to 30Y — exactly mirroring the described gxlCurveDiscShift behaviour.</t>
  </si>
  <si>
    <t>SABR surface mechanic</t>
  </si>
  <si>
    <t>Each of ATM / RHO / NU is a 10x10 grid (expiry x tenor). Each scenario applies a parameter-level shock size to every grid point, scaled by a per-cell Sensitivity Factor grid (captures the typical stress-period pattern of larger moves at short expiries/tenors). The result is a full shocked vol surface per parameter per scenario, exactly as gxlCurveDiscShift-style functions return a shocked object for curves.</t>
  </si>
  <si>
    <t>NPV engine</t>
  </si>
  <si>
    <t>NPV is an ILLUSTRATIVE simplified full-reval pricer (not a production pricer) that consumes: SOFR/ESTRN discount factors (IR discounting), the SABR ATM grid point matching the trade's expiry/tenor (IR_VOL / optionality), Treasury/Agency_FNMA/Eur_Govt discount factors (Credit spread proxy), and the EURUSD curve (FX discount/forward proxy). Base NPV = pricer with ALL curves at BASE. Stressed NPV = pricer with the relevant curve set SHOCKED for scenario s.</t>
  </si>
  <si>
    <t>Risk-class isolation</t>
  </si>
  <si>
    <t>Cross PnL: shock ALL curves for scenario s. IR PnL: shock SOFR, ESTRN and the SABR (IR_VOL) surface only — Credit and FX curves stay at BASE. Credit PnL: shock Treasury, Agency_FNMA, Eur_Govt only — IR and FX stay at BASE. FX PnL: shock EURUSD only — IR and Credit stay at BASE. This isolates each risk class's contribution to the full-reval PnL vector, consistent with how ES risk-class PnL vectors are typically decomposed.</t>
  </si>
  <si>
    <t>Colour convention</t>
  </si>
  <si>
    <t>Blue = hardcoded input / assumption. Black = formula. Green = link to another sheet.</t>
  </si>
  <si>
    <t>Disclaimer</t>
  </si>
  <si>
    <t>All curve levels, shock sizes and SABR parameters are illustrative placeholder assumptions chosen for demonstration purposes only — they are not calibrated to actual 20-Nov-2008 market data and this is not a production pricing/risk engine.</t>
  </si>
  <si>
    <t>Trade &amp; Valuation Info</t>
  </si>
  <si>
    <t>Trade ID</t>
  </si>
  <si>
    <t>123456</t>
  </si>
  <si>
    <t>Valuation Date</t>
  </si>
  <si>
    <t>7/23/2026</t>
  </si>
  <si>
    <t>Stress / Shock anchor date</t>
  </si>
  <si>
    <t>11/20/2008</t>
  </si>
  <si>
    <t>Number of scenarios</t>
  </si>
  <si>
    <t>Notional (USD)</t>
  </si>
  <si>
    <t>Product</t>
  </si>
  <si>
    <t>EUR-underlying payer swaption vs USD-collateral discounting</t>
  </si>
  <si>
    <t>Representative discounting tenor</t>
  </si>
  <si>
    <t>1Y</t>
  </si>
  <si>
    <t>Representative SABR grid point (Expiry x Tenor)</t>
  </si>
  <si>
    <t>1Y x 10Y</t>
  </si>
  <si>
    <t>Curve list, MDO used, and risk-class mapping</t>
  </si>
  <si>
    <t>Curve (MDO)</t>
  </si>
  <si>
    <t>Risk Class</t>
  </si>
  <si>
    <t>Notes</t>
  </si>
  <si>
    <t>Agency_FNMA</t>
  </si>
  <si>
    <t>Credit</t>
  </si>
  <si>
    <t>Credit — GSE/agency spread curve</t>
  </si>
  <si>
    <t>Eur_Govt</t>
  </si>
  <si>
    <t>Credit — EUR sovereign curve</t>
  </si>
  <si>
    <t>SOFR</t>
  </si>
  <si>
    <t>IR</t>
  </si>
  <si>
    <t>IR_RATE — USD OIS/SOFR discounting curve</t>
  </si>
  <si>
    <t>Treasury</t>
  </si>
  <si>
    <t>Credit — US Treasury (sovereign benchmark) curve</t>
  </si>
  <si>
    <t>Sabr_Swaption</t>
  </si>
  <si>
    <t>IR_VOL — SABR surface (ATM, RHO, NU); handled on SABR_* tabs</t>
  </si>
  <si>
    <t>EURUSD</t>
  </si>
  <si>
    <t>FX</t>
  </si>
  <si>
    <t>FX_RATE — EUR/USD FX curve</t>
  </si>
  <si>
    <t>ESTRN</t>
  </si>
  <si>
    <t>IR — EUR €STR discounting curve</t>
  </si>
  <si>
    <t>Curve Objects — Base -&gt; Shift Mechanics -&gt; Shocks -&gt; Shocked Curves (Combined)</t>
  </si>
  <si>
    <t>Trade 123456 | Val date 7/23/2026 | Stress anchor 20-Nov-2008</t>
  </si>
  <si>
    <t>SECTION 1 - BASE CURVE OBJECTS: Discount Factors (as of 7/23/2026)</t>
  </si>
  <si>
    <t>Curve</t>
  </si>
  <si>
    <t>3M</t>
  </si>
  <si>
    <t>6M</t>
  </si>
  <si>
    <t>2Y</t>
  </si>
  <si>
    <t>3Y</t>
  </si>
  <si>
    <t>5Y</t>
  </si>
  <si>
    <t>10Y</t>
  </si>
  <si>
    <t>20Y</t>
  </si>
  <si>
    <t>30Y</t>
  </si>
  <si>
    <t>Tenor Date</t>
  </si>
  <si>
    <t>10/23/2026</t>
  </si>
  <si>
    <t>1/23/2027</t>
  </si>
  <si>
    <t>7/23/2027</t>
  </si>
  <si>
    <t>7/23/2028</t>
  </si>
  <si>
    <t>7/23/2029</t>
  </si>
  <si>
    <t>7/23/2031</t>
  </si>
  <si>
    <t>7/23/2036</t>
  </si>
  <si>
    <t>7/23/2046</t>
  </si>
  <si>
    <t>7/23/2056</t>
  </si>
  <si>
    <t>Year Frac (t)</t>
  </si>
  <si>
    <t>Base DF values are illustrative placeholder inputs (blue), not calibrated to a real curve build.</t>
  </si>
  <si>
    <t>SECTION 2 - gxlCurveDiscShift STEP-BY-STEP ILLUSTRATION (Curve = SOFR, Scenario 1)</t>
  </si>
  <si>
    <t>Sequential / cascading bootstrap: base forward rate (Section 1) + scenario shock (bps, Section 3) = shocked forward rate; the SHOCKED discount factor at tenor i is solved off the SHOCKED discount factor at tenor i-1 (not the base one). 3M is shocked first and feeds into 6M, which feeds into 1Y, and so on to 30Y.</t>
  </si>
  <si>
    <t>Tenor</t>
  </si>
  <si>
    <t>t</t>
  </si>
  <si>
    <t>Base DF
(prior)</t>
  </si>
  <si>
    <t>Base DF
(current)</t>
  </si>
  <si>
    <t>Base Fwd Rate
(simple, ann.)</t>
  </si>
  <si>
    <t>Shock
(bps)</t>
  </si>
  <si>
    <t>Shocked Fwd
Rate</t>
  </si>
  <si>
    <t>Shocked DF
(current)</t>
  </si>
  <si>
    <t>Formula logic</t>
  </si>
  <si>
    <t>Anchors at DF=1, t=0</t>
  </si>
  <si>
    <t>Uses SHOCKED DF from 3M (row above), not base</t>
  </si>
  <si>
    <t>Uses SHOCKED DF from 6M (row above), not base</t>
  </si>
  <si>
    <t>Uses SHOCKED DF from 1Y (row above), not base</t>
  </si>
  <si>
    <t>Uses SHOCKED DF from 2Y (row above), not base</t>
  </si>
  <si>
    <t>Uses SHOCKED DF from 3Y (row above), not base</t>
  </si>
  <si>
    <t>Uses SHOCKED DF from 5Y (row above), not base</t>
  </si>
  <si>
    <t>Uses SHOCKED DF from 10Y (row above), not base</t>
  </si>
  <si>
    <t>Uses SHOCKED DF from 20Y (row above), not base</t>
  </si>
  <si>
    <t>This exact column-H formula pattern is replicated for all 6 curves x 10 scenarios in Sections 3/4 below.</t>
  </si>
  <si>
    <t>SECTION 3 - SHOCK VECTORS: Forward-Rate Shock (bps), 10 Scenarios (anchor 20-Nov-2008)</t>
  </si>
  <si>
    <t>SECTION 4 - SHOCKED CURVE OBJECTS (gxlCurveDiscShift output): Discount Factors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</si>
  <si>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</si>
  <si>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</si>
  <si>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</si>
  <si>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</si>
  <si>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</si>
  <si>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</si>
  <si>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</si>
  <si>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</si>
  <si>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</si>
  <si>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</si>
  <si>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Section 3 (left, blue) = raw hardcoded shock inputs for the stress period. Section 4 (right, black) = shocked discount factors, computed with the same cascading bootstrap formula illustrated in Section 2, sitting directly across from the shocks that drive them.</t>
  </si>
  <si>
    <t>SABR Swaption Vol Surfaces — Base -&gt; Scenario Shocks -&gt; Shocked Surfaces, ATM/RHO/NU/Combined aligned</t>
  </si>
  <si>
    <t>Swabr_Swaption (IR_VOL) | Trade 123456 | Stress anchor 20-Nov-2008</t>
  </si>
  <si>
    <t>SECTION 1 - BASE SABR SURFACES (ATM, RHO, NU, Combined Effective Vol aligned horizontally)</t>
  </si>
  <si>
    <t>Param: ATM</t>
  </si>
  <si>
    <t>Param: RHO</t>
  </si>
  <si>
    <t>Param: NU</t>
  </si>
  <si>
    <t>Combined Effective ATM Vol (Hagan approx, beta=1)</t>
  </si>
  <si>
    <t>Expiry \ Tenor</t>
  </si>
  <si>
    <t>1M</t>
  </si>
  <si>
    <t>Combined = Hagan SABR ATM-vol asymptotic approximation with beta=1 (lognormal): sigma_ATM = alpha*(1+((2-3*rho^2)/24*nu^2+rho*nu*alpha/4)*T). Collapses ATM/RHO/NU into one usable vol surface per scenario.</t>
  </si>
  <si>
    <t>SECTION 2 - SCENARIO SHOCKS: Per-Param Shock Size + Sensitivity Factor Grid</t>
  </si>
  <si>
    <t>Shocked(i,j) = Base(i,j) + ScenarioShockSize(param,scenario) x SensitivityFactor(i,j) for ATM/RHO/NU. Combined Effective Vol is then recomputed from the SHOCKED ATM/RHO/NU via the same Hagan formula shown in Section 1 - i.e. the single 'shocked SABR curve' is derived, not separately shocked.</t>
  </si>
  <si>
    <t>Scenario Shock Size (per param, parallel move applied before sensitivity scaling)</t>
  </si>
  <si>
    <t>Scenario</t>
  </si>
  <si>
    <t>ATM</t>
  </si>
  <si>
    <t>RHO</t>
  </si>
  <si>
    <t>NU</t>
  </si>
  <si>
    <t>Sensitivity Factor Grid (shared shape across ATM/RHO/NU; applied to all scenarios)</t>
  </si>
  <si>
    <t>SECTION 3 - SHOCKED SABR SURFACES: ATM, RHO, NU, Combined Effective Vol aligned per scenario (10 scenarios)</t>
  </si>
  <si>
    <t>Combined block recomputes the Hagan formula from this scenario's SHOCKED ATM/RHO/NU -&gt; a single shocked vol surface per scenario.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</si>
  <si>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</si>
  <si>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</si>
  <si>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</si>
  <si>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</si>
  <si>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</si>
  <si>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</si>
  <si>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</si>
  <si>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</si>
  <si>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</si>
  <si>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</si>
  <si>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Full-Reval NPV Engine — Cross / IR / Credit / FX (Base vs Stressed, Trade 123456)</t>
  </si>
  <si>
    <t>Illustrative simplified full-reval pricer (NOT a production model): NPV = Notional x DF_SOFR(1Y) x [DF_ESTRN(1Y)/DF_ESTRN_base(1Y)] x [1+0.5x(SABR_EffVol(1Yx10Y)-SABR_EffVol_base)] x [AVERAGE(DF_Treasury,DF_Agency_FNMA,DF_Eur_Govt)(1Y)/DF_SOFR(1Y)] x [DF_EURUSD(1Y)/DF_EURUSD_base(1Y)]. SABR_EffVol is the single Combined Effective Vol pulled from the SABR tab (Hagan formula collapsing ATM/RHO/NU into one number at the 1Yx10Y grid point). Each risk-class table below feeds this same pricer with only that risk class curves/surface shocked; the rest held at BASE.</t>
  </si>
  <si>
    <t>Reference base constants</t>
  </si>
  <si>
    <t>DF_SOFR_base(1Y)</t>
  </si>
  <si>
    <t>DF_ESTRN_base(1Y)</t>
  </si>
  <si>
    <t>DF_Treasury_base(1Y)</t>
  </si>
  <si>
    <t>DF_Agency_FNMA_base(1Y)</t>
  </si>
  <si>
    <t>DF_Eur_Govt_base(1Y)</t>
  </si>
  <si>
    <t>DF_EURUSD_base(1Y)</t>
  </si>
  <si>
    <t>SABR EffVol_base(1Yx10Y)</t>
  </si>
  <si>
    <t>Cross — Full-Reval NPV</t>
  </si>
  <si>
    <t>Case</t>
  </si>
  <si>
    <t>DF_SOFR(1Y)</t>
  </si>
  <si>
    <t>DF_ESTRN(1Y)</t>
  </si>
  <si>
    <t>SABR EffVol(1Yx10Y)</t>
  </si>
  <si>
    <t>DF_Treasury(1Y)</t>
  </si>
  <si>
    <t>DF_Agency_FNMA(1Y)</t>
  </si>
  <si>
    <t>DF_Eur_Govt(1Y)</t>
  </si>
  <si>
    <t>DF_EURUSD(1Y)</t>
  </si>
  <si>
    <t>NPV (USD)</t>
  </si>
  <si>
    <t>Base</t>
  </si>
  <si>
    <t>IR — Full-Reval NPV</t>
  </si>
  <si>
    <t>Credit — Full-Reval NPV</t>
  </si>
  <si>
    <t>FX — Full-Reval NPV</t>
  </si>
  <si>
    <t>Full-Reval ES PnL Vectors — PnL = StressedNPV − BaseNPV  (Trade 123456, Val Date 7/23/2026)</t>
  </si>
  <si>
    <t>Stress anchor date: 20-Nov-2008. Cross = all curves shocked. IR = SOFR/ESTRN/SABR shocked only. Credit = Treasury/Agency_FNMA/Eur_Govt shocked only. FX = EURUSD shocked only (others held at Base each time).</t>
  </si>
  <si>
    <t>Cross PnL (USD)</t>
  </si>
  <si>
    <t>IR PnL (USD)</t>
  </si>
  <si>
    <t>Credit PnL (USD)</t>
  </si>
  <si>
    <t>FX PnL (USD)</t>
  </si>
  <si>
    <t>Sum IR+Credit+FX (USD)</t>
  </si>
  <si>
    <t>Cross - Sum (diversification, USD)</t>
  </si>
  <si>
    <t>Worst (min) PnL</t>
  </si>
  <si>
    <t>Best (max) PnL</t>
  </si>
  <si>
    <t>ES (avg of 6 worst)</t>
  </si>
  <si>
    <t>ES illustration note: rank the Cross PnL vector and average the worst-tail observations per the chosen ES confidence level to derive the (illustrative) Expected Shortfall capital number. Column G (Cross - Sum of IR/Credit/FX) is the cross-risk-class diversification / interaction term: in an ideal additive world with no cross-curve hedges it would be ~0; a non-zero residual reflects the pricer combining curves multiplicatively (hedging and cross-gamma effects), which is expected in a real full-reval engine.</t>
  </si>
  <si>
    <t>Curve_Shift_Illustration</t>
  </si>
  <si>
    <r>
      <t xml:space="preserve">full worked example of </t>
    </r>
    <r>
      <rPr>
        <sz val="10"/>
        <color theme="1"/>
        <rFont val="Arial Unicode MS"/>
      </rPr>
      <t>gxlCurveDiscShift</t>
    </r>
    <r>
      <rPr>
        <sz val="11"/>
        <color theme="1"/>
        <rFont val="Calibri"/>
        <family val="2"/>
        <charset val="1"/>
      </rPr>
      <t xml:space="preserve"> logic on SOFR/Scenario 1: base forward rate → +shock → shocked forward → </t>
    </r>
    <r>
      <rPr>
        <b/>
        <sz val="11"/>
        <color theme="1"/>
        <rFont val="Calibri"/>
        <family val="2"/>
        <charset val="1"/>
      </rPr>
      <t>shocked DF(t) solved off shocked DF(t‑1)</t>
    </r>
    <r>
      <rPr>
        <sz val="11"/>
        <color theme="1"/>
        <rFont val="Calibri"/>
        <family val="2"/>
        <charset val="1"/>
      </rPr>
      <t>, cascading 3M→30Y.</t>
    </r>
  </si>
  <si>
    <r>
      <t>SABR_Base</t>
    </r>
    <r>
      <rPr>
        <sz val="11"/>
        <color theme="1"/>
        <rFont val="Calibri"/>
        <family val="2"/>
        <charset val="1"/>
      </rPr>
      <t xml:space="preserve"> — 10×10 ATM/RHO/NU grids (expiry × tenor).</t>
    </r>
  </si>
  <si>
    <r>
      <t>SABR_Shocks</t>
    </r>
    <r>
      <rPr>
        <sz val="11"/>
        <color theme="1"/>
        <rFont val="Calibri"/>
        <family val="2"/>
        <charset val="1"/>
      </rPr>
      <t xml:space="preserve"> — per-scenario shock size per param + a shared 10×10 sensitivity-factor grid</t>
    </r>
  </si>
  <si>
    <r>
      <t>SABR_Shocked</t>
    </r>
    <r>
      <rPr>
        <sz val="11"/>
        <color theme="1"/>
        <rFont val="Calibri"/>
        <family val="2"/>
        <charset val="1"/>
      </rPr>
      <t xml:space="preserve"> — 30 full shocked 10×10 grids (10 scenarios × 3 params) = </t>
    </r>
    <r>
      <rPr>
        <sz val="10"/>
        <color theme="1"/>
        <rFont val="Arial Unicode MS"/>
      </rPr>
      <t>Base + ShockSize × SensitivityFactor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</si>
  <si>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color rgb="FF3F0065"/>
        <rFont val="Calibri"/>
        <family val="2"/>
      </rPr>
      <t>SABR shock is a parallel scenario-level shock</t>
    </r>
    <r>
      <rPr>
        <sz val="11"/>
        <color theme="1"/>
        <rFont val="Calibri"/>
        <family val="2"/>
        <charset val="1"/>
      </rPr>
      <t xml:space="preserve"> scaled by a shared sensitivity-factor grid, rather than 100 independently-shocked grid points per scenario</t>
    </r>
  </si>
  <si>
    <r>
      <t>NPV_Engine</t>
    </r>
    <r>
      <rPr>
        <sz val="11"/>
        <color theme="1"/>
        <rFont val="Calibri"/>
        <family val="2"/>
        <charset val="1"/>
      </rPr>
      <t xml:space="preserve"> — illustrative full-reval pricer, run 4 ways per scenario
</t>
    </r>
    <r>
      <rPr>
        <b/>
        <sz val="11"/>
        <color theme="1"/>
        <rFont val="Calibri"/>
        <family val="2"/>
        <charset val="1"/>
      </rPr>
      <t>Cross</t>
    </r>
    <r>
      <rPr>
        <sz val="11"/>
        <color theme="1"/>
        <rFont val="Calibri"/>
        <family val="2"/>
        <charset val="1"/>
      </rPr>
      <t xml:space="preserve"> = all curves shocked; 
</t>
    </r>
    <r>
      <rPr>
        <b/>
        <sz val="11"/>
        <color theme="1"/>
        <rFont val="Calibri"/>
        <family val="2"/>
        <charset val="1"/>
      </rPr>
      <t>IR</t>
    </r>
    <r>
      <rPr>
        <sz val="11"/>
        <color theme="1"/>
        <rFont val="Calibri"/>
        <family val="2"/>
        <charset val="1"/>
      </rPr>
      <t xml:space="preserve"> = SOFR/ESTRN/SABR only; 
</t>
    </r>
    <r>
      <rPr>
        <b/>
        <sz val="11"/>
        <color theme="1"/>
        <rFont val="Calibri"/>
        <family val="2"/>
        <charset val="1"/>
      </rPr>
      <t>Credit</t>
    </r>
    <r>
      <rPr>
        <sz val="11"/>
        <color theme="1"/>
        <rFont val="Calibri"/>
        <family val="2"/>
        <charset val="1"/>
      </rPr>
      <t xml:space="preserve"> = Treasury/Agency_FNMA/Eur_Govt only;
 </t>
    </r>
    <r>
      <rPr>
        <b/>
        <sz val="11"/>
        <color theme="1"/>
        <rFont val="Calibri"/>
        <family val="2"/>
        <charset val="1"/>
      </rPr>
      <t>FX</t>
    </r>
    <r>
      <rPr>
        <sz val="11"/>
        <color theme="1"/>
        <rFont val="Calibri"/>
        <family val="2"/>
        <charset val="1"/>
      </rPr>
      <t xml:space="preserve"> = EURUSD only — everything else pinned at Base).</t>
    </r>
  </si>
  <si>
    <r>
      <t>PnL_Summary</t>
    </r>
    <r>
      <rPr>
        <sz val="11"/>
        <color theme="1"/>
        <rFont val="Calibri"/>
        <family val="2"/>
        <charset val="1"/>
      </rPr>
      <t xml:space="preserve"> — the four PnL vectors (</t>
    </r>
    <r>
      <rPr>
        <b/>
        <sz val="10"/>
        <color rgb="FFFF0000"/>
        <rFont val="Arial Unicode MS"/>
      </rPr>
      <t>PnL = StressedNPV − BaseNPV</t>
    </r>
    <r>
      <rPr>
        <sz val="11"/>
        <color theme="1"/>
        <rFont val="Calibri"/>
        <family val="2"/>
        <charset val="1"/>
      </rPr>
      <t>) across the 10 scenarios, with min/max/average and a chart.</t>
    </r>
  </si>
  <si>
    <r>
      <rPr>
        <b/>
        <sz val="11"/>
        <color rgb="FFFF0000"/>
        <rFont val="Calibri"/>
        <family val="2"/>
      </rPr>
      <t xml:space="preserve">The NPV pricer </t>
    </r>
    <r>
      <rPr>
        <sz val="11"/>
        <color theme="1"/>
        <rFont val="Calibri"/>
        <family val="2"/>
        <charset val="1"/>
      </rPr>
      <t xml:space="preserve">is a </t>
    </r>
    <r>
      <rPr>
        <b/>
        <sz val="11"/>
        <color theme="1"/>
        <rFont val="Calibri"/>
        <family val="2"/>
        <charset val="1"/>
      </rPr>
      <t>deliberately simplified illustrative formula</t>
    </r>
    <r>
      <rPr>
        <sz val="11"/>
        <color theme="1"/>
        <rFont val="Calibri"/>
        <family val="2"/>
        <charset val="1"/>
      </rPr>
      <t xml:space="preserve"> (</t>
    </r>
    <r>
      <rPr>
        <b/>
        <sz val="11"/>
        <color rgb="FFFF0000"/>
        <rFont val="Calibri"/>
        <family val="2"/>
      </rPr>
      <t>discounting × vol-adjustment × credit-spread-average-ratio × FX-ratio</t>
    </r>
    <r>
      <rPr>
        <sz val="11"/>
        <color theme="1"/>
        <rFont val="Calibri"/>
        <family val="2"/>
        <charset val="1"/>
      </rPr>
      <t>)</t>
    </r>
  </si>
  <si>
    <r>
      <t xml:space="preserve">it's built to show the </t>
    </r>
    <r>
      <rPr>
        <i/>
        <sz val="11"/>
        <color theme="1"/>
        <rFont val="Calibri"/>
        <family val="2"/>
        <charset val="1"/>
      </rPr>
      <t>mechanics</t>
    </r>
    <r>
      <rPr>
        <sz val="11"/>
        <color theme="1"/>
        <rFont val="Calibri"/>
        <family val="2"/>
        <charset val="1"/>
      </rPr>
      <t xml:space="preserve"> of cross vs. isolated risk-class full reval, not a real pricer.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</si>
</sst>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"/>
    <numFmt numFmtId="167" formatCode="0.000"/>
    <numFmt numFmtId="168" formatCode="#,##0.00;\(#,##0.00\)"/>
  </numFmts>
  <fonts count="22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i/>
      <sz val="1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4"/>
      <color rgb="FF1F3864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i/>
      <sz val="9"/>
      <color rgb="FF808080"/>
      <name val="Arial"/>
      <family val="2"/>
    </font>
    <font>
      <b/>
      <sz val="11"/>
      <color rgb="FF1F3864"/>
      <name val="Arial"/>
      <family val="2"/>
    </font>
    <font>
      <i/>
      <sz val="9"/>
      <name val="Arial"/>
      <family val="2"/>
    </font>
    <font>
      <sz val="11"/>
      <color rgb="FF008000"/>
      <name val="Arial"/>
      <family val="2"/>
    </font>
    <font>
      <sz val="9"/>
      <color rgb="FF80808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charset val="1"/>
    </font>
    <font>
      <sz val="10"/>
      <color theme="1"/>
      <name val="Arial Unicode MS"/>
    </font>
    <font>
      <sz val="11"/>
      <color theme="1"/>
      <name val="Calibri"/>
      <family val="2"/>
    </font>
    <font>
      <b/>
      <sz val="11"/>
      <color rgb="FF3F0065"/>
      <name val="Calibri"/>
      <family val="2"/>
    </font>
    <font>
      <b/>
      <sz val="10"/>
      <color rgb="FFFF0000"/>
      <name val="Arial Unicode MS"/>
    </font>
    <font>
      <b/>
      <sz val="11"/>
      <color rgb="FFFF0000"/>
      <name val="Calibri"/>
      <family val="2"/>
    </font>
    <font>
      <i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9DC3E6"/>
        <bgColor rgb="FFBFBFBF"/>
      </patternFill>
    </fill>
    <fill>
      <patternFill patternType="solid">
        <fgColor rgb="FF1F6B3A"/>
        <bgColor rgb="FF375623"/>
      </patternFill>
    </fill>
    <fill>
      <patternFill patternType="solid">
        <fgColor rgb="FFD9E2F3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1F4E78"/>
        <bgColor rgb="FF1F3864"/>
      </patternFill>
    </fill>
    <fill>
      <patternFill patternType="solid">
        <fgColor rgb="FF806000"/>
        <bgColor rgb="FF993300"/>
      </patternFill>
    </fill>
    <fill>
      <patternFill patternType="solid">
        <fgColor rgb="FF375623"/>
        <bgColor rgb="FF1F6B3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7" fillId="9" borderId="0" xfId="0" applyFont="1" applyFill="1"/>
    <xf numFmtId="0" fontId="7" fillId="8" borderId="0" xfId="0" applyFont="1" applyFill="1"/>
    <xf numFmtId="0" fontId="7" fillId="7" borderId="0" xfId="0" applyFont="1" applyFill="1"/>
    <xf numFmtId="0" fontId="7" fillId="6" borderId="0" xfId="0" applyFont="1" applyFill="1"/>
    <xf numFmtId="0" fontId="5" fillId="0" borderId="0" xfId="0" applyFont="1"/>
    <xf numFmtId="0" fontId="7" fillId="4" borderId="0" xfId="0" applyFont="1" applyFill="1"/>
    <xf numFmtId="0" fontId="7" fillId="2" borderId="0" xfId="0" applyFont="1" applyFill="1"/>
    <xf numFmtId="0" fontId="9" fillId="0" borderId="0" xfId="0" applyFont="1" applyAlignment="1">
      <alignment wrapText="1"/>
    </xf>
    <xf numFmtId="0" fontId="10" fillId="3" borderId="0" xfId="0" applyFont="1" applyFill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1" xfId="0" applyNumberFormat="1" applyFont="1" applyBorder="1"/>
    <xf numFmtId="0" fontId="7" fillId="2" borderId="0" xfId="0" applyFont="1" applyFill="1" applyAlignment="1">
      <alignment horizontal="center" wrapText="1"/>
    </xf>
    <xf numFmtId="0" fontId="8" fillId="0" borderId="1" xfId="0" applyFont="1" applyBorder="1"/>
    <xf numFmtId="164" fontId="12" fillId="0" borderId="1" xfId="0" applyNumberFormat="1" applyFont="1" applyBorder="1"/>
    <xf numFmtId="165" fontId="8" fillId="0" borderId="1" xfId="0" applyNumberFormat="1" applyFont="1" applyBorder="1"/>
    <xf numFmtId="166" fontId="12" fillId="0" borderId="1" xfId="0" applyNumberFormat="1" applyFont="1" applyBorder="1"/>
    <xf numFmtId="164" fontId="3" fillId="0" borderId="1" xfId="0" applyNumberFormat="1" applyFont="1" applyBorder="1"/>
    <xf numFmtId="0" fontId="9" fillId="0" borderId="1" xfId="0" applyFont="1" applyBorder="1"/>
    <xf numFmtId="0" fontId="13" fillId="0" borderId="0" xfId="0" applyFont="1"/>
    <xf numFmtId="166" fontId="6" fillId="0" borderId="1" xfId="0" applyNumberFormat="1" applyFont="1" applyBorder="1"/>
    <xf numFmtId="164" fontId="8" fillId="0" borderId="1" xfId="0" applyNumberFormat="1" applyFont="1" applyBorder="1"/>
    <xf numFmtId="0" fontId="3" fillId="5" borderId="0" xfId="0" applyFont="1" applyFill="1"/>
    <xf numFmtId="165" fontId="6" fillId="0" borderId="1" xfId="0" applyNumberFormat="1" applyFont="1" applyBorder="1"/>
    <xf numFmtId="165" fontId="3" fillId="0" borderId="1" xfId="0" applyNumberFormat="1" applyFont="1" applyBorder="1"/>
    <xf numFmtId="167" fontId="6" fillId="0" borderId="1" xfId="0" applyNumberFormat="1" applyFont="1" applyBorder="1"/>
    <xf numFmtId="3" fontId="12" fillId="0" borderId="0" xfId="0" applyNumberFormat="1" applyFont="1"/>
    <xf numFmtId="164" fontId="12" fillId="0" borderId="0" xfId="0" applyNumberFormat="1" applyFont="1"/>
    <xf numFmtId="4" fontId="3" fillId="0" borderId="1" xfId="0" applyNumberFormat="1" applyFont="1" applyBorder="1"/>
    <xf numFmtId="165" fontId="12" fillId="0" borderId="1" xfId="0" applyNumberFormat="1" applyFont="1" applyBorder="1"/>
    <xf numFmtId="168" fontId="8" fillId="0" borderId="1" xfId="0" applyNumberFormat="1" applyFont="1" applyBorder="1"/>
    <xf numFmtId="168" fontId="3" fillId="0" borderId="1" xfId="0" applyNumberFormat="1" applyFont="1" applyBorder="1"/>
    <xf numFmtId="168" fontId="14" fillId="0" borderId="0" xfId="0" applyNumberFormat="1" applyFont="1"/>
    <xf numFmtId="0" fontId="14" fillId="0" borderId="0" xfId="0" applyFont="1"/>
    <xf numFmtId="168" fontId="14" fillId="0" borderId="1" xfId="0" applyNumberFormat="1" applyFont="1" applyBorder="1"/>
    <xf numFmtId="0" fontId="15" fillId="0" borderId="0" xfId="0" applyFont="1"/>
    <xf numFmtId="0" fontId="0" fillId="10" borderId="0" xfId="0" applyFill="1"/>
    <xf numFmtId="0" fontId="17" fillId="0" borderId="0" xfId="0" applyFont="1"/>
    <xf numFmtId="0" fontId="1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1F6B3A"/>
      <rgbColor rgb="FFBFBFBF"/>
      <rgbColor rgb="FF808080"/>
      <rgbColor rgb="FF9999FF"/>
      <rgbColor rgb="FFBE4B48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1F3864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Full-Reval PnL Vectors by Risk Class (Trade 123456)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PnL_Summary!$B$4</c:f>
              <c:strCache>
                <c:ptCount val="1"/>
                <c:pt idx="0">
                  <c:v>Cross PnL (USD)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PnL_Summary!$B$5:$B$14</c:f>
              <c:numCache>
                <c:formatCode>#,##0.00;\(#,##0.00\)</c:formatCode>
                <c:ptCount val="10"/>
                <c:pt idx="0">
                  <c:v>-36924.58388053067</c:v>
                </c:pt>
                <c:pt idx="1">
                  <c:v>-22419.874383755028</c:v>
                </c:pt>
                <c:pt idx="2">
                  <c:v>-48109.233498007059</c:v>
                </c:pt>
                <c:pt idx="3">
                  <c:v>-28235.348608622327</c:v>
                </c:pt>
                <c:pt idx="4">
                  <c:v>-94989.218774260953</c:v>
                </c:pt>
                <c:pt idx="5">
                  <c:v>-96303.013766886666</c:v>
                </c:pt>
                <c:pt idx="6">
                  <c:v>-83510.65602417849</c:v>
                </c:pt>
                <c:pt idx="7">
                  <c:v>-7632.2409995868802</c:v>
                </c:pt>
                <c:pt idx="8">
                  <c:v>-137424.49660632759</c:v>
                </c:pt>
                <c:pt idx="9">
                  <c:v>49784.568682413548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E5-40A9-835F-C42BDDD8289B}"/>
            </c:ext>
          </c:extLst>
        </c:ser>
        <c:ser>
          <c:idx val="1"/>
          <c:order val="1"/>
          <c:tx>
            <c:strRef>
              <c:f>PnL_Summary!$C$4</c:f>
              <c:strCache>
                <c:ptCount val="1"/>
                <c:pt idx="0">
                  <c:v>IR PnL (USD)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PnL_Summary!$C$5:$C$14</c:f>
              <c:numCache>
                <c:formatCode>#,##0.00;\(#,##0.00\)</c:formatCode>
                <c:ptCount val="10"/>
                <c:pt idx="0">
                  <c:v>21890.945329306647</c:v>
                </c:pt>
                <c:pt idx="1">
                  <c:v>37069.418433876708</c:v>
                </c:pt>
                <c:pt idx="2">
                  <c:v>23102.212034860626</c:v>
                </c:pt>
                <c:pt idx="3">
                  <c:v>26652.717241566628</c:v>
                </c:pt>
                <c:pt idx="4">
                  <c:v>7336.6340360473841</c:v>
                </c:pt>
                <c:pt idx="5">
                  <c:v>8648.487159345299</c:v>
                </c:pt>
                <c:pt idx="6">
                  <c:v>31871.964323777705</c:v>
                </c:pt>
                <c:pt idx="7">
                  <c:v>100220.85435563326</c:v>
                </c:pt>
                <c:pt idx="8">
                  <c:v>25251.29942949675</c:v>
                </c:pt>
                <c:pt idx="9">
                  <c:v>136739.70205226354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E5-40A9-835F-C42BDDD8289B}"/>
            </c:ext>
          </c:extLst>
        </c:ser>
        <c:ser>
          <c:idx val="2"/>
          <c:order val="2"/>
          <c:tx>
            <c:strRef>
              <c:f>PnL_Summary!$D$4</c:f>
              <c:strCache>
                <c:ptCount val="1"/>
                <c:pt idx="0">
                  <c:v>Credit PnL (USD)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PnL_Summary!$D$5:$D$14</c:f>
              <c:numCache>
                <c:formatCode>#,##0.00;\(#,##0.00\)</c:formatCode>
                <c:ptCount val="10"/>
                <c:pt idx="0">
                  <c:v>-37825.79687878117</c:v>
                </c:pt>
                <c:pt idx="1">
                  <c:v>-31272.095540318638</c:v>
                </c:pt>
                <c:pt idx="2">
                  <c:v>-40575.570602081716</c:v>
                </c:pt>
                <c:pt idx="3">
                  <c:v>-70797.318556666374</c:v>
                </c:pt>
                <c:pt idx="4">
                  <c:v>-64115.10646578297</c:v>
                </c:pt>
                <c:pt idx="5">
                  <c:v>-85953.213294269517</c:v>
                </c:pt>
                <c:pt idx="6">
                  <c:v>-71497.499374829233</c:v>
                </c:pt>
                <c:pt idx="7">
                  <c:v>-102631.98308267072</c:v>
                </c:pt>
                <c:pt idx="8">
                  <c:v>-112317.63399638422</c:v>
                </c:pt>
                <c:pt idx="9">
                  <c:v>-31613.869095463306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EE5-40A9-835F-C42BDDD8289B}"/>
            </c:ext>
          </c:extLst>
        </c:ser>
        <c:ser>
          <c:idx val="3"/>
          <c:order val="3"/>
          <c:tx>
            <c:strRef>
              <c:f>PnL_Summary!$E$4</c:f>
              <c:strCache>
                <c:ptCount val="1"/>
                <c:pt idx="0">
                  <c:v>FX PnL (USD)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PnL_Summary!$E$5:$E$14</c:f>
              <c:numCache>
                <c:formatCode>#,##0.00;\(#,##0.00\)</c:formatCode>
                <c:ptCount val="10"/>
                <c:pt idx="0">
                  <c:v>-20938.439406152815</c:v>
                </c:pt>
                <c:pt idx="1">
                  <c:v>-28079.887790469453</c:v>
                </c:pt>
                <c:pt idx="2">
                  <c:v>-30594.24225384742</c:v>
                </c:pt>
                <c:pt idx="3">
                  <c:v>16180.448471920565</c:v>
                </c:pt>
                <c:pt idx="4">
                  <c:v>-38388.928779814392</c:v>
                </c:pt>
                <c:pt idx="5">
                  <c:v>-19074.580083960667</c:v>
                </c:pt>
                <c:pt idx="6">
                  <c:v>-43829.76683835499</c:v>
                </c:pt>
                <c:pt idx="7">
                  <c:v>-4151.5519451461732</c:v>
                </c:pt>
                <c:pt idx="8">
                  <c:v>-50522.432891689241</c:v>
                </c:pt>
                <c:pt idx="9">
                  <c:v>-54299.269599348307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EE5-40A9-835F-C42BDDD82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026059"/>
        <c:axId val="90139600"/>
      </c:lineChart>
      <c:catAx>
        <c:axId val="85026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39600"/>
        <c:crosses val="autoZero"/>
        <c:auto val="1"/>
        <c:lblAlgn val="ctr"/>
        <c:lblOffset val="100"/>
        <c:noMultiLvlLbl val="0"/>
      </c:catAx>
      <c:valAx>
        <c:axId val="90139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PnL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26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10080</xdr:rowOff>
    </xdr:from>
    <xdr:to>
      <xdr:col>8</xdr:col>
      <xdr:colOff>583920</xdr:colOff>
      <xdr:row>40</xdr:row>
      <xdr:rowOff>156600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7"/>
  <sheetViews>
    <sheetView zoomScaleNormal="100" workbookViewId="0">
      <selection activeCell="B14" sqref="B14"/>
    </sheetView>
  </sheetViews>
  <sheetFormatPr defaultColWidth="8.7109375" defaultRowHeight="15"/>
  <cols>
    <col min="1" max="1" width="2" customWidth="1"/>
    <col min="2" max="2" width="110" customWidth="1"/>
  </cols>
  <sheetData>
    <row r="2" spans="2:2" ht="18" customHeight="1">
      <c r="B2" s="10" t="s">
        <v>0</v>
      </c>
    </row>
    <row r="3" spans="2:2" ht="30" customHeight="1">
      <c r="B3" s="11" t="s">
        <v>1</v>
      </c>
    </row>
    <row r="5" spans="2:2" ht="15" customHeight="1">
      <c r="B5" s="12" t="s">
        <v>2</v>
      </c>
    </row>
    <row r="6" spans="2:2" ht="45" customHeight="1">
      <c r="B6" s="13" t="s">
        <v>3</v>
      </c>
    </row>
    <row r="8" spans="2:2" ht="15" customHeight="1">
      <c r="B8" s="12" t="s">
        <v>4</v>
      </c>
    </row>
    <row r="9" spans="2:2" ht="45" customHeight="1">
      <c r="B9" s="13" t="s">
        <v>5</v>
      </c>
    </row>
    <row r="11" spans="2:2" ht="15" customHeight="1">
      <c r="B11" s="12" t="s">
        <v>6</v>
      </c>
    </row>
    <row r="12" spans="2:2" ht="45" customHeight="1">
      <c r="B12" s="13" t="s">
        <v>7</v>
      </c>
    </row>
    <row r="14" spans="2:2" ht="15" customHeight="1">
      <c r="B14" s="12" t="s">
        <v>8</v>
      </c>
    </row>
    <row r="15" spans="2:2" ht="45" customHeight="1">
      <c r="B15" s="13" t="s">
        <v>9</v>
      </c>
    </row>
    <row r="17" spans="2:2" ht="15" customHeight="1">
      <c r="B17" s="12" t="s">
        <v>10</v>
      </c>
    </row>
    <row r="18" spans="2:2" ht="45" customHeight="1">
      <c r="B18" s="13" t="s">
        <v>11</v>
      </c>
    </row>
    <row r="20" spans="2:2" ht="15" customHeight="1">
      <c r="B20" s="12" t="s">
        <v>12</v>
      </c>
    </row>
    <row r="21" spans="2:2" ht="45" customHeight="1">
      <c r="B21" s="13" t="s">
        <v>13</v>
      </c>
    </row>
    <row r="23" spans="2:2" ht="15" customHeight="1">
      <c r="B23" s="12" t="s">
        <v>14</v>
      </c>
    </row>
    <row r="24" spans="2:2" ht="45" customHeight="1">
      <c r="B24" s="13" t="s">
        <v>15</v>
      </c>
    </row>
    <row r="26" spans="2:2" ht="15" customHeight="1">
      <c r="B26" s="12" t="s">
        <v>16</v>
      </c>
    </row>
    <row r="27" spans="2:2" ht="45" customHeight="1">
      <c r="B27" s="1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503E-2A26-4F1B-9034-FFB8CD6A40BB}">
  <dimension ref="A1:U26"/>
  <sheetViews>
    <sheetView workbookViewId="0">
      <selection activeCell="D28" sqref="D28"/>
    </sheetView>
  </sheetViews>
  <sheetFormatPr defaultRowHeight="15"/>
  <sheetData>
    <row r="1" spans="1:21">
      <c r="A1" s="48" t="s">
        <v>178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>
      <c r="A2" t="s">
        <v>179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>
      <c r="A4" s="48" t="s">
        <v>180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21">
      <c r="A6" s="48" t="s">
        <v>181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</row>
    <row r="7" spans="1:2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</row>
    <row r="8" spans="1:21">
      <c r="A8" s="48" t="s">
        <v>182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</row>
    <row r="9" spans="1:21">
      <c r="A9" s="50" t="s">
        <v>183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1:21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</row>
    <row r="11" spans="1:2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1" ht="83.25" customHeight="1">
      <c r="A12" s="51" t="s">
        <v>184</v>
      </c>
      <c r="B12" s="51"/>
      <c r="C12" s="51"/>
      <c r="D12" s="51"/>
      <c r="E12" s="51"/>
      <c r="F12" s="51"/>
      <c r="G12" s="51"/>
      <c r="H12" s="51"/>
      <c r="I12" s="51"/>
      <c r="J12" s="51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 spans="1:2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</row>
    <row r="14" spans="1:21">
      <c r="A14" s="48" t="s">
        <v>185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</row>
    <row r="16" spans="1:21">
      <c r="A16" s="50" t="s">
        <v>186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1:21">
      <c r="A17" t="s">
        <v>187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</row>
    <row r="18" spans="1:2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 spans="1:2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</row>
    <row r="20" spans="1:2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1: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1:2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1:2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1:2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</row>
    <row r="26" spans="1:2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</sheetData>
  <mergeCells count="1">
    <mergeCell ref="A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/>
  </sheetViews>
  <sheetFormatPr defaultColWidth="8.7109375" defaultRowHeight="15"/>
  <cols>
    <col min="1" max="2" width="26" customWidth="1"/>
    <col min="3" max="3" width="40" customWidth="1"/>
  </cols>
  <sheetData>
    <row r="1" spans="1:3" ht="17.25" customHeight="1">
      <c r="A1" s="14" t="s">
        <v>18</v>
      </c>
    </row>
    <row r="3" spans="1:3" ht="15" customHeight="1">
      <c r="A3" s="12" t="s">
        <v>19</v>
      </c>
      <c r="B3" s="15" t="s">
        <v>20</v>
      </c>
    </row>
    <row r="4" spans="1:3" ht="15" customHeight="1">
      <c r="A4" s="12" t="s">
        <v>21</v>
      </c>
      <c r="B4" s="15" t="s">
        <v>22</v>
      </c>
    </row>
    <row r="5" spans="1:3" ht="15" customHeight="1">
      <c r="A5" s="12" t="s">
        <v>23</v>
      </c>
      <c r="B5" s="15" t="s">
        <v>24</v>
      </c>
    </row>
    <row r="6" spans="1:3" ht="15" customHeight="1">
      <c r="A6" s="12" t="s">
        <v>25</v>
      </c>
      <c r="B6" s="15">
        <v>10</v>
      </c>
    </row>
    <row r="7" spans="1:3" ht="15" customHeight="1">
      <c r="A7" s="12" t="s">
        <v>26</v>
      </c>
      <c r="B7" s="15">
        <v>10000000</v>
      </c>
    </row>
    <row r="8" spans="1:3" ht="15" customHeight="1">
      <c r="A8" s="12" t="s">
        <v>27</v>
      </c>
      <c r="B8" s="15" t="s">
        <v>28</v>
      </c>
    </row>
    <row r="9" spans="1:3" ht="15" customHeight="1">
      <c r="A9" s="12" t="s">
        <v>29</v>
      </c>
      <c r="B9" s="15" t="s">
        <v>30</v>
      </c>
    </row>
    <row r="10" spans="1:3" ht="15" customHeight="1">
      <c r="A10" s="12" t="s">
        <v>31</v>
      </c>
      <c r="B10" s="15" t="s">
        <v>32</v>
      </c>
    </row>
    <row r="12" spans="1:3" ht="17.25" customHeight="1">
      <c r="A12" s="14" t="s">
        <v>33</v>
      </c>
    </row>
    <row r="13" spans="1:3" ht="15" customHeight="1">
      <c r="A13" s="16" t="s">
        <v>34</v>
      </c>
      <c r="B13" s="16" t="s">
        <v>35</v>
      </c>
      <c r="C13" s="16" t="s">
        <v>36</v>
      </c>
    </row>
    <row r="14" spans="1:3" ht="15" customHeight="1">
      <c r="A14" s="17" t="s">
        <v>37</v>
      </c>
      <c r="B14" s="17" t="s">
        <v>38</v>
      </c>
      <c r="C14" s="18" t="s">
        <v>39</v>
      </c>
    </row>
    <row r="15" spans="1:3" ht="15" customHeight="1">
      <c r="A15" s="17" t="s">
        <v>40</v>
      </c>
      <c r="B15" s="17" t="s">
        <v>38</v>
      </c>
      <c r="C15" s="18" t="s">
        <v>41</v>
      </c>
    </row>
    <row r="16" spans="1:3" ht="15" customHeight="1">
      <c r="A16" s="17" t="s">
        <v>42</v>
      </c>
      <c r="B16" s="17" t="s">
        <v>43</v>
      </c>
      <c r="C16" s="18" t="s">
        <v>44</v>
      </c>
    </row>
    <row r="17" spans="1:3" ht="15" customHeight="1">
      <c r="A17" s="17" t="s">
        <v>45</v>
      </c>
      <c r="B17" s="17" t="s">
        <v>38</v>
      </c>
      <c r="C17" s="18" t="s">
        <v>46</v>
      </c>
    </row>
    <row r="18" spans="1:3" ht="15" customHeight="1">
      <c r="A18" s="17" t="s">
        <v>47</v>
      </c>
      <c r="B18" s="17" t="s">
        <v>43</v>
      </c>
      <c r="C18" s="18" t="s">
        <v>48</v>
      </c>
    </row>
    <row r="19" spans="1:3" ht="15" customHeight="1">
      <c r="A19" s="17" t="s">
        <v>49</v>
      </c>
      <c r="B19" s="17" t="s">
        <v>50</v>
      </c>
      <c r="C19" s="18" t="s">
        <v>51</v>
      </c>
    </row>
    <row r="20" spans="1:3" ht="15" customHeight="1">
      <c r="A20" s="17" t="s">
        <v>52</v>
      </c>
      <c r="B20" s="17" t="s">
        <v>43</v>
      </c>
      <c r="C20" s="18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6"/>
  <sheetViews>
    <sheetView zoomScaleNormal="100" workbookViewId="0">
      <pane xSplit="2" ySplit="7" topLeftCell="C98" activePane="bottomRight" state="frozen"/>
      <selection pane="topRight" activeCell="C1" sqref="C1"/>
      <selection pane="bottomLeft" activeCell="A8" sqref="A8"/>
      <selection pane="bottomRight"/>
    </sheetView>
  </sheetViews>
  <sheetFormatPr defaultColWidth="8.7109375" defaultRowHeight="15"/>
  <cols>
    <col min="1" max="1" width="16" customWidth="1"/>
    <col min="2" max="2" width="12" customWidth="1"/>
    <col min="3" max="11" width="11" customWidth="1"/>
    <col min="12" max="12" width="3" customWidth="1"/>
    <col min="13" max="13" width="16" customWidth="1"/>
    <col min="14" max="14" width="12" customWidth="1"/>
    <col min="15" max="23" width="11" customWidth="1"/>
  </cols>
  <sheetData>
    <row r="1" spans="1:11" ht="17.25" customHeight="1">
      <c r="A1" s="14" t="s">
        <v>54</v>
      </c>
    </row>
    <row r="2" spans="1:11" ht="15" customHeight="1">
      <c r="A2" s="19" t="s">
        <v>55</v>
      </c>
    </row>
    <row r="3" spans="1:11" ht="19.5" customHeight="1">
      <c r="A3" s="9" t="s">
        <v>56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ht="15" customHeight="1">
      <c r="A5" s="20" t="s">
        <v>57</v>
      </c>
      <c r="B5" s="20" t="s">
        <v>35</v>
      </c>
      <c r="C5" s="21" t="s">
        <v>58</v>
      </c>
      <c r="D5" s="21" t="s">
        <v>59</v>
      </c>
      <c r="E5" s="21" t="s">
        <v>30</v>
      </c>
      <c r="F5" s="21" t="s">
        <v>60</v>
      </c>
      <c r="G5" s="21" t="s">
        <v>61</v>
      </c>
      <c r="H5" s="21" t="s">
        <v>62</v>
      </c>
      <c r="I5" s="21" t="s">
        <v>63</v>
      </c>
      <c r="J5" s="21" t="s">
        <v>64</v>
      </c>
      <c r="K5" s="21" t="s">
        <v>65</v>
      </c>
    </row>
    <row r="6" spans="1:11" ht="15" customHeight="1">
      <c r="A6" t="s">
        <v>66</v>
      </c>
      <c r="C6" s="22" t="s">
        <v>67</v>
      </c>
      <c r="D6" s="22" t="s">
        <v>68</v>
      </c>
      <c r="E6" s="22" t="s">
        <v>69</v>
      </c>
      <c r="F6" s="22" t="s">
        <v>70</v>
      </c>
      <c r="G6" s="22" t="s">
        <v>71</v>
      </c>
      <c r="H6" s="22" t="s">
        <v>72</v>
      </c>
      <c r="I6" s="22" t="s">
        <v>73</v>
      </c>
      <c r="J6" s="22" t="s">
        <v>74</v>
      </c>
      <c r="K6" s="22" t="s">
        <v>75</v>
      </c>
    </row>
    <row r="7" spans="1:11" ht="15" customHeight="1">
      <c r="A7" s="12" t="s">
        <v>76</v>
      </c>
      <c r="C7" s="23">
        <v>0.25</v>
      </c>
      <c r="D7" s="23">
        <v>0.5</v>
      </c>
      <c r="E7" s="23">
        <v>1</v>
      </c>
      <c r="F7" s="23">
        <v>2</v>
      </c>
      <c r="G7" s="23">
        <v>3</v>
      </c>
      <c r="H7" s="23">
        <v>5</v>
      </c>
      <c r="I7" s="23">
        <v>10</v>
      </c>
      <c r="J7" s="23">
        <v>20</v>
      </c>
      <c r="K7" s="23">
        <v>30</v>
      </c>
    </row>
    <row r="8" spans="1:11" ht="15" customHeight="1">
      <c r="A8" s="12" t="s">
        <v>42</v>
      </c>
      <c r="B8" s="17" t="s">
        <v>43</v>
      </c>
      <c r="C8" s="24">
        <v>0.98929800000000001</v>
      </c>
      <c r="D8" s="24">
        <v>0.97869300000000004</v>
      </c>
      <c r="E8" s="24">
        <v>0.95776799999999995</v>
      </c>
      <c r="F8" s="24">
        <v>0.91704399999999997</v>
      </c>
      <c r="G8" s="24">
        <v>0.87778800000000001</v>
      </c>
      <c r="H8" s="24">
        <v>0.80352299999999999</v>
      </c>
      <c r="I8" s="24">
        <v>0.64082399999999995</v>
      </c>
      <c r="J8" s="24">
        <v>0.41065600000000002</v>
      </c>
      <c r="K8" s="24">
        <v>0.263158</v>
      </c>
    </row>
    <row r="9" spans="1:11" ht="15" customHeight="1">
      <c r="A9" s="12" t="s">
        <v>52</v>
      </c>
      <c r="B9" s="17" t="s">
        <v>43</v>
      </c>
      <c r="C9" s="24">
        <v>0.99227100000000001</v>
      </c>
      <c r="D9" s="24">
        <v>0.98458299999999999</v>
      </c>
      <c r="E9" s="24">
        <v>0.96933000000000002</v>
      </c>
      <c r="F9" s="24">
        <v>0.93931900000000002</v>
      </c>
      <c r="G9" s="24">
        <v>0.909964</v>
      </c>
      <c r="H9" s="24">
        <v>0.85321000000000002</v>
      </c>
      <c r="I9" s="24">
        <v>0.72252700000000003</v>
      </c>
      <c r="J9" s="24">
        <v>0.52204600000000001</v>
      </c>
      <c r="K9" s="24">
        <v>0.37719200000000003</v>
      </c>
    </row>
    <row r="10" spans="1:11" ht="15" customHeight="1">
      <c r="A10" s="12" t="s">
        <v>45</v>
      </c>
      <c r="B10" s="17" t="s">
        <v>38</v>
      </c>
      <c r="C10" s="24">
        <v>0.98954600000000004</v>
      </c>
      <c r="D10" s="24">
        <v>0.979182</v>
      </c>
      <c r="E10" s="24">
        <v>0.95872599999999997</v>
      </c>
      <c r="F10" s="24">
        <v>0.91888000000000003</v>
      </c>
      <c r="G10" s="24">
        <v>0.88042500000000001</v>
      </c>
      <c r="H10" s="24">
        <v>0.80754999999999999</v>
      </c>
      <c r="I10" s="24">
        <v>0.64726499999999998</v>
      </c>
      <c r="J10" s="24">
        <v>0.41895199999999999</v>
      </c>
      <c r="K10" s="24">
        <v>0.271173</v>
      </c>
    </row>
    <row r="11" spans="1:11" ht="15" customHeight="1">
      <c r="A11" s="12" t="s">
        <v>37</v>
      </c>
      <c r="B11" s="17" t="s">
        <v>38</v>
      </c>
      <c r="C11" s="24">
        <v>0.98855700000000002</v>
      </c>
      <c r="D11" s="24">
        <v>0.97722600000000004</v>
      </c>
      <c r="E11" s="24">
        <v>0.95489900000000005</v>
      </c>
      <c r="F11" s="24">
        <v>0.91155799999999998</v>
      </c>
      <c r="G11" s="24">
        <v>0.86992400000000003</v>
      </c>
      <c r="H11" s="24">
        <v>0.79156000000000004</v>
      </c>
      <c r="I11" s="24">
        <v>0.62188500000000002</v>
      </c>
      <c r="J11" s="24">
        <v>0.386741</v>
      </c>
      <c r="K11" s="24">
        <v>0.240508</v>
      </c>
    </row>
    <row r="12" spans="1:11" ht="15" customHeight="1">
      <c r="A12" s="12" t="s">
        <v>40</v>
      </c>
      <c r="B12" s="17" t="s">
        <v>38</v>
      </c>
      <c r="C12" s="24">
        <v>0.99177499999999996</v>
      </c>
      <c r="D12" s="24">
        <v>0.98359799999999997</v>
      </c>
      <c r="E12" s="24">
        <v>0.96739299999999995</v>
      </c>
      <c r="F12" s="24">
        <v>0.93556899999999998</v>
      </c>
      <c r="G12" s="24">
        <v>0.90452100000000002</v>
      </c>
      <c r="H12" s="24">
        <v>0.84472000000000003</v>
      </c>
      <c r="I12" s="24">
        <v>0.70821999999999996</v>
      </c>
      <c r="J12" s="24">
        <v>0.50157600000000002</v>
      </c>
      <c r="K12" s="24">
        <v>0.35522599999999999</v>
      </c>
    </row>
    <row r="13" spans="1:11" ht="15" customHeight="1">
      <c r="A13" s="12" t="s">
        <v>49</v>
      </c>
      <c r="B13" s="17" t="s">
        <v>50</v>
      </c>
      <c r="C13" s="24">
        <v>0.99004099999999995</v>
      </c>
      <c r="D13" s="24">
        <v>0.98016199999999998</v>
      </c>
      <c r="E13" s="24">
        <v>0.96064499999999997</v>
      </c>
      <c r="F13" s="24">
        <v>0.92256300000000002</v>
      </c>
      <c r="G13" s="24">
        <v>0.88572399999999996</v>
      </c>
      <c r="H13" s="24">
        <v>0.815666</v>
      </c>
      <c r="I13" s="24">
        <v>0.66034000000000004</v>
      </c>
      <c r="J13" s="24">
        <v>0.43604900000000002</v>
      </c>
      <c r="K13" s="24">
        <v>0.287941</v>
      </c>
    </row>
    <row r="15" spans="1:11" ht="15" customHeight="1">
      <c r="A15" s="19" t="s">
        <v>77</v>
      </c>
    </row>
    <row r="17" spans="1:9" ht="19.5" customHeight="1">
      <c r="A17" s="9" t="s">
        <v>78</v>
      </c>
      <c r="B17" s="9"/>
      <c r="C17" s="9"/>
      <c r="D17" s="9"/>
      <c r="E17" s="9"/>
      <c r="F17" s="9"/>
      <c r="G17" s="9"/>
      <c r="H17" s="9"/>
      <c r="I17" s="9"/>
    </row>
    <row r="18" spans="1:9" ht="30" customHeight="1">
      <c r="A18" s="8" t="s">
        <v>79</v>
      </c>
      <c r="B18" s="8"/>
      <c r="C18" s="8"/>
      <c r="D18" s="8"/>
      <c r="E18" s="8"/>
      <c r="F18" s="8"/>
      <c r="G18" s="8"/>
      <c r="H18" s="8"/>
      <c r="I18" s="8"/>
    </row>
    <row r="21" spans="1:9" ht="51.75" customHeight="1">
      <c r="A21" s="25" t="s">
        <v>80</v>
      </c>
      <c r="B21" s="25" t="s">
        <v>81</v>
      </c>
      <c r="C21" s="25" t="s">
        <v>82</v>
      </c>
      <c r="D21" s="25" t="s">
        <v>83</v>
      </c>
      <c r="E21" s="25" t="s">
        <v>84</v>
      </c>
      <c r="F21" s="25" t="s">
        <v>85</v>
      </c>
      <c r="G21" s="25" t="s">
        <v>86</v>
      </c>
      <c r="H21" s="25" t="s">
        <v>87</v>
      </c>
      <c r="I21" s="25" t="s">
        <v>88</v>
      </c>
    </row>
    <row r="22" spans="1:9" ht="15" customHeight="1">
      <c r="A22" s="26" t="s">
        <v>58</v>
      </c>
      <c r="B22" s="26">
        <v>0.25</v>
      </c>
      <c r="C22" s="26">
        <v>1</v>
      </c>
      <c r="D22" s="27">
        <f>C8</f>
        <v>0.98929800000000001</v>
      </c>
      <c r="E22" s="28">
        <f>(C22/D22-1)/(0.25-0)</f>
        <v>4.327108717494621E-2</v>
      </c>
      <c r="F22" s="29">
        <f>C37</f>
        <v>-40.9</v>
      </c>
      <c r="G22" s="28">
        <f t="shared" ref="G22:G30" si="0">E22+F22/10000</f>
        <v>3.9181087174946214E-2</v>
      </c>
      <c r="H22" s="30">
        <f>1/(1+G22*(0.25-0))</f>
        <v>0.99029974484200456</v>
      </c>
      <c r="I22" s="31" t="s">
        <v>89</v>
      </c>
    </row>
    <row r="23" spans="1:9" ht="15" customHeight="1">
      <c r="A23" s="26" t="s">
        <v>59</v>
      </c>
      <c r="B23" s="26">
        <v>0.5</v>
      </c>
      <c r="C23" s="27">
        <f>C8</f>
        <v>0.98929800000000001</v>
      </c>
      <c r="D23" s="27">
        <f>D8</f>
        <v>0.97869300000000004</v>
      </c>
      <c r="E23" s="28">
        <f>(C23/D23-1)/(0.5-0.25)</f>
        <v>4.3343520388926748E-2</v>
      </c>
      <c r="F23" s="29">
        <f>D37</f>
        <v>34.299999999999997</v>
      </c>
      <c r="G23" s="28">
        <f t="shared" si="0"/>
        <v>4.6773520388926751E-2</v>
      </c>
      <c r="H23" s="30">
        <f>H22/(1+G23*(0.5-0.25))</f>
        <v>0.97885363720263641</v>
      </c>
      <c r="I23" s="31" t="s">
        <v>90</v>
      </c>
    </row>
    <row r="24" spans="1:9" ht="15" customHeight="1">
      <c r="A24" s="26" t="s">
        <v>30</v>
      </c>
      <c r="B24" s="26">
        <v>1</v>
      </c>
      <c r="C24" s="27">
        <f>D8</f>
        <v>0.97869300000000004</v>
      </c>
      <c r="D24" s="27">
        <f>E8</f>
        <v>0.95776799999999995</v>
      </c>
      <c r="E24" s="28">
        <f>(C24/D24-1)/(1-0.5)</f>
        <v>4.3695341669381271E-2</v>
      </c>
      <c r="F24" s="29">
        <f>E37</f>
        <v>31.4</v>
      </c>
      <c r="G24" s="28">
        <f t="shared" si="0"/>
        <v>4.6835341669381268E-2</v>
      </c>
      <c r="H24" s="30">
        <f>H23/(1+G24*(1-0.5))</f>
        <v>0.95645567308241974</v>
      </c>
      <c r="I24" s="31" t="s">
        <v>91</v>
      </c>
    </row>
    <row r="25" spans="1:9" ht="15" customHeight="1">
      <c r="A25" s="26" t="s">
        <v>60</v>
      </c>
      <c r="B25" s="26">
        <v>2</v>
      </c>
      <c r="C25" s="27">
        <f>E8</f>
        <v>0.95776799999999995</v>
      </c>
      <c r="D25" s="27">
        <f>F8</f>
        <v>0.91704399999999997</v>
      </c>
      <c r="E25" s="28">
        <f>(C25/D25-1)/(2-1)</f>
        <v>4.4407901910922476E-2</v>
      </c>
      <c r="F25" s="29">
        <f>F37</f>
        <v>-21.7</v>
      </c>
      <c r="G25" s="28">
        <f t="shared" si="0"/>
        <v>4.2237901910922478E-2</v>
      </c>
      <c r="H25" s="30">
        <f>H24/(1+G25*(2-1))</f>
        <v>0.91769419566183241</v>
      </c>
      <c r="I25" s="31" t="s">
        <v>92</v>
      </c>
    </row>
    <row r="26" spans="1:9" ht="15" customHeight="1">
      <c r="A26" s="26" t="s">
        <v>61</v>
      </c>
      <c r="B26" s="26">
        <v>3</v>
      </c>
      <c r="C26" s="27">
        <f>F8</f>
        <v>0.91704399999999997</v>
      </c>
      <c r="D26" s="27">
        <f>G8</f>
        <v>0.87778800000000001</v>
      </c>
      <c r="E26" s="28">
        <f>(C26/D26-1)/(3-2)</f>
        <v>4.4721504509061427E-2</v>
      </c>
      <c r="F26" s="29">
        <f>G37</f>
        <v>-13</v>
      </c>
      <c r="G26" s="28">
        <f t="shared" si="0"/>
        <v>4.3421504509061425E-2</v>
      </c>
      <c r="H26" s="30">
        <f>H25/(1+G26*(3-2))</f>
        <v>0.87950477510391667</v>
      </c>
      <c r="I26" s="31" t="s">
        <v>93</v>
      </c>
    </row>
    <row r="27" spans="1:9" ht="15" customHeight="1">
      <c r="A27" s="26" t="s">
        <v>62</v>
      </c>
      <c r="B27" s="26">
        <v>5</v>
      </c>
      <c r="C27" s="27">
        <f>G8</f>
        <v>0.87778800000000001</v>
      </c>
      <c r="D27" s="27">
        <f>H8</f>
        <v>0.80352299999999999</v>
      </c>
      <c r="E27" s="28">
        <f>(C27/D27-1)/(5-3)</f>
        <v>4.6212118383667899E-2</v>
      </c>
      <c r="F27" s="29">
        <f>H37</f>
        <v>6.1</v>
      </c>
      <c r="G27" s="28">
        <f t="shared" si="0"/>
        <v>4.6822118383667899E-2</v>
      </c>
      <c r="H27" s="30">
        <f>H26/(1+G27*(5-3))</f>
        <v>0.80419641555796395</v>
      </c>
      <c r="I27" s="31" t="s">
        <v>94</v>
      </c>
    </row>
    <row r="28" spans="1:9" ht="15" customHeight="1">
      <c r="A28" s="26" t="s">
        <v>63</v>
      </c>
      <c r="B28" s="26">
        <v>10</v>
      </c>
      <c r="C28" s="27">
        <f>H8</f>
        <v>0.80352299999999999</v>
      </c>
      <c r="D28" s="27">
        <f>I8</f>
        <v>0.64082399999999995</v>
      </c>
      <c r="E28" s="28">
        <f>(C28/D28-1)/(10-5)</f>
        <v>5.077806074678852E-2</v>
      </c>
      <c r="F28" s="29">
        <f>I37</f>
        <v>2.9</v>
      </c>
      <c r="G28" s="28">
        <f t="shared" si="0"/>
        <v>5.1068060746788518E-2</v>
      </c>
      <c r="H28" s="30">
        <f>H27/(1+G28*(10-5))</f>
        <v>0.64062024708831922</v>
      </c>
      <c r="I28" s="31" t="s">
        <v>95</v>
      </c>
    </row>
    <row r="29" spans="1:9" ht="15" customHeight="1">
      <c r="A29" s="26" t="s">
        <v>64</v>
      </c>
      <c r="B29" s="26">
        <v>20</v>
      </c>
      <c r="C29" s="27">
        <f>I8</f>
        <v>0.64082399999999995</v>
      </c>
      <c r="D29" s="27">
        <f>J8</f>
        <v>0.41065600000000002</v>
      </c>
      <c r="E29" s="28">
        <f>(C29/D29-1)/(20-10)</f>
        <v>5.6048858411906786E-2</v>
      </c>
      <c r="F29" s="29">
        <f>J37</f>
        <v>2.1</v>
      </c>
      <c r="G29" s="28">
        <f t="shared" si="0"/>
        <v>5.6258858411906788E-2</v>
      </c>
      <c r="H29" s="30">
        <f>H28/(1+G29*(20-10))</f>
        <v>0.40997371515386966</v>
      </c>
      <c r="I29" s="31" t="s">
        <v>96</v>
      </c>
    </row>
    <row r="30" spans="1:9" ht="15" customHeight="1">
      <c r="A30" s="26" t="s">
        <v>65</v>
      </c>
      <c r="B30" s="26">
        <v>30</v>
      </c>
      <c r="C30" s="27">
        <f>J8</f>
        <v>0.41065600000000002</v>
      </c>
      <c r="D30" s="27">
        <f>K8</f>
        <v>0.263158</v>
      </c>
      <c r="E30" s="28">
        <f>(C30/D30-1)/(30-20)</f>
        <v>5.6049217580312984E-2</v>
      </c>
      <c r="F30" s="29">
        <f>K37</f>
        <v>1.2</v>
      </c>
      <c r="G30" s="28">
        <f t="shared" si="0"/>
        <v>5.6169217580312986E-2</v>
      </c>
      <c r="H30" s="30">
        <f>H29/(1+G30*(30-20))</f>
        <v>0.26251890193599314</v>
      </c>
      <c r="I30" s="31" t="s">
        <v>97</v>
      </c>
    </row>
    <row r="32" spans="1:9" ht="15" customHeight="1">
      <c r="A32" s="19" t="s">
        <v>98</v>
      </c>
    </row>
    <row r="34" spans="1:23" ht="19.5" customHeight="1">
      <c r="A34" s="9" t="s">
        <v>99</v>
      </c>
      <c r="B34" s="9"/>
      <c r="C34" s="9"/>
      <c r="D34" s="9"/>
      <c r="E34" s="9"/>
      <c r="F34" s="9"/>
      <c r="G34" s="9"/>
      <c r="H34" s="9"/>
      <c r="I34" s="9"/>
      <c r="J34" s="9"/>
      <c r="K34" s="9"/>
      <c r="M34" s="9" t="s">
        <v>100</v>
      </c>
      <c r="N34" s="9"/>
      <c r="O34" s="9"/>
      <c r="P34" s="9"/>
      <c r="Q34" s="9"/>
      <c r="R34" s="9"/>
      <c r="S34" s="9"/>
      <c r="T34" s="9"/>
      <c r="U34" s="9"/>
      <c r="V34" s="9"/>
      <c r="W34" s="9"/>
    </row>
    <row r="36" spans="1:23" ht="15" customHeight="1">
      <c r="A36" s="7" t="s">
        <v>101</v>
      </c>
      <c r="B36" s="7"/>
      <c r="C36" s="21" t="s">
        <v>58</v>
      </c>
      <c r="D36" s="21" t="s">
        <v>59</v>
      </c>
      <c r="E36" s="21" t="s">
        <v>30</v>
      </c>
      <c r="F36" s="21" t="s">
        <v>60</v>
      </c>
      <c r="G36" s="21" t="s">
        <v>61</v>
      </c>
      <c r="H36" s="21" t="s">
        <v>62</v>
      </c>
      <c r="I36" s="21" t="s">
        <v>63</v>
      </c>
      <c r="J36" s="21" t="s">
        <v>64</v>
      </c>
      <c r="K36" s="21" t="s">
        <v>65</v>
      </c>
      <c r="M36" s="7" t="s">
        <v>101</v>
      </c>
      <c r="N36" s="7"/>
      <c r="O36" s="21" t="s">
        <v>58</v>
      </c>
      <c r="P36" s="21" t="s">
        <v>59</v>
      </c>
      <c r="Q36" s="21" t="s">
        <v>30</v>
      </c>
      <c r="R36" s="21" t="s">
        <v>60</v>
      </c>
      <c r="S36" s="21" t="s">
        <v>61</v>
      </c>
      <c r="T36" s="21" t="s">
        <v>62</v>
      </c>
      <c r="U36" s="21" t="s">
        <v>63</v>
      </c>
      <c r="V36" s="21" t="s">
        <v>64</v>
      </c>
      <c r="W36" s="21" t="s">
        <v>65</v>
      </c>
    </row>
    <row r="37" spans="1:23" ht="15" customHeight="1">
      <c r="A37" s="17" t="s">
        <v>42</v>
      </c>
      <c r="B37" s="32" t="s">
        <v>43</v>
      </c>
      <c r="C37" s="33">
        <v>-40.9</v>
      </c>
      <c r="D37" s="33">
        <v>34.299999999999997</v>
      </c>
      <c r="E37" s="33">
        <v>31.4</v>
      </c>
      <c r="F37" s="33">
        <v>-21.7</v>
      </c>
      <c r="G37" s="33">
        <v>-13</v>
      </c>
      <c r="H37" s="33">
        <v>6.1</v>
      </c>
      <c r="I37" s="33">
        <v>2.9</v>
      </c>
      <c r="J37" s="33">
        <v>2.1</v>
      </c>
      <c r="K37" s="33">
        <v>1.2</v>
      </c>
      <c r="M37" s="12" t="s">
        <v>42</v>
      </c>
      <c r="N37" s="32" t="s">
        <v>43</v>
      </c>
      <c r="O37" s="34">
        <f t="shared" ref="O37:O42" si="1">1/(1+(((1/C8-1)/(0.25-0))+C37/10000)*(0.25-0))</f>
        <v>0.99029974484200456</v>
      </c>
      <c r="P37" s="34">
        <f t="shared" ref="P37:P42" si="2">O37/(1+(((C8/D8-1)/(0.5-0.25))+D37/10000)*(0.5-0.25))</f>
        <v>0.97885363720263641</v>
      </c>
      <c r="Q37" s="34">
        <f t="shared" ref="Q37:Q42" si="3">P37/(1+(((D8/E8-1)/(1-0.5))+E37/10000)*(1-0.5))</f>
        <v>0.95645567308241974</v>
      </c>
      <c r="R37" s="34">
        <f t="shared" ref="R37:R42" si="4">Q37/(1+(((E8/F8-1)/(2-1))+F37/10000)*(2-1))</f>
        <v>0.91769419566183241</v>
      </c>
      <c r="S37" s="34">
        <f t="shared" ref="S37:S42" si="5">R37/(1+(((F8/G8-1)/(3-2))+G37/10000)*(3-2))</f>
        <v>0.87950477510391667</v>
      </c>
      <c r="T37" s="34">
        <f t="shared" ref="T37:T42" si="6">S37/(1+(((G8/H8-1)/(5-3))+H37/10000)*(5-3))</f>
        <v>0.80419641555796395</v>
      </c>
      <c r="U37" s="34">
        <f t="shared" ref="U37:U42" si="7">T37/(1+(((H8/I8-1)/(10-5))+I37/10000)*(10-5))</f>
        <v>0.64062024708831922</v>
      </c>
      <c r="V37" s="34">
        <f t="shared" ref="V37:V42" si="8">U37/(1+(((I8/J8-1)/(20-10))+J37/10000)*(20-10))</f>
        <v>0.40997371515386966</v>
      </c>
      <c r="W37" s="34">
        <f t="shared" ref="W37:W42" si="9">V37/(1+(((J8/K8-1)/(30-20))+K37/10000)*(30-20))</f>
        <v>0.26251890193599314</v>
      </c>
    </row>
    <row r="38" spans="1:23" ht="15" customHeight="1">
      <c r="A38" s="17" t="s">
        <v>52</v>
      </c>
      <c r="B38" s="32" t="s">
        <v>43</v>
      </c>
      <c r="C38" s="33">
        <v>-35.5</v>
      </c>
      <c r="D38" s="33">
        <v>31.9</v>
      </c>
      <c r="E38" s="33">
        <v>24.1</v>
      </c>
      <c r="F38" s="33">
        <v>18.3</v>
      </c>
      <c r="G38" s="33">
        <v>-8.9</v>
      </c>
      <c r="H38" s="33">
        <v>5.7</v>
      </c>
      <c r="I38" s="33">
        <v>2.8</v>
      </c>
      <c r="J38" s="33">
        <v>1.3</v>
      </c>
      <c r="K38" s="33">
        <v>0.6</v>
      </c>
      <c r="M38" s="12" t="s">
        <v>52</v>
      </c>
      <c r="N38" s="32" t="s">
        <v>43</v>
      </c>
      <c r="O38" s="34">
        <f t="shared" si="1"/>
        <v>0.99314560425391729</v>
      </c>
      <c r="P38" s="34">
        <f t="shared" si="2"/>
        <v>0.98467163651603506</v>
      </c>
      <c r="Q38" s="34">
        <f t="shared" si="3"/>
        <v>0.96826857505336916</v>
      </c>
      <c r="R38" s="34">
        <f t="shared" si="4"/>
        <v>0.93662947281850484</v>
      </c>
      <c r="S38" s="34">
        <f t="shared" si="5"/>
        <v>0.90814151136836496</v>
      </c>
      <c r="T38" s="34">
        <f t="shared" si="6"/>
        <v>0.85059198235029643</v>
      </c>
      <c r="U38" s="34">
        <f t="shared" si="7"/>
        <v>0.71945700972890247</v>
      </c>
      <c r="V38" s="34">
        <f t="shared" si="8"/>
        <v>0.51934003697482478</v>
      </c>
      <c r="W38" s="34">
        <f t="shared" si="9"/>
        <v>0.37507426973530705</v>
      </c>
    </row>
    <row r="39" spans="1:23" ht="15" customHeight="1">
      <c r="A39" s="17" t="s">
        <v>45</v>
      </c>
      <c r="B39" s="32" t="s">
        <v>38</v>
      </c>
      <c r="C39" s="33">
        <v>49.9</v>
      </c>
      <c r="D39" s="33">
        <v>46.7</v>
      </c>
      <c r="E39" s="33">
        <v>-34.6</v>
      </c>
      <c r="F39" s="33">
        <v>21.6</v>
      </c>
      <c r="G39" s="33">
        <v>13</v>
      </c>
      <c r="H39" s="33">
        <v>7.2</v>
      </c>
      <c r="I39" s="33">
        <v>4.0999999999999996</v>
      </c>
      <c r="J39" s="33">
        <v>1.9</v>
      </c>
      <c r="K39" s="33">
        <v>1.2</v>
      </c>
      <c r="M39" s="12" t="s">
        <v>45</v>
      </c>
      <c r="N39" s="32" t="s">
        <v>38</v>
      </c>
      <c r="O39" s="34">
        <f t="shared" si="1"/>
        <v>0.98832595249374944</v>
      </c>
      <c r="P39" s="34">
        <f t="shared" si="2"/>
        <v>0.97684620738130412</v>
      </c>
      <c r="Q39" s="34">
        <f t="shared" si="3"/>
        <v>0.95806182559562214</v>
      </c>
      <c r="R39" s="34">
        <f t="shared" si="4"/>
        <v>0.91634638425752679</v>
      </c>
      <c r="S39" s="34">
        <f t="shared" si="5"/>
        <v>0.87690514689816712</v>
      </c>
      <c r="T39" s="34">
        <f t="shared" si="6"/>
        <v>0.80326054142633985</v>
      </c>
      <c r="U39" s="34">
        <f t="shared" si="7"/>
        <v>0.64277078339735338</v>
      </c>
      <c r="V39" s="34">
        <f t="shared" si="8"/>
        <v>0.4155320279868811</v>
      </c>
      <c r="W39" s="34">
        <f t="shared" si="9"/>
        <v>0.26875062806338179</v>
      </c>
    </row>
    <row r="40" spans="1:23" ht="15" customHeight="1">
      <c r="A40" s="17" t="s">
        <v>37</v>
      </c>
      <c r="B40" s="32" t="s">
        <v>38</v>
      </c>
      <c r="C40" s="33">
        <v>75.2</v>
      </c>
      <c r="D40" s="33">
        <v>60.7</v>
      </c>
      <c r="E40" s="33">
        <v>51.5</v>
      </c>
      <c r="F40" s="33">
        <v>44.3</v>
      </c>
      <c r="G40" s="33">
        <v>26.8</v>
      </c>
      <c r="H40" s="33">
        <v>15.7</v>
      </c>
      <c r="I40" s="33">
        <v>-6.2</v>
      </c>
      <c r="J40" s="33">
        <v>3.8</v>
      </c>
      <c r="K40" s="33">
        <v>2.5</v>
      </c>
      <c r="M40" s="12" t="s">
        <v>37</v>
      </c>
      <c r="N40" s="32" t="s">
        <v>38</v>
      </c>
      <c r="O40" s="34">
        <f t="shared" si="1"/>
        <v>0.98672318762532396</v>
      </c>
      <c r="P40" s="34">
        <f t="shared" si="2"/>
        <v>0.97395217541142476</v>
      </c>
      <c r="Q40" s="34">
        <f t="shared" si="3"/>
        <v>0.94931134658224248</v>
      </c>
      <c r="R40" s="34">
        <f t="shared" si="4"/>
        <v>0.90240773923166684</v>
      </c>
      <c r="S40" s="34">
        <f t="shared" si="5"/>
        <v>0.85899470253672827</v>
      </c>
      <c r="T40" s="34">
        <f t="shared" si="6"/>
        <v>0.77938840416913635</v>
      </c>
      <c r="U40" s="34">
        <f t="shared" si="7"/>
        <v>0.61381740059204815</v>
      </c>
      <c r="V40" s="34">
        <f t="shared" si="8"/>
        <v>0.38082393120280367</v>
      </c>
      <c r="W40" s="34">
        <f t="shared" si="9"/>
        <v>0.23646064253644175</v>
      </c>
    </row>
    <row r="41" spans="1:23" ht="15" customHeight="1">
      <c r="A41" s="17" t="s">
        <v>40</v>
      </c>
      <c r="B41" s="32" t="s">
        <v>38</v>
      </c>
      <c r="C41" s="33">
        <v>64.8</v>
      </c>
      <c r="D41" s="33">
        <v>54.8</v>
      </c>
      <c r="E41" s="33">
        <v>47.2</v>
      </c>
      <c r="F41" s="33">
        <v>28</v>
      </c>
      <c r="G41" s="33">
        <v>18.8</v>
      </c>
      <c r="H41" s="33">
        <v>10.1</v>
      </c>
      <c r="I41" s="33">
        <v>5.2</v>
      </c>
      <c r="J41" s="33">
        <v>3</v>
      </c>
      <c r="K41" s="33">
        <v>-1.8</v>
      </c>
      <c r="M41" s="12" t="s">
        <v>40</v>
      </c>
      <c r="N41" s="32" t="s">
        <v>38</v>
      </c>
      <c r="O41" s="34">
        <f t="shared" si="1"/>
        <v>0.99018409547331343</v>
      </c>
      <c r="P41" s="34">
        <f t="shared" si="2"/>
        <v>0.98068774722598318</v>
      </c>
      <c r="Q41" s="34">
        <f t="shared" si="3"/>
        <v>0.96229708875850106</v>
      </c>
      <c r="R41" s="34">
        <f t="shared" si="4"/>
        <v>0.928127460760787</v>
      </c>
      <c r="S41" s="34">
        <f t="shared" si="5"/>
        <v>0.89569838707071014</v>
      </c>
      <c r="T41" s="34">
        <f t="shared" si="6"/>
        <v>0.83490567190550902</v>
      </c>
      <c r="U41" s="34">
        <f t="shared" si="7"/>
        <v>0.69846902364560004</v>
      </c>
      <c r="V41" s="34">
        <f t="shared" si="8"/>
        <v>0.49362137908215248</v>
      </c>
      <c r="W41" s="34">
        <f t="shared" si="9"/>
        <v>0.35003860845084833</v>
      </c>
    </row>
    <row r="42" spans="1:23" ht="15" customHeight="1">
      <c r="A42" s="17" t="s">
        <v>49</v>
      </c>
      <c r="B42" s="32" t="s">
        <v>50</v>
      </c>
      <c r="C42" s="33">
        <v>23.9</v>
      </c>
      <c r="D42" s="33">
        <v>26.9</v>
      </c>
      <c r="E42" s="33">
        <v>18.899999999999999</v>
      </c>
      <c r="F42" s="33">
        <v>16.3</v>
      </c>
      <c r="G42" s="33">
        <v>11</v>
      </c>
      <c r="H42" s="33">
        <v>5.2</v>
      </c>
      <c r="I42" s="33">
        <v>3.4</v>
      </c>
      <c r="J42" s="33">
        <v>1.9</v>
      </c>
      <c r="K42" s="33">
        <v>1.2</v>
      </c>
      <c r="M42" s="12" t="s">
        <v>49</v>
      </c>
      <c r="N42" s="32" t="s">
        <v>50</v>
      </c>
      <c r="O42" s="34">
        <f t="shared" si="1"/>
        <v>0.98945568798497385</v>
      </c>
      <c r="P42" s="34">
        <f t="shared" si="2"/>
        <v>0.97893076657976896</v>
      </c>
      <c r="Q42" s="34">
        <f t="shared" si="3"/>
        <v>0.95855048960922939</v>
      </c>
      <c r="R42" s="34">
        <f t="shared" si="4"/>
        <v>0.91911275662430292</v>
      </c>
      <c r="S42" s="34">
        <f t="shared" si="5"/>
        <v>0.88148061851062665</v>
      </c>
      <c r="T42" s="34">
        <f t="shared" si="6"/>
        <v>0.81098154786351107</v>
      </c>
      <c r="U42" s="34">
        <f t="shared" si="7"/>
        <v>0.65564525477018964</v>
      </c>
      <c r="V42" s="34">
        <f t="shared" si="8"/>
        <v>0.43240635432705921</v>
      </c>
      <c r="W42" s="34">
        <f t="shared" si="9"/>
        <v>0.28530953011609783</v>
      </c>
    </row>
    <row r="44" spans="1:23" ht="15" customHeight="1">
      <c r="A44" s="7" t="s">
        <v>102</v>
      </c>
      <c r="B44" s="7"/>
      <c r="C44" s="21" t="s">
        <v>58</v>
      </c>
      <c r="D44" s="21" t="s">
        <v>59</v>
      </c>
      <c r="E44" s="21" t="s">
        <v>30</v>
      </c>
      <c r="F44" s="21" t="s">
        <v>60</v>
      </c>
      <c r="G44" s="21" t="s">
        <v>61</v>
      </c>
      <c r="H44" s="21" t="s">
        <v>62</v>
      </c>
      <c r="I44" s="21" t="s">
        <v>63</v>
      </c>
      <c r="J44" s="21" t="s">
        <v>64</v>
      </c>
      <c r="K44" s="21" t="s">
        <v>65</v>
      </c>
      <c r="M44" s="7" t="s">
        <v>102</v>
      </c>
      <c r="N44" s="7"/>
      <c r="O44" s="21" t="s">
        <v>58</v>
      </c>
      <c r="P44" s="21" t="s">
        <v>59</v>
      </c>
      <c r="Q44" s="21" t="s">
        <v>30</v>
      </c>
      <c r="R44" s="21" t="s">
        <v>60</v>
      </c>
      <c r="S44" s="21" t="s">
        <v>61</v>
      </c>
      <c r="T44" s="21" t="s">
        <v>62</v>
      </c>
      <c r="U44" s="21" t="s">
        <v>63</v>
      </c>
      <c r="V44" s="21" t="s">
        <v>64</v>
      </c>
      <c r="W44" s="21" t="s">
        <v>65</v>
      </c>
    </row>
    <row r="45" spans="1:23" ht="15" customHeight="1">
      <c r="A45" s="17" t="s">
        <v>42</v>
      </c>
      <c r="B45" s="32" t="s">
        <v>43</v>
      </c>
      <c r="C45" s="33">
        <v>45.8</v>
      </c>
      <c r="D45" s="33">
        <v>45.7</v>
      </c>
      <c r="E45" s="33">
        <v>34.700000000000003</v>
      </c>
      <c r="F45" s="33">
        <v>25.1</v>
      </c>
      <c r="G45" s="33">
        <v>14.8</v>
      </c>
      <c r="H45" s="33">
        <v>7.9</v>
      </c>
      <c r="I45" s="33">
        <v>4.0999999999999996</v>
      </c>
      <c r="J45" s="33">
        <v>2.4</v>
      </c>
      <c r="K45" s="33">
        <v>1.4</v>
      </c>
      <c r="M45" s="12" t="s">
        <v>42</v>
      </c>
      <c r="N45" s="32" t="s">
        <v>43</v>
      </c>
      <c r="O45" s="34">
        <f t="shared" ref="O45:O50" si="10">1/(1+(((1/C8-1)/(0.25-0))+C45/10000)*(0.25-0))</f>
        <v>0.98817864438576919</v>
      </c>
      <c r="P45" s="34">
        <f t="shared" ref="P45:P50" si="11">O45/(1+(((C8/D8-1)/(0.5-0.25))+D45/10000)*(0.5-0.25))</f>
        <v>0.97648197216508137</v>
      </c>
      <c r="Q45" s="34">
        <f t="shared" ref="Q45:Q50" si="12">P45/(1+(((D8/E8-1)/(1-0.5))+E45/10000)*(1-0.5))</f>
        <v>0.95398447041781143</v>
      </c>
      <c r="R45" s="34">
        <f t="shared" ref="R45:R50" si="13">Q45/(1+(((E8/F8-1)/(2-1))+F45/10000)*(2-1))</f>
        <v>0.9112314047515272</v>
      </c>
      <c r="S45" s="34">
        <f t="shared" ref="S45:S50" si="14">R45/(1+(((F8/G8-1)/(3-2))+G45/10000)*(3-2))</f>
        <v>0.87099034060281721</v>
      </c>
      <c r="T45" s="34">
        <f t="shared" ref="T45:T50" si="15">S45/(1+(((G8/H8-1)/(5-3))+H45/10000)*(5-3))</f>
        <v>0.79614896481251252</v>
      </c>
      <c r="U45" s="34">
        <f t="shared" ref="U45:U50" si="16">T45/(1+(((H8/I8-1)/(10-5))+I45/10000)*(10-5))</f>
        <v>0.63390669321268001</v>
      </c>
      <c r="V45" s="34">
        <f t="shared" ref="V45:V50" si="17">U45/(1+(((I8/J8-1)/(20-10))+J45/10000)*(20-10))</f>
        <v>0.40559941358198964</v>
      </c>
      <c r="W45" s="34">
        <f t="shared" ref="W45:W50" si="18">V45/(1+(((J8/K8-1)/(30-20))+K45/10000)*(30-20))</f>
        <v>0.25968464396297342</v>
      </c>
    </row>
    <row r="46" spans="1:23" ht="15" customHeight="1">
      <c r="A46" s="17" t="s">
        <v>52</v>
      </c>
      <c r="B46" s="32" t="s">
        <v>43</v>
      </c>
      <c r="C46" s="33">
        <v>34.700000000000003</v>
      </c>
      <c r="D46" s="33">
        <v>37.4</v>
      </c>
      <c r="E46" s="33">
        <v>-28.1</v>
      </c>
      <c r="F46" s="33">
        <v>20.8</v>
      </c>
      <c r="G46" s="33">
        <v>10.6</v>
      </c>
      <c r="H46" s="33">
        <v>5.6</v>
      </c>
      <c r="I46" s="33">
        <v>-3.3</v>
      </c>
      <c r="J46" s="33">
        <v>1.5</v>
      </c>
      <c r="K46" s="33">
        <v>0.7</v>
      </c>
      <c r="M46" s="12" t="s">
        <v>52</v>
      </c>
      <c r="N46" s="32" t="s">
        <v>43</v>
      </c>
      <c r="O46" s="34">
        <f t="shared" si="10"/>
        <v>0.99141759260167039</v>
      </c>
      <c r="P46" s="34">
        <f t="shared" si="11"/>
        <v>0.98282438375002323</v>
      </c>
      <c r="Q46" s="34">
        <f t="shared" si="12"/>
        <v>0.96893889714300441</v>
      </c>
      <c r="R46" s="34">
        <f t="shared" si="13"/>
        <v>0.93705128343340527</v>
      </c>
      <c r="S46" s="34">
        <f t="shared" si="14"/>
        <v>0.90683594681759294</v>
      </c>
      <c r="T46" s="34">
        <f t="shared" si="15"/>
        <v>0.84938506346914355</v>
      </c>
      <c r="U46" s="34">
        <f t="shared" si="16"/>
        <v>0.72029436453112416</v>
      </c>
      <c r="V46" s="34">
        <f t="shared" si="17"/>
        <v>0.51986942798388613</v>
      </c>
      <c r="W46" s="34">
        <f t="shared" si="18"/>
        <v>0.37542948893439443</v>
      </c>
    </row>
    <row r="47" spans="1:23" ht="15" customHeight="1">
      <c r="A47" s="17" t="s">
        <v>45</v>
      </c>
      <c r="B47" s="32" t="s">
        <v>38</v>
      </c>
      <c r="C47" s="33">
        <v>53</v>
      </c>
      <c r="D47" s="33">
        <v>50.5</v>
      </c>
      <c r="E47" s="33">
        <v>36.1</v>
      </c>
      <c r="F47" s="33">
        <v>29.7</v>
      </c>
      <c r="G47" s="33">
        <v>16.7</v>
      </c>
      <c r="H47" s="33">
        <v>8.5</v>
      </c>
      <c r="I47" s="33">
        <v>4.5</v>
      </c>
      <c r="J47" s="33">
        <v>2.2000000000000002</v>
      </c>
      <c r="K47" s="33">
        <v>1.4</v>
      </c>
      <c r="M47" s="12" t="s">
        <v>45</v>
      </c>
      <c r="N47" s="32" t="s">
        <v>38</v>
      </c>
      <c r="O47" s="34">
        <f t="shared" si="10"/>
        <v>0.98825025720705095</v>
      </c>
      <c r="P47" s="34">
        <f t="shared" si="11"/>
        <v>0.97667968447593523</v>
      </c>
      <c r="Q47" s="34">
        <f t="shared" si="12"/>
        <v>0.95458892283297658</v>
      </c>
      <c r="R47" s="34">
        <f t="shared" si="13"/>
        <v>0.91231789555014908</v>
      </c>
      <c r="S47" s="34">
        <f t="shared" si="14"/>
        <v>0.87274103640810996</v>
      </c>
      <c r="T47" s="34">
        <f t="shared" si="15"/>
        <v>0.79925578854632728</v>
      </c>
      <c r="U47" s="34">
        <f t="shared" si="16"/>
        <v>0.63946383161445886</v>
      </c>
      <c r="V47" s="34">
        <f t="shared" si="17"/>
        <v>0.4133140243345001</v>
      </c>
      <c r="W47" s="34">
        <f t="shared" si="18"/>
        <v>0.26728153242345376</v>
      </c>
    </row>
    <row r="48" spans="1:23" ht="15" customHeight="1">
      <c r="A48" s="17" t="s">
        <v>37</v>
      </c>
      <c r="B48" s="32" t="s">
        <v>38</v>
      </c>
      <c r="C48" s="33">
        <v>79.900000000000006</v>
      </c>
      <c r="D48" s="33">
        <v>-82.8</v>
      </c>
      <c r="E48" s="33">
        <v>61.9</v>
      </c>
      <c r="F48" s="33">
        <v>-43.5</v>
      </c>
      <c r="G48" s="33">
        <v>33.6</v>
      </c>
      <c r="H48" s="33">
        <v>16.8</v>
      </c>
      <c r="I48" s="33">
        <v>8.1999999999999993</v>
      </c>
      <c r="J48" s="33">
        <v>4.2</v>
      </c>
      <c r="K48" s="33">
        <v>3</v>
      </c>
      <c r="M48" s="12" t="s">
        <v>37</v>
      </c>
      <c r="N48" s="32" t="s">
        <v>38</v>
      </c>
      <c r="O48" s="34">
        <f t="shared" si="10"/>
        <v>0.98660880022613895</v>
      </c>
      <c r="P48" s="34">
        <f t="shared" si="11"/>
        <v>0.97729995363290212</v>
      </c>
      <c r="Q48" s="34">
        <f t="shared" si="12"/>
        <v>0.9520918644379549</v>
      </c>
      <c r="R48" s="34">
        <f t="shared" si="13"/>
        <v>0.91266818606361888</v>
      </c>
      <c r="S48" s="34">
        <f t="shared" si="14"/>
        <v>0.86819956582666624</v>
      </c>
      <c r="T48" s="34">
        <f t="shared" si="15"/>
        <v>0.78758300701766903</v>
      </c>
      <c r="U48" s="34">
        <f t="shared" si="16"/>
        <v>0.61677377916568754</v>
      </c>
      <c r="V48" s="34">
        <f t="shared" si="17"/>
        <v>0.38256318464062411</v>
      </c>
      <c r="W48" s="34">
        <f t="shared" si="18"/>
        <v>0.23746685346928476</v>
      </c>
    </row>
    <row r="49" spans="1:23" ht="15" customHeight="1">
      <c r="A49" s="17" t="s">
        <v>40</v>
      </c>
      <c r="B49" s="32" t="s">
        <v>38</v>
      </c>
      <c r="C49" s="33">
        <v>72.599999999999994</v>
      </c>
      <c r="D49" s="33">
        <v>-67.8</v>
      </c>
      <c r="E49" s="33">
        <v>49</v>
      </c>
      <c r="F49" s="33">
        <v>37.299999999999997</v>
      </c>
      <c r="G49" s="33">
        <v>20.2</v>
      </c>
      <c r="H49" s="33">
        <v>11.4</v>
      </c>
      <c r="I49" s="33">
        <v>5.8</v>
      </c>
      <c r="J49" s="33">
        <v>3</v>
      </c>
      <c r="K49" s="33">
        <v>-2.2999999999999998</v>
      </c>
      <c r="M49" s="12" t="s">
        <v>40</v>
      </c>
      <c r="N49" s="32" t="s">
        <v>38</v>
      </c>
      <c r="O49" s="34">
        <f t="shared" si="10"/>
        <v>0.98999294179652197</v>
      </c>
      <c r="P49" s="34">
        <f t="shared" si="11"/>
        <v>0.98348389559008909</v>
      </c>
      <c r="Q49" s="34">
        <f t="shared" si="12"/>
        <v>0.96495558406697302</v>
      </c>
      <c r="R49" s="34">
        <f t="shared" si="13"/>
        <v>0.92985749619590152</v>
      </c>
      <c r="S49" s="34">
        <f t="shared" si="14"/>
        <v>0.89724674897609835</v>
      </c>
      <c r="T49" s="34">
        <f t="shared" si="15"/>
        <v>0.83614630077997698</v>
      </c>
      <c r="U49" s="34">
        <f t="shared" si="16"/>
        <v>0.6993313994407977</v>
      </c>
      <c r="V49" s="34">
        <f t="shared" si="17"/>
        <v>0.49423083650245536</v>
      </c>
      <c r="W49" s="34">
        <f t="shared" si="18"/>
        <v>0.35059509678149392</v>
      </c>
    </row>
    <row r="50" spans="1:23" ht="15" customHeight="1">
      <c r="A50" s="17" t="s">
        <v>49</v>
      </c>
      <c r="B50" s="32" t="s">
        <v>50</v>
      </c>
      <c r="C50" s="33">
        <v>34</v>
      </c>
      <c r="D50" s="33">
        <v>32.1</v>
      </c>
      <c r="E50" s="33">
        <v>26.4</v>
      </c>
      <c r="F50" s="33">
        <v>16.899999999999999</v>
      </c>
      <c r="G50" s="33">
        <v>-11.3</v>
      </c>
      <c r="H50" s="33">
        <v>6.8</v>
      </c>
      <c r="I50" s="33">
        <v>3.7</v>
      </c>
      <c r="J50" s="33">
        <v>2.2999999999999998</v>
      </c>
      <c r="K50" s="33">
        <v>1.7</v>
      </c>
      <c r="M50" s="12" t="s">
        <v>49</v>
      </c>
      <c r="N50" s="32" t="s">
        <v>50</v>
      </c>
      <c r="O50" s="34">
        <f t="shared" si="10"/>
        <v>0.98920854653417345</v>
      </c>
      <c r="P50" s="34">
        <f t="shared" si="11"/>
        <v>0.97856039431515984</v>
      </c>
      <c r="Q50" s="34">
        <f t="shared" si="12"/>
        <v>0.95783611746544361</v>
      </c>
      <c r="R50" s="34">
        <f t="shared" si="13"/>
        <v>0.91837494055160729</v>
      </c>
      <c r="S50" s="34">
        <f t="shared" si="14"/>
        <v>0.88266075363332219</v>
      </c>
      <c r="T50" s="34">
        <f t="shared" si="15"/>
        <v>0.81182829016112323</v>
      </c>
      <c r="U50" s="34">
        <f t="shared" si="16"/>
        <v>0.65625022842033531</v>
      </c>
      <c r="V50" s="34">
        <f t="shared" si="17"/>
        <v>0.43269119598513961</v>
      </c>
      <c r="W50" s="34">
        <f t="shared" si="18"/>
        <v>0.28540331665770158</v>
      </c>
    </row>
    <row r="52" spans="1:23" ht="15" customHeight="1">
      <c r="A52" s="7" t="s">
        <v>103</v>
      </c>
      <c r="B52" s="7"/>
      <c r="C52" s="21" t="s">
        <v>58</v>
      </c>
      <c r="D52" s="21" t="s">
        <v>59</v>
      </c>
      <c r="E52" s="21" t="s">
        <v>30</v>
      </c>
      <c r="F52" s="21" t="s">
        <v>60</v>
      </c>
      <c r="G52" s="21" t="s">
        <v>61</v>
      </c>
      <c r="H52" s="21" t="s">
        <v>62</v>
      </c>
      <c r="I52" s="21" t="s">
        <v>63</v>
      </c>
      <c r="J52" s="21" t="s">
        <v>64</v>
      </c>
      <c r="K52" s="21" t="s">
        <v>65</v>
      </c>
      <c r="M52" s="7" t="s">
        <v>103</v>
      </c>
      <c r="N52" s="7"/>
      <c r="O52" s="21" t="s">
        <v>58</v>
      </c>
      <c r="P52" s="21" t="s">
        <v>59</v>
      </c>
      <c r="Q52" s="21" t="s">
        <v>30</v>
      </c>
      <c r="R52" s="21" t="s">
        <v>60</v>
      </c>
      <c r="S52" s="21" t="s">
        <v>61</v>
      </c>
      <c r="T52" s="21" t="s">
        <v>62</v>
      </c>
      <c r="U52" s="21" t="s">
        <v>63</v>
      </c>
      <c r="V52" s="21" t="s">
        <v>64</v>
      </c>
      <c r="W52" s="21" t="s">
        <v>65</v>
      </c>
    </row>
    <row r="53" spans="1:23" ht="15" customHeight="1">
      <c r="A53" s="17" t="s">
        <v>42</v>
      </c>
      <c r="B53" s="32" t="s">
        <v>43</v>
      </c>
      <c r="C53" s="33">
        <v>53.3</v>
      </c>
      <c r="D53" s="33">
        <v>45.4</v>
      </c>
      <c r="E53" s="33">
        <v>43</v>
      </c>
      <c r="F53" s="33">
        <v>26.6</v>
      </c>
      <c r="G53" s="33">
        <v>16.2</v>
      </c>
      <c r="H53" s="33">
        <v>8.8000000000000007</v>
      </c>
      <c r="I53" s="33">
        <v>4.0999999999999996</v>
      </c>
      <c r="J53" s="33">
        <v>2.4</v>
      </c>
      <c r="K53" s="33">
        <v>1.8</v>
      </c>
      <c r="M53" s="12" t="s">
        <v>42</v>
      </c>
      <c r="N53" s="32" t="s">
        <v>43</v>
      </c>
      <c r="O53" s="34">
        <f t="shared" ref="O53:O58" si="19">1/(1+(((1/C8-1)/(0.25-0))+C53/10000)*(0.25-0))</f>
        <v>0.98799558510990293</v>
      </c>
      <c r="P53" s="34">
        <f t="shared" ref="P53:P58" si="20">O53/(1+(((C8/D8-1)/(0.5-0.25))+D53/10000)*(0.5-0.25))</f>
        <v>0.97630831532916706</v>
      </c>
      <c r="Q53" s="34">
        <f t="shared" ref="Q53:Q58" si="21">P53/(1+(((D8/E8-1)/(1-0.5))+E53/10000)*(1-0.5))</f>
        <v>0.9534282578331934</v>
      </c>
      <c r="R53" s="34">
        <f t="shared" ref="R53:R58" si="22">Q53/(1+(((E8/F8-1)/(2-1))+F53/10000)*(2-1))</f>
        <v>0.91056965464528639</v>
      </c>
      <c r="S53" s="34">
        <f t="shared" ref="S53:S58" si="23">R53/(1+(((F8/G8-1)/(3-2))+G53/10000)*(3-2))</f>
        <v>0.87024136070423919</v>
      </c>
      <c r="T53" s="34">
        <f t="shared" ref="T53:T58" si="24">S53/(1+(((G8/H8-1)/(5-3))+H53/10000)*(5-3))</f>
        <v>0.79533348357794409</v>
      </c>
      <c r="U53" s="34">
        <f t="shared" ref="U53:U58" si="25">T53/(1+(((H8/I8-1)/(10-5))+I53/10000)*(10-5))</f>
        <v>0.63325739385335211</v>
      </c>
      <c r="V53" s="34">
        <f t="shared" ref="V53:V58" si="26">U53/(1+(((I8/J8-1)/(20-10))+J53/10000)*(20-10))</f>
        <v>0.40518396531144396</v>
      </c>
      <c r="W53" s="34">
        <f t="shared" ref="W53:W58" si="27">V53/(1+(((J8/K8-1)/(30-20))+K53/10000)*(30-20))</f>
        <v>0.25935223358790133</v>
      </c>
    </row>
    <row r="54" spans="1:23" ht="15" customHeight="1">
      <c r="A54" s="17" t="s">
        <v>52</v>
      </c>
      <c r="B54" s="32" t="s">
        <v>43</v>
      </c>
      <c r="C54" s="33">
        <v>-41.9</v>
      </c>
      <c r="D54" s="33">
        <v>42.4</v>
      </c>
      <c r="E54" s="33">
        <v>34</v>
      </c>
      <c r="F54" s="33">
        <v>21.7</v>
      </c>
      <c r="G54" s="33">
        <v>13.3</v>
      </c>
      <c r="H54" s="33">
        <v>6.7</v>
      </c>
      <c r="I54" s="33">
        <v>3.4</v>
      </c>
      <c r="J54" s="33">
        <v>1.8</v>
      </c>
      <c r="K54" s="33">
        <v>0.9</v>
      </c>
      <c r="M54" s="12" t="s">
        <v>52</v>
      </c>
      <c r="N54" s="32" t="s">
        <v>43</v>
      </c>
      <c r="O54" s="34">
        <f t="shared" si="19"/>
        <v>0.99330344344568522</v>
      </c>
      <c r="P54" s="34">
        <f t="shared" si="20"/>
        <v>0.98457188404620755</v>
      </c>
      <c r="Q54" s="34">
        <f t="shared" si="21"/>
        <v>0.96769945263608048</v>
      </c>
      <c r="R54" s="34">
        <f t="shared" si="22"/>
        <v>0.93577118107362278</v>
      </c>
      <c r="S54" s="34">
        <f t="shared" si="23"/>
        <v>0.90536055640493229</v>
      </c>
      <c r="T54" s="34">
        <f t="shared" si="24"/>
        <v>0.84782843814695874</v>
      </c>
      <c r="U54" s="34">
        <f t="shared" si="25"/>
        <v>0.71693759615931518</v>
      </c>
      <c r="V54" s="34">
        <f t="shared" si="26"/>
        <v>0.51733467929172461</v>
      </c>
      <c r="W54" s="34">
        <f t="shared" si="27"/>
        <v>0.37354504003619798</v>
      </c>
    </row>
    <row r="55" spans="1:23" ht="15" customHeight="1">
      <c r="A55" s="17" t="s">
        <v>45</v>
      </c>
      <c r="B55" s="32" t="s">
        <v>38</v>
      </c>
      <c r="C55" s="33">
        <v>56.8</v>
      </c>
      <c r="D55" s="33">
        <v>62.4</v>
      </c>
      <c r="E55" s="33">
        <v>40.6</v>
      </c>
      <c r="F55" s="33">
        <v>29.5</v>
      </c>
      <c r="G55" s="33">
        <v>20.7</v>
      </c>
      <c r="H55" s="33">
        <v>10.3</v>
      </c>
      <c r="I55" s="33">
        <v>5.6</v>
      </c>
      <c r="J55" s="33">
        <v>2.7</v>
      </c>
      <c r="K55" s="33">
        <v>-1.8</v>
      </c>
      <c r="M55" s="12" t="s">
        <v>45</v>
      </c>
      <c r="N55" s="32" t="s">
        <v>38</v>
      </c>
      <c r="O55" s="34">
        <f t="shared" si="19"/>
        <v>0.98815748525259961</v>
      </c>
      <c r="P55" s="34">
        <f t="shared" si="20"/>
        <v>0.9763009497998808</v>
      </c>
      <c r="Q55" s="34">
        <f t="shared" si="21"/>
        <v>0.95400895749566372</v>
      </c>
      <c r="R55" s="34">
        <f t="shared" si="22"/>
        <v>0.91178104030222651</v>
      </c>
      <c r="S55" s="34">
        <f t="shared" si="23"/>
        <v>0.87189384199992737</v>
      </c>
      <c r="T55" s="34">
        <f t="shared" si="24"/>
        <v>0.79821676600653202</v>
      </c>
      <c r="U55" s="34">
        <f t="shared" si="25"/>
        <v>0.63835163589711219</v>
      </c>
      <c r="V55" s="34">
        <f t="shared" si="26"/>
        <v>0.412461866326851</v>
      </c>
      <c r="W55" s="34">
        <f t="shared" si="27"/>
        <v>0.26728356908322048</v>
      </c>
    </row>
    <row r="56" spans="1:23" ht="15" customHeight="1">
      <c r="A56" s="17" t="s">
        <v>37</v>
      </c>
      <c r="B56" s="32" t="s">
        <v>38</v>
      </c>
      <c r="C56" s="33">
        <v>102.4</v>
      </c>
      <c r="D56" s="33">
        <v>90.6</v>
      </c>
      <c r="E56" s="33">
        <v>-69.8</v>
      </c>
      <c r="F56" s="33">
        <v>49</v>
      </c>
      <c r="G56" s="33">
        <v>33.700000000000003</v>
      </c>
      <c r="H56" s="33">
        <v>20.100000000000001</v>
      </c>
      <c r="I56" s="33">
        <v>9</v>
      </c>
      <c r="J56" s="33">
        <v>5.3</v>
      </c>
      <c r="K56" s="33">
        <v>-3.7</v>
      </c>
      <c r="M56" s="12" t="s">
        <v>37</v>
      </c>
      <c r="N56" s="32" t="s">
        <v>38</v>
      </c>
      <c r="O56" s="34">
        <f t="shared" si="19"/>
        <v>0.98606156815199342</v>
      </c>
      <c r="P56" s="34">
        <f t="shared" si="20"/>
        <v>0.97258152400596343</v>
      </c>
      <c r="Q56" s="34">
        <f t="shared" si="21"/>
        <v>0.9536127078356571</v>
      </c>
      <c r="R56" s="34">
        <f t="shared" si="22"/>
        <v>0.9060917566159532</v>
      </c>
      <c r="S56" s="34">
        <f t="shared" si="23"/>
        <v>0.86193536532362158</v>
      </c>
      <c r="T56" s="34">
        <f t="shared" si="24"/>
        <v>0.78143261200537395</v>
      </c>
      <c r="U56" s="34">
        <f t="shared" si="25"/>
        <v>0.61176563305215537</v>
      </c>
      <c r="V56" s="34">
        <f t="shared" si="26"/>
        <v>0.3791980832931971</v>
      </c>
      <c r="W56" s="34">
        <f t="shared" si="27"/>
        <v>0.23636104133152661</v>
      </c>
    </row>
    <row r="57" spans="1:23" ht="15" customHeight="1">
      <c r="A57" s="17" t="s">
        <v>40</v>
      </c>
      <c r="B57" s="32" t="s">
        <v>38</v>
      </c>
      <c r="C57" s="33">
        <v>78.099999999999994</v>
      </c>
      <c r="D57" s="33">
        <v>64</v>
      </c>
      <c r="E57" s="33">
        <v>58.6</v>
      </c>
      <c r="F57" s="33">
        <v>41.3</v>
      </c>
      <c r="G57" s="33">
        <v>-24.3</v>
      </c>
      <c r="H57" s="33">
        <v>12.2</v>
      </c>
      <c r="I57" s="33">
        <v>7.6</v>
      </c>
      <c r="J57" s="33">
        <v>3.7</v>
      </c>
      <c r="K57" s="33">
        <v>-2.5</v>
      </c>
      <c r="M57" s="12" t="s">
        <v>40</v>
      </c>
      <c r="N57" s="32" t="s">
        <v>38</v>
      </c>
      <c r="O57" s="34">
        <f t="shared" si="19"/>
        <v>0.98985819830993715</v>
      </c>
      <c r="P57" s="34">
        <f t="shared" si="20"/>
        <v>0.98014170499161934</v>
      </c>
      <c r="Q57" s="34">
        <f t="shared" si="21"/>
        <v>0.96122366348805488</v>
      </c>
      <c r="R57" s="34">
        <f t="shared" si="22"/>
        <v>0.92590442513575277</v>
      </c>
      <c r="S57" s="34">
        <f t="shared" si="23"/>
        <v>0.89728519955424157</v>
      </c>
      <c r="T57" s="34">
        <f t="shared" si="24"/>
        <v>0.83605747314191781</v>
      </c>
      <c r="U57" s="34">
        <f t="shared" si="25"/>
        <v>0.69873114548668669</v>
      </c>
      <c r="V57" s="34">
        <f t="shared" si="26"/>
        <v>0.4935624585846774</v>
      </c>
      <c r="W57" s="34">
        <f t="shared" si="27"/>
        <v>0.35017064653894764</v>
      </c>
    </row>
    <row r="58" spans="1:23" ht="15" customHeight="1">
      <c r="A58" s="17" t="s">
        <v>49</v>
      </c>
      <c r="B58" s="32" t="s">
        <v>50</v>
      </c>
      <c r="C58" s="33">
        <v>34</v>
      </c>
      <c r="D58" s="33">
        <v>35.200000000000003</v>
      </c>
      <c r="E58" s="33">
        <v>30.2</v>
      </c>
      <c r="F58" s="33">
        <v>-18.5</v>
      </c>
      <c r="G58" s="33">
        <v>13.9</v>
      </c>
      <c r="H58" s="33">
        <v>7.8</v>
      </c>
      <c r="I58" s="33">
        <v>4.0999999999999996</v>
      </c>
      <c r="J58" s="33">
        <v>2.8</v>
      </c>
      <c r="K58" s="33">
        <v>1.9</v>
      </c>
      <c r="M58" s="12" t="s">
        <v>49</v>
      </c>
      <c r="N58" s="32" t="s">
        <v>50</v>
      </c>
      <c r="O58" s="34">
        <f t="shared" si="19"/>
        <v>0.98920854653417345</v>
      </c>
      <c r="P58" s="34">
        <f t="shared" si="20"/>
        <v>0.97848537798452706</v>
      </c>
      <c r="Q58" s="34">
        <f t="shared" si="21"/>
        <v>0.95758460198964945</v>
      </c>
      <c r="R58" s="34">
        <f t="shared" si="22"/>
        <v>0.92126069158334656</v>
      </c>
      <c r="S58" s="34">
        <f t="shared" si="23"/>
        <v>0.88329494095000727</v>
      </c>
      <c r="T58" s="34">
        <f t="shared" si="24"/>
        <v>0.81226216888726332</v>
      </c>
      <c r="U58" s="34">
        <f t="shared" si="25"/>
        <v>0.65649482206181808</v>
      </c>
      <c r="V58" s="34">
        <f t="shared" si="26"/>
        <v>0.43270981487634563</v>
      </c>
      <c r="W58" s="34">
        <f t="shared" si="27"/>
        <v>0.28537795060098575</v>
      </c>
    </row>
    <row r="60" spans="1:23" ht="15" customHeight="1">
      <c r="A60" s="7" t="s">
        <v>104</v>
      </c>
      <c r="B60" s="7"/>
      <c r="C60" s="21" t="s">
        <v>58</v>
      </c>
      <c r="D60" s="21" t="s">
        <v>59</v>
      </c>
      <c r="E60" s="21" t="s">
        <v>30</v>
      </c>
      <c r="F60" s="21" t="s">
        <v>60</v>
      </c>
      <c r="G60" s="21" t="s">
        <v>61</v>
      </c>
      <c r="H60" s="21" t="s">
        <v>62</v>
      </c>
      <c r="I60" s="21" t="s">
        <v>63</v>
      </c>
      <c r="J60" s="21" t="s">
        <v>64</v>
      </c>
      <c r="K60" s="21" t="s">
        <v>65</v>
      </c>
      <c r="M60" s="7" t="s">
        <v>104</v>
      </c>
      <c r="N60" s="7"/>
      <c r="O60" s="21" t="s">
        <v>58</v>
      </c>
      <c r="P60" s="21" t="s">
        <v>59</v>
      </c>
      <c r="Q60" s="21" t="s">
        <v>30</v>
      </c>
      <c r="R60" s="21" t="s">
        <v>60</v>
      </c>
      <c r="S60" s="21" t="s">
        <v>61</v>
      </c>
      <c r="T60" s="21" t="s">
        <v>62</v>
      </c>
      <c r="U60" s="21" t="s">
        <v>63</v>
      </c>
      <c r="V60" s="21" t="s">
        <v>64</v>
      </c>
      <c r="W60" s="21" t="s">
        <v>65</v>
      </c>
    </row>
    <row r="61" spans="1:23" ht="15" customHeight="1">
      <c r="A61" s="17" t="s">
        <v>42</v>
      </c>
      <c r="B61" s="32" t="s">
        <v>43</v>
      </c>
      <c r="C61" s="33">
        <v>54.8</v>
      </c>
      <c r="D61" s="33">
        <v>53</v>
      </c>
      <c r="E61" s="33">
        <v>46.7</v>
      </c>
      <c r="F61" s="33">
        <v>31.2</v>
      </c>
      <c r="G61" s="33">
        <v>-20.7</v>
      </c>
      <c r="H61" s="33">
        <v>10.5</v>
      </c>
      <c r="I61" s="33">
        <v>4.7</v>
      </c>
      <c r="J61" s="33">
        <v>3</v>
      </c>
      <c r="K61" s="33">
        <v>2.1</v>
      </c>
      <c r="M61" s="12" t="s">
        <v>42</v>
      </c>
      <c r="N61" s="32" t="s">
        <v>43</v>
      </c>
      <c r="O61" s="34">
        <f t="shared" ref="O61:O66" si="28">1/(1+(((1/C8-1)/(0.25-0))+C61/10000)*(0.25-0))</f>
        <v>0.98795898139320704</v>
      </c>
      <c r="P61" s="34">
        <f t="shared" ref="P61:P66" si="29">O61/(1+(((C8/D8-1)/(0.5-0.25))+D61/10000)*(0.5-0.25))</f>
        <v>0.9760888815405514</v>
      </c>
      <c r="Q61" s="34">
        <f t="shared" ref="Q61:Q66" si="30">P61/(1+(((D8/E8-1)/(1-0.5))+E61/10000)*(1-0.5))</f>
        <v>0.95304178574419385</v>
      </c>
      <c r="R61" s="34">
        <f t="shared" ref="R61:R66" si="31">Q61/(1+(((E8/F8-1)/(2-1))+F61/10000)*(2-1))</f>
        <v>0.90980085972472424</v>
      </c>
      <c r="S61" s="34">
        <f t="shared" ref="S61:S66" si="32">R61/(1+(((F8/G8-1)/(3-2))+G61/10000)*(3-2))</f>
        <v>0.87258384588732674</v>
      </c>
      <c r="T61" s="34">
        <f t="shared" ref="T61:T66" si="33">S61/(1+(((G8/H8-1)/(5-3))+H61/10000)*(5-3))</f>
        <v>0.79722660912881438</v>
      </c>
      <c r="U61" s="34">
        <f t="shared" ref="U61:U66" si="34">T61/(1+(((H8/I8-1)/(10-5))+I61/10000)*(10-5))</f>
        <v>0.63461314428394422</v>
      </c>
      <c r="V61" s="34">
        <f t="shared" ref="V61:V66" si="35">U61/(1+(((I8/J8-1)/(20-10))+J61/10000)*(20-10))</f>
        <v>0.40589560469449204</v>
      </c>
      <c r="W61" s="34">
        <f t="shared" ref="W61:W66" si="36">V61/(1+(((J8/K8-1)/(30-20))+K61/10000)*(30-20))</f>
        <v>0.25975786323509059</v>
      </c>
    </row>
    <row r="62" spans="1:23" ht="15" customHeight="1">
      <c r="A62" s="17" t="s">
        <v>52</v>
      </c>
      <c r="B62" s="32" t="s">
        <v>43</v>
      </c>
      <c r="C62" s="33">
        <v>45.7</v>
      </c>
      <c r="D62" s="33">
        <v>43.3</v>
      </c>
      <c r="E62" s="33">
        <v>40.5</v>
      </c>
      <c r="F62" s="33">
        <v>25.3</v>
      </c>
      <c r="G62" s="33">
        <v>16</v>
      </c>
      <c r="H62" s="33">
        <v>-8.5</v>
      </c>
      <c r="I62" s="33">
        <v>4.3</v>
      </c>
      <c r="J62" s="33">
        <v>2.1</v>
      </c>
      <c r="K62" s="33">
        <v>0.9</v>
      </c>
      <c r="M62" s="12" t="s">
        <v>52</v>
      </c>
      <c r="N62" s="32" t="s">
        <v>43</v>
      </c>
      <c r="O62" s="34">
        <f t="shared" si="28"/>
        <v>0.99114736634431033</v>
      </c>
      <c r="P62" s="34">
        <f t="shared" si="29"/>
        <v>0.98241284979581278</v>
      </c>
      <c r="Q62" s="34">
        <f t="shared" si="30"/>
        <v>0.96526908095015307</v>
      </c>
      <c r="R62" s="34">
        <f t="shared" si="31"/>
        <v>0.93309616560649955</v>
      </c>
      <c r="S62" s="34">
        <f t="shared" si="32"/>
        <v>0.90253670774209249</v>
      </c>
      <c r="T62" s="34">
        <f t="shared" si="33"/>
        <v>0.84759698999074895</v>
      </c>
      <c r="U62" s="34">
        <f t="shared" si="34"/>
        <v>0.71646924366174003</v>
      </c>
      <c r="V62" s="34">
        <f t="shared" si="35"/>
        <v>0.5168848274151</v>
      </c>
      <c r="W62" s="34">
        <f t="shared" si="36"/>
        <v>0.37322022141492522</v>
      </c>
    </row>
    <row r="63" spans="1:23" ht="15" customHeight="1">
      <c r="A63" s="17" t="s">
        <v>45</v>
      </c>
      <c r="B63" s="32" t="s">
        <v>38</v>
      </c>
      <c r="C63" s="33">
        <v>71.900000000000006</v>
      </c>
      <c r="D63" s="33">
        <v>65.5</v>
      </c>
      <c r="E63" s="33">
        <v>48.6</v>
      </c>
      <c r="F63" s="33">
        <v>33.299999999999997</v>
      </c>
      <c r="G63" s="33">
        <v>20</v>
      </c>
      <c r="H63" s="33">
        <v>12</v>
      </c>
      <c r="I63" s="33">
        <v>6.2</v>
      </c>
      <c r="J63" s="33">
        <v>-2.9</v>
      </c>
      <c r="K63" s="33">
        <v>2</v>
      </c>
      <c r="M63" s="12" t="s">
        <v>45</v>
      </c>
      <c r="N63" s="32" t="s">
        <v>38</v>
      </c>
      <c r="O63" s="34">
        <f t="shared" si="28"/>
        <v>0.98778901086048776</v>
      </c>
      <c r="P63" s="34">
        <f t="shared" si="29"/>
        <v>0.97586217472506642</v>
      </c>
      <c r="Q63" s="34">
        <f t="shared" si="30"/>
        <v>0.95320762385314017</v>
      </c>
      <c r="R63" s="34">
        <f t="shared" si="31"/>
        <v>0.91068443440731739</v>
      </c>
      <c r="S63" s="34">
        <f t="shared" si="32"/>
        <v>0.8709035050563555</v>
      </c>
      <c r="T63" s="34">
        <f t="shared" si="33"/>
        <v>0.79706201400196774</v>
      </c>
      <c r="U63" s="34">
        <f t="shared" si="34"/>
        <v>0.63727526218561081</v>
      </c>
      <c r="V63" s="34">
        <f t="shared" si="35"/>
        <v>0.41326171262801165</v>
      </c>
      <c r="W63" s="34">
        <f t="shared" si="36"/>
        <v>0.26714404965657346</v>
      </c>
    </row>
    <row r="64" spans="1:23" ht="15" customHeight="1">
      <c r="A64" s="17" t="s">
        <v>37</v>
      </c>
      <c r="B64" s="32" t="s">
        <v>38</v>
      </c>
      <c r="C64" s="33">
        <v>105.6</v>
      </c>
      <c r="D64" s="33">
        <v>102.5</v>
      </c>
      <c r="E64" s="33">
        <v>81.599999999999994</v>
      </c>
      <c r="F64" s="33">
        <v>58.5</v>
      </c>
      <c r="G64" s="33">
        <v>37.200000000000003</v>
      </c>
      <c r="H64" s="33">
        <v>23.3</v>
      </c>
      <c r="I64" s="33">
        <v>10.5</v>
      </c>
      <c r="J64" s="33">
        <v>5.7</v>
      </c>
      <c r="K64" s="33">
        <v>3.6</v>
      </c>
      <c r="M64" s="12" t="s">
        <v>37</v>
      </c>
      <c r="N64" s="32" t="s">
        <v>38</v>
      </c>
      <c r="O64" s="34">
        <f t="shared" si="28"/>
        <v>0.98598378889430938</v>
      </c>
      <c r="P64" s="34">
        <f t="shared" si="29"/>
        <v>0.97221952674501355</v>
      </c>
      <c r="Q64" s="34">
        <f t="shared" si="30"/>
        <v>0.94623447980964559</v>
      </c>
      <c r="R64" s="34">
        <f t="shared" si="31"/>
        <v>0.89827037258621212</v>
      </c>
      <c r="S64" s="34">
        <f t="shared" si="32"/>
        <v>0.85421073533478908</v>
      </c>
      <c r="T64" s="34">
        <f t="shared" si="33"/>
        <v>0.77398036130954673</v>
      </c>
      <c r="U64" s="34">
        <f t="shared" si="34"/>
        <v>0.60557586867736146</v>
      </c>
      <c r="V64" s="34">
        <f t="shared" si="35"/>
        <v>0.37526836401049463</v>
      </c>
      <c r="W64" s="34">
        <f t="shared" si="36"/>
        <v>0.23285204744936638</v>
      </c>
    </row>
    <row r="65" spans="1:23" ht="15" customHeight="1">
      <c r="A65" s="17" t="s">
        <v>40</v>
      </c>
      <c r="B65" s="32" t="s">
        <v>38</v>
      </c>
      <c r="C65" s="33">
        <v>88.1</v>
      </c>
      <c r="D65" s="33">
        <v>81.2</v>
      </c>
      <c r="E65" s="33">
        <v>63.7</v>
      </c>
      <c r="F65" s="33">
        <v>44.4</v>
      </c>
      <c r="G65" s="33">
        <v>29</v>
      </c>
      <c r="H65" s="33">
        <v>13.9</v>
      </c>
      <c r="I65" s="33">
        <v>8.1</v>
      </c>
      <c r="J65" s="33">
        <v>4.2</v>
      </c>
      <c r="K65" s="33">
        <v>3.1</v>
      </c>
      <c r="M65" s="12" t="s">
        <v>40</v>
      </c>
      <c r="N65" s="32" t="s">
        <v>38</v>
      </c>
      <c r="O65" s="34">
        <f t="shared" si="28"/>
        <v>0.98961330409938231</v>
      </c>
      <c r="P65" s="34">
        <f t="shared" si="29"/>
        <v>0.97948217163598483</v>
      </c>
      <c r="Q65" s="34">
        <f t="shared" si="30"/>
        <v>0.96033670077021449</v>
      </c>
      <c r="R65" s="34">
        <f t="shared" si="31"/>
        <v>0.92477390687557004</v>
      </c>
      <c r="S65" s="34">
        <f t="shared" si="32"/>
        <v>0.89158436668005203</v>
      </c>
      <c r="T65" s="34">
        <f t="shared" si="33"/>
        <v>0.83048254945177935</v>
      </c>
      <c r="U65" s="34">
        <f t="shared" si="34"/>
        <v>0.69392694238238251</v>
      </c>
      <c r="V65" s="34">
        <f t="shared" si="35"/>
        <v>0.48999585633491055</v>
      </c>
      <c r="W65" s="34">
        <f t="shared" si="36"/>
        <v>0.34626449708613444</v>
      </c>
    </row>
    <row r="66" spans="1:23" ht="15" customHeight="1">
      <c r="A66" s="17" t="s">
        <v>49</v>
      </c>
      <c r="B66" s="32" t="s">
        <v>50</v>
      </c>
      <c r="C66" s="33">
        <v>-37.700000000000003</v>
      </c>
      <c r="D66" s="33">
        <v>36.1</v>
      </c>
      <c r="E66" s="33">
        <v>-33.5</v>
      </c>
      <c r="F66" s="33">
        <v>21.5</v>
      </c>
      <c r="G66" s="33">
        <v>14.1</v>
      </c>
      <c r="H66" s="33">
        <v>8.9</v>
      </c>
      <c r="I66" s="33">
        <v>-5.0999999999999996</v>
      </c>
      <c r="J66" s="33">
        <v>3.1</v>
      </c>
      <c r="K66" s="33">
        <v>1.9</v>
      </c>
      <c r="M66" s="12" t="s">
        <v>49</v>
      </c>
      <c r="N66" s="32" t="s">
        <v>50</v>
      </c>
      <c r="O66" s="34">
        <f t="shared" si="28"/>
        <v>0.99096568359861514</v>
      </c>
      <c r="P66" s="34">
        <f t="shared" si="29"/>
        <v>0.98020165195777664</v>
      </c>
      <c r="Q66" s="34">
        <f t="shared" si="30"/>
        <v>0.96226355985512491</v>
      </c>
      <c r="R66" s="34">
        <f t="shared" si="31"/>
        <v>0.92221323899458119</v>
      </c>
      <c r="S66" s="34">
        <f t="shared" si="32"/>
        <v>0.88419127820095644</v>
      </c>
      <c r="T66" s="34">
        <f t="shared" si="33"/>
        <v>0.81292196387287841</v>
      </c>
      <c r="U66" s="34">
        <f t="shared" si="34"/>
        <v>0.65947994170999402</v>
      </c>
      <c r="V66" s="34">
        <f t="shared" si="35"/>
        <v>0.43459143668781941</v>
      </c>
      <c r="W66" s="34">
        <f t="shared" si="36"/>
        <v>0.28661890552713631</v>
      </c>
    </row>
    <row r="68" spans="1:23" ht="15" customHeight="1">
      <c r="A68" s="7" t="s">
        <v>105</v>
      </c>
      <c r="B68" s="7"/>
      <c r="C68" s="21" t="s">
        <v>58</v>
      </c>
      <c r="D68" s="21" t="s">
        <v>59</v>
      </c>
      <c r="E68" s="21" t="s">
        <v>30</v>
      </c>
      <c r="F68" s="21" t="s">
        <v>60</v>
      </c>
      <c r="G68" s="21" t="s">
        <v>61</v>
      </c>
      <c r="H68" s="21" t="s">
        <v>62</v>
      </c>
      <c r="I68" s="21" t="s">
        <v>63</v>
      </c>
      <c r="J68" s="21" t="s">
        <v>64</v>
      </c>
      <c r="K68" s="21" t="s">
        <v>65</v>
      </c>
      <c r="M68" s="7" t="s">
        <v>105</v>
      </c>
      <c r="N68" s="7"/>
      <c r="O68" s="21" t="s">
        <v>58</v>
      </c>
      <c r="P68" s="21" t="s">
        <v>59</v>
      </c>
      <c r="Q68" s="21" t="s">
        <v>30</v>
      </c>
      <c r="R68" s="21" t="s">
        <v>60</v>
      </c>
      <c r="S68" s="21" t="s">
        <v>61</v>
      </c>
      <c r="T68" s="21" t="s">
        <v>62</v>
      </c>
      <c r="U68" s="21" t="s">
        <v>63</v>
      </c>
      <c r="V68" s="21" t="s">
        <v>64</v>
      </c>
      <c r="W68" s="21" t="s">
        <v>65</v>
      </c>
    </row>
    <row r="69" spans="1:23" ht="15" customHeight="1">
      <c r="A69" s="17" t="s">
        <v>42</v>
      </c>
      <c r="B69" s="32" t="s">
        <v>43</v>
      </c>
      <c r="C69" s="33">
        <v>62.9</v>
      </c>
      <c r="D69" s="33">
        <v>-60.7</v>
      </c>
      <c r="E69" s="33">
        <v>47.7</v>
      </c>
      <c r="F69" s="33">
        <v>32.799999999999997</v>
      </c>
      <c r="G69" s="33">
        <v>22.5</v>
      </c>
      <c r="H69" s="33">
        <v>11.2</v>
      </c>
      <c r="I69" s="33">
        <v>5.8</v>
      </c>
      <c r="J69" s="33">
        <v>3.4</v>
      </c>
      <c r="K69" s="33">
        <v>2.2999999999999998</v>
      </c>
      <c r="M69" s="12" t="s">
        <v>42</v>
      </c>
      <c r="N69" s="32" t="s">
        <v>43</v>
      </c>
      <c r="O69" s="34">
        <f t="shared" ref="O69:O74" si="37">1/(1+(((1/C8-1)/(0.25-0))+C69/10000)*(0.25-0))</f>
        <v>0.98776136818088578</v>
      </c>
      <c r="P69" s="34">
        <f t="shared" ref="P69:P74" si="38">O69/(1+(((C8/D8-1)/(0.5-0.25))+D69/10000)*(0.5-0.25))</f>
        <v>0.97864200995302475</v>
      </c>
      <c r="Q69" s="34">
        <f t="shared" ref="Q69:Q74" si="39">P69/(1+(((D8/E8-1)/(1-0.5))+E69/10000)*(1-0.5))</f>
        <v>0.95548798414669567</v>
      </c>
      <c r="R69" s="34">
        <f t="shared" ref="R69:R74" si="40">Q69/(1+(((E8/F8-1)/(2-1))+F69/10000)*(2-1))</f>
        <v>0.9119967715613978</v>
      </c>
      <c r="S69" s="34">
        <f t="shared" ref="S69:S74" si="41">R69/(1+(((F8/G8-1)/(3-2))+G69/10000)*(3-2))</f>
        <v>0.87108079602323552</v>
      </c>
      <c r="T69" s="34">
        <f t="shared" ref="T69:T74" si="42">S69/(1+(((G8/H8-1)/(5-3))+H69/10000)*(5-3))</f>
        <v>0.79575158004214441</v>
      </c>
      <c r="U69" s="34">
        <f t="shared" ref="U69:U74" si="43">T69/(1+(((H8/I8-1)/(10-5))+I69/10000)*(10-5))</f>
        <v>0.63316177541945917</v>
      </c>
      <c r="V69" s="34">
        <f t="shared" ref="V69:V74" si="44">U69/(1+(((I8/J8-1)/(20-10))+J69/10000)*(20-10))</f>
        <v>0.40486373636144718</v>
      </c>
      <c r="W69" s="34">
        <f t="shared" ref="W69:W74" si="45">V69/(1+(((J8/K8-1)/(30-20))+K69/10000)*(30-20))</f>
        <v>0.2590643481775719</v>
      </c>
    </row>
    <row r="70" spans="1:23" ht="15" customHeight="1">
      <c r="A70" s="17" t="s">
        <v>52</v>
      </c>
      <c r="B70" s="32" t="s">
        <v>43</v>
      </c>
      <c r="C70" s="33">
        <v>58.2</v>
      </c>
      <c r="D70" s="33">
        <v>49.3</v>
      </c>
      <c r="E70" s="33">
        <v>40.299999999999997</v>
      </c>
      <c r="F70" s="33">
        <v>28.6</v>
      </c>
      <c r="G70" s="33">
        <v>16.8</v>
      </c>
      <c r="H70" s="33">
        <v>8.3000000000000007</v>
      </c>
      <c r="I70" s="33">
        <v>4.3</v>
      </c>
      <c r="J70" s="33">
        <v>-2.2000000000000002</v>
      </c>
      <c r="K70" s="33">
        <v>1.1000000000000001</v>
      </c>
      <c r="M70" s="12" t="s">
        <v>52</v>
      </c>
      <c r="N70" s="32" t="s">
        <v>43</v>
      </c>
      <c r="O70" s="34">
        <f t="shared" si="37"/>
        <v>0.99084046980614926</v>
      </c>
      <c r="P70" s="34">
        <f t="shared" si="38"/>
        <v>0.98196266142999566</v>
      </c>
      <c r="Q70" s="34">
        <f t="shared" si="39"/>
        <v>0.96483622866771579</v>
      </c>
      <c r="R70" s="34">
        <f t="shared" si="40"/>
        <v>0.93238031032721735</v>
      </c>
      <c r="S70" s="34">
        <f t="shared" si="41"/>
        <v>0.90177451788261498</v>
      </c>
      <c r="T70" s="34">
        <f t="shared" si="42"/>
        <v>0.84421729574142801</v>
      </c>
      <c r="U70" s="34">
        <f t="shared" si="43"/>
        <v>0.71361240602402576</v>
      </c>
      <c r="V70" s="34">
        <f t="shared" si="44"/>
        <v>0.51642584681263659</v>
      </c>
      <c r="W70" s="34">
        <f t="shared" si="45"/>
        <v>0.37283496972730473</v>
      </c>
    </row>
    <row r="71" spans="1:23" ht="15" customHeight="1">
      <c r="A71" s="17" t="s">
        <v>45</v>
      </c>
      <c r="B71" s="32" t="s">
        <v>38</v>
      </c>
      <c r="C71" s="33">
        <v>-79.3</v>
      </c>
      <c r="D71" s="33">
        <v>70.5</v>
      </c>
      <c r="E71" s="33">
        <v>54.3</v>
      </c>
      <c r="F71" s="33">
        <v>38.1</v>
      </c>
      <c r="G71" s="33">
        <v>24.5</v>
      </c>
      <c r="H71" s="33">
        <v>13.9</v>
      </c>
      <c r="I71" s="33">
        <v>-6.5</v>
      </c>
      <c r="J71" s="33">
        <v>3.2</v>
      </c>
      <c r="K71" s="33">
        <v>2.2999999999999998</v>
      </c>
      <c r="M71" s="12" t="s">
        <v>45</v>
      </c>
      <c r="N71" s="32" t="s">
        <v>38</v>
      </c>
      <c r="O71" s="34">
        <f t="shared" si="37"/>
        <v>0.99149108236357186</v>
      </c>
      <c r="P71" s="34">
        <f t="shared" si="38"/>
        <v>0.97939859976487142</v>
      </c>
      <c r="Q71" s="34">
        <f t="shared" si="39"/>
        <v>0.95639570608579993</v>
      </c>
      <c r="R71" s="34">
        <f t="shared" si="40"/>
        <v>0.91331146162251742</v>
      </c>
      <c r="S71" s="34">
        <f t="shared" si="41"/>
        <v>0.87304007068782463</v>
      </c>
      <c r="T71" s="34">
        <f t="shared" si="42"/>
        <v>0.79873963980886264</v>
      </c>
      <c r="U71" s="34">
        <f t="shared" si="43"/>
        <v>0.64187538758877261</v>
      </c>
      <c r="V71" s="34">
        <f t="shared" si="44"/>
        <v>0.414604743072572</v>
      </c>
      <c r="W71" s="34">
        <f t="shared" si="45"/>
        <v>0.26796025736460694</v>
      </c>
    </row>
    <row r="72" spans="1:23" ht="15" customHeight="1">
      <c r="A72" s="17" t="s">
        <v>37</v>
      </c>
      <c r="B72" s="32" t="s">
        <v>38</v>
      </c>
      <c r="C72" s="33">
        <v>119.6</v>
      </c>
      <c r="D72" s="33">
        <v>110.7</v>
      </c>
      <c r="E72" s="33">
        <v>89.7</v>
      </c>
      <c r="F72" s="33">
        <v>-65.400000000000006</v>
      </c>
      <c r="G72" s="33">
        <v>43</v>
      </c>
      <c r="H72" s="33">
        <v>23.9</v>
      </c>
      <c r="I72" s="33">
        <v>-10.9</v>
      </c>
      <c r="J72" s="33">
        <v>-6.7</v>
      </c>
      <c r="K72" s="33">
        <v>4.3</v>
      </c>
      <c r="M72" s="12" t="s">
        <v>37</v>
      </c>
      <c r="N72" s="32" t="s">
        <v>38</v>
      </c>
      <c r="O72" s="34">
        <f t="shared" si="37"/>
        <v>0.98564364886351719</v>
      </c>
      <c r="P72" s="34">
        <f t="shared" si="38"/>
        <v>0.9716877198232694</v>
      </c>
      <c r="Q72" s="34">
        <f t="shared" si="39"/>
        <v>0.94534425538944911</v>
      </c>
      <c r="R72" s="34">
        <f t="shared" si="40"/>
        <v>0.90810638199708349</v>
      </c>
      <c r="S72" s="34">
        <f t="shared" si="41"/>
        <v>0.86308825674416034</v>
      </c>
      <c r="T72" s="34">
        <f t="shared" si="42"/>
        <v>0.78193905614907011</v>
      </c>
      <c r="U72" s="34">
        <f t="shared" si="43"/>
        <v>0.61696806723387287</v>
      </c>
      <c r="V72" s="34">
        <f t="shared" si="44"/>
        <v>0.38528858788737763</v>
      </c>
      <c r="W72" s="34">
        <f t="shared" si="45"/>
        <v>0.2389657498042245</v>
      </c>
    </row>
    <row r="73" spans="1:23" ht="15" customHeight="1">
      <c r="A73" s="17" t="s">
        <v>40</v>
      </c>
      <c r="B73" s="32" t="s">
        <v>38</v>
      </c>
      <c r="C73" s="33">
        <v>92.2</v>
      </c>
      <c r="D73" s="33">
        <v>83.3</v>
      </c>
      <c r="E73" s="33">
        <v>66.8</v>
      </c>
      <c r="F73" s="33">
        <v>47.4</v>
      </c>
      <c r="G73" s="33">
        <v>32</v>
      </c>
      <c r="H73" s="33">
        <v>17.100000000000001</v>
      </c>
      <c r="I73" s="33">
        <v>-8.5</v>
      </c>
      <c r="J73" s="33">
        <v>4.0999999999999996</v>
      </c>
      <c r="K73" s="33">
        <v>3.5</v>
      </c>
      <c r="M73" s="12" t="s">
        <v>40</v>
      </c>
      <c r="N73" s="32" t="s">
        <v>38</v>
      </c>
      <c r="O73" s="34">
        <f t="shared" si="37"/>
        <v>0.98951293249521843</v>
      </c>
      <c r="P73" s="34">
        <f t="shared" si="38"/>
        <v>0.97933193901445881</v>
      </c>
      <c r="Q73" s="34">
        <f t="shared" si="39"/>
        <v>0.96004350658501603</v>
      </c>
      <c r="R73" s="34">
        <f t="shared" si="40"/>
        <v>0.92422457041707518</v>
      </c>
      <c r="S73" s="34">
        <f t="shared" si="41"/>
        <v>0.89079709746449165</v>
      </c>
      <c r="T73" s="34">
        <f t="shared" si="42"/>
        <v>0.8292548814045323</v>
      </c>
      <c r="U73" s="34">
        <f t="shared" si="43"/>
        <v>0.69774013229640763</v>
      </c>
      <c r="V73" s="34">
        <f t="shared" si="44"/>
        <v>0.49272321908056171</v>
      </c>
      <c r="W73" s="34">
        <f t="shared" si="45"/>
        <v>0.34809344302009204</v>
      </c>
    </row>
    <row r="74" spans="1:23" ht="15" customHeight="1">
      <c r="A74" s="17" t="s">
        <v>49</v>
      </c>
      <c r="B74" s="32" t="s">
        <v>50</v>
      </c>
      <c r="C74" s="33">
        <v>45</v>
      </c>
      <c r="D74" s="33">
        <v>42.7</v>
      </c>
      <c r="E74" s="33">
        <v>37.5</v>
      </c>
      <c r="F74" s="33">
        <v>22.5</v>
      </c>
      <c r="G74" s="33">
        <v>15.6</v>
      </c>
      <c r="H74" s="33">
        <v>10</v>
      </c>
      <c r="I74" s="33">
        <v>5.7</v>
      </c>
      <c r="J74" s="33">
        <v>3.1</v>
      </c>
      <c r="K74" s="33">
        <v>-2.2999999999999998</v>
      </c>
      <c r="M74" s="12" t="s">
        <v>49</v>
      </c>
      <c r="N74" s="32" t="s">
        <v>50</v>
      </c>
      <c r="O74" s="34">
        <f t="shared" si="37"/>
        <v>0.98893952299143262</v>
      </c>
      <c r="P74" s="34">
        <f t="shared" si="38"/>
        <v>0.97803787648477569</v>
      </c>
      <c r="Q74" s="34">
        <f t="shared" si="39"/>
        <v>0.95680488523976404</v>
      </c>
      <c r="R74" s="34">
        <f t="shared" si="40"/>
        <v>0.91689388639798175</v>
      </c>
      <c r="S74" s="34">
        <f t="shared" si="41"/>
        <v>0.87896482847863233</v>
      </c>
      <c r="T74" s="34">
        <f t="shared" si="42"/>
        <v>0.80795336426270792</v>
      </c>
      <c r="U74" s="34">
        <f t="shared" si="43"/>
        <v>0.65259036140696058</v>
      </c>
      <c r="V74" s="34">
        <f t="shared" si="44"/>
        <v>0.43005126432972196</v>
      </c>
      <c r="W74" s="34">
        <f t="shared" si="45"/>
        <v>0.28441241073473628</v>
      </c>
    </row>
    <row r="76" spans="1:23" ht="15" customHeight="1">
      <c r="A76" s="7" t="s">
        <v>106</v>
      </c>
      <c r="B76" s="7"/>
      <c r="C76" s="21" t="s">
        <v>58</v>
      </c>
      <c r="D76" s="21" t="s">
        <v>59</v>
      </c>
      <c r="E76" s="21" t="s">
        <v>30</v>
      </c>
      <c r="F76" s="21" t="s">
        <v>60</v>
      </c>
      <c r="G76" s="21" t="s">
        <v>61</v>
      </c>
      <c r="H76" s="21" t="s">
        <v>62</v>
      </c>
      <c r="I76" s="21" t="s">
        <v>63</v>
      </c>
      <c r="J76" s="21" t="s">
        <v>64</v>
      </c>
      <c r="K76" s="21" t="s">
        <v>65</v>
      </c>
      <c r="M76" s="7" t="s">
        <v>106</v>
      </c>
      <c r="N76" s="7"/>
      <c r="O76" s="21" t="s">
        <v>58</v>
      </c>
      <c r="P76" s="21" t="s">
        <v>59</v>
      </c>
      <c r="Q76" s="21" t="s">
        <v>30</v>
      </c>
      <c r="R76" s="21" t="s">
        <v>60</v>
      </c>
      <c r="S76" s="21" t="s">
        <v>61</v>
      </c>
      <c r="T76" s="21" t="s">
        <v>62</v>
      </c>
      <c r="U76" s="21" t="s">
        <v>63</v>
      </c>
      <c r="V76" s="21" t="s">
        <v>64</v>
      </c>
      <c r="W76" s="21" t="s">
        <v>65</v>
      </c>
    </row>
    <row r="77" spans="1:23" ht="15" customHeight="1">
      <c r="A77" s="17" t="s">
        <v>42</v>
      </c>
      <c r="B77" s="32" t="s">
        <v>43</v>
      </c>
      <c r="C77" s="33">
        <v>75.7</v>
      </c>
      <c r="D77" s="33">
        <v>-63.1</v>
      </c>
      <c r="E77" s="33">
        <v>53.1</v>
      </c>
      <c r="F77" s="33">
        <v>38.5</v>
      </c>
      <c r="G77" s="33">
        <v>-24.9</v>
      </c>
      <c r="H77" s="33">
        <v>12.4</v>
      </c>
      <c r="I77" s="33">
        <v>5.7</v>
      </c>
      <c r="J77" s="33">
        <v>3.8</v>
      </c>
      <c r="K77" s="33">
        <v>2.2999999999999998</v>
      </c>
      <c r="M77" s="12" t="s">
        <v>42</v>
      </c>
      <c r="N77" s="32" t="s">
        <v>43</v>
      </c>
      <c r="O77" s="34">
        <f t="shared" ref="O77:O82" si="46">1/(1+(((1/C8-1)/(0.25-0))+C77/10000)*(0.25-0))</f>
        <v>0.98744925162927011</v>
      </c>
      <c r="P77" s="34">
        <f t="shared" ref="P77:P82" si="47">O77/(1+(((C8/D8-1)/(0.5-0.25))+D77/10000)*(0.5-0.25))</f>
        <v>0.97839093645587516</v>
      </c>
      <c r="Q77" s="34">
        <f t="shared" ref="Q77:Q82" si="48">P77/(1+(((D8/E8-1)/(1-0.5))+E77/10000)*(1-0.5))</f>
        <v>0.95499110378965923</v>
      </c>
      <c r="R77" s="34">
        <f t="shared" ref="R77:R82" si="49">Q77/(1+(((E8/F8-1)/(2-1))+F77/10000)*(2-1))</f>
        <v>0.91102685899029012</v>
      </c>
      <c r="S77" s="34">
        <f t="shared" ref="S77:S82" si="50">R77/(1+(((F8/G8-1)/(3-2))+G77/10000)*(3-2))</f>
        <v>0.87411180246314413</v>
      </c>
      <c r="T77" s="34">
        <f t="shared" ref="T77:T82" si="51">S77/(1+(((G8/H8-1)/(5-3))+H77/10000)*(5-3))</f>
        <v>0.79834543799367041</v>
      </c>
      <c r="U77" s="34">
        <f t="shared" ref="U77:U82" si="52">T77/(1+(((H8/I8-1)/(10-5))+I77/10000)*(10-5))</f>
        <v>0.63525092305998299</v>
      </c>
      <c r="V77" s="34">
        <f t="shared" ref="V77:V82" si="53">U77/(1+(((I8/J8-1)/(20-10))+J77/10000)*(20-10))</f>
        <v>0.40609573547308458</v>
      </c>
      <c r="W77" s="34">
        <f t="shared" ref="W77:W82" si="54">V77/(1+(((J8/K8-1)/(30-20))+K77/10000)*(30-20))</f>
        <v>0.25985268019683372</v>
      </c>
    </row>
    <row r="78" spans="1:23" ht="15" customHeight="1">
      <c r="A78" s="17" t="s">
        <v>52</v>
      </c>
      <c r="B78" s="32" t="s">
        <v>43</v>
      </c>
      <c r="C78" s="33">
        <v>62.8</v>
      </c>
      <c r="D78" s="33">
        <v>53.9</v>
      </c>
      <c r="E78" s="33">
        <v>46</v>
      </c>
      <c r="F78" s="33">
        <v>31.6</v>
      </c>
      <c r="G78" s="33">
        <v>17.2</v>
      </c>
      <c r="H78" s="33">
        <v>9.9</v>
      </c>
      <c r="I78" s="33">
        <v>5</v>
      </c>
      <c r="J78" s="33">
        <v>2.5</v>
      </c>
      <c r="K78" s="33">
        <v>1.2</v>
      </c>
      <c r="M78" s="12" t="s">
        <v>52</v>
      </c>
      <c r="N78" s="32" t="s">
        <v>43</v>
      </c>
      <c r="O78" s="34">
        <f t="shared" si="46"/>
        <v>0.99072757971338787</v>
      </c>
      <c r="P78" s="34">
        <f t="shared" si="47"/>
        <v>0.98173889441551021</v>
      </c>
      <c r="Q78" s="34">
        <f t="shared" si="48"/>
        <v>0.96434631914571989</v>
      </c>
      <c r="R78" s="34">
        <f t="shared" si="49"/>
        <v>0.93163679146768652</v>
      </c>
      <c r="S78" s="34">
        <f t="shared" si="50"/>
        <v>0.90102054758948469</v>
      </c>
      <c r="T78" s="34">
        <f t="shared" si="51"/>
        <v>0.84325882915685335</v>
      </c>
      <c r="U78" s="34">
        <f t="shared" si="52"/>
        <v>0.71259139689367834</v>
      </c>
      <c r="V78" s="34">
        <f t="shared" si="53"/>
        <v>0.51393891024406568</v>
      </c>
      <c r="W78" s="34">
        <f t="shared" si="54"/>
        <v>0.37101273410874686</v>
      </c>
    </row>
    <row r="79" spans="1:23" ht="15" customHeight="1">
      <c r="A79" s="17" t="s">
        <v>45</v>
      </c>
      <c r="B79" s="32" t="s">
        <v>38</v>
      </c>
      <c r="C79" s="33">
        <v>85.1</v>
      </c>
      <c r="D79" s="33">
        <v>78</v>
      </c>
      <c r="E79" s="33">
        <v>58.6</v>
      </c>
      <c r="F79" s="33">
        <v>-44.2</v>
      </c>
      <c r="G79" s="33">
        <v>28</v>
      </c>
      <c r="H79" s="33">
        <v>14.5</v>
      </c>
      <c r="I79" s="33">
        <v>-7.1</v>
      </c>
      <c r="J79" s="33">
        <v>3.8</v>
      </c>
      <c r="K79" s="33">
        <v>2.2999999999999998</v>
      </c>
      <c r="M79" s="12" t="s">
        <v>45</v>
      </c>
      <c r="N79" s="32" t="s">
        <v>38</v>
      </c>
      <c r="O79" s="34">
        <f t="shared" si="46"/>
        <v>0.98746712583257812</v>
      </c>
      <c r="P79" s="34">
        <f t="shared" si="47"/>
        <v>0.97524309255696662</v>
      </c>
      <c r="Q79" s="34">
        <f t="shared" si="48"/>
        <v>0.95213789656946579</v>
      </c>
      <c r="R79" s="34">
        <f t="shared" si="49"/>
        <v>0.91644805500861182</v>
      </c>
      <c r="S79" s="34">
        <f t="shared" si="50"/>
        <v>0.87574536404857894</v>
      </c>
      <c r="T79" s="34">
        <f t="shared" si="51"/>
        <v>0.80112674449287091</v>
      </c>
      <c r="U79" s="34">
        <f t="shared" si="52"/>
        <v>0.64394893465382697</v>
      </c>
      <c r="V79" s="34">
        <f t="shared" si="53"/>
        <v>0.41578296412508448</v>
      </c>
      <c r="W79" s="34">
        <f t="shared" si="54"/>
        <v>0.26872174507486302</v>
      </c>
    </row>
    <row r="80" spans="1:23" ht="15" customHeight="1">
      <c r="A80" s="17" t="s">
        <v>37</v>
      </c>
      <c r="B80" s="32" t="s">
        <v>38</v>
      </c>
      <c r="C80" s="33">
        <v>130.30000000000001</v>
      </c>
      <c r="D80" s="33">
        <v>124.2</v>
      </c>
      <c r="E80" s="33">
        <v>96.2</v>
      </c>
      <c r="F80" s="33">
        <v>68.599999999999994</v>
      </c>
      <c r="G80" s="33">
        <v>48.3</v>
      </c>
      <c r="H80" s="33">
        <v>27.3</v>
      </c>
      <c r="I80" s="33">
        <v>12.1</v>
      </c>
      <c r="J80" s="33">
        <v>6.9</v>
      </c>
      <c r="K80" s="33">
        <v>5</v>
      </c>
      <c r="M80" s="12" t="s">
        <v>37</v>
      </c>
      <c r="N80" s="32" t="s">
        <v>38</v>
      </c>
      <c r="O80" s="34">
        <f t="shared" si="46"/>
        <v>0.98538384287869829</v>
      </c>
      <c r="P80" s="34">
        <f t="shared" si="47"/>
        <v>0.97110848403731298</v>
      </c>
      <c r="Q80" s="34">
        <f t="shared" si="48"/>
        <v>0.9444820885238937</v>
      </c>
      <c r="R80" s="34">
        <f t="shared" si="49"/>
        <v>0.89574796263519185</v>
      </c>
      <c r="S80" s="34">
        <f t="shared" si="50"/>
        <v>0.85091386161170035</v>
      </c>
      <c r="T80" s="34">
        <f t="shared" si="51"/>
        <v>0.77043468289380279</v>
      </c>
      <c r="U80" s="34">
        <f t="shared" si="52"/>
        <v>0.6024245893377429</v>
      </c>
      <c r="V80" s="34">
        <f t="shared" si="53"/>
        <v>0.37303815172419308</v>
      </c>
      <c r="W80" s="34">
        <f t="shared" si="54"/>
        <v>0.23126731223538924</v>
      </c>
    </row>
    <row r="81" spans="1:23" ht="15" customHeight="1">
      <c r="A81" s="17" t="s">
        <v>40</v>
      </c>
      <c r="B81" s="32" t="s">
        <v>38</v>
      </c>
      <c r="C81" s="33">
        <v>110.1</v>
      </c>
      <c r="D81" s="33">
        <v>97.2</v>
      </c>
      <c r="E81" s="33">
        <v>81.2</v>
      </c>
      <c r="F81" s="33">
        <v>55.9</v>
      </c>
      <c r="G81" s="33">
        <v>-32.799999999999997</v>
      </c>
      <c r="H81" s="33">
        <v>-17.399999999999999</v>
      </c>
      <c r="I81" s="33">
        <v>9.6999999999999993</v>
      </c>
      <c r="J81" s="33">
        <v>4.5999999999999996</v>
      </c>
      <c r="K81" s="33">
        <v>3.6</v>
      </c>
      <c r="M81" s="12" t="s">
        <v>40</v>
      </c>
      <c r="N81" s="32" t="s">
        <v>38</v>
      </c>
      <c r="O81" s="34">
        <f t="shared" si="46"/>
        <v>0.98907496314113064</v>
      </c>
      <c r="P81" s="34">
        <f t="shared" si="47"/>
        <v>0.97856192435293532</v>
      </c>
      <c r="Q81" s="34">
        <f t="shared" si="48"/>
        <v>0.95861205091835933</v>
      </c>
      <c r="R81" s="34">
        <f t="shared" si="49"/>
        <v>0.92209198627483724</v>
      </c>
      <c r="S81" s="34">
        <f t="shared" si="50"/>
        <v>0.89432728267794559</v>
      </c>
      <c r="T81" s="34">
        <f t="shared" si="51"/>
        <v>0.83792341287714411</v>
      </c>
      <c r="U81" s="34">
        <f t="shared" si="52"/>
        <v>0.69967660689949318</v>
      </c>
      <c r="V81" s="34">
        <f t="shared" si="53"/>
        <v>0.49391630508159495</v>
      </c>
      <c r="W81" s="34">
        <f t="shared" si="54"/>
        <v>0.34891167120949407</v>
      </c>
    </row>
    <row r="82" spans="1:23" ht="15" customHeight="1">
      <c r="A82" s="17" t="s">
        <v>49</v>
      </c>
      <c r="B82" s="32" t="s">
        <v>50</v>
      </c>
      <c r="C82" s="33">
        <v>51.5</v>
      </c>
      <c r="D82" s="33">
        <v>-44.7</v>
      </c>
      <c r="E82" s="33">
        <v>37.200000000000003</v>
      </c>
      <c r="F82" s="33">
        <v>-25.5</v>
      </c>
      <c r="G82" s="33">
        <v>18.2</v>
      </c>
      <c r="H82" s="33">
        <v>11.6</v>
      </c>
      <c r="I82" s="33">
        <v>-6.2</v>
      </c>
      <c r="J82" s="33">
        <v>3.8</v>
      </c>
      <c r="K82" s="33">
        <v>2.5</v>
      </c>
      <c r="M82" s="12" t="s">
        <v>49</v>
      </c>
      <c r="N82" s="32" t="s">
        <v>50</v>
      </c>
      <c r="O82" s="34">
        <f t="shared" si="46"/>
        <v>0.98878062330276528</v>
      </c>
      <c r="P82" s="34">
        <f t="shared" si="47"/>
        <v>0.97999842024889339</v>
      </c>
      <c r="Q82" s="34">
        <f t="shared" si="48"/>
        <v>0.95873693486627742</v>
      </c>
      <c r="R82" s="34">
        <f t="shared" si="49"/>
        <v>0.92299089865115624</v>
      </c>
      <c r="S82" s="34">
        <f t="shared" si="50"/>
        <v>0.88458914716083059</v>
      </c>
      <c r="T82" s="34">
        <f t="shared" si="51"/>
        <v>0.81288418726734901</v>
      </c>
      <c r="U82" s="34">
        <f t="shared" si="52"/>
        <v>0.65974366361439329</v>
      </c>
      <c r="V82" s="34">
        <f t="shared" si="53"/>
        <v>0.43456476505541008</v>
      </c>
      <c r="W82" s="34">
        <f t="shared" si="54"/>
        <v>0.28648794962964952</v>
      </c>
    </row>
    <row r="84" spans="1:23" ht="15" customHeight="1">
      <c r="A84" s="7" t="s">
        <v>107</v>
      </c>
      <c r="B84" s="7"/>
      <c r="C84" s="21" t="s">
        <v>58</v>
      </c>
      <c r="D84" s="21" t="s">
        <v>59</v>
      </c>
      <c r="E84" s="21" t="s">
        <v>30</v>
      </c>
      <c r="F84" s="21" t="s">
        <v>60</v>
      </c>
      <c r="G84" s="21" t="s">
        <v>61</v>
      </c>
      <c r="H84" s="21" t="s">
        <v>62</v>
      </c>
      <c r="I84" s="21" t="s">
        <v>63</v>
      </c>
      <c r="J84" s="21" t="s">
        <v>64</v>
      </c>
      <c r="K84" s="21" t="s">
        <v>65</v>
      </c>
      <c r="M84" s="7" t="s">
        <v>107</v>
      </c>
      <c r="N84" s="7"/>
      <c r="O84" s="21" t="s">
        <v>58</v>
      </c>
      <c r="P84" s="21" t="s">
        <v>59</v>
      </c>
      <c r="Q84" s="21" t="s">
        <v>30</v>
      </c>
      <c r="R84" s="21" t="s">
        <v>60</v>
      </c>
      <c r="S84" s="21" t="s">
        <v>61</v>
      </c>
      <c r="T84" s="21" t="s">
        <v>62</v>
      </c>
      <c r="U84" s="21" t="s">
        <v>63</v>
      </c>
      <c r="V84" s="21" t="s">
        <v>64</v>
      </c>
      <c r="W84" s="21" t="s">
        <v>65</v>
      </c>
    </row>
    <row r="85" spans="1:23" ht="15" customHeight="1">
      <c r="A85" s="17" t="s">
        <v>42</v>
      </c>
      <c r="B85" s="32" t="s">
        <v>43</v>
      </c>
      <c r="C85" s="33">
        <v>78.900000000000006</v>
      </c>
      <c r="D85" s="33">
        <v>-69.8</v>
      </c>
      <c r="E85" s="33">
        <v>62.6</v>
      </c>
      <c r="F85" s="33">
        <v>41.1</v>
      </c>
      <c r="G85" s="33">
        <v>25</v>
      </c>
      <c r="H85" s="33">
        <v>-12.5</v>
      </c>
      <c r="I85" s="33">
        <v>6.7</v>
      </c>
      <c r="J85" s="33">
        <v>-4.2</v>
      </c>
      <c r="K85" s="33">
        <v>2.7</v>
      </c>
      <c r="M85" s="12" t="s">
        <v>42</v>
      </c>
      <c r="N85" s="32" t="s">
        <v>43</v>
      </c>
      <c r="O85" s="34">
        <f t="shared" ref="O85:O90" si="55">1/(1+(((1/C8-1)/(0.25-0))+C85/10000)*(0.25-0))</f>
        <v>0.98737125330885744</v>
      </c>
      <c r="P85" s="34">
        <f t="shared" ref="P85:P90" si="56">O85/(1+(((C8/D8-1)/(0.5-0.25))+D85/10000)*(0.5-0.25))</f>
        <v>0.97847604490659823</v>
      </c>
      <c r="Q85" s="34">
        <f t="shared" ref="Q85:Q90" si="57">P85/(1+(((D8/E8-1)/(1-0.5))+E85/10000)*(1-0.5))</f>
        <v>0.95463157173929081</v>
      </c>
      <c r="R85" s="34">
        <f t="shared" ref="R85:R90" si="58">Q85/(1+(((E8/F8-1)/(2-1))+F85/10000)*(2-1))</f>
        <v>0.91045805703410121</v>
      </c>
      <c r="S85" s="34">
        <f t="shared" ref="S85:S90" si="59">R85/(1+(((F8/G8-1)/(3-2))+G85/10000)*(3-2))</f>
        <v>0.86940351502896707</v>
      </c>
      <c r="T85" s="34">
        <f t="shared" ref="T85:T90" si="60">S85/(1+(((G8/H8-1)/(5-3))+H85/10000)*(5-3))</f>
        <v>0.79767334801873668</v>
      </c>
      <c r="U85" s="34">
        <f t="shared" ref="U85:U90" si="61">T85/(1+(((H8/I8-1)/(10-5))+I85/10000)*(10-5))</f>
        <v>0.63446371043760341</v>
      </c>
      <c r="V85" s="34">
        <f t="shared" ref="V85:V90" si="62">U85/(1+(((I8/J8-1)/(20-10))+J85/10000)*(20-10))</f>
        <v>0.40767741722961975</v>
      </c>
      <c r="W85" s="34">
        <f t="shared" ref="W85:W90" si="63">V85/(1+(((J8/K8-1)/(30-20))+K85/10000)*(30-20))</f>
        <v>0.26079801545844172</v>
      </c>
    </row>
    <row r="86" spans="1:23" ht="15" customHeight="1">
      <c r="A86" s="17" t="s">
        <v>52</v>
      </c>
      <c r="B86" s="32" t="s">
        <v>43</v>
      </c>
      <c r="C86" s="33">
        <v>68.3</v>
      </c>
      <c r="D86" s="33">
        <v>59.6</v>
      </c>
      <c r="E86" s="33">
        <v>49.8</v>
      </c>
      <c r="F86" s="33">
        <v>35</v>
      </c>
      <c r="G86" s="33">
        <v>20.100000000000001</v>
      </c>
      <c r="H86" s="33">
        <v>10.9</v>
      </c>
      <c r="I86" s="33">
        <v>5.0999999999999996</v>
      </c>
      <c r="J86" s="33">
        <v>2.7</v>
      </c>
      <c r="K86" s="33">
        <v>-1.3</v>
      </c>
      <c r="M86" s="12" t="s">
        <v>52</v>
      </c>
      <c r="N86" s="32" t="s">
        <v>43</v>
      </c>
      <c r="O86" s="34">
        <f t="shared" si="55"/>
        <v>0.9905926361897095</v>
      </c>
      <c r="P86" s="34">
        <f t="shared" si="56"/>
        <v>0.98146658513504126</v>
      </c>
      <c r="Q86" s="34">
        <f t="shared" si="57"/>
        <v>0.96389893786194725</v>
      </c>
      <c r="R86" s="34">
        <f t="shared" si="58"/>
        <v>0.93089881475897207</v>
      </c>
      <c r="S86" s="34">
        <f t="shared" si="59"/>
        <v>0.90005438485321121</v>
      </c>
      <c r="T86" s="34">
        <f t="shared" si="60"/>
        <v>0.84219696295934487</v>
      </c>
      <c r="U86" s="34">
        <f t="shared" si="61"/>
        <v>0.71166400310631261</v>
      </c>
      <c r="V86" s="34">
        <f t="shared" si="62"/>
        <v>0.51319602443901402</v>
      </c>
      <c r="W86" s="34">
        <f t="shared" si="63"/>
        <v>0.37114627116347421</v>
      </c>
    </row>
    <row r="87" spans="1:23" ht="15" customHeight="1">
      <c r="A87" s="17" t="s">
        <v>45</v>
      </c>
      <c r="B87" s="32" t="s">
        <v>38</v>
      </c>
      <c r="C87" s="33">
        <v>86.8</v>
      </c>
      <c r="D87" s="33">
        <v>86.8</v>
      </c>
      <c r="E87" s="33">
        <v>63.9</v>
      </c>
      <c r="F87" s="33">
        <v>47.3</v>
      </c>
      <c r="G87" s="33">
        <v>29.7</v>
      </c>
      <c r="H87" s="33">
        <v>16.399999999999999</v>
      </c>
      <c r="I87" s="33">
        <v>8.1</v>
      </c>
      <c r="J87" s="33">
        <v>3.9</v>
      </c>
      <c r="K87" s="33">
        <v>2.7</v>
      </c>
      <c r="M87" s="12" t="s">
        <v>45</v>
      </c>
      <c r="N87" s="32" t="s">
        <v>38</v>
      </c>
      <c r="O87" s="34">
        <f t="shared" si="55"/>
        <v>0.98742568619039472</v>
      </c>
      <c r="P87" s="34">
        <f t="shared" si="56"/>
        <v>0.97499032334018942</v>
      </c>
      <c r="Q87" s="34">
        <f t="shared" si="57"/>
        <v>0.95164490471319885</v>
      </c>
      <c r="R87" s="34">
        <f t="shared" si="58"/>
        <v>0.90797696898116531</v>
      </c>
      <c r="S87" s="34">
        <f t="shared" si="59"/>
        <v>0.8675095821623422</v>
      </c>
      <c r="T87" s="34">
        <f t="shared" si="60"/>
        <v>0.79331692507988438</v>
      </c>
      <c r="U87" s="34">
        <f t="shared" si="61"/>
        <v>0.63379954510365577</v>
      </c>
      <c r="V87" s="34">
        <f t="shared" si="62"/>
        <v>0.40920331623688116</v>
      </c>
      <c r="W87" s="34">
        <f t="shared" si="63"/>
        <v>0.2644009461702273</v>
      </c>
    </row>
    <row r="88" spans="1:23" ht="15" customHeight="1">
      <c r="A88" s="17" t="s">
        <v>37</v>
      </c>
      <c r="B88" s="32" t="s">
        <v>38</v>
      </c>
      <c r="C88" s="33">
        <v>-150.9</v>
      </c>
      <c r="D88" s="33">
        <v>126.7</v>
      </c>
      <c r="E88" s="33">
        <v>115.6</v>
      </c>
      <c r="F88" s="33">
        <v>-77.2</v>
      </c>
      <c r="G88" s="33">
        <v>54</v>
      </c>
      <c r="H88" s="33">
        <v>30.6</v>
      </c>
      <c r="I88" s="33">
        <v>-13.2</v>
      </c>
      <c r="J88" s="33">
        <v>7.5</v>
      </c>
      <c r="K88" s="33">
        <v>5.2</v>
      </c>
      <c r="M88" s="12" t="s">
        <v>37</v>
      </c>
      <c r="N88" s="32" t="s">
        <v>38</v>
      </c>
      <c r="O88" s="34">
        <f t="shared" si="55"/>
        <v>0.99225745677384058</v>
      </c>
      <c r="P88" s="34">
        <f t="shared" si="56"/>
        <v>0.97782229063890824</v>
      </c>
      <c r="Q88" s="34">
        <f t="shared" si="57"/>
        <v>0.95011546948932746</v>
      </c>
      <c r="R88" s="34">
        <f t="shared" si="58"/>
        <v>0.91372537906029005</v>
      </c>
      <c r="S88" s="34">
        <f t="shared" si="59"/>
        <v>0.86752173266484789</v>
      </c>
      <c r="T88" s="34">
        <f t="shared" si="60"/>
        <v>0.78500268660405315</v>
      </c>
      <c r="U88" s="34">
        <f t="shared" si="61"/>
        <v>0.61994786903112276</v>
      </c>
      <c r="V88" s="34">
        <f t="shared" si="62"/>
        <v>0.38374648059460853</v>
      </c>
      <c r="W88" s="34">
        <f t="shared" si="63"/>
        <v>0.23787651242755045</v>
      </c>
    </row>
    <row r="89" spans="1:23" ht="15" customHeight="1">
      <c r="A89" s="17" t="s">
        <v>40</v>
      </c>
      <c r="B89" s="32" t="s">
        <v>38</v>
      </c>
      <c r="C89" s="33">
        <v>112.9</v>
      </c>
      <c r="D89" s="33">
        <v>109.9</v>
      </c>
      <c r="E89" s="33">
        <v>90.5</v>
      </c>
      <c r="F89" s="33">
        <v>60.6</v>
      </c>
      <c r="G89" s="33">
        <v>34.9</v>
      </c>
      <c r="H89" s="33">
        <v>19.7</v>
      </c>
      <c r="I89" s="33">
        <v>11.1</v>
      </c>
      <c r="J89" s="33">
        <v>5.3</v>
      </c>
      <c r="K89" s="33">
        <v>-4</v>
      </c>
      <c r="M89" s="12" t="s">
        <v>40</v>
      </c>
      <c r="N89" s="32" t="s">
        <v>38</v>
      </c>
      <c r="O89" s="34">
        <f t="shared" si="55"/>
        <v>0.98900648903216259</v>
      </c>
      <c r="P89" s="34">
        <f t="shared" si="56"/>
        <v>0.97818690486936255</v>
      </c>
      <c r="Q89" s="34">
        <f t="shared" si="57"/>
        <v>0.95780837598502511</v>
      </c>
      <c r="R89" s="34">
        <f t="shared" si="58"/>
        <v>0.92090259380017547</v>
      </c>
      <c r="S89" s="34">
        <f t="shared" si="59"/>
        <v>0.8873472469927185</v>
      </c>
      <c r="T89" s="34">
        <f t="shared" si="60"/>
        <v>0.82564369624575207</v>
      </c>
      <c r="U89" s="34">
        <f t="shared" si="61"/>
        <v>0.68902015044323706</v>
      </c>
      <c r="V89" s="34">
        <f t="shared" si="62"/>
        <v>0.48615346017709976</v>
      </c>
      <c r="W89" s="34">
        <f t="shared" si="63"/>
        <v>0.3452815945013793</v>
      </c>
    </row>
    <row r="90" spans="1:23" ht="15" customHeight="1">
      <c r="A90" s="17" t="s">
        <v>49</v>
      </c>
      <c r="B90" s="32" t="s">
        <v>50</v>
      </c>
      <c r="C90" s="33">
        <v>51.8</v>
      </c>
      <c r="D90" s="33">
        <v>51.2</v>
      </c>
      <c r="E90" s="33">
        <v>41.4</v>
      </c>
      <c r="F90" s="33">
        <v>28.3</v>
      </c>
      <c r="G90" s="33">
        <v>20.6</v>
      </c>
      <c r="H90" s="33">
        <v>11.8</v>
      </c>
      <c r="I90" s="33">
        <v>6.5</v>
      </c>
      <c r="J90" s="33">
        <v>3.9</v>
      </c>
      <c r="K90" s="33">
        <v>2.8</v>
      </c>
      <c r="M90" s="12" t="s">
        <v>49</v>
      </c>
      <c r="N90" s="32" t="s">
        <v>50</v>
      </c>
      <c r="O90" s="34">
        <f t="shared" si="55"/>
        <v>0.98877329070373521</v>
      </c>
      <c r="P90" s="34">
        <f t="shared" si="56"/>
        <v>0.97766801241437762</v>
      </c>
      <c r="Q90" s="34">
        <f t="shared" si="57"/>
        <v>0.95626062825732783</v>
      </c>
      <c r="R90" s="34">
        <f t="shared" si="58"/>
        <v>0.91586328904597347</v>
      </c>
      <c r="S90" s="34">
        <f t="shared" si="59"/>
        <v>0.87755623651684334</v>
      </c>
      <c r="T90" s="34">
        <f t="shared" si="60"/>
        <v>0.80639172464256692</v>
      </c>
      <c r="U90" s="34">
        <f t="shared" si="61"/>
        <v>0.6511186471744298</v>
      </c>
      <c r="V90" s="34">
        <f t="shared" si="62"/>
        <v>0.42885532820581601</v>
      </c>
      <c r="W90" s="34">
        <f t="shared" si="63"/>
        <v>0.28266808366264506</v>
      </c>
    </row>
    <row r="92" spans="1:23" ht="15" customHeight="1">
      <c r="A92" s="7" t="s">
        <v>108</v>
      </c>
      <c r="B92" s="7"/>
      <c r="C92" s="21" t="s">
        <v>58</v>
      </c>
      <c r="D92" s="21" t="s">
        <v>59</v>
      </c>
      <c r="E92" s="21" t="s">
        <v>30</v>
      </c>
      <c r="F92" s="21" t="s">
        <v>60</v>
      </c>
      <c r="G92" s="21" t="s">
        <v>61</v>
      </c>
      <c r="H92" s="21" t="s">
        <v>62</v>
      </c>
      <c r="I92" s="21" t="s">
        <v>63</v>
      </c>
      <c r="J92" s="21" t="s">
        <v>64</v>
      </c>
      <c r="K92" s="21" t="s">
        <v>65</v>
      </c>
      <c r="M92" s="7" t="s">
        <v>108</v>
      </c>
      <c r="N92" s="7"/>
      <c r="O92" s="21" t="s">
        <v>58</v>
      </c>
      <c r="P92" s="21" t="s">
        <v>59</v>
      </c>
      <c r="Q92" s="21" t="s">
        <v>30</v>
      </c>
      <c r="R92" s="21" t="s">
        <v>60</v>
      </c>
      <c r="S92" s="21" t="s">
        <v>61</v>
      </c>
      <c r="T92" s="21" t="s">
        <v>62</v>
      </c>
      <c r="U92" s="21" t="s">
        <v>63</v>
      </c>
      <c r="V92" s="21" t="s">
        <v>64</v>
      </c>
      <c r="W92" s="21" t="s">
        <v>65</v>
      </c>
    </row>
    <row r="93" spans="1:23" ht="15" customHeight="1">
      <c r="A93" s="17" t="s">
        <v>42</v>
      </c>
      <c r="B93" s="32" t="s">
        <v>43</v>
      </c>
      <c r="C93" s="33">
        <v>86.2</v>
      </c>
      <c r="D93" s="33">
        <v>75.900000000000006</v>
      </c>
      <c r="E93" s="33">
        <v>66.2</v>
      </c>
      <c r="F93" s="33">
        <v>44.1</v>
      </c>
      <c r="G93" s="33">
        <v>28.8</v>
      </c>
      <c r="H93" s="33">
        <v>14.2</v>
      </c>
      <c r="I93" s="33">
        <v>6.8</v>
      </c>
      <c r="J93" s="33">
        <v>4.3</v>
      </c>
      <c r="K93" s="33">
        <v>2.8</v>
      </c>
      <c r="M93" s="12" t="s">
        <v>42</v>
      </c>
      <c r="N93" s="32" t="s">
        <v>43</v>
      </c>
      <c r="O93" s="34">
        <f t="shared" ref="O93:O98" si="64">1/(1+(((1/C8-1)/(0.25-0))+C93/10000)*(0.25-0))</f>
        <v>0.98719336574983674</v>
      </c>
      <c r="P93" s="34">
        <f t="shared" ref="P93:P98" si="65">O93/(1+(((C8/D8-1)/(0.5-0.25))+D93/10000)*(0.5-0.25))</f>
        <v>0.97478110739774082</v>
      </c>
      <c r="Q93" s="34">
        <f t="shared" ref="Q93:Q98" si="66">P93/(1+(((D8/E8-1)/(1-0.5))+E93/10000)*(1-0.5))</f>
        <v>0.95085969225013667</v>
      </c>
      <c r="R93" s="34">
        <f t="shared" ref="R93:R98" si="67">Q93/(1+(((E8/F8-1)/(2-1))+F93/10000)*(2-1))</f>
        <v>0.90660131803403798</v>
      </c>
      <c r="S93" s="34">
        <f t="shared" ref="S93:S98" si="68">R93/(1+(((F8/G8-1)/(3-2))+G93/10000)*(3-2))</f>
        <v>0.86540665905104774</v>
      </c>
      <c r="T93" s="34">
        <f t="shared" ref="T93:T98" si="69">S93/(1+(((G8/H8-1)/(5-3))+H93/10000)*(5-3))</f>
        <v>0.79013504686804081</v>
      </c>
      <c r="U93" s="34">
        <f t="shared" ref="U93:U98" si="70">T93/(1+(((H8/I8-1)/(10-5))+I93/10000)*(10-5))</f>
        <v>0.62844280634430361</v>
      </c>
      <c r="V93" s="34">
        <f t="shared" ref="V93:V98" si="71">U93/(1+(((I8/J8-1)/(20-10))+J93/10000)*(20-10))</f>
        <v>0.4016151528214908</v>
      </c>
      <c r="W93" s="34">
        <f t="shared" ref="W93:W98" si="72">V93/(1+(((J8/K8-1)/(30-20))+K93/10000)*(30-20))</f>
        <v>0.25690344967994477</v>
      </c>
    </row>
    <row r="94" spans="1:23" ht="15" customHeight="1">
      <c r="A94" s="17" t="s">
        <v>52</v>
      </c>
      <c r="B94" s="32" t="s">
        <v>43</v>
      </c>
      <c r="C94" s="33">
        <v>-71.900000000000006</v>
      </c>
      <c r="D94" s="33">
        <v>67.900000000000006</v>
      </c>
      <c r="E94" s="33">
        <v>-54.1</v>
      </c>
      <c r="F94" s="33">
        <v>37.1</v>
      </c>
      <c r="G94" s="33">
        <v>22</v>
      </c>
      <c r="H94" s="33">
        <v>11.1</v>
      </c>
      <c r="I94" s="33">
        <v>6</v>
      </c>
      <c r="J94" s="33">
        <v>2.9</v>
      </c>
      <c r="K94" s="33">
        <v>1.5</v>
      </c>
      <c r="M94" s="12" t="s">
        <v>52</v>
      </c>
      <c r="N94" s="32" t="s">
        <v>43</v>
      </c>
      <c r="O94" s="34">
        <f t="shared" si="64"/>
        <v>0.99404398392981552</v>
      </c>
      <c r="P94" s="34">
        <f t="shared" si="65"/>
        <v>0.9846836970728412</v>
      </c>
      <c r="Q94" s="34">
        <f t="shared" si="66"/>
        <v>0.97201771219028454</v>
      </c>
      <c r="R94" s="34">
        <f t="shared" si="67"/>
        <v>0.93854928648585401</v>
      </c>
      <c r="S94" s="34">
        <f t="shared" si="68"/>
        <v>0.90728469330309358</v>
      </c>
      <c r="T94" s="34">
        <f t="shared" si="69"/>
        <v>0.84893071732449144</v>
      </c>
      <c r="U94" s="34">
        <f t="shared" si="70"/>
        <v>0.71708141295827676</v>
      </c>
      <c r="V94" s="34">
        <f t="shared" si="71"/>
        <v>0.51702806573562232</v>
      </c>
      <c r="W94" s="34">
        <f t="shared" si="72"/>
        <v>0.37316198112804688</v>
      </c>
    </row>
    <row r="95" spans="1:23" ht="15" customHeight="1">
      <c r="A95" s="17" t="s">
        <v>45</v>
      </c>
      <c r="B95" s="32" t="s">
        <v>38</v>
      </c>
      <c r="C95" s="33">
        <v>104.3</v>
      </c>
      <c r="D95" s="33">
        <v>90.6</v>
      </c>
      <c r="E95" s="33">
        <v>70.8</v>
      </c>
      <c r="F95" s="33">
        <v>50.1</v>
      </c>
      <c r="G95" s="33">
        <v>30.7</v>
      </c>
      <c r="H95" s="33">
        <v>17.3</v>
      </c>
      <c r="I95" s="33">
        <v>-8.6</v>
      </c>
      <c r="J95" s="33">
        <v>4.3</v>
      </c>
      <c r="K95" s="33">
        <v>2.9</v>
      </c>
      <c r="M95" s="12" t="s">
        <v>45</v>
      </c>
      <c r="N95" s="32" t="s">
        <v>38</v>
      </c>
      <c r="O95" s="34">
        <f t="shared" si="64"/>
        <v>0.98699930373706124</v>
      </c>
      <c r="P95" s="34">
        <f t="shared" si="65"/>
        <v>0.97447790109628096</v>
      </c>
      <c r="Q95" s="34">
        <f t="shared" si="66"/>
        <v>0.95082457210343307</v>
      </c>
      <c r="R95" s="34">
        <f t="shared" si="67"/>
        <v>0.90695198504464614</v>
      </c>
      <c r="S95" s="34">
        <f t="shared" si="68"/>
        <v>0.86644749736275173</v>
      </c>
      <c r="T95" s="34">
        <f t="shared" si="69"/>
        <v>0.7922152705646186</v>
      </c>
      <c r="U95" s="34">
        <f t="shared" si="70"/>
        <v>0.63716997553853105</v>
      </c>
      <c r="V95" s="34">
        <f t="shared" si="71"/>
        <v>0.41127317189219742</v>
      </c>
      <c r="W95" s="34">
        <f t="shared" si="72"/>
        <v>0.2657040180022272</v>
      </c>
    </row>
    <row r="96" spans="1:23" ht="15" customHeight="1">
      <c r="A96" s="17" t="s">
        <v>37</v>
      </c>
      <c r="B96" s="32" t="s">
        <v>38</v>
      </c>
      <c r="C96" s="33">
        <v>156.5</v>
      </c>
      <c r="D96" s="33">
        <v>138</v>
      </c>
      <c r="E96" s="33">
        <v>122.5</v>
      </c>
      <c r="F96" s="33">
        <v>-88.4</v>
      </c>
      <c r="G96" s="33">
        <v>58.8</v>
      </c>
      <c r="H96" s="33">
        <v>32.6</v>
      </c>
      <c r="I96" s="33">
        <v>14.6</v>
      </c>
      <c r="J96" s="33">
        <v>9</v>
      </c>
      <c r="K96" s="33">
        <v>5.4</v>
      </c>
      <c r="M96" s="12" t="s">
        <v>37</v>
      </c>
      <c r="N96" s="32" t="s">
        <v>38</v>
      </c>
      <c r="O96" s="34">
        <f t="shared" si="64"/>
        <v>0.98474826033729745</v>
      </c>
      <c r="P96" s="34">
        <f t="shared" si="65"/>
        <v>0.97015225558906659</v>
      </c>
      <c r="Q96" s="34">
        <f t="shared" si="66"/>
        <v>0.94234686904763121</v>
      </c>
      <c r="R96" s="34">
        <f t="shared" si="67"/>
        <v>0.90723150344392123</v>
      </c>
      <c r="S96" s="34">
        <f t="shared" si="68"/>
        <v>0.86096386232731115</v>
      </c>
      <c r="T96" s="34">
        <f t="shared" si="69"/>
        <v>0.77878672048185493</v>
      </c>
      <c r="U96" s="34">
        <f t="shared" si="70"/>
        <v>0.60836066495319374</v>
      </c>
      <c r="V96" s="34">
        <f t="shared" si="71"/>
        <v>0.37622470114307327</v>
      </c>
      <c r="W96" s="34">
        <f t="shared" si="72"/>
        <v>0.23318500748486801</v>
      </c>
    </row>
    <row r="97" spans="1:23" ht="15" customHeight="1">
      <c r="A97" s="17" t="s">
        <v>40</v>
      </c>
      <c r="B97" s="32" t="s">
        <v>38</v>
      </c>
      <c r="C97" s="33">
        <v>130</v>
      </c>
      <c r="D97" s="33">
        <v>119.2</v>
      </c>
      <c r="E97" s="33">
        <v>93.2</v>
      </c>
      <c r="F97" s="33">
        <v>66</v>
      </c>
      <c r="G97" s="33">
        <v>40.700000000000003</v>
      </c>
      <c r="H97" s="33">
        <v>21.4</v>
      </c>
      <c r="I97" s="33">
        <v>11.2</v>
      </c>
      <c r="J97" s="33">
        <v>5.8</v>
      </c>
      <c r="K97" s="33">
        <v>4.5</v>
      </c>
      <c r="M97" s="12" t="s">
        <v>40</v>
      </c>
      <c r="N97" s="32" t="s">
        <v>38</v>
      </c>
      <c r="O97" s="34">
        <f t="shared" si="64"/>
        <v>0.98858851353770505</v>
      </c>
      <c r="P97" s="34">
        <f t="shared" si="65"/>
        <v>0.97754870830035734</v>
      </c>
      <c r="Q97" s="34">
        <f t="shared" si="66"/>
        <v>0.9570569639241342</v>
      </c>
      <c r="R97" s="34">
        <f t="shared" si="67"/>
        <v>0.91970263159923304</v>
      </c>
      <c r="S97" s="34">
        <f t="shared" si="68"/>
        <v>0.88569602272247394</v>
      </c>
      <c r="T97" s="34">
        <f t="shared" si="69"/>
        <v>0.82384666333820955</v>
      </c>
      <c r="U97" s="34">
        <f t="shared" si="70"/>
        <v>0.68749179544572347</v>
      </c>
      <c r="V97" s="34">
        <f t="shared" si="71"/>
        <v>0.48490402798647936</v>
      </c>
      <c r="W97" s="34">
        <f t="shared" si="72"/>
        <v>0.3423275870020363</v>
      </c>
    </row>
    <row r="98" spans="1:23" ht="15" customHeight="1">
      <c r="A98" s="17" t="s">
        <v>49</v>
      </c>
      <c r="B98" s="32" t="s">
        <v>50</v>
      </c>
      <c r="C98" s="33">
        <v>56.4</v>
      </c>
      <c r="D98" s="33">
        <v>55.7</v>
      </c>
      <c r="E98" s="33">
        <v>-47.7</v>
      </c>
      <c r="F98" s="33">
        <v>29.9</v>
      </c>
      <c r="G98" s="33">
        <v>22.5</v>
      </c>
      <c r="H98" s="33">
        <v>13.2</v>
      </c>
      <c r="I98" s="33">
        <v>6.8</v>
      </c>
      <c r="J98" s="33">
        <v>4.5</v>
      </c>
      <c r="K98" s="33">
        <v>2.9</v>
      </c>
      <c r="M98" s="12" t="s">
        <v>49</v>
      </c>
      <c r="N98" s="32" t="s">
        <v>50</v>
      </c>
      <c r="O98" s="34">
        <f t="shared" si="64"/>
        <v>0.98866087113549694</v>
      </c>
      <c r="P98" s="34">
        <f t="shared" si="65"/>
        <v>0.97744812759164235</v>
      </c>
      <c r="Q98" s="34">
        <f t="shared" si="66"/>
        <v>0.96022971266562596</v>
      </c>
      <c r="R98" s="34">
        <f t="shared" si="67"/>
        <v>0.91952379048663857</v>
      </c>
      <c r="S98" s="34">
        <f t="shared" si="68"/>
        <v>0.88090326210016701</v>
      </c>
      <c r="T98" s="34">
        <f t="shared" si="69"/>
        <v>0.80925910939827417</v>
      </c>
      <c r="U98" s="34">
        <f t="shared" si="70"/>
        <v>0.65335477622468863</v>
      </c>
      <c r="V98" s="34">
        <f t="shared" si="71"/>
        <v>0.43015814834943505</v>
      </c>
      <c r="W98" s="34">
        <f t="shared" si="72"/>
        <v>0.2835081147409842</v>
      </c>
    </row>
    <row r="100" spans="1:23" ht="15" customHeight="1">
      <c r="A100" s="7" t="s">
        <v>109</v>
      </c>
      <c r="B100" s="7"/>
      <c r="C100" s="21" t="s">
        <v>58</v>
      </c>
      <c r="D100" s="21" t="s">
        <v>59</v>
      </c>
      <c r="E100" s="21" t="s">
        <v>30</v>
      </c>
      <c r="F100" s="21" t="s">
        <v>60</v>
      </c>
      <c r="G100" s="21" t="s">
        <v>61</v>
      </c>
      <c r="H100" s="21" t="s">
        <v>62</v>
      </c>
      <c r="I100" s="21" t="s">
        <v>63</v>
      </c>
      <c r="J100" s="21" t="s">
        <v>64</v>
      </c>
      <c r="K100" s="21" t="s">
        <v>65</v>
      </c>
      <c r="M100" s="7" t="s">
        <v>109</v>
      </c>
      <c r="N100" s="7"/>
      <c r="O100" s="21" t="s">
        <v>58</v>
      </c>
      <c r="P100" s="21" t="s">
        <v>59</v>
      </c>
      <c r="Q100" s="21" t="s">
        <v>30</v>
      </c>
      <c r="R100" s="21" t="s">
        <v>60</v>
      </c>
      <c r="S100" s="21" t="s">
        <v>61</v>
      </c>
      <c r="T100" s="21" t="s">
        <v>62</v>
      </c>
      <c r="U100" s="21" t="s">
        <v>63</v>
      </c>
      <c r="V100" s="21" t="s">
        <v>64</v>
      </c>
      <c r="W100" s="21" t="s">
        <v>65</v>
      </c>
    </row>
    <row r="101" spans="1:23" ht="15" customHeight="1">
      <c r="A101" s="17" t="s">
        <v>42</v>
      </c>
      <c r="B101" s="32" t="s">
        <v>43</v>
      </c>
      <c r="C101" s="33">
        <v>88</v>
      </c>
      <c r="D101" s="33">
        <v>82.9</v>
      </c>
      <c r="E101" s="33">
        <v>66.7</v>
      </c>
      <c r="F101" s="33">
        <v>46.5</v>
      </c>
      <c r="G101" s="33">
        <v>-29.7</v>
      </c>
      <c r="H101" s="33">
        <v>16</v>
      </c>
      <c r="I101" s="33">
        <v>7.5</v>
      </c>
      <c r="J101" s="33">
        <v>4.4000000000000004</v>
      </c>
      <c r="K101" s="33">
        <v>3</v>
      </c>
      <c r="M101" s="12" t="s">
        <v>42</v>
      </c>
      <c r="N101" s="32" t="s">
        <v>43</v>
      </c>
      <c r="O101" s="34">
        <f t="shared" ref="O101:O106" si="73">1/(1+(((1/C8-1)/(0.25-0))+C101/10000)*(0.25-0))</f>
        <v>0.98714951291457986</v>
      </c>
      <c r="P101" s="34">
        <f t="shared" ref="P101:P106" si="74">O101/(1+(((C8/D8-1)/(0.5-0.25))+D101/10000)*(0.5-0.25))</f>
        <v>0.97456940065973285</v>
      </c>
      <c r="Q101" s="34">
        <f t="shared" ref="Q101:Q106" si="75">P101/(1+(((D8/E8-1)/(1-0.5))+E101/10000)*(1-0.5))</f>
        <v>0.95062999832629902</v>
      </c>
      <c r="R101" s="34">
        <f t="shared" ref="R101:R106" si="76">Q101/(1+(((E8/F8-1)/(2-1))+F101/10000)*(2-1))</f>
        <v>0.9061749562103949</v>
      </c>
      <c r="S101" s="34">
        <f t="shared" ref="S101:S106" si="77">R101/(1+(((F8/G8-1)/(3-2))+G101/10000)*(3-2))</f>
        <v>0.86985711303334401</v>
      </c>
      <c r="T101" s="34">
        <f t="shared" ref="T101:T106" si="78">S101/(1+(((G8/H8-1)/(5-3))+H101/10000)*(5-3))</f>
        <v>0.79393745030675578</v>
      </c>
      <c r="U101" s="34">
        <f t="shared" ref="U101:U106" si="79">T101/(1+(((H8/I8-1)/(10-5))+I101/10000)*(10-5))</f>
        <v>0.63129135409349568</v>
      </c>
      <c r="V101" s="34">
        <f t="shared" ref="V101:V106" si="80">U101/(1+(((I8/J8-1)/(20-10))+J101/10000)*(20-10))</f>
        <v>0.40340977658091381</v>
      </c>
      <c r="W101" s="34">
        <f t="shared" ref="W101:W106" si="81">V101/(1+(((J8/K8-1)/(30-20))+K101/10000)*(30-20))</f>
        <v>0.25801841724835717</v>
      </c>
    </row>
    <row r="102" spans="1:23" ht="15" customHeight="1">
      <c r="A102" s="17" t="s">
        <v>52</v>
      </c>
      <c r="B102" s="32" t="s">
        <v>43</v>
      </c>
      <c r="C102" s="33">
        <v>73.099999999999994</v>
      </c>
      <c r="D102" s="33">
        <v>72.2</v>
      </c>
      <c r="E102" s="33">
        <v>56.4</v>
      </c>
      <c r="F102" s="33">
        <v>37.9</v>
      </c>
      <c r="G102" s="33">
        <v>23.4</v>
      </c>
      <c r="H102" s="33">
        <v>12</v>
      </c>
      <c r="I102" s="33">
        <v>6</v>
      </c>
      <c r="J102" s="33">
        <v>3.1</v>
      </c>
      <c r="K102" s="33">
        <v>1.6</v>
      </c>
      <c r="M102" s="12" t="s">
        <v>52</v>
      </c>
      <c r="N102" s="32" t="s">
        <v>43</v>
      </c>
      <c r="O102" s="34">
        <f t="shared" si="73"/>
        <v>0.99047489733295391</v>
      </c>
      <c r="P102" s="34">
        <f t="shared" si="74"/>
        <v>0.98104374918738124</v>
      </c>
      <c r="Q102" s="34">
        <f t="shared" si="75"/>
        <v>0.96317151307628934</v>
      </c>
      <c r="R102" s="34">
        <f t="shared" si="76"/>
        <v>0.92993584558709275</v>
      </c>
      <c r="S102" s="34">
        <f t="shared" si="77"/>
        <v>0.89883653476048497</v>
      </c>
      <c r="T102" s="34">
        <f t="shared" si="78"/>
        <v>0.84088429617674454</v>
      </c>
      <c r="U102" s="34">
        <f t="shared" si="79"/>
        <v>0.71028469924756499</v>
      </c>
      <c r="V102" s="34">
        <f t="shared" si="80"/>
        <v>0.51205367802553936</v>
      </c>
      <c r="W102" s="34">
        <f t="shared" si="81"/>
        <v>0.3695450742057243</v>
      </c>
    </row>
    <row r="103" spans="1:23" ht="15" customHeight="1">
      <c r="A103" s="17" t="s">
        <v>45</v>
      </c>
      <c r="B103" s="32" t="s">
        <v>38</v>
      </c>
      <c r="C103" s="33">
        <v>113.3</v>
      </c>
      <c r="D103" s="33">
        <v>105.1</v>
      </c>
      <c r="E103" s="33">
        <v>75.2</v>
      </c>
      <c r="F103" s="33">
        <v>54.9</v>
      </c>
      <c r="G103" s="33">
        <v>32.299999999999997</v>
      </c>
      <c r="H103" s="33">
        <v>18.5</v>
      </c>
      <c r="I103" s="33">
        <v>9</v>
      </c>
      <c r="J103" s="33">
        <v>4.7</v>
      </c>
      <c r="K103" s="33">
        <v>3.1</v>
      </c>
      <c r="M103" s="12" t="s">
        <v>45</v>
      </c>
      <c r="N103" s="32" t="s">
        <v>38</v>
      </c>
      <c r="O103" s="34">
        <f t="shared" si="73"/>
        <v>0.9867801646865767</v>
      </c>
      <c r="P103" s="34">
        <f t="shared" si="74"/>
        <v>0.97391297748971473</v>
      </c>
      <c r="Q103" s="34">
        <f t="shared" si="75"/>
        <v>0.95006941890563312</v>
      </c>
      <c r="R103" s="34">
        <f t="shared" si="76"/>
        <v>0.90581694571942806</v>
      </c>
      <c r="S103" s="34">
        <f t="shared" si="77"/>
        <v>0.86523089456143942</v>
      </c>
      <c r="T103" s="34">
        <f t="shared" si="78"/>
        <v>0.79092933918053898</v>
      </c>
      <c r="U103" s="34">
        <f t="shared" si="79"/>
        <v>0.63166495319547555</v>
      </c>
      <c r="V103" s="34">
        <f t="shared" si="80"/>
        <v>0.40761461221165823</v>
      </c>
      <c r="W103" s="34">
        <f t="shared" si="81"/>
        <v>0.26330637481282571</v>
      </c>
    </row>
    <row r="104" spans="1:23" ht="15" customHeight="1">
      <c r="A104" s="17" t="s">
        <v>37</v>
      </c>
      <c r="B104" s="32" t="s">
        <v>38</v>
      </c>
      <c r="C104" s="33">
        <v>172.5</v>
      </c>
      <c r="D104" s="33">
        <v>156.5</v>
      </c>
      <c r="E104" s="33">
        <v>132.6</v>
      </c>
      <c r="F104" s="33">
        <v>93.8</v>
      </c>
      <c r="G104" s="33">
        <v>61.2</v>
      </c>
      <c r="H104" s="33">
        <v>-34.700000000000003</v>
      </c>
      <c r="I104" s="33">
        <v>15.1</v>
      </c>
      <c r="J104" s="33">
        <v>-8.9</v>
      </c>
      <c r="K104" s="33">
        <v>6.2</v>
      </c>
      <c r="M104" s="12" t="s">
        <v>37</v>
      </c>
      <c r="N104" s="32" t="s">
        <v>38</v>
      </c>
      <c r="O104" s="34">
        <f t="shared" si="73"/>
        <v>0.9843605214128951</v>
      </c>
      <c r="P104" s="34">
        <f t="shared" si="74"/>
        <v>0.96932859422937911</v>
      </c>
      <c r="Q104" s="34">
        <f t="shared" si="75"/>
        <v>0.94108518751281534</v>
      </c>
      <c r="R104" s="34">
        <f t="shared" si="76"/>
        <v>0.89039831137744718</v>
      </c>
      <c r="S104" s="34">
        <f t="shared" si="77"/>
        <v>0.84479673026613844</v>
      </c>
      <c r="T104" s="34">
        <f t="shared" si="78"/>
        <v>0.77358126867791366</v>
      </c>
      <c r="U104" s="34">
        <f t="shared" si="79"/>
        <v>0.60417635965098238</v>
      </c>
      <c r="V104" s="34">
        <f t="shared" si="80"/>
        <v>0.37781940709313805</v>
      </c>
      <c r="W104" s="34">
        <f t="shared" si="81"/>
        <v>0.23405735474194855</v>
      </c>
    </row>
    <row r="105" spans="1:23" ht="15" customHeight="1">
      <c r="A105" s="17" t="s">
        <v>40</v>
      </c>
      <c r="B105" s="32" t="s">
        <v>38</v>
      </c>
      <c r="C105" s="33">
        <v>139</v>
      </c>
      <c r="D105" s="33">
        <v>127.4</v>
      </c>
      <c r="E105" s="33">
        <v>103.5</v>
      </c>
      <c r="F105" s="33">
        <v>71.5</v>
      </c>
      <c r="G105" s="33">
        <v>-42.4</v>
      </c>
      <c r="H105" s="33">
        <v>-24.2</v>
      </c>
      <c r="I105" s="33">
        <v>12.9</v>
      </c>
      <c r="J105" s="33">
        <v>6.3</v>
      </c>
      <c r="K105" s="33">
        <v>4.8</v>
      </c>
      <c r="M105" s="12" t="s">
        <v>40</v>
      </c>
      <c r="N105" s="32" t="s">
        <v>38</v>
      </c>
      <c r="O105" s="34">
        <f t="shared" si="73"/>
        <v>0.98836866830736347</v>
      </c>
      <c r="P105" s="34">
        <f t="shared" si="74"/>
        <v>0.97713324275541413</v>
      </c>
      <c r="Q105" s="34">
        <f t="shared" si="75"/>
        <v>0.95616810338263591</v>
      </c>
      <c r="R105" s="34">
        <f t="shared" si="76"/>
        <v>0.91836307821384999</v>
      </c>
      <c r="S105" s="34">
        <f t="shared" si="77"/>
        <v>0.89154076225094314</v>
      </c>
      <c r="T105" s="34">
        <f t="shared" si="78"/>
        <v>0.83637836986173941</v>
      </c>
      <c r="U105" s="34">
        <f t="shared" si="79"/>
        <v>0.6974546630257844</v>
      </c>
      <c r="V105" s="34">
        <f t="shared" si="80"/>
        <v>0.49175764721381732</v>
      </c>
      <c r="W105" s="34">
        <f t="shared" si="81"/>
        <v>0.34709252396917312</v>
      </c>
    </row>
    <row r="106" spans="1:23" ht="15" customHeight="1">
      <c r="A106" s="17" t="s">
        <v>49</v>
      </c>
      <c r="B106" s="32" t="s">
        <v>50</v>
      </c>
      <c r="C106" s="33">
        <v>60.7</v>
      </c>
      <c r="D106" s="33">
        <v>55.6</v>
      </c>
      <c r="E106" s="33">
        <v>49</v>
      </c>
      <c r="F106" s="33">
        <v>34.5</v>
      </c>
      <c r="G106" s="33">
        <v>23.9</v>
      </c>
      <c r="H106" s="33">
        <v>13.3</v>
      </c>
      <c r="I106" s="33">
        <v>7.3</v>
      </c>
      <c r="J106" s="33">
        <v>4.5999999999999996</v>
      </c>
      <c r="K106" s="33">
        <v>-3</v>
      </c>
      <c r="M106" s="12" t="s">
        <v>49</v>
      </c>
      <c r="N106" s="32" t="s">
        <v>50</v>
      </c>
      <c r="O106" s="34">
        <f t="shared" si="73"/>
        <v>0.98855580639269003</v>
      </c>
      <c r="P106" s="34">
        <f t="shared" si="74"/>
        <v>0.9773466700798914</v>
      </c>
      <c r="Q106" s="34">
        <f t="shared" si="75"/>
        <v>0.9555911486309453</v>
      </c>
      <c r="R106" s="34">
        <f t="shared" si="76"/>
        <v>0.91467894795912452</v>
      </c>
      <c r="S106" s="34">
        <f t="shared" si="77"/>
        <v>0.87614439733103699</v>
      </c>
      <c r="T106" s="34">
        <f t="shared" si="78"/>
        <v>0.80487249643058789</v>
      </c>
      <c r="U106" s="34">
        <f t="shared" si="79"/>
        <v>0.64968211721109559</v>
      </c>
      <c r="V106" s="34">
        <f t="shared" si="80"/>
        <v>0.42771196958431223</v>
      </c>
      <c r="W106" s="34">
        <f t="shared" si="81"/>
        <v>0.28299633981806421</v>
      </c>
    </row>
    <row r="108" spans="1:23" ht="15" customHeight="1">
      <c r="A108" s="7" t="s">
        <v>110</v>
      </c>
      <c r="B108" s="7"/>
      <c r="C108" s="21" t="s">
        <v>58</v>
      </c>
      <c r="D108" s="21" t="s">
        <v>59</v>
      </c>
      <c r="E108" s="21" t="s">
        <v>30</v>
      </c>
      <c r="F108" s="21" t="s">
        <v>60</v>
      </c>
      <c r="G108" s="21" t="s">
        <v>61</v>
      </c>
      <c r="H108" s="21" t="s">
        <v>62</v>
      </c>
      <c r="I108" s="21" t="s">
        <v>63</v>
      </c>
      <c r="J108" s="21" t="s">
        <v>64</v>
      </c>
      <c r="K108" s="21" t="s">
        <v>65</v>
      </c>
      <c r="M108" s="7" t="s">
        <v>110</v>
      </c>
      <c r="N108" s="7"/>
      <c r="O108" s="21" t="s">
        <v>58</v>
      </c>
      <c r="P108" s="21" t="s">
        <v>59</v>
      </c>
      <c r="Q108" s="21" t="s">
        <v>30</v>
      </c>
      <c r="R108" s="21" t="s">
        <v>60</v>
      </c>
      <c r="S108" s="21" t="s">
        <v>61</v>
      </c>
      <c r="T108" s="21" t="s">
        <v>62</v>
      </c>
      <c r="U108" s="21" t="s">
        <v>63</v>
      </c>
      <c r="V108" s="21" t="s">
        <v>64</v>
      </c>
      <c r="W108" s="21" t="s">
        <v>65</v>
      </c>
    </row>
    <row r="109" spans="1:23" ht="15" customHeight="1">
      <c r="A109" s="17" t="s">
        <v>42</v>
      </c>
      <c r="B109" s="32" t="s">
        <v>43</v>
      </c>
      <c r="C109" s="33">
        <v>102.1</v>
      </c>
      <c r="D109" s="33">
        <v>89</v>
      </c>
      <c r="E109" s="33">
        <v>71.7</v>
      </c>
      <c r="F109" s="33">
        <v>48.6</v>
      </c>
      <c r="G109" s="33">
        <v>31.7</v>
      </c>
      <c r="H109" s="33">
        <v>15.9</v>
      </c>
      <c r="I109" s="33">
        <v>8.4</v>
      </c>
      <c r="J109" s="33">
        <v>5.2</v>
      </c>
      <c r="K109" s="33">
        <v>3.4</v>
      </c>
      <c r="M109" s="12" t="s">
        <v>42</v>
      </c>
      <c r="N109" s="32" t="s">
        <v>43</v>
      </c>
      <c r="O109" s="34">
        <f t="shared" ref="O109:O114" si="82">1/(1+(((1/C8-1)/(0.25-0))+C109/10000)*(0.25-0))</f>
        <v>0.98680613378358717</v>
      </c>
      <c r="P109" s="34">
        <f t="shared" ref="P109:P114" si="83">O109/(1+(((C8/D8-1)/(0.5-0.25))+D109/10000)*(0.5-0.25))</f>
        <v>0.97408374281403054</v>
      </c>
      <c r="Q109" s="34">
        <f t="shared" ref="Q109:Q114" si="84">P109/(1+(((D8/E8-1)/(1-0.5))+E109/10000)*(1-0.5))</f>
        <v>0.94992462257042909</v>
      </c>
      <c r="R109" s="34">
        <f t="shared" ref="R109:R114" si="85">Q109/(1+(((E8/F8-1)/(2-1))+F109/10000)*(2-1))</f>
        <v>0.9053213396125338</v>
      </c>
      <c r="S109" s="34">
        <f t="shared" ref="S109:S114" si="86">R109/(1+(((F8/G8-1)/(3-2))+G109/10000)*(3-2))</f>
        <v>0.86394568112915293</v>
      </c>
      <c r="T109" s="34">
        <f t="shared" ref="T109:T114" si="87">S109/(1+(((G8/H8-1)/(5-3))+H109/10000)*(5-3))</f>
        <v>0.78855635286542047</v>
      </c>
      <c r="U109" s="34">
        <f t="shared" ref="U109:U114" si="88">T109/(1+(((H8/I8-1)/(10-5))+I109/10000)*(10-5))</f>
        <v>0.62678835575238812</v>
      </c>
      <c r="V109" s="34">
        <f t="shared" ref="V109:V114" si="89">U109/(1+(((I8/J8-1)/(20-10))+J109/10000)*(20-10))</f>
        <v>0.40032760161245573</v>
      </c>
      <c r="W109" s="34">
        <f t="shared" ref="W109:W114" si="90">V109/(1+(((J8/K8-1)/(30-20))+K109/10000)*(30-20))</f>
        <v>0.25598158735391668</v>
      </c>
    </row>
    <row r="110" spans="1:23" ht="15" customHeight="1">
      <c r="A110" s="17" t="s">
        <v>52</v>
      </c>
      <c r="B110" s="32" t="s">
        <v>43</v>
      </c>
      <c r="C110" s="33">
        <v>-81.8</v>
      </c>
      <c r="D110" s="33">
        <v>74.2</v>
      </c>
      <c r="E110" s="33">
        <v>-65.400000000000006</v>
      </c>
      <c r="F110" s="33">
        <v>40.700000000000003</v>
      </c>
      <c r="G110" s="33">
        <v>25.8</v>
      </c>
      <c r="H110" s="33">
        <v>12.7</v>
      </c>
      <c r="I110" s="33">
        <v>6.6</v>
      </c>
      <c r="J110" s="33">
        <v>3.3</v>
      </c>
      <c r="K110" s="33">
        <v>-1.6</v>
      </c>
      <c r="M110" s="12" t="s">
        <v>52</v>
      </c>
      <c r="N110" s="32" t="s">
        <v>43</v>
      </c>
      <c r="O110" s="34">
        <f t="shared" si="82"/>
        <v>0.99428860466474045</v>
      </c>
      <c r="P110" s="34">
        <f t="shared" si="83"/>
        <v>0.98477237321406597</v>
      </c>
      <c r="Q110" s="34">
        <f t="shared" si="84"/>
        <v>0.97264772484608164</v>
      </c>
      <c r="R110" s="34">
        <f t="shared" si="85"/>
        <v>0.9388312646188286</v>
      </c>
      <c r="S110" s="34">
        <f t="shared" si="86"/>
        <v>0.90722401717951029</v>
      </c>
      <c r="T110" s="34">
        <f t="shared" si="87"/>
        <v>0.84861985122690142</v>
      </c>
      <c r="U110" s="34">
        <f t="shared" si="88"/>
        <v>0.71663722774556093</v>
      </c>
      <c r="V110" s="34">
        <f t="shared" si="89"/>
        <v>0.51655882140912479</v>
      </c>
      <c r="W110" s="34">
        <f t="shared" si="90"/>
        <v>0.37365933474025959</v>
      </c>
    </row>
    <row r="111" spans="1:23" ht="15" customHeight="1">
      <c r="A111" s="17" t="s">
        <v>45</v>
      </c>
      <c r="B111" s="32" t="s">
        <v>38</v>
      </c>
      <c r="C111" s="33">
        <v>119.4</v>
      </c>
      <c r="D111" s="33">
        <v>108.9</v>
      </c>
      <c r="E111" s="33">
        <v>-83.3</v>
      </c>
      <c r="F111" s="33">
        <v>59.4</v>
      </c>
      <c r="G111" s="33">
        <v>35</v>
      </c>
      <c r="H111" s="33">
        <v>19</v>
      </c>
      <c r="I111" s="33">
        <v>9.6</v>
      </c>
      <c r="J111" s="33">
        <v>5.0999999999999996</v>
      </c>
      <c r="K111" s="33">
        <v>3.2</v>
      </c>
      <c r="M111" s="12" t="s">
        <v>45</v>
      </c>
      <c r="N111" s="32" t="s">
        <v>38</v>
      </c>
      <c r="O111" s="34">
        <f t="shared" si="82"/>
        <v>0.98663169242752613</v>
      </c>
      <c r="P111" s="34">
        <f t="shared" si="83"/>
        <v>0.97367514825454593</v>
      </c>
      <c r="Q111" s="34">
        <f t="shared" si="84"/>
        <v>0.95723779694481859</v>
      </c>
      <c r="R111" s="34">
        <f t="shared" si="85"/>
        <v>0.91226003809643941</v>
      </c>
      <c r="S111" s="34">
        <f t="shared" si="86"/>
        <v>0.87116062322620358</v>
      </c>
      <c r="T111" s="34">
        <f t="shared" si="87"/>
        <v>0.79627706371770546</v>
      </c>
      <c r="U111" s="34">
        <f t="shared" si="88"/>
        <v>0.63578351266630673</v>
      </c>
      <c r="V111" s="34">
        <f t="shared" si="89"/>
        <v>0.41016645409772057</v>
      </c>
      <c r="W111" s="34">
        <f t="shared" si="90"/>
        <v>0.2649376712345371</v>
      </c>
    </row>
    <row r="112" spans="1:23" ht="15" customHeight="1">
      <c r="A112" s="17" t="s">
        <v>37</v>
      </c>
      <c r="B112" s="32" t="s">
        <v>38</v>
      </c>
      <c r="C112" s="33">
        <v>172.7</v>
      </c>
      <c r="D112" s="33">
        <v>-159.30000000000001</v>
      </c>
      <c r="E112" s="33">
        <v>136.9</v>
      </c>
      <c r="F112" s="33">
        <v>-100.5</v>
      </c>
      <c r="G112" s="33">
        <v>62.9</v>
      </c>
      <c r="H112" s="33">
        <v>35.4</v>
      </c>
      <c r="I112" s="33">
        <v>-16</v>
      </c>
      <c r="J112" s="33">
        <v>10.1</v>
      </c>
      <c r="K112" s="33">
        <v>6.8</v>
      </c>
      <c r="M112" s="12" t="s">
        <v>37</v>
      </c>
      <c r="N112" s="32" t="s">
        <v>38</v>
      </c>
      <c r="O112" s="34">
        <f t="shared" si="82"/>
        <v>0.98435567660855972</v>
      </c>
      <c r="P112" s="34">
        <f t="shared" si="83"/>
        <v>0.9769188175998651</v>
      </c>
      <c r="Q112" s="34">
        <f t="shared" si="84"/>
        <v>0.9482563191398401</v>
      </c>
      <c r="R112" s="34">
        <f t="shared" si="85"/>
        <v>0.91398545694555788</v>
      </c>
      <c r="S112" s="34">
        <f t="shared" si="86"/>
        <v>0.86703601737674907</v>
      </c>
      <c r="T112" s="34">
        <f t="shared" si="87"/>
        <v>0.78388222651973494</v>
      </c>
      <c r="U112" s="34">
        <f t="shared" si="88"/>
        <v>0.61974821286838977</v>
      </c>
      <c r="V112" s="34">
        <f t="shared" si="89"/>
        <v>0.38300648520366787</v>
      </c>
      <c r="W112" s="34">
        <f t="shared" si="90"/>
        <v>0.23718256526563458</v>
      </c>
    </row>
    <row r="113" spans="1:23" ht="15" customHeight="1">
      <c r="A113" s="17" t="s">
        <v>40</v>
      </c>
      <c r="B113" s="32" t="s">
        <v>38</v>
      </c>
      <c r="C113" s="33">
        <v>152.5</v>
      </c>
      <c r="D113" s="33">
        <v>127</v>
      </c>
      <c r="E113" s="33">
        <v>-111.9</v>
      </c>
      <c r="F113" s="33">
        <v>76.3</v>
      </c>
      <c r="G113" s="33">
        <v>46.3</v>
      </c>
      <c r="H113" s="33">
        <v>-25.9</v>
      </c>
      <c r="I113" s="33">
        <v>13.2</v>
      </c>
      <c r="J113" s="33">
        <v>6.7</v>
      </c>
      <c r="K113" s="33">
        <v>-5.0999999999999996</v>
      </c>
      <c r="M113" s="12" t="s">
        <v>40</v>
      </c>
      <c r="N113" s="32" t="s">
        <v>38</v>
      </c>
      <c r="O113" s="34">
        <f t="shared" si="82"/>
        <v>0.98803908373758098</v>
      </c>
      <c r="P113" s="34">
        <f t="shared" si="83"/>
        <v>0.97681706191599527</v>
      </c>
      <c r="Q113" s="34">
        <f t="shared" si="84"/>
        <v>0.96603972318670239</v>
      </c>
      <c r="R113" s="34">
        <f t="shared" si="85"/>
        <v>0.92741683407320241</v>
      </c>
      <c r="S113" s="34">
        <f t="shared" si="86"/>
        <v>0.89264359048901298</v>
      </c>
      <c r="T113" s="34">
        <f t="shared" si="87"/>
        <v>0.83768015179193789</v>
      </c>
      <c r="U113" s="34">
        <f t="shared" si="88"/>
        <v>0.69845285119975853</v>
      </c>
      <c r="V113" s="34">
        <f t="shared" si="89"/>
        <v>0.49232259477019469</v>
      </c>
      <c r="W113" s="34">
        <f t="shared" si="90"/>
        <v>0.34993649899131868</v>
      </c>
    </row>
    <row r="114" spans="1:23" ht="15" customHeight="1">
      <c r="A114" s="17" t="s">
        <v>49</v>
      </c>
      <c r="B114" s="32" t="s">
        <v>50</v>
      </c>
      <c r="C114" s="33">
        <v>63.3</v>
      </c>
      <c r="D114" s="33">
        <v>60.1</v>
      </c>
      <c r="E114" s="33">
        <v>53.5</v>
      </c>
      <c r="F114" s="33">
        <v>35.700000000000003</v>
      </c>
      <c r="G114" s="33">
        <v>24.8</v>
      </c>
      <c r="H114" s="33">
        <v>-15</v>
      </c>
      <c r="I114" s="33">
        <v>8.4</v>
      </c>
      <c r="J114" s="33">
        <v>5</v>
      </c>
      <c r="K114" s="33">
        <v>3.4</v>
      </c>
      <c r="M114" s="12" t="s">
        <v>49</v>
      </c>
      <c r="N114" s="32" t="s">
        <v>50</v>
      </c>
      <c r="O114" s="34">
        <f t="shared" si="82"/>
        <v>0.98849228970617342</v>
      </c>
      <c r="P114" s="34">
        <f t="shared" si="83"/>
        <v>0.97717518790456726</v>
      </c>
      <c r="Q114" s="34">
        <f t="shared" si="84"/>
        <v>0.95521334474714148</v>
      </c>
      <c r="R114" s="34">
        <f t="shared" si="85"/>
        <v>0.91421231057958641</v>
      </c>
      <c r="S114" s="34">
        <f t="shared" si="86"/>
        <v>0.87562193298515612</v>
      </c>
      <c r="T114" s="34">
        <f t="shared" si="87"/>
        <v>0.80859689312987493</v>
      </c>
      <c r="U114" s="34">
        <f t="shared" si="88"/>
        <v>0.65239876543359987</v>
      </c>
      <c r="V114" s="34">
        <f t="shared" si="89"/>
        <v>0.42938737557907491</v>
      </c>
      <c r="W114" s="34">
        <f t="shared" si="90"/>
        <v>0.28290688578617051</v>
      </c>
    </row>
    <row r="116" spans="1:23" ht="27.75" customHeight="1">
      <c r="A116" s="8" t="s">
        <v>111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</sheetData>
  <mergeCells count="26">
    <mergeCell ref="A108:B108"/>
    <mergeCell ref="M108:N108"/>
    <mergeCell ref="A116:W116"/>
    <mergeCell ref="A84:B84"/>
    <mergeCell ref="M84:N84"/>
    <mergeCell ref="A92:B92"/>
    <mergeCell ref="M92:N92"/>
    <mergeCell ref="A100:B100"/>
    <mergeCell ref="M100:N100"/>
    <mergeCell ref="A60:B60"/>
    <mergeCell ref="M60:N60"/>
    <mergeCell ref="A68:B68"/>
    <mergeCell ref="M68:N68"/>
    <mergeCell ref="A76:B76"/>
    <mergeCell ref="M76:N76"/>
    <mergeCell ref="A36:B36"/>
    <mergeCell ref="M36:N36"/>
    <mergeCell ref="A44:B44"/>
    <mergeCell ref="M44:N44"/>
    <mergeCell ref="A52:B52"/>
    <mergeCell ref="M52:N52"/>
    <mergeCell ref="A3:K3"/>
    <mergeCell ref="A17:I17"/>
    <mergeCell ref="A18:I18"/>
    <mergeCell ref="A34:K34"/>
    <mergeCell ref="M34:W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92"/>
  <sheetViews>
    <sheetView zoomScaleNormal="100" workbookViewId="0">
      <pane xSplit="1" ySplit="6" topLeftCell="B196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/>
  <cols>
    <col min="1" max="1" width="2" customWidth="1"/>
    <col min="2" max="2" width="15" customWidth="1"/>
    <col min="3" max="12" width="9" customWidth="1"/>
    <col min="13" max="13" width="3" customWidth="1"/>
    <col min="14" max="14" width="15" customWidth="1"/>
    <col min="15" max="24" width="9" customWidth="1"/>
    <col min="25" max="25" width="3" customWidth="1"/>
    <col min="26" max="26" width="15" customWidth="1"/>
    <col min="27" max="36" width="9" customWidth="1"/>
    <col min="37" max="37" width="3" customWidth="1"/>
    <col min="38" max="38" width="15" customWidth="1"/>
    <col min="39" max="48" width="9" customWidth="1"/>
  </cols>
  <sheetData>
    <row r="1" spans="1:48" ht="17.25" customHeight="1">
      <c r="A1" s="14" t="s">
        <v>112</v>
      </c>
    </row>
    <row r="2" spans="1:48" ht="15" customHeight="1">
      <c r="A2" s="19" t="s">
        <v>113</v>
      </c>
    </row>
    <row r="3" spans="1:48" ht="19.5" customHeight="1">
      <c r="A3" s="9" t="s">
        <v>114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5" spans="1:48" ht="15" customHeight="1">
      <c r="B5" s="7" t="s">
        <v>115</v>
      </c>
      <c r="C5" s="7"/>
      <c r="D5" s="7"/>
      <c r="E5" s="7"/>
      <c r="F5" s="7"/>
      <c r="G5" s="7"/>
      <c r="H5" s="7"/>
      <c r="I5" s="7"/>
      <c r="J5" s="7"/>
      <c r="K5" s="7"/>
      <c r="L5" s="7"/>
      <c r="N5" s="7" t="s">
        <v>116</v>
      </c>
      <c r="O5" s="7"/>
      <c r="P5" s="7"/>
      <c r="Q5" s="7"/>
      <c r="R5" s="7"/>
      <c r="S5" s="7"/>
      <c r="T5" s="7"/>
      <c r="U5" s="7"/>
      <c r="V5" s="7"/>
      <c r="W5" s="7"/>
      <c r="X5" s="7"/>
      <c r="Z5" s="7" t="s">
        <v>117</v>
      </c>
      <c r="AA5" s="7"/>
      <c r="AB5" s="7"/>
      <c r="AC5" s="7"/>
      <c r="AD5" s="7"/>
      <c r="AE5" s="7"/>
      <c r="AF5" s="7"/>
      <c r="AG5" s="7"/>
      <c r="AH5" s="7"/>
      <c r="AI5" s="7"/>
      <c r="AJ5" s="7"/>
      <c r="AL5" s="6" t="s">
        <v>118</v>
      </c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ht="15" customHeight="1">
      <c r="B6" s="20" t="s">
        <v>119</v>
      </c>
      <c r="C6" s="21" t="s">
        <v>120</v>
      </c>
      <c r="D6" s="21" t="s">
        <v>58</v>
      </c>
      <c r="E6" s="21" t="s">
        <v>59</v>
      </c>
      <c r="F6" s="21" t="s">
        <v>30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64</v>
      </c>
      <c r="L6" s="21" t="s">
        <v>65</v>
      </c>
      <c r="N6" s="20" t="s">
        <v>119</v>
      </c>
      <c r="O6" s="21" t="s">
        <v>120</v>
      </c>
      <c r="P6" s="21" t="s">
        <v>58</v>
      </c>
      <c r="Q6" s="21" t="s">
        <v>59</v>
      </c>
      <c r="R6" s="21" t="s">
        <v>30</v>
      </c>
      <c r="S6" s="21" t="s">
        <v>60</v>
      </c>
      <c r="T6" s="21" t="s">
        <v>61</v>
      </c>
      <c r="U6" s="21" t="s">
        <v>62</v>
      </c>
      <c r="V6" s="21" t="s">
        <v>63</v>
      </c>
      <c r="W6" s="21" t="s">
        <v>64</v>
      </c>
      <c r="X6" s="21" t="s">
        <v>65</v>
      </c>
      <c r="Z6" s="20" t="s">
        <v>119</v>
      </c>
      <c r="AA6" s="21" t="s">
        <v>120</v>
      </c>
      <c r="AB6" s="21" t="s">
        <v>58</v>
      </c>
      <c r="AC6" s="21" t="s">
        <v>59</v>
      </c>
      <c r="AD6" s="21" t="s">
        <v>30</v>
      </c>
      <c r="AE6" s="21" t="s">
        <v>60</v>
      </c>
      <c r="AF6" s="21" t="s">
        <v>61</v>
      </c>
      <c r="AG6" s="21" t="s">
        <v>62</v>
      </c>
      <c r="AH6" s="21" t="s">
        <v>63</v>
      </c>
      <c r="AI6" s="21" t="s">
        <v>64</v>
      </c>
      <c r="AJ6" s="21" t="s">
        <v>65</v>
      </c>
      <c r="AL6" s="20" t="s">
        <v>119</v>
      </c>
      <c r="AM6" s="21" t="s">
        <v>120</v>
      </c>
      <c r="AN6" s="21" t="s">
        <v>58</v>
      </c>
      <c r="AO6" s="21" t="s">
        <v>59</v>
      </c>
      <c r="AP6" s="21" t="s">
        <v>30</v>
      </c>
      <c r="AQ6" s="21" t="s">
        <v>60</v>
      </c>
      <c r="AR6" s="21" t="s">
        <v>61</v>
      </c>
      <c r="AS6" s="21" t="s">
        <v>62</v>
      </c>
      <c r="AT6" s="21" t="s">
        <v>63</v>
      </c>
      <c r="AU6" s="21" t="s">
        <v>64</v>
      </c>
      <c r="AV6" s="21" t="s">
        <v>65</v>
      </c>
    </row>
    <row r="7" spans="1:48" ht="15" customHeight="1">
      <c r="B7" s="35" t="s">
        <v>120</v>
      </c>
      <c r="C7" s="36">
        <v>0.54649999999999999</v>
      </c>
      <c r="D7" s="36">
        <v>0.52639999999999998</v>
      </c>
      <c r="E7" s="36">
        <v>0.51970000000000005</v>
      </c>
      <c r="F7" s="36">
        <v>0.4914</v>
      </c>
      <c r="G7" s="36">
        <v>0.48409999999999997</v>
      </c>
      <c r="H7" s="36">
        <v>0.46400000000000002</v>
      </c>
      <c r="I7" s="36">
        <v>0.44119999999999998</v>
      </c>
      <c r="J7" s="36">
        <v>0.4335</v>
      </c>
      <c r="K7" s="36">
        <v>0.40739999999999998</v>
      </c>
      <c r="L7" s="36">
        <v>0.3987</v>
      </c>
      <c r="N7" s="35" t="s">
        <v>120</v>
      </c>
      <c r="O7" s="36">
        <v>-0.35859999999999997</v>
      </c>
      <c r="P7" s="36">
        <v>-0.3387</v>
      </c>
      <c r="Q7" s="36">
        <v>-0.31259999999999999</v>
      </c>
      <c r="R7" s="36">
        <v>-0.28510000000000002</v>
      </c>
      <c r="S7" s="36">
        <v>-0.2797</v>
      </c>
      <c r="T7" s="36">
        <v>-0.25829999999999997</v>
      </c>
      <c r="U7" s="36">
        <v>-0.23080000000000001</v>
      </c>
      <c r="V7" s="36">
        <v>-0.2049</v>
      </c>
      <c r="W7" s="36">
        <v>-0.19289999999999999</v>
      </c>
      <c r="X7" s="36">
        <v>-0.17710000000000001</v>
      </c>
      <c r="Z7" s="35" t="s">
        <v>120</v>
      </c>
      <c r="AA7" s="36">
        <v>0.85950000000000004</v>
      </c>
      <c r="AB7" s="36">
        <v>0.81869999999999998</v>
      </c>
      <c r="AC7" s="36">
        <v>0.81269999999999998</v>
      </c>
      <c r="AD7" s="36">
        <v>0.77910000000000001</v>
      </c>
      <c r="AE7" s="36">
        <v>0.754</v>
      </c>
      <c r="AF7" s="36">
        <v>0.73119999999999996</v>
      </c>
      <c r="AG7" s="36">
        <v>0.71279999999999999</v>
      </c>
      <c r="AH7" s="36">
        <v>0.70079999999999998</v>
      </c>
      <c r="AI7" s="36">
        <v>0.66579999999999995</v>
      </c>
      <c r="AJ7" s="36">
        <v>0.65159999999999996</v>
      </c>
      <c r="AL7" s="35" t="s">
        <v>120</v>
      </c>
      <c r="AM7" s="37">
        <f t="shared" ref="AM7:AV7" si="0">C7*(1+(((2-3*O7^2)/24*AA7^2)+(O7*AA7*C7/4))*0.0833333333333333)</f>
        <v>0.54684506415742717</v>
      </c>
      <c r="AN7" s="37">
        <f t="shared" si="0"/>
        <v>0.5268278089683871</v>
      </c>
      <c r="AO7" s="37">
        <f t="shared" si="0"/>
        <v>0.5203048000984275</v>
      </c>
      <c r="AP7" s="37">
        <f t="shared" si="0"/>
        <v>0.49210140028893284</v>
      </c>
      <c r="AQ7" s="37">
        <f t="shared" si="0"/>
        <v>0.48475730238030751</v>
      </c>
      <c r="AR7" s="37">
        <f t="shared" si="0"/>
        <v>0.46470321978072016</v>
      </c>
      <c r="AS7" s="37">
        <f t="shared" si="0"/>
        <v>0.44196516148410719</v>
      </c>
      <c r="AT7" s="37">
        <f t="shared" si="0"/>
        <v>0.4343231921946441</v>
      </c>
      <c r="AU7" s="37">
        <f t="shared" si="0"/>
        <v>0.40814004369428142</v>
      </c>
      <c r="AV7" s="37">
        <f t="shared" si="0"/>
        <v>0.39943809173968753</v>
      </c>
    </row>
    <row r="8" spans="1:48" ht="15" customHeight="1">
      <c r="B8" s="35" t="s">
        <v>58</v>
      </c>
      <c r="C8" s="36">
        <v>0.53610000000000002</v>
      </c>
      <c r="D8" s="36">
        <v>0.5141</v>
      </c>
      <c r="E8" s="36">
        <v>0.501</v>
      </c>
      <c r="F8" s="36">
        <v>0.47460000000000002</v>
      </c>
      <c r="G8" s="36">
        <v>0.45789999999999997</v>
      </c>
      <c r="H8" s="36">
        <v>0.44409999999999999</v>
      </c>
      <c r="I8" s="36">
        <v>0.43690000000000001</v>
      </c>
      <c r="J8" s="36">
        <v>0.41520000000000001</v>
      </c>
      <c r="K8" s="36">
        <v>0.39629999999999999</v>
      </c>
      <c r="L8" s="36">
        <v>0.38500000000000001</v>
      </c>
      <c r="N8" s="35" t="s">
        <v>58</v>
      </c>
      <c r="O8" s="36">
        <v>-0.33150000000000002</v>
      </c>
      <c r="P8" s="36">
        <v>-0.31509999999999999</v>
      </c>
      <c r="Q8" s="36">
        <v>-0.2858</v>
      </c>
      <c r="R8" s="36">
        <v>-0.26819999999999999</v>
      </c>
      <c r="S8" s="36">
        <v>-0.25790000000000002</v>
      </c>
      <c r="T8" s="36">
        <v>-0.23180000000000001</v>
      </c>
      <c r="U8" s="36">
        <v>-0.21340000000000001</v>
      </c>
      <c r="V8" s="36">
        <v>-0.18690000000000001</v>
      </c>
      <c r="W8" s="36">
        <v>-0.1704</v>
      </c>
      <c r="X8" s="36">
        <v>-0.1598</v>
      </c>
      <c r="Z8" s="35" t="s">
        <v>58</v>
      </c>
      <c r="AA8" s="36">
        <v>0.83740000000000003</v>
      </c>
      <c r="AB8" s="36">
        <v>0.79790000000000005</v>
      </c>
      <c r="AC8" s="36">
        <v>0.78169999999999995</v>
      </c>
      <c r="AD8" s="36">
        <v>0.76629999999999998</v>
      </c>
      <c r="AE8" s="36">
        <v>0.7319</v>
      </c>
      <c r="AF8" s="36">
        <v>0.71640000000000004</v>
      </c>
      <c r="AG8" s="36">
        <v>0.68520000000000003</v>
      </c>
      <c r="AH8" s="36">
        <v>0.67559999999999998</v>
      </c>
      <c r="AI8" s="36">
        <v>0.65529999999999999</v>
      </c>
      <c r="AJ8" s="36">
        <v>0.62919999999999998</v>
      </c>
      <c r="AL8" s="35" t="s">
        <v>58</v>
      </c>
      <c r="AM8" s="37">
        <f t="shared" ref="AM8:AV8" si="1">C8*(1+(((2-3*O8^2)/24*AA8^2)+(O8*AA8*C8/4))*0.25)</f>
        <v>0.53765454121085721</v>
      </c>
      <c r="AN8" s="37">
        <f t="shared" si="1"/>
        <v>0.51575010298400925</v>
      </c>
      <c r="AO8" s="37">
        <f t="shared" si="1"/>
        <v>0.5030916950619414</v>
      </c>
      <c r="AP8" s="37">
        <f t="shared" si="1"/>
        <v>0.47688633825157539</v>
      </c>
      <c r="AQ8" s="37">
        <f t="shared" si="1"/>
        <v>0.46002673841593456</v>
      </c>
      <c r="AR8" s="37">
        <f t="shared" si="1"/>
        <v>0.44641876225312388</v>
      </c>
      <c r="AS8" s="37">
        <f t="shared" si="1"/>
        <v>0.43913706557317428</v>
      </c>
      <c r="AT8" s="37">
        <f t="shared" si="1"/>
        <v>0.41758080751873355</v>
      </c>
      <c r="AU8" s="37">
        <f t="shared" si="1"/>
        <v>0.39859489757433386</v>
      </c>
      <c r="AV8" s="37">
        <f t="shared" si="1"/>
        <v>0.38712229268664777</v>
      </c>
    </row>
    <row r="9" spans="1:48" ht="15" customHeight="1">
      <c r="B9" s="35" t="s">
        <v>59</v>
      </c>
      <c r="C9" s="36">
        <v>0.5242</v>
      </c>
      <c r="D9" s="36">
        <v>0.49630000000000002</v>
      </c>
      <c r="E9" s="36">
        <v>0.48720000000000002</v>
      </c>
      <c r="F9" s="36">
        <v>0.46860000000000002</v>
      </c>
      <c r="G9" s="36">
        <v>0.4516</v>
      </c>
      <c r="H9" s="36">
        <v>0.4325</v>
      </c>
      <c r="I9" s="36">
        <v>0.42349999999999999</v>
      </c>
      <c r="J9" s="36">
        <v>0.40889999999999999</v>
      </c>
      <c r="K9" s="36">
        <v>0.38279999999999997</v>
      </c>
      <c r="L9" s="36">
        <v>0.36990000000000001</v>
      </c>
      <c r="N9" s="35" t="s">
        <v>59</v>
      </c>
      <c r="O9" s="36">
        <v>-0.31990000000000002</v>
      </c>
      <c r="P9" s="36">
        <v>-0.28760000000000002</v>
      </c>
      <c r="Q9" s="36">
        <v>-0.26929999999999998</v>
      </c>
      <c r="R9" s="36">
        <v>-0.2429</v>
      </c>
      <c r="S9" s="36">
        <v>-0.22689999999999999</v>
      </c>
      <c r="T9" s="36">
        <v>-0.21820000000000001</v>
      </c>
      <c r="U9" s="36">
        <v>-0.19670000000000001</v>
      </c>
      <c r="V9" s="36">
        <v>-0.1716</v>
      </c>
      <c r="W9" s="36">
        <v>-0.1651</v>
      </c>
      <c r="X9" s="36">
        <v>-0.13689999999999999</v>
      </c>
      <c r="Z9" s="35" t="s">
        <v>59</v>
      </c>
      <c r="AA9" s="36">
        <v>0.79890000000000005</v>
      </c>
      <c r="AB9" s="36">
        <v>0.77569999999999995</v>
      </c>
      <c r="AC9" s="36">
        <v>0.75229999999999997</v>
      </c>
      <c r="AD9" s="36">
        <v>0.74429999999999996</v>
      </c>
      <c r="AE9" s="36">
        <v>0.70930000000000004</v>
      </c>
      <c r="AF9" s="36">
        <v>0.68940000000000001</v>
      </c>
      <c r="AG9" s="36">
        <v>0.67</v>
      </c>
      <c r="AH9" s="36">
        <v>0.65739999999999998</v>
      </c>
      <c r="AI9" s="36">
        <v>0.61939999999999995</v>
      </c>
      <c r="AJ9" s="36">
        <v>0.60450000000000004</v>
      </c>
      <c r="AL9" s="35" t="s">
        <v>59</v>
      </c>
      <c r="AM9" s="37">
        <f t="shared" ref="AM9:AV9" si="2">C9*(1+(((2-3*O9^2)/24*AA9^2)+(O9*AA9*C9/4))*0.5)</f>
        <v>0.52722206131246796</v>
      </c>
      <c r="AN9" s="37">
        <f t="shared" si="2"/>
        <v>0.50033027069686087</v>
      </c>
      <c r="AO9" s="37">
        <f t="shared" si="2"/>
        <v>0.49142801496552185</v>
      </c>
      <c r="AP9" s="37">
        <f t="shared" si="2"/>
        <v>0.47349685938249575</v>
      </c>
      <c r="AQ9" s="37">
        <f t="shared" si="2"/>
        <v>0.45623289177151577</v>
      </c>
      <c r="AR9" s="37">
        <f t="shared" si="2"/>
        <v>0.43693584189479101</v>
      </c>
      <c r="AS9" s="37">
        <f t="shared" si="2"/>
        <v>0.42800691461076185</v>
      </c>
      <c r="AT9" s="37">
        <f t="shared" si="2"/>
        <v>0.41358023258657561</v>
      </c>
      <c r="AU9" s="37">
        <f t="shared" si="2"/>
        <v>0.3867959700299074</v>
      </c>
      <c r="AV9" s="37">
        <f t="shared" si="2"/>
        <v>0.37395831185289796</v>
      </c>
    </row>
    <row r="10" spans="1:48" ht="15" customHeight="1">
      <c r="B10" s="35" t="s">
        <v>30</v>
      </c>
      <c r="C10" s="36">
        <v>0.501</v>
      </c>
      <c r="D10" s="36">
        <v>0.49099999999999999</v>
      </c>
      <c r="E10" s="36">
        <v>0.47310000000000002</v>
      </c>
      <c r="F10" s="36">
        <v>0.45729999999999998</v>
      </c>
      <c r="G10" s="36">
        <v>0.4289</v>
      </c>
      <c r="H10" s="36">
        <v>0.41499999999999998</v>
      </c>
      <c r="I10" s="36">
        <v>0.3972</v>
      </c>
      <c r="J10" s="36">
        <v>0.39100000000000001</v>
      </c>
      <c r="K10" s="36">
        <v>0.37580000000000002</v>
      </c>
      <c r="L10" s="36">
        <v>0.34300000000000003</v>
      </c>
      <c r="N10" s="35" t="s">
        <v>30</v>
      </c>
      <c r="O10" s="36">
        <v>-0.29809999999999998</v>
      </c>
      <c r="P10" s="36">
        <v>-0.27760000000000001</v>
      </c>
      <c r="Q10" s="36">
        <v>-0.2581</v>
      </c>
      <c r="R10" s="36">
        <v>-0.2336</v>
      </c>
      <c r="S10" s="36">
        <v>-0.21210000000000001</v>
      </c>
      <c r="T10" s="36">
        <v>-0.19919999999999999</v>
      </c>
      <c r="U10" s="36">
        <v>-0.18490000000000001</v>
      </c>
      <c r="V10" s="36">
        <v>-0.15720000000000001</v>
      </c>
      <c r="W10" s="36">
        <v>-0.13869999999999999</v>
      </c>
      <c r="X10" s="36">
        <v>-0.1153</v>
      </c>
      <c r="Z10" s="35" t="s">
        <v>30</v>
      </c>
      <c r="AA10" s="36">
        <v>0.79239999999999999</v>
      </c>
      <c r="AB10" s="36">
        <v>0.76490000000000002</v>
      </c>
      <c r="AC10" s="36">
        <v>0.73919999999999997</v>
      </c>
      <c r="AD10" s="36">
        <v>0.71899999999999997</v>
      </c>
      <c r="AE10" s="36">
        <v>0.69799999999999995</v>
      </c>
      <c r="AF10" s="36">
        <v>0.6633</v>
      </c>
      <c r="AG10" s="36">
        <v>0.65800000000000003</v>
      </c>
      <c r="AH10" s="36">
        <v>0.63339999999999996</v>
      </c>
      <c r="AI10" s="36">
        <v>0.61299999999999999</v>
      </c>
      <c r="AJ10" s="36">
        <v>0.58930000000000005</v>
      </c>
      <c r="AL10" s="35" t="s">
        <v>30</v>
      </c>
      <c r="AM10" s="37">
        <f t="shared" ref="AM10:AV10" si="3">C10*(1+(((2-3*O10^2)/24*AA10^2)+(O10*AA10*C10/4))*1)</f>
        <v>0.5088979128046498</v>
      </c>
      <c r="AN10" s="37">
        <f t="shared" si="3"/>
        <v>0.49937444322789254</v>
      </c>
      <c r="AO10" s="37">
        <f t="shared" si="3"/>
        <v>0.48181419039199014</v>
      </c>
      <c r="AP10" s="37">
        <f t="shared" si="3"/>
        <v>0.46660696330618623</v>
      </c>
      <c r="AQ10" s="37">
        <f t="shared" si="3"/>
        <v>0.43832997878311247</v>
      </c>
      <c r="AR10" s="37">
        <f t="shared" si="3"/>
        <v>0.42362088440272322</v>
      </c>
      <c r="AS10" s="37">
        <f t="shared" si="3"/>
        <v>0.40599750577423255</v>
      </c>
      <c r="AT10" s="37">
        <f t="shared" si="3"/>
        <v>0.39978211956629017</v>
      </c>
      <c r="AU10" s="37">
        <f t="shared" si="3"/>
        <v>0.38422639321770441</v>
      </c>
      <c r="AV10" s="37">
        <f t="shared" si="3"/>
        <v>0.35072986829710656</v>
      </c>
    </row>
    <row r="11" spans="1:48" ht="15" customHeight="1">
      <c r="B11" s="35" t="s">
        <v>60</v>
      </c>
      <c r="C11" s="36">
        <v>0.48120000000000002</v>
      </c>
      <c r="D11" s="36">
        <v>0.46460000000000001</v>
      </c>
      <c r="E11" s="36">
        <v>0.44209999999999999</v>
      </c>
      <c r="F11" s="36">
        <v>0.436</v>
      </c>
      <c r="G11" s="36">
        <v>0.40789999999999998</v>
      </c>
      <c r="H11" s="36">
        <v>0.39129999999999998</v>
      </c>
      <c r="I11" s="36">
        <v>0.3775</v>
      </c>
      <c r="J11" s="36">
        <v>0.3599</v>
      </c>
      <c r="K11" s="36">
        <v>0.3468</v>
      </c>
      <c r="L11" s="36">
        <v>0.32440000000000002</v>
      </c>
      <c r="N11" s="35" t="s">
        <v>60</v>
      </c>
      <c r="O11" s="36">
        <v>-0.28220000000000001</v>
      </c>
      <c r="P11" s="36">
        <v>-0.25979999999999998</v>
      </c>
      <c r="Q11" s="36">
        <v>-0.24129999999999999</v>
      </c>
      <c r="R11" s="36">
        <v>-0.21659999999999999</v>
      </c>
      <c r="S11" s="36">
        <v>-0.2039</v>
      </c>
      <c r="T11" s="36">
        <v>-0.16750000000000001</v>
      </c>
      <c r="U11" s="36">
        <v>-0.15329999999999999</v>
      </c>
      <c r="V11" s="36">
        <v>-0.1431</v>
      </c>
      <c r="W11" s="36">
        <v>-0.1216</v>
      </c>
      <c r="X11" s="36">
        <v>-0.1003</v>
      </c>
      <c r="Z11" s="35" t="s">
        <v>60</v>
      </c>
      <c r="AA11" s="36">
        <v>0.75839999999999996</v>
      </c>
      <c r="AB11" s="36">
        <v>0.73129999999999995</v>
      </c>
      <c r="AC11" s="36">
        <v>0.72360000000000002</v>
      </c>
      <c r="AD11" s="36">
        <v>0.70430000000000004</v>
      </c>
      <c r="AE11" s="36">
        <v>0.67149999999999999</v>
      </c>
      <c r="AF11" s="36">
        <v>0.64970000000000006</v>
      </c>
      <c r="AG11" s="36">
        <v>0.61950000000000005</v>
      </c>
      <c r="AH11" s="36">
        <v>0.59760000000000002</v>
      </c>
      <c r="AI11" s="36">
        <v>0.58020000000000005</v>
      </c>
      <c r="AJ11" s="36">
        <v>0.55640000000000001</v>
      </c>
      <c r="AL11" s="35" t="s">
        <v>60</v>
      </c>
      <c r="AM11" s="37">
        <f t="shared" ref="AM11:AV11" si="4">C11*(1+(((2-3*O11^2)/24*AA11^2)+(O11*AA11*C11/4))*2)</f>
        <v>0.4970397763918849</v>
      </c>
      <c r="AN11" s="37">
        <f t="shared" si="4"/>
        <v>0.48131351349957952</v>
      </c>
      <c r="AO11" s="37">
        <f t="shared" si="4"/>
        <v>0.46024736364679542</v>
      </c>
      <c r="AP11" s="37">
        <f t="shared" si="4"/>
        <v>0.45500912037457708</v>
      </c>
      <c r="AQ11" s="37">
        <f t="shared" si="4"/>
        <v>0.42525237165490332</v>
      </c>
      <c r="AR11" s="37">
        <f t="shared" si="4"/>
        <v>0.409338700219259</v>
      </c>
      <c r="AS11" s="37">
        <f t="shared" si="4"/>
        <v>0.39402812622493572</v>
      </c>
      <c r="AT11" s="37">
        <f t="shared" si="4"/>
        <v>0.37512520402854699</v>
      </c>
      <c r="AU11" s="37">
        <f t="shared" si="4"/>
        <v>0.36158309917388654</v>
      </c>
      <c r="AV11" s="37">
        <f t="shared" si="4"/>
        <v>0.33794900107317832</v>
      </c>
    </row>
    <row r="12" spans="1:48" ht="15" customHeight="1">
      <c r="B12" s="35" t="s">
        <v>61</v>
      </c>
      <c r="C12" s="36">
        <v>0.47320000000000001</v>
      </c>
      <c r="D12" s="36">
        <v>0.44319999999999998</v>
      </c>
      <c r="E12" s="36">
        <v>0.42380000000000001</v>
      </c>
      <c r="F12" s="36">
        <v>0.42570000000000002</v>
      </c>
      <c r="G12" s="36">
        <v>0.40060000000000001</v>
      </c>
      <c r="H12" s="36">
        <v>0.37630000000000002</v>
      </c>
      <c r="I12" s="36">
        <v>0.36749999999999999</v>
      </c>
      <c r="J12" s="36">
        <v>0.34050000000000002</v>
      </c>
      <c r="K12" s="36">
        <v>0.33389999999999997</v>
      </c>
      <c r="L12" s="36">
        <v>0.32619999999999999</v>
      </c>
      <c r="N12" s="35" t="s">
        <v>61</v>
      </c>
      <c r="O12" s="36">
        <v>-0.2455</v>
      </c>
      <c r="P12" s="36">
        <v>-0.22939999999999999</v>
      </c>
      <c r="Q12" s="36">
        <v>-0.21870000000000001</v>
      </c>
      <c r="R12" s="36">
        <v>-0.1971</v>
      </c>
      <c r="S12" s="36">
        <v>-0.1817</v>
      </c>
      <c r="T12" s="36">
        <v>-0.15010000000000001</v>
      </c>
      <c r="U12" s="36">
        <v>-0.13550000000000001</v>
      </c>
      <c r="V12" s="36">
        <v>-0.1111</v>
      </c>
      <c r="W12" s="36">
        <v>-0.10059999999999999</v>
      </c>
      <c r="X12" s="36">
        <v>-8.3299999999999999E-2</v>
      </c>
      <c r="Z12" s="35" t="s">
        <v>61</v>
      </c>
      <c r="AA12" s="36">
        <v>0.74509999999999998</v>
      </c>
      <c r="AB12" s="36">
        <v>0.72640000000000005</v>
      </c>
      <c r="AC12" s="36">
        <v>0.70150000000000001</v>
      </c>
      <c r="AD12" s="36">
        <v>0.67830000000000001</v>
      </c>
      <c r="AE12" s="36">
        <v>0.65639999999999998</v>
      </c>
      <c r="AF12" s="36">
        <v>0.63260000000000005</v>
      </c>
      <c r="AG12" s="36">
        <v>0.60009999999999997</v>
      </c>
      <c r="AH12" s="36">
        <v>0.5837</v>
      </c>
      <c r="AI12" s="36">
        <v>0.55820000000000003</v>
      </c>
      <c r="AJ12" s="36">
        <v>0.52949999999999997</v>
      </c>
      <c r="AL12" s="35" t="s">
        <v>61</v>
      </c>
      <c r="AM12" s="37">
        <f t="shared" ref="AM12:AV12" si="5">C12*(1+(((2-3*O12^2)/24*AA12^2)+(O12*AA12*C12/4))*3)</f>
        <v>0.50221983623014887</v>
      </c>
      <c r="AN12" s="37">
        <f t="shared" si="5"/>
        <v>0.47250062864836273</v>
      </c>
      <c r="AO12" s="37">
        <f t="shared" si="5"/>
        <v>0.45153144773321091</v>
      </c>
      <c r="AP12" s="37">
        <f t="shared" si="5"/>
        <v>0.45364092058236105</v>
      </c>
      <c r="AQ12" s="37">
        <f t="shared" si="5"/>
        <v>0.42725868623879831</v>
      </c>
      <c r="AR12" s="37">
        <f t="shared" si="5"/>
        <v>0.40259074912463227</v>
      </c>
      <c r="AS12" s="37">
        <f t="shared" si="5"/>
        <v>0.39143839700479727</v>
      </c>
      <c r="AT12" s="37">
        <f t="shared" si="5"/>
        <v>0.36332663156766415</v>
      </c>
      <c r="AU12" s="37">
        <f t="shared" si="5"/>
        <v>0.35481940213546825</v>
      </c>
      <c r="AV12" s="37">
        <f t="shared" si="5"/>
        <v>0.34530623612951339</v>
      </c>
    </row>
    <row r="13" spans="1:48" ht="15" customHeight="1">
      <c r="B13" s="35" t="s">
        <v>62</v>
      </c>
      <c r="C13" s="36">
        <v>0.44059999999999999</v>
      </c>
      <c r="D13" s="36">
        <v>0.4289</v>
      </c>
      <c r="E13" s="36">
        <v>0.41189999999999999</v>
      </c>
      <c r="F13" s="36">
        <v>0.40389999999999998</v>
      </c>
      <c r="G13" s="36">
        <v>0.39250000000000002</v>
      </c>
      <c r="H13" s="36">
        <v>0.36559999999999998</v>
      </c>
      <c r="I13" s="36">
        <v>0.35870000000000002</v>
      </c>
      <c r="J13" s="36">
        <v>0.34310000000000002</v>
      </c>
      <c r="K13" s="36">
        <v>0.32579999999999998</v>
      </c>
      <c r="L13" s="36">
        <v>0.29730000000000001</v>
      </c>
      <c r="N13" s="35" t="s">
        <v>62</v>
      </c>
      <c r="O13" s="36">
        <v>-0.2389</v>
      </c>
      <c r="P13" s="36">
        <v>-0.21940000000000001</v>
      </c>
      <c r="Q13" s="36">
        <v>-0.20050000000000001</v>
      </c>
      <c r="R13" s="36">
        <v>-0.18090000000000001</v>
      </c>
      <c r="S13" s="36">
        <v>-0.15310000000000001</v>
      </c>
      <c r="T13" s="36">
        <v>-0.12809999999999999</v>
      </c>
      <c r="U13" s="36">
        <v>-0.1099</v>
      </c>
      <c r="V13" s="36">
        <v>-9.7600000000000006E-2</v>
      </c>
      <c r="W13" s="36">
        <v>-7.4700000000000003E-2</v>
      </c>
      <c r="X13" s="36">
        <v>-5.2299999999999999E-2</v>
      </c>
      <c r="Z13" s="35" t="s">
        <v>62</v>
      </c>
      <c r="AA13" s="36">
        <v>0.70840000000000003</v>
      </c>
      <c r="AB13" s="36">
        <v>0.69769999999999999</v>
      </c>
      <c r="AC13" s="36">
        <v>0.6804</v>
      </c>
      <c r="AD13" s="36">
        <v>0.65559999999999996</v>
      </c>
      <c r="AE13" s="36">
        <v>0.63280000000000003</v>
      </c>
      <c r="AF13" s="36">
        <v>0.60509999999999997</v>
      </c>
      <c r="AG13" s="36">
        <v>0.57689999999999997</v>
      </c>
      <c r="AH13" s="36">
        <v>0.56689999999999996</v>
      </c>
      <c r="AI13" s="36">
        <v>0.53549999999999998</v>
      </c>
      <c r="AJ13" s="36">
        <v>0.52270000000000005</v>
      </c>
      <c r="AL13" s="35" t="s">
        <v>62</v>
      </c>
      <c r="AM13" s="37">
        <f t="shared" ref="AM13:AV13" si="6">C13*(1+(((2-3*O13^2)/24*AA13^2)+(O13*AA13*C13/4))*5)</f>
        <v>0.48377362097263377</v>
      </c>
      <c r="AN13" s="37">
        <f t="shared" si="6"/>
        <v>0.47441256098456869</v>
      </c>
      <c r="AO13" s="37">
        <f t="shared" si="6"/>
        <v>0.45763016987951266</v>
      </c>
      <c r="AP13" s="37">
        <f t="shared" si="6"/>
        <v>0.4484986165081844</v>
      </c>
      <c r="AQ13" s="37">
        <f t="shared" si="6"/>
        <v>0.43702889144950929</v>
      </c>
      <c r="AR13" s="37">
        <f t="shared" si="6"/>
        <v>0.40705248079344281</v>
      </c>
      <c r="AS13" s="37">
        <f t="shared" si="6"/>
        <v>0.39734362849146065</v>
      </c>
      <c r="AT13" s="37">
        <f t="shared" si="6"/>
        <v>0.38024529219783049</v>
      </c>
      <c r="AU13" s="37">
        <f t="shared" si="6"/>
        <v>0.35909434633851056</v>
      </c>
      <c r="AV13" s="37">
        <f t="shared" si="6"/>
        <v>0.32798535469933721</v>
      </c>
    </row>
    <row r="14" spans="1:48" ht="15" customHeight="1">
      <c r="B14" s="35" t="s">
        <v>63</v>
      </c>
      <c r="C14" s="36">
        <v>0.44280000000000003</v>
      </c>
      <c r="D14" s="36">
        <v>0.41460000000000002</v>
      </c>
      <c r="E14" s="36">
        <v>0.39800000000000002</v>
      </c>
      <c r="F14" s="36">
        <v>0.39229999999999998</v>
      </c>
      <c r="G14" s="36">
        <v>0.37119999999999997</v>
      </c>
      <c r="H14" s="36">
        <v>0.34339999999999998</v>
      </c>
      <c r="I14" s="36">
        <v>0.32590000000000002</v>
      </c>
      <c r="J14" s="36">
        <v>0.30969999999999998</v>
      </c>
      <c r="K14" s="36">
        <v>0.30809999999999998</v>
      </c>
      <c r="L14" s="36">
        <v>0.28949999999999998</v>
      </c>
      <c r="N14" s="35" t="s">
        <v>63</v>
      </c>
      <c r="O14" s="36">
        <v>-0.221</v>
      </c>
      <c r="P14" s="36">
        <v>-0.18790000000000001</v>
      </c>
      <c r="Q14" s="36">
        <v>-0.16539999999999999</v>
      </c>
      <c r="R14" s="36">
        <v>-0.15240000000000001</v>
      </c>
      <c r="S14" s="36">
        <v>-0.1391</v>
      </c>
      <c r="T14" s="36">
        <v>-0.1157</v>
      </c>
      <c r="U14" s="36">
        <v>-0.1046</v>
      </c>
      <c r="V14" s="36">
        <v>-8.7499999999999994E-2</v>
      </c>
      <c r="W14" s="36">
        <v>-4.8899999999999999E-2</v>
      </c>
      <c r="X14" s="36">
        <v>-3.5900000000000001E-2</v>
      </c>
      <c r="Z14" s="35" t="s">
        <v>63</v>
      </c>
      <c r="AA14" s="36">
        <v>0.69499999999999995</v>
      </c>
      <c r="AB14" s="36">
        <v>0.68089999999999995</v>
      </c>
      <c r="AC14" s="36">
        <v>0.64870000000000005</v>
      </c>
      <c r="AD14" s="36">
        <v>0.63519999999999999</v>
      </c>
      <c r="AE14" s="36">
        <v>0.61209999999999998</v>
      </c>
      <c r="AF14" s="36">
        <v>0.5776</v>
      </c>
      <c r="AG14" s="36">
        <v>0.55610000000000004</v>
      </c>
      <c r="AH14" s="36">
        <v>0.53469999999999995</v>
      </c>
      <c r="AI14" s="36">
        <v>0.51149999999999995</v>
      </c>
      <c r="AJ14" s="36">
        <v>0.49619999999999997</v>
      </c>
      <c r="AL14" s="35" t="s">
        <v>63</v>
      </c>
      <c r="AM14" s="37">
        <f t="shared" ref="AM14:AV14" si="7">C14*(1+(((2-3*O14^2)/24*AA14^2)+(O14*AA14*C14/4))*10)</f>
        <v>0.53268923614016261</v>
      </c>
      <c r="AN14" s="37">
        <f t="shared" si="7"/>
        <v>0.51131867088225336</v>
      </c>
      <c r="AO14" s="37">
        <f t="shared" si="7"/>
        <v>0.48935199965209952</v>
      </c>
      <c r="AP14" s="37">
        <f t="shared" si="7"/>
        <v>0.48236331420880862</v>
      </c>
      <c r="AQ14" s="37">
        <f t="shared" si="7"/>
        <v>0.45440355785669817</v>
      </c>
      <c r="AR14" s="37">
        <f t="shared" si="7"/>
        <v>0.41725280252465452</v>
      </c>
      <c r="AS14" s="37">
        <f t="shared" si="7"/>
        <v>0.39306283342871567</v>
      </c>
      <c r="AT14" s="37">
        <f t="shared" si="7"/>
        <v>0.37142103057436127</v>
      </c>
      <c r="AU14" s="37">
        <f t="shared" si="7"/>
        <v>0.3690973577358635</v>
      </c>
      <c r="AV14" s="37">
        <f t="shared" si="7"/>
        <v>0.34505200067753178</v>
      </c>
    </row>
    <row r="15" spans="1:48" ht="15" customHeight="1">
      <c r="B15" s="35" t="s">
        <v>64</v>
      </c>
      <c r="C15" s="36">
        <v>0.41189999999999999</v>
      </c>
      <c r="D15" s="36">
        <v>0.39839999999999998</v>
      </c>
      <c r="E15" s="36">
        <v>0.376</v>
      </c>
      <c r="F15" s="36">
        <v>0.37490000000000001</v>
      </c>
      <c r="G15" s="36">
        <v>0.34710000000000002</v>
      </c>
      <c r="H15" s="36">
        <v>0.33250000000000002</v>
      </c>
      <c r="I15" s="36">
        <v>0.31830000000000003</v>
      </c>
      <c r="J15" s="36">
        <v>0.30809999999999998</v>
      </c>
      <c r="K15" s="36">
        <v>0.28170000000000001</v>
      </c>
      <c r="L15" s="36">
        <v>0.27500000000000002</v>
      </c>
      <c r="N15" s="35" t="s">
        <v>64</v>
      </c>
      <c r="O15" s="36">
        <v>-0.19439999999999999</v>
      </c>
      <c r="P15" s="36">
        <v>-0.1744</v>
      </c>
      <c r="Q15" s="36">
        <v>-0.15509999999999999</v>
      </c>
      <c r="R15" s="36">
        <v>-0.1457</v>
      </c>
      <c r="S15" s="36">
        <v>-0.1179</v>
      </c>
      <c r="T15" s="36">
        <v>-0.1036</v>
      </c>
      <c r="U15" s="36">
        <v>-8.77E-2</v>
      </c>
      <c r="V15" s="36">
        <v>-5.2299999999999999E-2</v>
      </c>
      <c r="W15" s="36">
        <v>-4.5400000000000003E-2</v>
      </c>
      <c r="X15" s="36">
        <v>-0.02</v>
      </c>
      <c r="Z15" s="35" t="s">
        <v>64</v>
      </c>
      <c r="AA15" s="36">
        <v>0.67669999999999997</v>
      </c>
      <c r="AB15" s="36">
        <v>0.65110000000000001</v>
      </c>
      <c r="AC15" s="36">
        <v>0.62429999999999997</v>
      </c>
      <c r="AD15" s="36">
        <v>0.60589999999999999</v>
      </c>
      <c r="AE15" s="36">
        <v>0.58440000000000003</v>
      </c>
      <c r="AF15" s="36">
        <v>0.56679999999999997</v>
      </c>
      <c r="AG15" s="36">
        <v>0.53100000000000003</v>
      </c>
      <c r="AH15" s="36">
        <v>0.51790000000000003</v>
      </c>
      <c r="AI15" s="36">
        <v>0.4894</v>
      </c>
      <c r="AJ15" s="36">
        <v>0.46779999999999999</v>
      </c>
      <c r="AL15" s="35" t="s">
        <v>64</v>
      </c>
      <c r="AM15" s="37">
        <f t="shared" ref="AM15:AV15" si="8">C15*(1+(((2-3*O15^2)/24*AA15^2)+(O15*AA15*C15/4))*20)</f>
        <v>0.59684836454995571</v>
      </c>
      <c r="AN15" s="37">
        <f t="shared" si="8"/>
        <v>0.57693168546653195</v>
      </c>
      <c r="AO15" s="37">
        <f t="shared" si="8"/>
        <v>0.5429839151777518</v>
      </c>
      <c r="AP15" s="37">
        <f t="shared" si="8"/>
        <v>0.53494279211924178</v>
      </c>
      <c r="AQ15" s="37">
        <f t="shared" si="8"/>
        <v>0.49904651134131883</v>
      </c>
      <c r="AR15" s="37">
        <f t="shared" si="8"/>
        <v>0.47520701555291517</v>
      </c>
      <c r="AS15" s="37">
        <f t="shared" si="8"/>
        <v>0.44256409859076673</v>
      </c>
      <c r="AT15" s="37">
        <f t="shared" si="8"/>
        <v>0.43241022240472315</v>
      </c>
      <c r="AU15" s="37">
        <f t="shared" si="8"/>
        <v>0.38498754732265394</v>
      </c>
      <c r="AV15" s="37">
        <f t="shared" si="8"/>
        <v>0.3717023007023334</v>
      </c>
    </row>
    <row r="16" spans="1:48" ht="15" customHeight="1">
      <c r="B16" s="35" t="s">
        <v>65</v>
      </c>
      <c r="C16" s="36">
        <v>0.40539999999999998</v>
      </c>
      <c r="D16" s="36">
        <v>0.38350000000000001</v>
      </c>
      <c r="E16" s="36">
        <v>0.3679</v>
      </c>
      <c r="F16" s="36">
        <v>0.35520000000000002</v>
      </c>
      <c r="G16" s="36">
        <v>0.34160000000000001</v>
      </c>
      <c r="H16" s="36">
        <v>0.3155</v>
      </c>
      <c r="I16" s="36">
        <v>0.30230000000000001</v>
      </c>
      <c r="J16" s="36">
        <v>0.28339999999999999</v>
      </c>
      <c r="K16" s="36">
        <v>0.26690000000000003</v>
      </c>
      <c r="L16" s="36">
        <v>0.25390000000000001</v>
      </c>
      <c r="N16" s="35" t="s">
        <v>65</v>
      </c>
      <c r="O16" s="36">
        <v>-0.17599999999999999</v>
      </c>
      <c r="P16" s="36">
        <v>-0.15490000000000001</v>
      </c>
      <c r="Q16" s="36">
        <v>-0.1366</v>
      </c>
      <c r="R16" s="36">
        <v>-0.10780000000000001</v>
      </c>
      <c r="S16" s="36">
        <v>-9.3200000000000005E-2</v>
      </c>
      <c r="T16" s="36">
        <v>-7.0199999999999999E-2</v>
      </c>
      <c r="U16" s="36">
        <v>-4.9500000000000002E-2</v>
      </c>
      <c r="V16" s="36">
        <v>-4.3700000000000003E-2</v>
      </c>
      <c r="W16" s="36">
        <v>-1.83E-2</v>
      </c>
      <c r="X16" s="36">
        <v>8.8999999999999999E-3</v>
      </c>
      <c r="Z16" s="35" t="s">
        <v>65</v>
      </c>
      <c r="AA16" s="36">
        <v>0.65680000000000005</v>
      </c>
      <c r="AB16" s="36">
        <v>0.62050000000000005</v>
      </c>
      <c r="AC16" s="36">
        <v>0.59799999999999998</v>
      </c>
      <c r="AD16" s="36">
        <v>0.58220000000000005</v>
      </c>
      <c r="AE16" s="36">
        <v>0.55259999999999998</v>
      </c>
      <c r="AF16" s="36">
        <v>0.53369999999999995</v>
      </c>
      <c r="AG16" s="36">
        <v>0.5081</v>
      </c>
      <c r="AH16" s="36">
        <v>0.49780000000000002</v>
      </c>
      <c r="AI16" s="36">
        <v>0.47789999999999999</v>
      </c>
      <c r="AJ16" s="36">
        <v>0.45789999999999997</v>
      </c>
      <c r="AL16" s="35" t="s">
        <v>65</v>
      </c>
      <c r="AM16" s="37">
        <f t="shared" ref="AM16:AV16" si="9">C16*(1+(((2-3*O16^2)/24*AA16^2)+(O16*AA16*C16/4))*30)</f>
        <v>0.67980865358603271</v>
      </c>
      <c r="AN16" s="37">
        <f t="shared" si="9"/>
        <v>0.63333314128069096</v>
      </c>
      <c r="AO16" s="37">
        <f t="shared" si="9"/>
        <v>0.60467784529202417</v>
      </c>
      <c r="AP16" s="37">
        <f t="shared" si="9"/>
        <v>0.59155905155029731</v>
      </c>
      <c r="AQ16" s="37">
        <f t="shared" si="9"/>
        <v>0.55391161545960121</v>
      </c>
      <c r="AR16" s="37">
        <f t="shared" si="9"/>
        <v>0.51053330116198481</v>
      </c>
      <c r="AS16" s="37">
        <f t="shared" si="9"/>
        <v>0.4794533608207025</v>
      </c>
      <c r="AT16" s="37">
        <f t="shared" si="9"/>
        <v>0.44536300264547596</v>
      </c>
      <c r="AU16" s="37">
        <f t="shared" si="9"/>
        <v>0.41454314455039709</v>
      </c>
      <c r="AV16" s="37">
        <f t="shared" si="9"/>
        <v>0.38894411707339976</v>
      </c>
    </row>
    <row r="18" spans="1:47" ht="27.75" customHeight="1">
      <c r="A18" s="8" t="s">
        <v>121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20" spans="1:47" ht="19.5" customHeight="1">
      <c r="A20" s="9" t="s">
        <v>122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ht="27.75" customHeight="1">
      <c r="B21" s="8" t="s">
        <v>123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47" ht="15" customHeight="1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4" spans="1:47" ht="15" customHeight="1">
      <c r="B24" s="7" t="s">
        <v>124</v>
      </c>
      <c r="C24" s="7"/>
      <c r="D24" s="7"/>
      <c r="E24" s="7"/>
    </row>
    <row r="25" spans="1:47" ht="15" customHeight="1">
      <c r="B25" s="20" t="s">
        <v>125</v>
      </c>
      <c r="C25" s="21" t="s">
        <v>126</v>
      </c>
      <c r="D25" s="21" t="s">
        <v>127</v>
      </c>
      <c r="E25" s="21" t="s">
        <v>128</v>
      </c>
    </row>
    <row r="26" spans="1:47" ht="15" customHeight="1">
      <c r="B26" s="17" t="s">
        <v>101</v>
      </c>
      <c r="C26" s="36">
        <v>9.9000000000000008E-3</v>
      </c>
      <c r="D26" s="36">
        <v>5.7000000000000002E-3</v>
      </c>
      <c r="E26" s="36">
        <v>2.24E-2</v>
      </c>
    </row>
    <row r="27" spans="1:47" ht="15" customHeight="1">
      <c r="B27" s="17" t="s">
        <v>102</v>
      </c>
      <c r="C27" s="36">
        <v>1.2500000000000001E-2</v>
      </c>
      <c r="D27" s="36">
        <v>6.4999999999999997E-3</v>
      </c>
      <c r="E27" s="36">
        <v>2.06E-2</v>
      </c>
    </row>
    <row r="28" spans="1:47" ht="15" customHeight="1">
      <c r="B28" s="17" t="s">
        <v>103</v>
      </c>
      <c r="C28" s="36">
        <v>1.2E-2</v>
      </c>
      <c r="D28" s="36">
        <v>7.7000000000000002E-3</v>
      </c>
      <c r="E28" s="36">
        <v>2.4899999999999999E-2</v>
      </c>
    </row>
    <row r="29" spans="1:47" ht="15" customHeight="1">
      <c r="B29" s="17" t="s">
        <v>104</v>
      </c>
      <c r="C29" s="36">
        <v>2.0500000000000001E-2</v>
      </c>
      <c r="D29" s="36">
        <v>5.5999999999999999E-3</v>
      </c>
      <c r="E29" s="36">
        <v>2.3300000000000001E-2</v>
      </c>
    </row>
    <row r="30" spans="1:47" ht="15" customHeight="1">
      <c r="B30" s="17" t="s">
        <v>105</v>
      </c>
      <c r="C30" s="36">
        <v>1.5900000000000001E-2</v>
      </c>
      <c r="D30" s="36">
        <v>1.2500000000000001E-2</v>
      </c>
      <c r="E30" s="36">
        <v>3.3099999999999997E-2</v>
      </c>
    </row>
    <row r="31" spans="1:47" ht="15" customHeight="1">
      <c r="B31" s="17" t="s">
        <v>106</v>
      </c>
      <c r="C31" s="36">
        <v>1.78E-2</v>
      </c>
      <c r="D31" s="36">
        <v>1.5100000000000001E-2</v>
      </c>
      <c r="E31" s="36">
        <v>4.1000000000000002E-2</v>
      </c>
    </row>
    <row r="32" spans="1:47" ht="15" customHeight="1">
      <c r="B32" s="17" t="s">
        <v>107</v>
      </c>
      <c r="C32" s="36">
        <v>2.63E-2</v>
      </c>
      <c r="D32" s="36">
        <v>1.3299999999999999E-2</v>
      </c>
      <c r="E32" s="36">
        <v>3.1699999999999999E-2</v>
      </c>
    </row>
    <row r="33" spans="2:12" ht="15" customHeight="1">
      <c r="B33" s="17" t="s">
        <v>108</v>
      </c>
      <c r="C33" s="36">
        <v>2.24E-2</v>
      </c>
      <c r="D33" s="36">
        <v>1.38E-2</v>
      </c>
      <c r="E33" s="36">
        <v>3.3799999999999997E-2</v>
      </c>
    </row>
    <row r="34" spans="2:12" ht="15" customHeight="1">
      <c r="B34" s="17" t="s">
        <v>109</v>
      </c>
      <c r="C34" s="36">
        <v>2.6499999999999999E-2</v>
      </c>
      <c r="D34" s="36">
        <v>1.2699999999999999E-2</v>
      </c>
      <c r="E34" s="36">
        <v>3.6900000000000002E-2</v>
      </c>
    </row>
    <row r="35" spans="2:12" ht="15" customHeight="1">
      <c r="B35" s="17" t="s">
        <v>110</v>
      </c>
      <c r="C35" s="36">
        <v>3.1600000000000003E-2</v>
      </c>
      <c r="D35" s="36">
        <v>1.55E-2</v>
      </c>
      <c r="E35" s="36">
        <v>5.3499999999999999E-2</v>
      </c>
    </row>
    <row r="38" spans="2:12" ht="15" customHeight="1">
      <c r="B38" s="7" t="s">
        <v>129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ht="15" customHeight="1">
      <c r="B39" s="20" t="s">
        <v>119</v>
      </c>
      <c r="C39" s="21" t="s">
        <v>120</v>
      </c>
      <c r="D39" s="21" t="s">
        <v>58</v>
      </c>
      <c r="E39" s="21" t="s">
        <v>59</v>
      </c>
      <c r="F39" s="21" t="s">
        <v>30</v>
      </c>
      <c r="G39" s="21" t="s">
        <v>60</v>
      </c>
      <c r="H39" s="21" t="s">
        <v>61</v>
      </c>
      <c r="I39" s="21" t="s">
        <v>62</v>
      </c>
      <c r="J39" s="21" t="s">
        <v>63</v>
      </c>
      <c r="K39" s="21" t="s">
        <v>64</v>
      </c>
      <c r="L39" s="21" t="s">
        <v>65</v>
      </c>
    </row>
    <row r="40" spans="2:12" ht="15" customHeight="1">
      <c r="B40" s="35" t="s">
        <v>120</v>
      </c>
      <c r="C40" s="38">
        <v>1.601</v>
      </c>
      <c r="D40" s="38">
        <v>1.518</v>
      </c>
      <c r="E40" s="38">
        <v>1.42</v>
      </c>
      <c r="F40" s="38">
        <v>1.34</v>
      </c>
      <c r="G40" s="38">
        <v>1.2370000000000001</v>
      </c>
      <c r="H40" s="38">
        <v>1.137</v>
      </c>
      <c r="I40" s="38">
        <v>1.0900000000000001</v>
      </c>
      <c r="J40" s="38">
        <v>1</v>
      </c>
      <c r="K40" s="38">
        <v>0.9</v>
      </c>
      <c r="L40" s="38">
        <v>0.80200000000000005</v>
      </c>
    </row>
    <row r="41" spans="2:12" ht="15" customHeight="1">
      <c r="B41" s="35" t="s">
        <v>58</v>
      </c>
      <c r="C41" s="38">
        <v>1.4990000000000001</v>
      </c>
      <c r="D41" s="38">
        <v>1.4039999999999999</v>
      </c>
      <c r="E41" s="38">
        <v>1.3169999999999999</v>
      </c>
      <c r="F41" s="38">
        <v>1.214</v>
      </c>
      <c r="G41" s="38">
        <v>1.1659999999999999</v>
      </c>
      <c r="H41" s="38">
        <v>1.054</v>
      </c>
      <c r="I41" s="38">
        <v>0.99099999999999999</v>
      </c>
      <c r="J41" s="38">
        <v>0.873</v>
      </c>
      <c r="K41" s="38">
        <v>0.81699999999999995</v>
      </c>
      <c r="L41" s="38">
        <v>0.72099999999999997</v>
      </c>
    </row>
    <row r="42" spans="2:12" ht="15" customHeight="1">
      <c r="B42" s="35" t="s">
        <v>59</v>
      </c>
      <c r="C42" s="38">
        <v>1.39</v>
      </c>
      <c r="D42" s="38">
        <v>1.3129999999999999</v>
      </c>
      <c r="E42" s="38">
        <v>1.2649999999999999</v>
      </c>
      <c r="F42" s="38">
        <v>1.1479999999999999</v>
      </c>
      <c r="G42" s="38">
        <v>1.089</v>
      </c>
      <c r="H42" s="38">
        <v>0.96399999999999997</v>
      </c>
      <c r="I42" s="38">
        <v>0.85399999999999998</v>
      </c>
      <c r="J42" s="38">
        <v>0.79800000000000004</v>
      </c>
      <c r="K42" s="38">
        <v>0.71699999999999997</v>
      </c>
      <c r="L42" s="38">
        <v>0.59599999999999997</v>
      </c>
    </row>
    <row r="43" spans="2:12" ht="15" customHeight="1">
      <c r="B43" s="35" t="s">
        <v>30</v>
      </c>
      <c r="C43" s="38">
        <v>1.3049999999999999</v>
      </c>
      <c r="D43" s="38">
        <v>1.23</v>
      </c>
      <c r="E43" s="38">
        <v>1.1779999999999999</v>
      </c>
      <c r="F43" s="38">
        <v>1.075</v>
      </c>
      <c r="G43" s="38">
        <v>0.94699999999999995</v>
      </c>
      <c r="H43" s="38">
        <v>0.86499999999999999</v>
      </c>
      <c r="I43" s="38">
        <v>0.76600000000000001</v>
      </c>
      <c r="J43" s="38">
        <v>0.67400000000000004</v>
      </c>
      <c r="K43" s="38">
        <v>0.628</v>
      </c>
      <c r="L43" s="38">
        <v>0.501</v>
      </c>
    </row>
    <row r="44" spans="2:12" ht="15" customHeight="1">
      <c r="B44" s="35" t="s">
        <v>60</v>
      </c>
      <c r="C44" s="38">
        <v>1.244</v>
      </c>
      <c r="D44" s="38">
        <v>1.147</v>
      </c>
      <c r="E44" s="38">
        <v>1.0409999999999999</v>
      </c>
      <c r="F44" s="38">
        <v>0.98399999999999999</v>
      </c>
      <c r="G44" s="38">
        <v>0.85799999999999998</v>
      </c>
      <c r="H44" s="38">
        <v>0.79900000000000004</v>
      </c>
      <c r="I44" s="38">
        <v>0.67700000000000005</v>
      </c>
      <c r="J44" s="38">
        <v>0.60499999999999998</v>
      </c>
      <c r="K44" s="38">
        <v>0.503</v>
      </c>
      <c r="L44" s="38">
        <v>0.41599999999999998</v>
      </c>
    </row>
    <row r="45" spans="2:12" ht="15" customHeight="1">
      <c r="B45" s="35" t="s">
        <v>61</v>
      </c>
      <c r="C45" s="38">
        <v>1.1779999999999999</v>
      </c>
      <c r="D45" s="38">
        <v>1.0780000000000001</v>
      </c>
      <c r="E45" s="38">
        <v>0.95799999999999996</v>
      </c>
      <c r="F45" s="38">
        <v>0.90300000000000002</v>
      </c>
      <c r="G45" s="38">
        <v>0.77300000000000002</v>
      </c>
      <c r="H45" s="38">
        <v>0.69399999999999995</v>
      </c>
      <c r="I45" s="38">
        <v>0.63100000000000001</v>
      </c>
      <c r="J45" s="38">
        <v>0.52900000000000003</v>
      </c>
      <c r="K45" s="38">
        <v>0.40600000000000003</v>
      </c>
      <c r="L45" s="38">
        <v>0.36899999999999999</v>
      </c>
    </row>
    <row r="46" spans="2:12" ht="15" customHeight="1">
      <c r="B46" s="35" t="s">
        <v>62</v>
      </c>
      <c r="C46" s="38">
        <v>1.0429999999999999</v>
      </c>
      <c r="D46" s="38">
        <v>0.95499999999999996</v>
      </c>
      <c r="E46" s="38">
        <v>0.89600000000000002</v>
      </c>
      <c r="F46" s="38">
        <v>0.78</v>
      </c>
      <c r="G46" s="38">
        <v>0.68799999999999994</v>
      </c>
      <c r="H46" s="38">
        <v>0.58399999999999996</v>
      </c>
      <c r="I46" s="38">
        <v>0.495</v>
      </c>
      <c r="J46" s="38">
        <v>0.435</v>
      </c>
      <c r="K46" s="38">
        <v>0.32500000000000001</v>
      </c>
      <c r="L46" s="38">
        <v>0.25600000000000001</v>
      </c>
    </row>
    <row r="47" spans="2:12" ht="15" customHeight="1">
      <c r="B47" s="35" t="s">
        <v>63</v>
      </c>
      <c r="C47" s="38">
        <v>0.96199999999999997</v>
      </c>
      <c r="D47" s="38">
        <v>0.877</v>
      </c>
      <c r="E47" s="38">
        <v>0.81799999999999995</v>
      </c>
      <c r="F47" s="38">
        <v>0.69899999999999995</v>
      </c>
      <c r="G47" s="38">
        <v>0.61399999999999999</v>
      </c>
      <c r="H47" s="38">
        <v>0.54200000000000004</v>
      </c>
      <c r="I47" s="38">
        <v>0.41099999999999998</v>
      </c>
      <c r="J47" s="38">
        <v>0.31900000000000001</v>
      </c>
      <c r="K47" s="38">
        <v>0.27500000000000002</v>
      </c>
      <c r="L47" s="38">
        <v>0.17899999999999999</v>
      </c>
    </row>
    <row r="48" spans="2:12" ht="15" customHeight="1">
      <c r="B48" s="35" t="s">
        <v>64</v>
      </c>
      <c r="C48" s="38">
        <v>0.86499999999999999</v>
      </c>
      <c r="D48" s="38">
        <v>0.77100000000000002</v>
      </c>
      <c r="E48" s="38">
        <v>0.71399999999999997</v>
      </c>
      <c r="F48" s="38">
        <v>0.63600000000000001</v>
      </c>
      <c r="G48" s="38">
        <v>0.502</v>
      </c>
      <c r="H48" s="38">
        <v>0.45700000000000002</v>
      </c>
      <c r="I48" s="38">
        <v>0.36299999999999999</v>
      </c>
      <c r="J48" s="38">
        <v>0.25600000000000001</v>
      </c>
      <c r="K48" s="38">
        <v>0.155</v>
      </c>
      <c r="L48" s="38">
        <v>0.15</v>
      </c>
    </row>
    <row r="49" spans="1:48" ht="15" customHeight="1">
      <c r="B49" s="35" t="s">
        <v>65</v>
      </c>
      <c r="C49" s="38">
        <v>0.76200000000000001</v>
      </c>
      <c r="D49" s="38">
        <v>0.72799999999999998</v>
      </c>
      <c r="E49" s="38">
        <v>0.59399999999999997</v>
      </c>
      <c r="F49" s="38">
        <v>0.53200000000000003</v>
      </c>
      <c r="G49" s="38">
        <v>0.41499999999999998</v>
      </c>
      <c r="H49" s="38">
        <v>0.35899999999999999</v>
      </c>
      <c r="I49" s="38">
        <v>0.25600000000000001</v>
      </c>
      <c r="J49" s="38">
        <v>0.15</v>
      </c>
      <c r="K49" s="38">
        <v>0.15</v>
      </c>
      <c r="L49" s="38">
        <v>0.15</v>
      </c>
    </row>
    <row r="51" spans="1:48" ht="19.5" customHeight="1">
      <c r="A51" s="9" t="s">
        <v>130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8" ht="15" customHeight="1">
      <c r="A52" s="19" t="s">
        <v>131</v>
      </c>
    </row>
    <row r="54" spans="1:48" ht="15" customHeight="1">
      <c r="A54" s="7" t="s">
        <v>132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spans="1:48" ht="15" customHeight="1">
      <c r="B55" s="7" t="s">
        <v>115</v>
      </c>
      <c r="C55" s="7"/>
      <c r="D55" s="7"/>
      <c r="E55" s="7"/>
      <c r="F55" s="7"/>
      <c r="G55" s="7"/>
      <c r="H55" s="7"/>
      <c r="I55" s="7"/>
      <c r="J55" s="7"/>
      <c r="K55" s="7"/>
      <c r="L55" s="7"/>
      <c r="N55" s="7" t="s">
        <v>116</v>
      </c>
      <c r="O55" s="7"/>
      <c r="P55" s="7"/>
      <c r="Q55" s="7"/>
      <c r="R55" s="7"/>
      <c r="S55" s="7"/>
      <c r="T55" s="7"/>
      <c r="U55" s="7"/>
      <c r="V55" s="7"/>
      <c r="W55" s="7"/>
      <c r="X55" s="7"/>
      <c r="Z55" s="7" t="s">
        <v>117</v>
      </c>
      <c r="AA55" s="7"/>
      <c r="AB55" s="7"/>
      <c r="AC55" s="7"/>
      <c r="AD55" s="7"/>
      <c r="AE55" s="7"/>
      <c r="AF55" s="7"/>
      <c r="AG55" s="7"/>
      <c r="AH55" s="7"/>
      <c r="AI55" s="7"/>
      <c r="AJ55" s="7"/>
      <c r="AL55" s="6" t="s">
        <v>118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ht="15" customHeight="1">
      <c r="B56" s="20" t="s">
        <v>119</v>
      </c>
      <c r="C56" s="21" t="s">
        <v>120</v>
      </c>
      <c r="D56" s="21" t="s">
        <v>58</v>
      </c>
      <c r="E56" s="21" t="s">
        <v>59</v>
      </c>
      <c r="F56" s="21" t="s">
        <v>30</v>
      </c>
      <c r="G56" s="21" t="s">
        <v>60</v>
      </c>
      <c r="H56" s="21" t="s">
        <v>61</v>
      </c>
      <c r="I56" s="21" t="s">
        <v>62</v>
      </c>
      <c r="J56" s="21" t="s">
        <v>63</v>
      </c>
      <c r="K56" s="21" t="s">
        <v>64</v>
      </c>
      <c r="L56" s="21" t="s">
        <v>65</v>
      </c>
      <c r="N56" s="20" t="s">
        <v>119</v>
      </c>
      <c r="O56" s="21" t="s">
        <v>120</v>
      </c>
      <c r="P56" s="21" t="s">
        <v>58</v>
      </c>
      <c r="Q56" s="21" t="s">
        <v>59</v>
      </c>
      <c r="R56" s="21" t="s">
        <v>30</v>
      </c>
      <c r="S56" s="21" t="s">
        <v>60</v>
      </c>
      <c r="T56" s="21" t="s">
        <v>61</v>
      </c>
      <c r="U56" s="21" t="s">
        <v>62</v>
      </c>
      <c r="V56" s="21" t="s">
        <v>63</v>
      </c>
      <c r="W56" s="21" t="s">
        <v>64</v>
      </c>
      <c r="X56" s="21" t="s">
        <v>65</v>
      </c>
      <c r="Z56" s="20" t="s">
        <v>119</v>
      </c>
      <c r="AA56" s="21" t="s">
        <v>120</v>
      </c>
      <c r="AB56" s="21" t="s">
        <v>58</v>
      </c>
      <c r="AC56" s="21" t="s">
        <v>59</v>
      </c>
      <c r="AD56" s="21" t="s">
        <v>30</v>
      </c>
      <c r="AE56" s="21" t="s">
        <v>60</v>
      </c>
      <c r="AF56" s="21" t="s">
        <v>61</v>
      </c>
      <c r="AG56" s="21" t="s">
        <v>62</v>
      </c>
      <c r="AH56" s="21" t="s">
        <v>63</v>
      </c>
      <c r="AI56" s="21" t="s">
        <v>64</v>
      </c>
      <c r="AJ56" s="21" t="s">
        <v>65</v>
      </c>
      <c r="AL56" s="20" t="s">
        <v>119</v>
      </c>
      <c r="AM56" s="21" t="s">
        <v>120</v>
      </c>
      <c r="AN56" s="21" t="s">
        <v>58</v>
      </c>
      <c r="AO56" s="21" t="s">
        <v>59</v>
      </c>
      <c r="AP56" s="21" t="s">
        <v>30</v>
      </c>
      <c r="AQ56" s="21" t="s">
        <v>60</v>
      </c>
      <c r="AR56" s="21" t="s">
        <v>61</v>
      </c>
      <c r="AS56" s="21" t="s">
        <v>62</v>
      </c>
      <c r="AT56" s="21" t="s">
        <v>63</v>
      </c>
      <c r="AU56" s="21" t="s">
        <v>64</v>
      </c>
      <c r="AV56" s="21" t="s">
        <v>65</v>
      </c>
    </row>
    <row r="57" spans="1:48" ht="15" customHeight="1">
      <c r="B57" s="35" t="s">
        <v>120</v>
      </c>
      <c r="C57" s="28">
        <f t="shared" ref="C57:L57" si="10">C7+$C$26*C40</f>
        <v>0.56234989999999996</v>
      </c>
      <c r="D57" s="28">
        <f t="shared" si="10"/>
        <v>0.54142820000000003</v>
      </c>
      <c r="E57" s="28">
        <f t="shared" si="10"/>
        <v>0.53375800000000007</v>
      </c>
      <c r="F57" s="28">
        <f t="shared" si="10"/>
        <v>0.50466600000000006</v>
      </c>
      <c r="G57" s="28">
        <f t="shared" si="10"/>
        <v>0.49634629999999996</v>
      </c>
      <c r="H57" s="28">
        <f t="shared" si="10"/>
        <v>0.47525630000000002</v>
      </c>
      <c r="I57" s="28">
        <f t="shared" si="10"/>
        <v>0.45199099999999998</v>
      </c>
      <c r="J57" s="28">
        <f t="shared" si="10"/>
        <v>0.44340000000000002</v>
      </c>
      <c r="K57" s="28">
        <f t="shared" si="10"/>
        <v>0.41630999999999996</v>
      </c>
      <c r="L57" s="28">
        <f t="shared" si="10"/>
        <v>0.4066398</v>
      </c>
      <c r="N57" s="35" t="s">
        <v>120</v>
      </c>
      <c r="O57" s="28">
        <f t="shared" ref="O57:X57" si="11">O7+$D$26*O40</f>
        <v>-0.35859999999999997</v>
      </c>
      <c r="P57" s="28">
        <f t="shared" si="11"/>
        <v>-0.3387</v>
      </c>
      <c r="Q57" s="28">
        <f t="shared" si="11"/>
        <v>-0.31259999999999999</v>
      </c>
      <c r="R57" s="28">
        <f t="shared" si="11"/>
        <v>-0.28510000000000002</v>
      </c>
      <c r="S57" s="28">
        <f t="shared" si="11"/>
        <v>-0.2797</v>
      </c>
      <c r="T57" s="28">
        <f t="shared" si="11"/>
        <v>-0.25829999999999997</v>
      </c>
      <c r="U57" s="28">
        <f t="shared" si="11"/>
        <v>-0.23080000000000001</v>
      </c>
      <c r="V57" s="28">
        <f t="shared" si="11"/>
        <v>-0.2049</v>
      </c>
      <c r="W57" s="28">
        <f t="shared" si="11"/>
        <v>-0.19289999999999999</v>
      </c>
      <c r="X57" s="28">
        <f t="shared" si="11"/>
        <v>-0.17710000000000001</v>
      </c>
      <c r="Z57" s="35" t="s">
        <v>120</v>
      </c>
      <c r="AA57" s="28">
        <f t="shared" ref="AA57:AJ57" si="12">AA7+$E$26*AA40</f>
        <v>0.85950000000000004</v>
      </c>
      <c r="AB57" s="28">
        <f t="shared" si="12"/>
        <v>0.81869999999999998</v>
      </c>
      <c r="AC57" s="28">
        <f t="shared" si="12"/>
        <v>0.81269999999999998</v>
      </c>
      <c r="AD57" s="28">
        <f t="shared" si="12"/>
        <v>0.77910000000000001</v>
      </c>
      <c r="AE57" s="28">
        <f t="shared" si="12"/>
        <v>0.754</v>
      </c>
      <c r="AF57" s="28">
        <f t="shared" si="12"/>
        <v>0.73119999999999996</v>
      </c>
      <c r="AG57" s="28">
        <f t="shared" si="12"/>
        <v>0.71279999999999999</v>
      </c>
      <c r="AH57" s="28">
        <f t="shared" si="12"/>
        <v>0.70079999999999998</v>
      </c>
      <c r="AI57" s="28">
        <f t="shared" si="12"/>
        <v>0.66579999999999995</v>
      </c>
      <c r="AJ57" s="28">
        <f t="shared" si="12"/>
        <v>0.65159999999999996</v>
      </c>
      <c r="AL57" s="35" t="s">
        <v>120</v>
      </c>
      <c r="AM57" s="37">
        <f t="shared" ref="AM57:AV57" si="13">C57*(1+(((2-3*O57^2)/24*AA57^2)+(O57*AA57*C57/4))*0.0833333333333333)</f>
        <v>0.5626477386955121</v>
      </c>
      <c r="AN57" s="37">
        <f t="shared" si="13"/>
        <v>0.54182121721790821</v>
      </c>
      <c r="AO57" s="37">
        <f t="shared" si="13"/>
        <v>0.53433944586451632</v>
      </c>
      <c r="AP57" s="37">
        <f t="shared" si="13"/>
        <v>0.50535535468499515</v>
      </c>
      <c r="AQ57" s="37">
        <f t="shared" si="13"/>
        <v>0.49699352397901142</v>
      </c>
      <c r="AR57" s="37">
        <f t="shared" si="13"/>
        <v>0.47595552982355244</v>
      </c>
      <c r="AS57" s="37">
        <f t="shared" si="13"/>
        <v>0.45275815920707224</v>
      </c>
      <c r="AT57" s="37">
        <f t="shared" si="13"/>
        <v>0.44422885989609728</v>
      </c>
      <c r="AU57" s="37">
        <f t="shared" si="13"/>
        <v>0.4170563037712825</v>
      </c>
      <c r="AV57" s="37">
        <f t="shared" si="13"/>
        <v>0.40738482818668054</v>
      </c>
    </row>
    <row r="58" spans="1:48" ht="15" customHeight="1">
      <c r="B58" s="35" t="s">
        <v>58</v>
      </c>
      <c r="C58" s="28">
        <f t="shared" ref="C58:L58" si="14">C8+$C$26*C41</f>
        <v>0.55094010000000004</v>
      </c>
      <c r="D58" s="28">
        <f t="shared" si="14"/>
        <v>0.52799960000000001</v>
      </c>
      <c r="E58" s="28">
        <f t="shared" si="14"/>
        <v>0.51403829999999995</v>
      </c>
      <c r="F58" s="28">
        <f t="shared" si="14"/>
        <v>0.48661860000000001</v>
      </c>
      <c r="G58" s="28">
        <f t="shared" si="14"/>
        <v>0.46944339999999996</v>
      </c>
      <c r="H58" s="28">
        <f t="shared" si="14"/>
        <v>0.45453460000000001</v>
      </c>
      <c r="I58" s="28">
        <f t="shared" si="14"/>
        <v>0.44671090000000002</v>
      </c>
      <c r="J58" s="28">
        <f t="shared" si="14"/>
        <v>0.42384270000000002</v>
      </c>
      <c r="K58" s="28">
        <f t="shared" si="14"/>
        <v>0.40438829999999998</v>
      </c>
      <c r="L58" s="28">
        <f t="shared" si="14"/>
        <v>0.39213789999999998</v>
      </c>
      <c r="N58" s="35" t="s">
        <v>58</v>
      </c>
      <c r="O58" s="28">
        <f t="shared" ref="O58:X58" si="15">O8+$D$26*O41</f>
        <v>-0.33150000000000002</v>
      </c>
      <c r="P58" s="28">
        <f t="shared" si="15"/>
        <v>-0.31509999999999999</v>
      </c>
      <c r="Q58" s="28">
        <f t="shared" si="15"/>
        <v>-0.2858</v>
      </c>
      <c r="R58" s="28">
        <f t="shared" si="15"/>
        <v>-0.26819999999999999</v>
      </c>
      <c r="S58" s="28">
        <f t="shared" si="15"/>
        <v>-0.25790000000000002</v>
      </c>
      <c r="T58" s="28">
        <f t="shared" si="15"/>
        <v>-0.23180000000000001</v>
      </c>
      <c r="U58" s="28">
        <f t="shared" si="15"/>
        <v>-0.21340000000000001</v>
      </c>
      <c r="V58" s="28">
        <f t="shared" si="15"/>
        <v>-0.18690000000000001</v>
      </c>
      <c r="W58" s="28">
        <f t="shared" si="15"/>
        <v>-0.1704</v>
      </c>
      <c r="X58" s="28">
        <f t="shared" si="15"/>
        <v>-0.1598</v>
      </c>
      <c r="Z58" s="35" t="s">
        <v>58</v>
      </c>
      <c r="AA58" s="28">
        <f t="shared" ref="AA58:AJ58" si="16">AA8+$E$26*AA41</f>
        <v>0.83740000000000003</v>
      </c>
      <c r="AB58" s="28">
        <f t="shared" si="16"/>
        <v>0.79790000000000005</v>
      </c>
      <c r="AC58" s="28">
        <f t="shared" si="16"/>
        <v>0.78169999999999995</v>
      </c>
      <c r="AD58" s="28">
        <f t="shared" si="16"/>
        <v>0.76629999999999998</v>
      </c>
      <c r="AE58" s="28">
        <f t="shared" si="16"/>
        <v>0.7319</v>
      </c>
      <c r="AF58" s="28">
        <f t="shared" si="16"/>
        <v>0.71640000000000004</v>
      </c>
      <c r="AG58" s="28">
        <f t="shared" si="16"/>
        <v>0.68520000000000003</v>
      </c>
      <c r="AH58" s="28">
        <f t="shared" si="16"/>
        <v>0.67559999999999998</v>
      </c>
      <c r="AI58" s="28">
        <f t="shared" si="16"/>
        <v>0.65529999999999999</v>
      </c>
      <c r="AJ58" s="28">
        <f t="shared" si="16"/>
        <v>0.62919999999999998</v>
      </c>
      <c r="AL58" s="35" t="s">
        <v>58</v>
      </c>
      <c r="AM58" s="37">
        <f t="shared" ref="AM58:AV58" si="17">C58*(1+(((2-3*O58^2)/24*AA58^2)+(O58*AA58*C58/4))*0.25)</f>
        <v>0.55239582064584958</v>
      </c>
      <c r="AN58" s="37">
        <f t="shared" si="17"/>
        <v>0.52957899426423205</v>
      </c>
      <c r="AO58" s="37">
        <f t="shared" si="17"/>
        <v>0.51609084709034481</v>
      </c>
      <c r="AP58" s="37">
        <f t="shared" si="17"/>
        <v>0.48888771240133394</v>
      </c>
      <c r="AQ58" s="37">
        <f t="shared" si="17"/>
        <v>0.47155982296783122</v>
      </c>
      <c r="AR58" s="37">
        <f t="shared" si="17"/>
        <v>0.45685861834256702</v>
      </c>
      <c r="AS58" s="37">
        <f t="shared" si="17"/>
        <v>0.4489581481958409</v>
      </c>
      <c r="AT58" s="37">
        <f t="shared" si="17"/>
        <v>0.42624415681386252</v>
      </c>
      <c r="AU58" s="37">
        <f t="shared" si="17"/>
        <v>0.40670720854388609</v>
      </c>
      <c r="AV58" s="37">
        <f t="shared" si="17"/>
        <v>0.3942819504408121</v>
      </c>
    </row>
    <row r="59" spans="1:48" ht="15" customHeight="1">
      <c r="B59" s="35" t="s">
        <v>59</v>
      </c>
      <c r="C59" s="28">
        <f t="shared" ref="C59:L59" si="18">C9+$C$26*C42</f>
        <v>0.53796100000000002</v>
      </c>
      <c r="D59" s="28">
        <f t="shared" si="18"/>
        <v>0.50929869999999999</v>
      </c>
      <c r="E59" s="28">
        <f t="shared" si="18"/>
        <v>0.49972350000000004</v>
      </c>
      <c r="F59" s="28">
        <f t="shared" si="18"/>
        <v>0.47996520000000004</v>
      </c>
      <c r="G59" s="28">
        <f t="shared" si="18"/>
        <v>0.46238109999999999</v>
      </c>
      <c r="H59" s="28">
        <f t="shared" si="18"/>
        <v>0.44204359999999998</v>
      </c>
      <c r="I59" s="28">
        <f t="shared" si="18"/>
        <v>0.43195459999999997</v>
      </c>
      <c r="J59" s="28">
        <f t="shared" si="18"/>
        <v>0.41680020000000001</v>
      </c>
      <c r="K59" s="28">
        <f t="shared" si="18"/>
        <v>0.38989829999999998</v>
      </c>
      <c r="L59" s="28">
        <f t="shared" si="18"/>
        <v>0.37580040000000003</v>
      </c>
      <c r="N59" s="35" t="s">
        <v>59</v>
      </c>
      <c r="O59" s="28">
        <f t="shared" ref="O59:X59" si="19">O9+$D$26*O42</f>
        <v>-0.31990000000000002</v>
      </c>
      <c r="P59" s="28">
        <f t="shared" si="19"/>
        <v>-0.28760000000000002</v>
      </c>
      <c r="Q59" s="28">
        <f t="shared" si="19"/>
        <v>-0.26929999999999998</v>
      </c>
      <c r="R59" s="28">
        <f t="shared" si="19"/>
        <v>-0.2429</v>
      </c>
      <c r="S59" s="28">
        <f t="shared" si="19"/>
        <v>-0.22689999999999999</v>
      </c>
      <c r="T59" s="28">
        <f t="shared" si="19"/>
        <v>-0.21820000000000001</v>
      </c>
      <c r="U59" s="28">
        <f t="shared" si="19"/>
        <v>-0.19670000000000001</v>
      </c>
      <c r="V59" s="28">
        <f t="shared" si="19"/>
        <v>-0.1716</v>
      </c>
      <c r="W59" s="28">
        <f t="shared" si="19"/>
        <v>-0.1651</v>
      </c>
      <c r="X59" s="28">
        <f t="shared" si="19"/>
        <v>-0.13689999999999999</v>
      </c>
      <c r="Z59" s="35" t="s">
        <v>59</v>
      </c>
      <c r="AA59" s="28">
        <f t="shared" ref="AA59:AJ59" si="20">AA9+$E$26*AA42</f>
        <v>0.79890000000000005</v>
      </c>
      <c r="AB59" s="28">
        <f t="shared" si="20"/>
        <v>0.77569999999999995</v>
      </c>
      <c r="AC59" s="28">
        <f t="shared" si="20"/>
        <v>0.75229999999999997</v>
      </c>
      <c r="AD59" s="28">
        <f t="shared" si="20"/>
        <v>0.74429999999999996</v>
      </c>
      <c r="AE59" s="28">
        <f t="shared" si="20"/>
        <v>0.70930000000000004</v>
      </c>
      <c r="AF59" s="28">
        <f t="shared" si="20"/>
        <v>0.68940000000000001</v>
      </c>
      <c r="AG59" s="28">
        <f t="shared" si="20"/>
        <v>0.67</v>
      </c>
      <c r="AH59" s="28">
        <f t="shared" si="20"/>
        <v>0.65739999999999998</v>
      </c>
      <c r="AI59" s="28">
        <f t="shared" si="20"/>
        <v>0.61939999999999995</v>
      </c>
      <c r="AJ59" s="28">
        <f t="shared" si="20"/>
        <v>0.60450000000000004</v>
      </c>
      <c r="AL59" s="35" t="s">
        <v>59</v>
      </c>
      <c r="AM59" s="37">
        <f t="shared" ref="AM59:AV59" si="21">C59*(1+(((2-3*O59^2)/24*AA59^2)+(O59*AA59*C59/4))*0.5)</f>
        <v>0.54082590219726911</v>
      </c>
      <c r="AN59" s="37">
        <f t="shared" si="21"/>
        <v>0.51324991415263022</v>
      </c>
      <c r="AO59" s="37">
        <f t="shared" si="21"/>
        <v>0.50390170956244806</v>
      </c>
      <c r="AP59" s="37">
        <f t="shared" si="21"/>
        <v>0.48485755121203661</v>
      </c>
      <c r="AQ59" s="37">
        <f t="shared" si="21"/>
        <v>0.46702430796428929</v>
      </c>
      <c r="AR59" s="37">
        <f t="shared" si="21"/>
        <v>0.44649799814462238</v>
      </c>
      <c r="AS59" s="37">
        <f t="shared" si="21"/>
        <v>0.43649132728130258</v>
      </c>
      <c r="AT59" s="37">
        <f t="shared" si="21"/>
        <v>0.42152442496471287</v>
      </c>
      <c r="AU59" s="37">
        <f t="shared" si="21"/>
        <v>0.39393298965839701</v>
      </c>
      <c r="AV59" s="37">
        <f t="shared" si="21"/>
        <v>0.37990050973223416</v>
      </c>
    </row>
    <row r="60" spans="1:48" ht="15" customHeight="1">
      <c r="B60" s="35" t="s">
        <v>30</v>
      </c>
      <c r="C60" s="28">
        <f t="shared" ref="C60:L60" si="22">C10+$C$26*C43</f>
        <v>0.51391949999999997</v>
      </c>
      <c r="D60" s="28">
        <f t="shared" si="22"/>
        <v>0.50317699999999999</v>
      </c>
      <c r="E60" s="28">
        <f t="shared" si="22"/>
        <v>0.48476220000000003</v>
      </c>
      <c r="F60" s="28">
        <f t="shared" si="22"/>
        <v>0.46794249999999998</v>
      </c>
      <c r="G60" s="28">
        <f t="shared" si="22"/>
        <v>0.43827529999999998</v>
      </c>
      <c r="H60" s="28">
        <f t="shared" si="22"/>
        <v>0.42356349999999998</v>
      </c>
      <c r="I60" s="28">
        <f t="shared" si="22"/>
        <v>0.40478340000000002</v>
      </c>
      <c r="J60" s="28">
        <f t="shared" si="22"/>
        <v>0.39767260000000004</v>
      </c>
      <c r="K60" s="28">
        <f t="shared" si="22"/>
        <v>0.3820172</v>
      </c>
      <c r="L60" s="28">
        <f t="shared" si="22"/>
        <v>0.34795990000000004</v>
      </c>
      <c r="N60" s="35" t="s">
        <v>30</v>
      </c>
      <c r="O60" s="28">
        <f t="shared" ref="O60:X60" si="23">O10+$D$26*O43</f>
        <v>-0.29809999999999998</v>
      </c>
      <c r="P60" s="28">
        <f t="shared" si="23"/>
        <v>-0.27760000000000001</v>
      </c>
      <c r="Q60" s="28">
        <f t="shared" si="23"/>
        <v>-0.2581</v>
      </c>
      <c r="R60" s="28">
        <f t="shared" si="23"/>
        <v>-0.2336</v>
      </c>
      <c r="S60" s="28">
        <f t="shared" si="23"/>
        <v>-0.21210000000000001</v>
      </c>
      <c r="T60" s="28">
        <f t="shared" si="23"/>
        <v>-0.19919999999999999</v>
      </c>
      <c r="U60" s="28">
        <f t="shared" si="23"/>
        <v>-0.18490000000000001</v>
      </c>
      <c r="V60" s="28">
        <f t="shared" si="23"/>
        <v>-0.15720000000000001</v>
      </c>
      <c r="W60" s="28">
        <f t="shared" si="23"/>
        <v>-0.13869999999999999</v>
      </c>
      <c r="X60" s="28">
        <f t="shared" si="23"/>
        <v>-0.1153</v>
      </c>
      <c r="Z60" s="35" t="s">
        <v>30</v>
      </c>
      <c r="AA60" s="28">
        <f t="shared" ref="AA60:AJ60" si="24">AA10+$E$26*AA43</f>
        <v>0.79239999999999999</v>
      </c>
      <c r="AB60" s="28">
        <f t="shared" si="24"/>
        <v>0.76490000000000002</v>
      </c>
      <c r="AC60" s="28">
        <f t="shared" si="24"/>
        <v>0.73919999999999997</v>
      </c>
      <c r="AD60" s="28">
        <f t="shared" si="24"/>
        <v>0.71899999999999997</v>
      </c>
      <c r="AE60" s="28">
        <f t="shared" si="24"/>
        <v>0.69799999999999995</v>
      </c>
      <c r="AF60" s="28">
        <f t="shared" si="24"/>
        <v>0.6633</v>
      </c>
      <c r="AG60" s="28">
        <f t="shared" si="24"/>
        <v>0.65800000000000003</v>
      </c>
      <c r="AH60" s="28">
        <f t="shared" si="24"/>
        <v>0.63339999999999996</v>
      </c>
      <c r="AI60" s="28">
        <f t="shared" si="24"/>
        <v>0.61299999999999999</v>
      </c>
      <c r="AJ60" s="28">
        <f t="shared" si="24"/>
        <v>0.58930000000000005</v>
      </c>
      <c r="AL60" s="35" t="s">
        <v>30</v>
      </c>
      <c r="AM60" s="37">
        <f t="shared" ref="AM60:AV60" si="25">C60*(1+(((2-3*O60^2)/24*AA60^2)+(O60*AA60*C60/4))*1)</f>
        <v>0.5216289882960603</v>
      </c>
      <c r="AN60" s="37">
        <f t="shared" si="25"/>
        <v>0.5114338769044029</v>
      </c>
      <c r="AO60" s="37">
        <f t="shared" si="25"/>
        <v>0.49342155119238773</v>
      </c>
      <c r="AP60" s="37">
        <f t="shared" si="25"/>
        <v>0.47725694783416284</v>
      </c>
      <c r="AQ60" s="37">
        <f t="shared" si="25"/>
        <v>0.44775932948031016</v>
      </c>
      <c r="AR60" s="37">
        <f t="shared" si="25"/>
        <v>0.43224246139078248</v>
      </c>
      <c r="AS60" s="37">
        <f t="shared" si="25"/>
        <v>0.41365550287577174</v>
      </c>
      <c r="AT60" s="37">
        <f t="shared" si="25"/>
        <v>0.40653853777106708</v>
      </c>
      <c r="AU60" s="37">
        <f t="shared" si="25"/>
        <v>0.39053251456836618</v>
      </c>
      <c r="AV60" s="37">
        <f t="shared" si="25"/>
        <v>0.355772228683575</v>
      </c>
    </row>
    <row r="61" spans="1:48" ht="15" customHeight="1">
      <c r="B61" s="35" t="s">
        <v>60</v>
      </c>
      <c r="C61" s="28">
        <f t="shared" ref="C61:L61" si="26">C11+$C$26*C44</f>
        <v>0.4935156</v>
      </c>
      <c r="D61" s="28">
        <f t="shared" si="26"/>
        <v>0.47595530000000003</v>
      </c>
      <c r="E61" s="28">
        <f t="shared" si="26"/>
        <v>0.45240589999999997</v>
      </c>
      <c r="F61" s="28">
        <f t="shared" si="26"/>
        <v>0.44574160000000002</v>
      </c>
      <c r="G61" s="28">
        <f t="shared" si="26"/>
        <v>0.41639419999999999</v>
      </c>
      <c r="H61" s="28">
        <f t="shared" si="26"/>
        <v>0.39921009999999996</v>
      </c>
      <c r="I61" s="28">
        <f t="shared" si="26"/>
        <v>0.3842023</v>
      </c>
      <c r="J61" s="28">
        <f t="shared" si="26"/>
        <v>0.36588949999999998</v>
      </c>
      <c r="K61" s="28">
        <f t="shared" si="26"/>
        <v>0.35177969999999997</v>
      </c>
      <c r="L61" s="28">
        <f t="shared" si="26"/>
        <v>0.32851840000000004</v>
      </c>
      <c r="N61" s="35" t="s">
        <v>60</v>
      </c>
      <c r="O61" s="28">
        <f t="shared" ref="O61:X61" si="27">O11+$D$26*O44</f>
        <v>-0.28220000000000001</v>
      </c>
      <c r="P61" s="28">
        <f t="shared" si="27"/>
        <v>-0.25979999999999998</v>
      </c>
      <c r="Q61" s="28">
        <f t="shared" si="27"/>
        <v>-0.24129999999999999</v>
      </c>
      <c r="R61" s="28">
        <f t="shared" si="27"/>
        <v>-0.21659999999999999</v>
      </c>
      <c r="S61" s="28">
        <f t="shared" si="27"/>
        <v>-0.2039</v>
      </c>
      <c r="T61" s="28">
        <f t="shared" si="27"/>
        <v>-0.16750000000000001</v>
      </c>
      <c r="U61" s="28">
        <f t="shared" si="27"/>
        <v>-0.15329999999999999</v>
      </c>
      <c r="V61" s="28">
        <f t="shared" si="27"/>
        <v>-0.1431</v>
      </c>
      <c r="W61" s="28">
        <f t="shared" si="27"/>
        <v>-0.1216</v>
      </c>
      <c r="X61" s="28">
        <f t="shared" si="27"/>
        <v>-0.1003</v>
      </c>
      <c r="Z61" s="35" t="s">
        <v>60</v>
      </c>
      <c r="AA61" s="28">
        <f t="shared" ref="AA61:AJ61" si="28">AA11+$E$26*AA44</f>
        <v>0.75839999999999996</v>
      </c>
      <c r="AB61" s="28">
        <f t="shared" si="28"/>
        <v>0.73129999999999995</v>
      </c>
      <c r="AC61" s="28">
        <f t="shared" si="28"/>
        <v>0.72360000000000002</v>
      </c>
      <c r="AD61" s="28">
        <f t="shared" si="28"/>
        <v>0.70430000000000004</v>
      </c>
      <c r="AE61" s="28">
        <f t="shared" si="28"/>
        <v>0.67149999999999999</v>
      </c>
      <c r="AF61" s="28">
        <f t="shared" si="28"/>
        <v>0.64970000000000006</v>
      </c>
      <c r="AG61" s="28">
        <f t="shared" si="28"/>
        <v>0.61950000000000005</v>
      </c>
      <c r="AH61" s="28">
        <f t="shared" si="28"/>
        <v>0.59760000000000002</v>
      </c>
      <c r="AI61" s="28">
        <f t="shared" si="28"/>
        <v>0.58020000000000005</v>
      </c>
      <c r="AJ61" s="28">
        <f t="shared" si="28"/>
        <v>0.55640000000000001</v>
      </c>
      <c r="AL61" s="35" t="s">
        <v>60</v>
      </c>
      <c r="AM61" s="37">
        <f t="shared" ref="AM61:AV61" si="29">C61*(1+(((2-3*O61^2)/24*AA61^2)+(O61*AA61*C61/4))*2)</f>
        <v>0.50911037007021265</v>
      </c>
      <c r="AN61" s="37">
        <f t="shared" si="29"/>
        <v>0.49256389276846846</v>
      </c>
      <c r="AO61" s="37">
        <f t="shared" si="29"/>
        <v>0.47056925843674657</v>
      </c>
      <c r="AP61" s="37">
        <f t="shared" si="29"/>
        <v>0.46484423634294147</v>
      </c>
      <c r="AQ61" s="37">
        <f t="shared" si="29"/>
        <v>0.43386578470955689</v>
      </c>
      <c r="AR61" s="37">
        <f t="shared" si="29"/>
        <v>0.41744162823201153</v>
      </c>
      <c r="AS61" s="37">
        <f t="shared" si="29"/>
        <v>0.40090159890854493</v>
      </c>
      <c r="AT61" s="37">
        <f t="shared" si="29"/>
        <v>0.38127437918014556</v>
      </c>
      <c r="AU61" s="37">
        <f t="shared" si="29"/>
        <v>0.36671327437043272</v>
      </c>
      <c r="AV61" s="37">
        <f t="shared" si="29"/>
        <v>0.34220165902336408</v>
      </c>
    </row>
    <row r="62" spans="1:48" ht="15" customHeight="1">
      <c r="B62" s="35" t="s">
        <v>61</v>
      </c>
      <c r="C62" s="28">
        <f t="shared" ref="C62:L62" si="30">C12+$C$26*C45</f>
        <v>0.48486220000000002</v>
      </c>
      <c r="D62" s="28">
        <f t="shared" si="30"/>
        <v>0.4538722</v>
      </c>
      <c r="E62" s="28">
        <f t="shared" si="30"/>
        <v>0.43328420000000001</v>
      </c>
      <c r="F62" s="28">
        <f t="shared" si="30"/>
        <v>0.43463970000000002</v>
      </c>
      <c r="G62" s="28">
        <f t="shared" si="30"/>
        <v>0.40825270000000002</v>
      </c>
      <c r="H62" s="28">
        <f t="shared" si="30"/>
        <v>0.38317060000000003</v>
      </c>
      <c r="I62" s="28">
        <f t="shared" si="30"/>
        <v>0.37374689999999999</v>
      </c>
      <c r="J62" s="28">
        <f t="shared" si="30"/>
        <v>0.34573710000000002</v>
      </c>
      <c r="K62" s="28">
        <f t="shared" si="30"/>
        <v>0.33791939999999998</v>
      </c>
      <c r="L62" s="28">
        <f t="shared" si="30"/>
        <v>0.32985310000000001</v>
      </c>
      <c r="N62" s="35" t="s">
        <v>61</v>
      </c>
      <c r="O62" s="28">
        <f t="shared" ref="O62:X62" si="31">O12+$D$26*O45</f>
        <v>-0.2455</v>
      </c>
      <c r="P62" s="28">
        <f t="shared" si="31"/>
        <v>-0.22939999999999999</v>
      </c>
      <c r="Q62" s="28">
        <f t="shared" si="31"/>
        <v>-0.21870000000000001</v>
      </c>
      <c r="R62" s="28">
        <f t="shared" si="31"/>
        <v>-0.1971</v>
      </c>
      <c r="S62" s="28">
        <f t="shared" si="31"/>
        <v>-0.1817</v>
      </c>
      <c r="T62" s="28">
        <f t="shared" si="31"/>
        <v>-0.15010000000000001</v>
      </c>
      <c r="U62" s="28">
        <f t="shared" si="31"/>
        <v>-0.13550000000000001</v>
      </c>
      <c r="V62" s="28">
        <f t="shared" si="31"/>
        <v>-0.1111</v>
      </c>
      <c r="W62" s="28">
        <f t="shared" si="31"/>
        <v>-0.10059999999999999</v>
      </c>
      <c r="X62" s="28">
        <f t="shared" si="31"/>
        <v>-8.3299999999999999E-2</v>
      </c>
      <c r="Z62" s="35" t="s">
        <v>61</v>
      </c>
      <c r="AA62" s="28">
        <f t="shared" ref="AA62:AJ62" si="32">AA12+$E$26*AA45</f>
        <v>0.74509999999999998</v>
      </c>
      <c r="AB62" s="28">
        <f t="shared" si="32"/>
        <v>0.72640000000000005</v>
      </c>
      <c r="AC62" s="28">
        <f t="shared" si="32"/>
        <v>0.70150000000000001</v>
      </c>
      <c r="AD62" s="28">
        <f t="shared" si="32"/>
        <v>0.67830000000000001</v>
      </c>
      <c r="AE62" s="28">
        <f t="shared" si="32"/>
        <v>0.65639999999999998</v>
      </c>
      <c r="AF62" s="28">
        <f t="shared" si="32"/>
        <v>0.63260000000000005</v>
      </c>
      <c r="AG62" s="28">
        <f t="shared" si="32"/>
        <v>0.60009999999999997</v>
      </c>
      <c r="AH62" s="28">
        <f t="shared" si="32"/>
        <v>0.5837</v>
      </c>
      <c r="AI62" s="28">
        <f t="shared" si="32"/>
        <v>0.55820000000000003</v>
      </c>
      <c r="AJ62" s="28">
        <f t="shared" si="32"/>
        <v>0.52949999999999997</v>
      </c>
      <c r="AL62" s="35" t="s">
        <v>61</v>
      </c>
      <c r="AM62" s="37">
        <f t="shared" ref="AM62:AV62" si="33">C62*(1+(((2-3*O62^2)/24*AA62^2)+(O62*AA62*C62/4))*3)</f>
        <v>0.51382148372755632</v>
      </c>
      <c r="AN62" s="37">
        <f t="shared" si="33"/>
        <v>0.48327301804884948</v>
      </c>
      <c r="AO62" s="37">
        <f t="shared" si="33"/>
        <v>0.4611634116710519</v>
      </c>
      <c r="AP62" s="37">
        <f t="shared" si="33"/>
        <v>0.46277777713925794</v>
      </c>
      <c r="AQ62" s="37">
        <f t="shared" si="33"/>
        <v>0.43514118396118961</v>
      </c>
      <c r="AR62" s="37">
        <f t="shared" si="33"/>
        <v>0.40975389231544651</v>
      </c>
      <c r="AS62" s="37">
        <f t="shared" si="33"/>
        <v>0.39794982498268966</v>
      </c>
      <c r="AT62" s="37">
        <f t="shared" si="33"/>
        <v>0.36882675453781999</v>
      </c>
      <c r="AU62" s="37">
        <f t="shared" si="33"/>
        <v>0.35903342076344835</v>
      </c>
      <c r="AV62" s="37">
        <f t="shared" si="33"/>
        <v>0.3491334444933008</v>
      </c>
    </row>
    <row r="63" spans="1:48" ht="15" customHeight="1">
      <c r="B63" s="35" t="s">
        <v>62</v>
      </c>
      <c r="C63" s="28">
        <f t="shared" ref="C63:L63" si="34">C13+$C$26*C46</f>
        <v>0.45092569999999998</v>
      </c>
      <c r="D63" s="28">
        <f t="shared" si="34"/>
        <v>0.43835449999999998</v>
      </c>
      <c r="E63" s="28">
        <f t="shared" si="34"/>
        <v>0.42077039999999999</v>
      </c>
      <c r="F63" s="28">
        <f t="shared" si="34"/>
        <v>0.41162199999999999</v>
      </c>
      <c r="G63" s="28">
        <f t="shared" si="34"/>
        <v>0.39931120000000003</v>
      </c>
      <c r="H63" s="28">
        <f t="shared" si="34"/>
        <v>0.37138159999999998</v>
      </c>
      <c r="I63" s="28">
        <f t="shared" si="34"/>
        <v>0.36360049999999999</v>
      </c>
      <c r="J63" s="28">
        <f t="shared" si="34"/>
        <v>0.34740650000000001</v>
      </c>
      <c r="K63" s="28">
        <f t="shared" si="34"/>
        <v>0.32901749999999996</v>
      </c>
      <c r="L63" s="28">
        <f t="shared" si="34"/>
        <v>0.2998344</v>
      </c>
      <c r="N63" s="35" t="s">
        <v>62</v>
      </c>
      <c r="O63" s="28">
        <f t="shared" ref="O63:X63" si="35">O13+$D$26*O46</f>
        <v>-0.2389</v>
      </c>
      <c r="P63" s="28">
        <f t="shared" si="35"/>
        <v>-0.21940000000000001</v>
      </c>
      <c r="Q63" s="28">
        <f t="shared" si="35"/>
        <v>-0.20050000000000001</v>
      </c>
      <c r="R63" s="28">
        <f t="shared" si="35"/>
        <v>-0.18090000000000001</v>
      </c>
      <c r="S63" s="28">
        <f t="shared" si="35"/>
        <v>-0.15310000000000001</v>
      </c>
      <c r="T63" s="28">
        <f t="shared" si="35"/>
        <v>-0.12809999999999999</v>
      </c>
      <c r="U63" s="28">
        <f t="shared" si="35"/>
        <v>-0.1099</v>
      </c>
      <c r="V63" s="28">
        <f t="shared" si="35"/>
        <v>-9.7600000000000006E-2</v>
      </c>
      <c r="W63" s="28">
        <f t="shared" si="35"/>
        <v>-7.4700000000000003E-2</v>
      </c>
      <c r="X63" s="28">
        <f t="shared" si="35"/>
        <v>-5.2299999999999999E-2</v>
      </c>
      <c r="Z63" s="35" t="s">
        <v>62</v>
      </c>
      <c r="AA63" s="28">
        <f t="shared" ref="AA63:AJ63" si="36">AA13+$E$26*AA46</f>
        <v>0.70840000000000003</v>
      </c>
      <c r="AB63" s="28">
        <f t="shared" si="36"/>
        <v>0.69769999999999999</v>
      </c>
      <c r="AC63" s="28">
        <f t="shared" si="36"/>
        <v>0.6804</v>
      </c>
      <c r="AD63" s="28">
        <f t="shared" si="36"/>
        <v>0.65559999999999996</v>
      </c>
      <c r="AE63" s="28">
        <f t="shared" si="36"/>
        <v>0.63280000000000003</v>
      </c>
      <c r="AF63" s="28">
        <f t="shared" si="36"/>
        <v>0.60509999999999997</v>
      </c>
      <c r="AG63" s="28">
        <f t="shared" si="36"/>
        <v>0.57689999999999997</v>
      </c>
      <c r="AH63" s="28">
        <f t="shared" si="36"/>
        <v>0.56689999999999996</v>
      </c>
      <c r="AI63" s="28">
        <f t="shared" si="36"/>
        <v>0.53549999999999998</v>
      </c>
      <c r="AJ63" s="28">
        <f t="shared" si="36"/>
        <v>0.52270000000000005</v>
      </c>
      <c r="AL63" s="35" t="s">
        <v>62</v>
      </c>
      <c r="AM63" s="37">
        <f t="shared" ref="AM63:AV63" si="37">C63*(1+(((2-3*O63^2)/24*AA63^2)+(O63*AA63*C63/4))*5)</f>
        <v>0.4941261341300896</v>
      </c>
      <c r="AN63" s="37">
        <f t="shared" si="37"/>
        <v>0.48407731033529938</v>
      </c>
      <c r="AO63" s="37">
        <f t="shared" si="37"/>
        <v>0.46684891516680277</v>
      </c>
      <c r="AP63" s="37">
        <f t="shared" si="37"/>
        <v>0.45660206781602353</v>
      </c>
      <c r="AQ63" s="37">
        <f t="shared" si="37"/>
        <v>0.44428344594432134</v>
      </c>
      <c r="AR63" s="37">
        <f t="shared" si="37"/>
        <v>0.41328156673361871</v>
      </c>
      <c r="AS63" s="37">
        <f t="shared" si="37"/>
        <v>0.40263085885503413</v>
      </c>
      <c r="AT63" s="37">
        <f t="shared" si="37"/>
        <v>0.38491455664151275</v>
      </c>
      <c r="AU63" s="37">
        <f t="shared" si="37"/>
        <v>0.36258771786357952</v>
      </c>
      <c r="AV63" s="37">
        <f t="shared" si="37"/>
        <v>0.33075537189032556</v>
      </c>
    </row>
    <row r="64" spans="1:48" ht="15" customHeight="1">
      <c r="B64" s="35" t="s">
        <v>63</v>
      </c>
      <c r="C64" s="28">
        <f t="shared" ref="C64:L64" si="38">C14+$C$26*C47</f>
        <v>0.45232380000000005</v>
      </c>
      <c r="D64" s="28">
        <f t="shared" si="38"/>
        <v>0.4232823</v>
      </c>
      <c r="E64" s="28">
        <f t="shared" si="38"/>
        <v>0.40609820000000002</v>
      </c>
      <c r="F64" s="28">
        <f t="shared" si="38"/>
        <v>0.39922009999999997</v>
      </c>
      <c r="G64" s="28">
        <f t="shared" si="38"/>
        <v>0.37727859999999996</v>
      </c>
      <c r="H64" s="28">
        <f t="shared" si="38"/>
        <v>0.34876579999999996</v>
      </c>
      <c r="I64" s="28">
        <f t="shared" si="38"/>
        <v>0.32996890000000001</v>
      </c>
      <c r="J64" s="28">
        <f t="shared" si="38"/>
        <v>0.31285809999999997</v>
      </c>
      <c r="K64" s="28">
        <f t="shared" si="38"/>
        <v>0.3108225</v>
      </c>
      <c r="L64" s="28">
        <f t="shared" si="38"/>
        <v>0.29127209999999998</v>
      </c>
      <c r="N64" s="35" t="s">
        <v>63</v>
      </c>
      <c r="O64" s="28">
        <f t="shared" ref="O64:X64" si="39">O14+$D$26*O47</f>
        <v>-0.221</v>
      </c>
      <c r="P64" s="28">
        <f t="shared" si="39"/>
        <v>-0.18790000000000001</v>
      </c>
      <c r="Q64" s="28">
        <f t="shared" si="39"/>
        <v>-0.16539999999999999</v>
      </c>
      <c r="R64" s="28">
        <f t="shared" si="39"/>
        <v>-0.15240000000000001</v>
      </c>
      <c r="S64" s="28">
        <f t="shared" si="39"/>
        <v>-0.1391</v>
      </c>
      <c r="T64" s="28">
        <f t="shared" si="39"/>
        <v>-0.1157</v>
      </c>
      <c r="U64" s="28">
        <f t="shared" si="39"/>
        <v>-0.1046</v>
      </c>
      <c r="V64" s="28">
        <f t="shared" si="39"/>
        <v>-8.7499999999999994E-2</v>
      </c>
      <c r="W64" s="28">
        <f t="shared" si="39"/>
        <v>-4.8899999999999999E-2</v>
      </c>
      <c r="X64" s="28">
        <f t="shared" si="39"/>
        <v>-3.5900000000000001E-2</v>
      </c>
      <c r="Z64" s="35" t="s">
        <v>63</v>
      </c>
      <c r="AA64" s="28">
        <f t="shared" ref="AA64:AJ64" si="40">AA14+$E$26*AA47</f>
        <v>0.69499999999999995</v>
      </c>
      <c r="AB64" s="28">
        <f t="shared" si="40"/>
        <v>0.68089999999999995</v>
      </c>
      <c r="AC64" s="28">
        <f t="shared" si="40"/>
        <v>0.64870000000000005</v>
      </c>
      <c r="AD64" s="28">
        <f t="shared" si="40"/>
        <v>0.63519999999999999</v>
      </c>
      <c r="AE64" s="28">
        <f t="shared" si="40"/>
        <v>0.61209999999999998</v>
      </c>
      <c r="AF64" s="28">
        <f t="shared" si="40"/>
        <v>0.5776</v>
      </c>
      <c r="AG64" s="28">
        <f t="shared" si="40"/>
        <v>0.55610000000000004</v>
      </c>
      <c r="AH64" s="28">
        <f t="shared" si="40"/>
        <v>0.53469999999999995</v>
      </c>
      <c r="AI64" s="28">
        <f t="shared" si="40"/>
        <v>0.51149999999999995</v>
      </c>
      <c r="AJ64" s="28">
        <f t="shared" si="40"/>
        <v>0.49619999999999997</v>
      </c>
      <c r="AL64" s="35" t="s">
        <v>63</v>
      </c>
      <c r="AM64" s="37">
        <f t="shared" ref="AM64:AV64" si="41">C64*(1+(((2-3*O64^2)/24*AA64^2)+(O64*AA64*C64/4))*10)</f>
        <v>0.54249222827191856</v>
      </c>
      <c r="AN64" s="37">
        <f t="shared" si="41"/>
        <v>0.52085091482992718</v>
      </c>
      <c r="AO64" s="37">
        <f t="shared" si="41"/>
        <v>0.4984268174004583</v>
      </c>
      <c r="AP64" s="37">
        <f t="shared" si="41"/>
        <v>0.49020352399086864</v>
      </c>
      <c r="AQ64" s="37">
        <f t="shared" si="41"/>
        <v>0.46135650874068673</v>
      </c>
      <c r="AR64" s="37">
        <f t="shared" si="41"/>
        <v>0.42345993264711007</v>
      </c>
      <c r="AS64" s="37">
        <f t="shared" si="41"/>
        <v>0.39777502672423504</v>
      </c>
      <c r="AT64" s="37">
        <f t="shared" si="41"/>
        <v>0.37509295129553222</v>
      </c>
      <c r="AU64" s="37">
        <f t="shared" si="41"/>
        <v>0.372305941291452</v>
      </c>
      <c r="AV64" s="37">
        <f t="shared" si="41"/>
        <v>0.34714116121180849</v>
      </c>
    </row>
    <row r="65" spans="1:48" ht="15" customHeight="1">
      <c r="B65" s="35" t="s">
        <v>64</v>
      </c>
      <c r="C65" s="28">
        <f t="shared" ref="C65:L65" si="42">C15+$C$26*C48</f>
        <v>0.42046349999999999</v>
      </c>
      <c r="D65" s="28">
        <f t="shared" si="42"/>
        <v>0.40603289999999997</v>
      </c>
      <c r="E65" s="28">
        <f t="shared" si="42"/>
        <v>0.38306859999999998</v>
      </c>
      <c r="F65" s="28">
        <f t="shared" si="42"/>
        <v>0.38119639999999999</v>
      </c>
      <c r="G65" s="28">
        <f t="shared" si="42"/>
        <v>0.35206980000000004</v>
      </c>
      <c r="H65" s="28">
        <f t="shared" si="42"/>
        <v>0.3370243</v>
      </c>
      <c r="I65" s="28">
        <f t="shared" si="42"/>
        <v>0.3218937</v>
      </c>
      <c r="J65" s="28">
        <f t="shared" si="42"/>
        <v>0.31063439999999998</v>
      </c>
      <c r="K65" s="28">
        <f t="shared" si="42"/>
        <v>0.2832345</v>
      </c>
      <c r="L65" s="28">
        <f t="shared" si="42"/>
        <v>0.27648500000000004</v>
      </c>
      <c r="N65" s="35" t="s">
        <v>64</v>
      </c>
      <c r="O65" s="28">
        <f t="shared" ref="O65:X65" si="43">O15+$D$26*O48</f>
        <v>-0.19439999999999999</v>
      </c>
      <c r="P65" s="28">
        <f t="shared" si="43"/>
        <v>-0.1744</v>
      </c>
      <c r="Q65" s="28">
        <f t="shared" si="43"/>
        <v>-0.15509999999999999</v>
      </c>
      <c r="R65" s="28">
        <f t="shared" si="43"/>
        <v>-0.1457</v>
      </c>
      <c r="S65" s="28">
        <f t="shared" si="43"/>
        <v>-0.1179</v>
      </c>
      <c r="T65" s="28">
        <f t="shared" si="43"/>
        <v>-0.1036</v>
      </c>
      <c r="U65" s="28">
        <f t="shared" si="43"/>
        <v>-8.77E-2</v>
      </c>
      <c r="V65" s="28">
        <f t="shared" si="43"/>
        <v>-5.2299999999999999E-2</v>
      </c>
      <c r="W65" s="28">
        <f t="shared" si="43"/>
        <v>-4.5400000000000003E-2</v>
      </c>
      <c r="X65" s="28">
        <f t="shared" si="43"/>
        <v>-0.02</v>
      </c>
      <c r="Z65" s="35" t="s">
        <v>64</v>
      </c>
      <c r="AA65" s="28">
        <f t="shared" ref="AA65:AJ65" si="44">AA15+$E$26*AA48</f>
        <v>0.67669999999999997</v>
      </c>
      <c r="AB65" s="28">
        <f t="shared" si="44"/>
        <v>0.65110000000000001</v>
      </c>
      <c r="AC65" s="28">
        <f t="shared" si="44"/>
        <v>0.62429999999999997</v>
      </c>
      <c r="AD65" s="28">
        <f t="shared" si="44"/>
        <v>0.60589999999999999</v>
      </c>
      <c r="AE65" s="28">
        <f t="shared" si="44"/>
        <v>0.58440000000000003</v>
      </c>
      <c r="AF65" s="28">
        <f t="shared" si="44"/>
        <v>0.56679999999999997</v>
      </c>
      <c r="AG65" s="28">
        <f t="shared" si="44"/>
        <v>0.53100000000000003</v>
      </c>
      <c r="AH65" s="28">
        <f t="shared" si="44"/>
        <v>0.51790000000000003</v>
      </c>
      <c r="AI65" s="28">
        <f t="shared" si="44"/>
        <v>0.4894</v>
      </c>
      <c r="AJ65" s="28">
        <f t="shared" si="44"/>
        <v>0.46779999999999999</v>
      </c>
      <c r="AL65" s="35" t="s">
        <v>64</v>
      </c>
      <c r="AM65" s="37">
        <f t="shared" ref="AM65:AV65" si="45">C65*(1+(((2-3*O65^2)/24*AA65^2)+(O65*AA65*C65/4))*20)</f>
        <v>0.60688865643755574</v>
      </c>
      <c r="AN65" s="37">
        <f t="shared" si="45"/>
        <v>0.58622544944271904</v>
      </c>
      <c r="AO65" s="37">
        <f t="shared" si="45"/>
        <v>0.55188077707088057</v>
      </c>
      <c r="AP65" s="37">
        <f t="shared" si="45"/>
        <v>0.54286766299276401</v>
      </c>
      <c r="AQ65" s="37">
        <f t="shared" si="45"/>
        <v>0.50558910722854633</v>
      </c>
      <c r="AR65" s="37">
        <f t="shared" si="45"/>
        <v>0.48122543345290225</v>
      </c>
      <c r="AS65" s="37">
        <f t="shared" si="45"/>
        <v>0.44729142568073349</v>
      </c>
      <c r="AT65" s="37">
        <f t="shared" si="45"/>
        <v>0.43586056505571291</v>
      </c>
      <c r="AU65" s="37">
        <f t="shared" si="45"/>
        <v>0.38703640000378597</v>
      </c>
      <c r="AV65" s="37">
        <f t="shared" si="45"/>
        <v>0.37369028618320044</v>
      </c>
    </row>
    <row r="66" spans="1:48" ht="15" customHeight="1">
      <c r="B66" s="35" t="s">
        <v>65</v>
      </c>
      <c r="C66" s="28">
        <f t="shared" ref="C66:L66" si="46">C16+$C$26*C49</f>
        <v>0.41294379999999997</v>
      </c>
      <c r="D66" s="28">
        <f t="shared" si="46"/>
        <v>0.39070720000000003</v>
      </c>
      <c r="E66" s="28">
        <f t="shared" si="46"/>
        <v>0.37378060000000002</v>
      </c>
      <c r="F66" s="28">
        <f t="shared" si="46"/>
        <v>0.36046680000000003</v>
      </c>
      <c r="G66" s="28">
        <f t="shared" si="46"/>
        <v>0.34570850000000003</v>
      </c>
      <c r="H66" s="28">
        <f t="shared" si="46"/>
        <v>0.31905410000000001</v>
      </c>
      <c r="I66" s="28">
        <f t="shared" si="46"/>
        <v>0.30483440000000001</v>
      </c>
      <c r="J66" s="28">
        <f t="shared" si="46"/>
        <v>0.284885</v>
      </c>
      <c r="K66" s="28">
        <f t="shared" si="46"/>
        <v>0.26838500000000004</v>
      </c>
      <c r="L66" s="28">
        <f t="shared" si="46"/>
        <v>0.25538500000000003</v>
      </c>
      <c r="N66" s="35" t="s">
        <v>65</v>
      </c>
      <c r="O66" s="28">
        <f t="shared" ref="O66:X66" si="47">O16+$D$26*O49</f>
        <v>-0.17599999999999999</v>
      </c>
      <c r="P66" s="28">
        <f t="shared" si="47"/>
        <v>-0.15490000000000001</v>
      </c>
      <c r="Q66" s="28">
        <f t="shared" si="47"/>
        <v>-0.1366</v>
      </c>
      <c r="R66" s="28">
        <f t="shared" si="47"/>
        <v>-0.10780000000000001</v>
      </c>
      <c r="S66" s="28">
        <f t="shared" si="47"/>
        <v>-9.3200000000000005E-2</v>
      </c>
      <c r="T66" s="28">
        <f t="shared" si="47"/>
        <v>-7.0199999999999999E-2</v>
      </c>
      <c r="U66" s="28">
        <f t="shared" si="47"/>
        <v>-4.9500000000000002E-2</v>
      </c>
      <c r="V66" s="28">
        <f t="shared" si="47"/>
        <v>-4.3700000000000003E-2</v>
      </c>
      <c r="W66" s="28">
        <f t="shared" si="47"/>
        <v>-1.83E-2</v>
      </c>
      <c r="X66" s="28">
        <f t="shared" si="47"/>
        <v>8.8999999999999999E-3</v>
      </c>
      <c r="Z66" s="35" t="s">
        <v>65</v>
      </c>
      <c r="AA66" s="28">
        <f t="shared" ref="AA66:AJ66" si="48">AA16+$E$26*AA49</f>
        <v>0.65680000000000005</v>
      </c>
      <c r="AB66" s="28">
        <f t="shared" si="48"/>
        <v>0.62050000000000005</v>
      </c>
      <c r="AC66" s="28">
        <f t="shared" si="48"/>
        <v>0.59799999999999998</v>
      </c>
      <c r="AD66" s="28">
        <f t="shared" si="48"/>
        <v>0.58220000000000005</v>
      </c>
      <c r="AE66" s="28">
        <f t="shared" si="48"/>
        <v>0.55259999999999998</v>
      </c>
      <c r="AF66" s="28">
        <f t="shared" si="48"/>
        <v>0.53369999999999995</v>
      </c>
      <c r="AG66" s="28">
        <f t="shared" si="48"/>
        <v>0.5081</v>
      </c>
      <c r="AH66" s="28">
        <f t="shared" si="48"/>
        <v>0.49780000000000002</v>
      </c>
      <c r="AI66" s="28">
        <f t="shared" si="48"/>
        <v>0.47789999999999999</v>
      </c>
      <c r="AJ66" s="28">
        <f t="shared" si="48"/>
        <v>0.45789999999999997</v>
      </c>
      <c r="AL66" s="35" t="s">
        <v>65</v>
      </c>
      <c r="AM66" s="37">
        <f t="shared" ref="AM66:AV66" si="49">C66*(1+(((2-3*O66^2)/24*AA66^2)+(O66*AA66*C66/4))*30)</f>
        <v>0.68975795520082139</v>
      </c>
      <c r="AN66" s="37">
        <f t="shared" si="49"/>
        <v>0.64320562078015164</v>
      </c>
      <c r="AO66" s="37">
        <f t="shared" si="49"/>
        <v>0.61299651787614839</v>
      </c>
      <c r="AP66" s="37">
        <f t="shared" si="49"/>
        <v>0.5994368697513387</v>
      </c>
      <c r="AQ66" s="37">
        <f t="shared" si="49"/>
        <v>0.56002500265004973</v>
      </c>
      <c r="AR66" s="37">
        <f t="shared" si="49"/>
        <v>0.51596581454455392</v>
      </c>
      <c r="AS66" s="37">
        <f t="shared" si="49"/>
        <v>0.48332723388579391</v>
      </c>
      <c r="AT66" s="37">
        <f t="shared" si="49"/>
        <v>0.44762765666747079</v>
      </c>
      <c r="AU66" s="37">
        <f t="shared" si="49"/>
        <v>0.41682347181118617</v>
      </c>
      <c r="AV66" s="37">
        <f t="shared" si="49"/>
        <v>0.39123054922612727</v>
      </c>
    </row>
    <row r="68" spans="1:48" ht="15" customHeight="1">
      <c r="A68" s="7" t="s">
        <v>133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spans="1:48" ht="15" customHeight="1">
      <c r="B69" s="7" t="s">
        <v>115</v>
      </c>
      <c r="C69" s="7"/>
      <c r="D69" s="7"/>
      <c r="E69" s="7"/>
      <c r="F69" s="7"/>
      <c r="G69" s="7"/>
      <c r="H69" s="7"/>
      <c r="I69" s="7"/>
      <c r="J69" s="7"/>
      <c r="K69" s="7"/>
      <c r="L69" s="7"/>
      <c r="N69" s="7" t="s">
        <v>116</v>
      </c>
      <c r="O69" s="7"/>
      <c r="P69" s="7"/>
      <c r="Q69" s="7"/>
      <c r="R69" s="7"/>
      <c r="S69" s="7"/>
      <c r="T69" s="7"/>
      <c r="U69" s="7"/>
      <c r="V69" s="7"/>
      <c r="W69" s="7"/>
      <c r="X69" s="7"/>
      <c r="Z69" s="7" t="s">
        <v>117</v>
      </c>
      <c r="AA69" s="7"/>
      <c r="AB69" s="7"/>
      <c r="AC69" s="7"/>
      <c r="AD69" s="7"/>
      <c r="AE69" s="7"/>
      <c r="AF69" s="7"/>
      <c r="AG69" s="7"/>
      <c r="AH69" s="7"/>
      <c r="AI69" s="7"/>
      <c r="AJ69" s="7"/>
      <c r="AL69" s="6" t="s">
        <v>118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ht="15" customHeight="1">
      <c r="B70" s="20" t="s">
        <v>119</v>
      </c>
      <c r="C70" s="21" t="s">
        <v>120</v>
      </c>
      <c r="D70" s="21" t="s">
        <v>58</v>
      </c>
      <c r="E70" s="21" t="s">
        <v>59</v>
      </c>
      <c r="F70" s="21" t="s">
        <v>30</v>
      </c>
      <c r="G70" s="21" t="s">
        <v>60</v>
      </c>
      <c r="H70" s="21" t="s">
        <v>61</v>
      </c>
      <c r="I70" s="21" t="s">
        <v>62</v>
      </c>
      <c r="J70" s="21" t="s">
        <v>63</v>
      </c>
      <c r="K70" s="21" t="s">
        <v>64</v>
      </c>
      <c r="L70" s="21" t="s">
        <v>65</v>
      </c>
      <c r="N70" s="20" t="s">
        <v>119</v>
      </c>
      <c r="O70" s="21" t="s">
        <v>120</v>
      </c>
      <c r="P70" s="21" t="s">
        <v>58</v>
      </c>
      <c r="Q70" s="21" t="s">
        <v>59</v>
      </c>
      <c r="R70" s="21" t="s">
        <v>30</v>
      </c>
      <c r="S70" s="21" t="s">
        <v>60</v>
      </c>
      <c r="T70" s="21" t="s">
        <v>61</v>
      </c>
      <c r="U70" s="21" t="s">
        <v>62</v>
      </c>
      <c r="V70" s="21" t="s">
        <v>63</v>
      </c>
      <c r="W70" s="21" t="s">
        <v>64</v>
      </c>
      <c r="X70" s="21" t="s">
        <v>65</v>
      </c>
      <c r="Z70" s="20" t="s">
        <v>119</v>
      </c>
      <c r="AA70" s="21" t="s">
        <v>120</v>
      </c>
      <c r="AB70" s="21" t="s">
        <v>58</v>
      </c>
      <c r="AC70" s="21" t="s">
        <v>59</v>
      </c>
      <c r="AD70" s="21" t="s">
        <v>30</v>
      </c>
      <c r="AE70" s="21" t="s">
        <v>60</v>
      </c>
      <c r="AF70" s="21" t="s">
        <v>61</v>
      </c>
      <c r="AG70" s="21" t="s">
        <v>62</v>
      </c>
      <c r="AH70" s="21" t="s">
        <v>63</v>
      </c>
      <c r="AI70" s="21" t="s">
        <v>64</v>
      </c>
      <c r="AJ70" s="21" t="s">
        <v>65</v>
      </c>
      <c r="AL70" s="20" t="s">
        <v>119</v>
      </c>
      <c r="AM70" s="21" t="s">
        <v>120</v>
      </c>
      <c r="AN70" s="21" t="s">
        <v>58</v>
      </c>
      <c r="AO70" s="21" t="s">
        <v>59</v>
      </c>
      <c r="AP70" s="21" t="s">
        <v>30</v>
      </c>
      <c r="AQ70" s="21" t="s">
        <v>60</v>
      </c>
      <c r="AR70" s="21" t="s">
        <v>61</v>
      </c>
      <c r="AS70" s="21" t="s">
        <v>62</v>
      </c>
      <c r="AT70" s="21" t="s">
        <v>63</v>
      </c>
      <c r="AU70" s="21" t="s">
        <v>64</v>
      </c>
      <c r="AV70" s="21" t="s">
        <v>65</v>
      </c>
    </row>
    <row r="71" spans="1:48" ht="15" customHeight="1">
      <c r="B71" s="35" t="s">
        <v>120</v>
      </c>
      <c r="C71" s="28">
        <f t="shared" ref="C71:L71" si="50">C7+$C$27*C40</f>
        <v>0.56651249999999997</v>
      </c>
      <c r="D71" s="28">
        <f t="shared" si="50"/>
        <v>0.54537499999999994</v>
      </c>
      <c r="E71" s="28">
        <f t="shared" si="50"/>
        <v>0.53745000000000009</v>
      </c>
      <c r="F71" s="28">
        <f t="shared" si="50"/>
        <v>0.50814999999999999</v>
      </c>
      <c r="G71" s="28">
        <f t="shared" si="50"/>
        <v>0.49956249999999996</v>
      </c>
      <c r="H71" s="28">
        <f t="shared" si="50"/>
        <v>0.47821250000000004</v>
      </c>
      <c r="I71" s="28">
        <f t="shared" si="50"/>
        <v>0.45482499999999998</v>
      </c>
      <c r="J71" s="28">
        <f t="shared" si="50"/>
        <v>0.44600000000000001</v>
      </c>
      <c r="K71" s="28">
        <f t="shared" si="50"/>
        <v>0.41864999999999997</v>
      </c>
      <c r="L71" s="28">
        <f t="shared" si="50"/>
        <v>0.408725</v>
      </c>
      <c r="N71" s="35" t="s">
        <v>120</v>
      </c>
      <c r="O71" s="28">
        <f t="shared" ref="O71:X71" si="51">O7+$D$27*O40</f>
        <v>-0.35859999999999997</v>
      </c>
      <c r="P71" s="28">
        <f t="shared" si="51"/>
        <v>-0.3387</v>
      </c>
      <c r="Q71" s="28">
        <f t="shared" si="51"/>
        <v>-0.31259999999999999</v>
      </c>
      <c r="R71" s="28">
        <f t="shared" si="51"/>
        <v>-0.28510000000000002</v>
      </c>
      <c r="S71" s="28">
        <f t="shared" si="51"/>
        <v>-0.2797</v>
      </c>
      <c r="T71" s="28">
        <f t="shared" si="51"/>
        <v>-0.25829999999999997</v>
      </c>
      <c r="U71" s="28">
        <f t="shared" si="51"/>
        <v>-0.23080000000000001</v>
      </c>
      <c r="V71" s="28">
        <f t="shared" si="51"/>
        <v>-0.2049</v>
      </c>
      <c r="W71" s="28">
        <f t="shared" si="51"/>
        <v>-0.19289999999999999</v>
      </c>
      <c r="X71" s="28">
        <f t="shared" si="51"/>
        <v>-0.17710000000000001</v>
      </c>
      <c r="Z71" s="35" t="s">
        <v>120</v>
      </c>
      <c r="AA71" s="28">
        <f t="shared" ref="AA71:AJ71" si="52">AA7+$E$27*AA40</f>
        <v>0.85950000000000004</v>
      </c>
      <c r="AB71" s="28">
        <f t="shared" si="52"/>
        <v>0.81869999999999998</v>
      </c>
      <c r="AC71" s="28">
        <f t="shared" si="52"/>
        <v>0.81269999999999998</v>
      </c>
      <c r="AD71" s="28">
        <f t="shared" si="52"/>
        <v>0.77910000000000001</v>
      </c>
      <c r="AE71" s="28">
        <f t="shared" si="52"/>
        <v>0.754</v>
      </c>
      <c r="AF71" s="28">
        <f t="shared" si="52"/>
        <v>0.73119999999999996</v>
      </c>
      <c r="AG71" s="28">
        <f t="shared" si="52"/>
        <v>0.71279999999999999</v>
      </c>
      <c r="AH71" s="28">
        <f t="shared" si="52"/>
        <v>0.70079999999999998</v>
      </c>
      <c r="AI71" s="28">
        <f t="shared" si="52"/>
        <v>0.66579999999999995</v>
      </c>
      <c r="AJ71" s="28">
        <f t="shared" si="52"/>
        <v>0.65159999999999996</v>
      </c>
      <c r="AL71" s="35" t="s">
        <v>120</v>
      </c>
      <c r="AM71" s="37">
        <f t="shared" ref="AM71:AV71" si="53">C71*(1+(((2-3*O71^2)/24*AA71^2)+(O71*AA71*C71/4))*0.0833333333333333)</f>
        <v>0.56679740113865695</v>
      </c>
      <c r="AN71" s="37">
        <f t="shared" si="53"/>
        <v>0.54575844735152179</v>
      </c>
      <c r="AO71" s="37">
        <f t="shared" si="53"/>
        <v>0.5380249655822652</v>
      </c>
      <c r="AP71" s="37">
        <f t="shared" si="53"/>
        <v>0.50883592114432019</v>
      </c>
      <c r="AQ71" s="37">
        <f t="shared" si="53"/>
        <v>0.50020685862921788</v>
      </c>
      <c r="AR71" s="37">
        <f t="shared" si="53"/>
        <v>0.47891051663668144</v>
      </c>
      <c r="AS71" s="37">
        <f t="shared" si="53"/>
        <v>0.45559255151930761</v>
      </c>
      <c r="AT71" s="37">
        <f t="shared" si="53"/>
        <v>0.44683025115829761</v>
      </c>
      <c r="AU71" s="37">
        <f t="shared" si="53"/>
        <v>0.41939787739453427</v>
      </c>
      <c r="AV71" s="37">
        <f t="shared" si="53"/>
        <v>0.40947179962353186</v>
      </c>
    </row>
    <row r="72" spans="1:48" ht="15" customHeight="1">
      <c r="B72" s="35" t="s">
        <v>58</v>
      </c>
      <c r="C72" s="28">
        <f t="shared" ref="C72:L72" si="54">C8+$C$27*C41</f>
        <v>0.55483749999999998</v>
      </c>
      <c r="D72" s="28">
        <f t="shared" si="54"/>
        <v>0.53164999999999996</v>
      </c>
      <c r="E72" s="28">
        <f t="shared" si="54"/>
        <v>0.51746250000000005</v>
      </c>
      <c r="F72" s="28">
        <f t="shared" si="54"/>
        <v>0.48977500000000002</v>
      </c>
      <c r="G72" s="28">
        <f t="shared" si="54"/>
        <v>0.47247499999999998</v>
      </c>
      <c r="H72" s="28">
        <f t="shared" si="54"/>
        <v>0.45727499999999999</v>
      </c>
      <c r="I72" s="28">
        <f t="shared" si="54"/>
        <v>0.44928750000000001</v>
      </c>
      <c r="J72" s="28">
        <f t="shared" si="54"/>
        <v>0.42611250000000001</v>
      </c>
      <c r="K72" s="28">
        <f t="shared" si="54"/>
        <v>0.4065125</v>
      </c>
      <c r="L72" s="28">
        <f t="shared" si="54"/>
        <v>0.39401249999999999</v>
      </c>
      <c r="N72" s="35" t="s">
        <v>58</v>
      </c>
      <c r="O72" s="28">
        <f t="shared" ref="O72:X72" si="55">O8+$D$27*O41</f>
        <v>-0.33150000000000002</v>
      </c>
      <c r="P72" s="28">
        <f t="shared" si="55"/>
        <v>-0.31509999999999999</v>
      </c>
      <c r="Q72" s="28">
        <f t="shared" si="55"/>
        <v>-0.2858</v>
      </c>
      <c r="R72" s="28">
        <f t="shared" si="55"/>
        <v>-0.26819999999999999</v>
      </c>
      <c r="S72" s="28">
        <f t="shared" si="55"/>
        <v>-0.25790000000000002</v>
      </c>
      <c r="T72" s="28">
        <f t="shared" si="55"/>
        <v>-0.23180000000000001</v>
      </c>
      <c r="U72" s="28">
        <f t="shared" si="55"/>
        <v>-0.21340000000000001</v>
      </c>
      <c r="V72" s="28">
        <f t="shared" si="55"/>
        <v>-0.18690000000000001</v>
      </c>
      <c r="W72" s="28">
        <f t="shared" si="55"/>
        <v>-0.1704</v>
      </c>
      <c r="X72" s="28">
        <f t="shared" si="55"/>
        <v>-0.1598</v>
      </c>
      <c r="Z72" s="35" t="s">
        <v>58</v>
      </c>
      <c r="AA72" s="28">
        <f t="shared" ref="AA72:AJ72" si="56">AA8+$E$27*AA41</f>
        <v>0.83740000000000003</v>
      </c>
      <c r="AB72" s="28">
        <f t="shared" si="56"/>
        <v>0.79790000000000005</v>
      </c>
      <c r="AC72" s="28">
        <f t="shared" si="56"/>
        <v>0.78169999999999995</v>
      </c>
      <c r="AD72" s="28">
        <f t="shared" si="56"/>
        <v>0.76629999999999998</v>
      </c>
      <c r="AE72" s="28">
        <f t="shared" si="56"/>
        <v>0.7319</v>
      </c>
      <c r="AF72" s="28">
        <f t="shared" si="56"/>
        <v>0.71640000000000004</v>
      </c>
      <c r="AG72" s="28">
        <f t="shared" si="56"/>
        <v>0.68520000000000003</v>
      </c>
      <c r="AH72" s="28">
        <f t="shared" si="56"/>
        <v>0.67559999999999998</v>
      </c>
      <c r="AI72" s="28">
        <f t="shared" si="56"/>
        <v>0.65529999999999999</v>
      </c>
      <c r="AJ72" s="28">
        <f t="shared" si="56"/>
        <v>0.62919999999999998</v>
      </c>
      <c r="AL72" s="35" t="s">
        <v>58</v>
      </c>
      <c r="AM72" s="37">
        <f t="shared" ref="AM72:AV72" si="57">C72*(1+(((2-3*O72^2)/24*AA72^2)+(O72*AA72*C72/4))*0.25)</f>
        <v>0.55626600075117405</v>
      </c>
      <c r="AN72" s="37">
        <f t="shared" si="57"/>
        <v>0.53320981761041752</v>
      </c>
      <c r="AO72" s="37">
        <f t="shared" si="57"/>
        <v>0.51950397869155007</v>
      </c>
      <c r="AP72" s="37">
        <f t="shared" si="57"/>
        <v>0.49203897318113238</v>
      </c>
      <c r="AQ72" s="37">
        <f t="shared" si="57"/>
        <v>0.47458819258924367</v>
      </c>
      <c r="AR72" s="37">
        <f t="shared" si="57"/>
        <v>0.45960002400388189</v>
      </c>
      <c r="AS72" s="37">
        <f t="shared" si="57"/>
        <v>0.4515371307293603</v>
      </c>
      <c r="AT72" s="37">
        <f t="shared" si="57"/>
        <v>0.42851918438625436</v>
      </c>
      <c r="AU72" s="37">
        <f t="shared" si="57"/>
        <v>0.40883756305808855</v>
      </c>
      <c r="AV72" s="37">
        <f t="shared" si="57"/>
        <v>0.39616215842906333</v>
      </c>
    </row>
    <row r="73" spans="1:48" ht="15" customHeight="1">
      <c r="B73" s="35" t="s">
        <v>59</v>
      </c>
      <c r="C73" s="28">
        <f t="shared" ref="C73:L73" si="58">C9+$C$27*C42</f>
        <v>0.54157500000000003</v>
      </c>
      <c r="D73" s="28">
        <f t="shared" si="58"/>
        <v>0.51271250000000002</v>
      </c>
      <c r="E73" s="28">
        <f t="shared" si="58"/>
        <v>0.50301249999999997</v>
      </c>
      <c r="F73" s="28">
        <f t="shared" si="58"/>
        <v>0.48294999999999999</v>
      </c>
      <c r="G73" s="28">
        <f t="shared" si="58"/>
        <v>0.46521250000000003</v>
      </c>
      <c r="H73" s="28">
        <f t="shared" si="58"/>
        <v>0.44455</v>
      </c>
      <c r="I73" s="28">
        <f t="shared" si="58"/>
        <v>0.43417499999999998</v>
      </c>
      <c r="J73" s="28">
        <f t="shared" si="58"/>
        <v>0.418875</v>
      </c>
      <c r="K73" s="28">
        <f t="shared" si="58"/>
        <v>0.39176249999999996</v>
      </c>
      <c r="L73" s="28">
        <f t="shared" si="58"/>
        <v>0.37735000000000002</v>
      </c>
      <c r="N73" s="35" t="s">
        <v>59</v>
      </c>
      <c r="O73" s="28">
        <f t="shared" ref="O73:X73" si="59">O9+$D$27*O42</f>
        <v>-0.31990000000000002</v>
      </c>
      <c r="P73" s="28">
        <f t="shared" si="59"/>
        <v>-0.28760000000000002</v>
      </c>
      <c r="Q73" s="28">
        <f t="shared" si="59"/>
        <v>-0.26929999999999998</v>
      </c>
      <c r="R73" s="28">
        <f t="shared" si="59"/>
        <v>-0.2429</v>
      </c>
      <c r="S73" s="28">
        <f t="shared" si="59"/>
        <v>-0.22689999999999999</v>
      </c>
      <c r="T73" s="28">
        <f t="shared" si="59"/>
        <v>-0.21820000000000001</v>
      </c>
      <c r="U73" s="28">
        <f t="shared" si="59"/>
        <v>-0.19670000000000001</v>
      </c>
      <c r="V73" s="28">
        <f t="shared" si="59"/>
        <v>-0.1716</v>
      </c>
      <c r="W73" s="28">
        <f t="shared" si="59"/>
        <v>-0.1651</v>
      </c>
      <c r="X73" s="28">
        <f t="shared" si="59"/>
        <v>-0.13689999999999999</v>
      </c>
      <c r="Z73" s="35" t="s">
        <v>59</v>
      </c>
      <c r="AA73" s="28">
        <f t="shared" ref="AA73:AJ73" si="60">AA9+$E$27*AA42</f>
        <v>0.79890000000000005</v>
      </c>
      <c r="AB73" s="28">
        <f t="shared" si="60"/>
        <v>0.77569999999999995</v>
      </c>
      <c r="AC73" s="28">
        <f t="shared" si="60"/>
        <v>0.75229999999999997</v>
      </c>
      <c r="AD73" s="28">
        <f t="shared" si="60"/>
        <v>0.74429999999999996</v>
      </c>
      <c r="AE73" s="28">
        <f t="shared" si="60"/>
        <v>0.70930000000000004</v>
      </c>
      <c r="AF73" s="28">
        <f t="shared" si="60"/>
        <v>0.68940000000000001</v>
      </c>
      <c r="AG73" s="28">
        <f t="shared" si="60"/>
        <v>0.67</v>
      </c>
      <c r="AH73" s="28">
        <f t="shared" si="60"/>
        <v>0.65739999999999998</v>
      </c>
      <c r="AI73" s="28">
        <f t="shared" si="60"/>
        <v>0.61939999999999995</v>
      </c>
      <c r="AJ73" s="28">
        <f t="shared" si="60"/>
        <v>0.60450000000000004</v>
      </c>
      <c r="AL73" s="35" t="s">
        <v>59</v>
      </c>
      <c r="AM73" s="37">
        <f t="shared" ref="AM73:AV73" si="61">C73*(1+(((2-3*O73^2)/24*AA73^2)+(O73*AA73*C73/4))*0.5)</f>
        <v>0.54439662209217898</v>
      </c>
      <c r="AN73" s="37">
        <f t="shared" si="61"/>
        <v>0.51664138938014603</v>
      </c>
      <c r="AO73" s="37">
        <f t="shared" si="61"/>
        <v>0.507176312306861</v>
      </c>
      <c r="AP73" s="37">
        <f t="shared" si="61"/>
        <v>0.48784019929861305</v>
      </c>
      <c r="AQ73" s="37">
        <f t="shared" si="61"/>
        <v>0.46985764188923718</v>
      </c>
      <c r="AR73" s="37">
        <f t="shared" si="61"/>
        <v>0.44900870360107387</v>
      </c>
      <c r="AS73" s="37">
        <f t="shared" si="61"/>
        <v>0.43871916640100117</v>
      </c>
      <c r="AT73" s="37">
        <f t="shared" si="61"/>
        <v>0.42361048667767787</v>
      </c>
      <c r="AU73" s="37">
        <f t="shared" si="61"/>
        <v>0.3958071448749414</v>
      </c>
      <c r="AV73" s="37">
        <f t="shared" si="61"/>
        <v>0.38146096753071063</v>
      </c>
    </row>
    <row r="74" spans="1:48" ht="15" customHeight="1">
      <c r="B74" s="35" t="s">
        <v>30</v>
      </c>
      <c r="C74" s="28">
        <f t="shared" ref="C74:L74" si="62">C10+$C$27*C43</f>
        <v>0.51731249999999995</v>
      </c>
      <c r="D74" s="28">
        <f t="shared" si="62"/>
        <v>0.50637500000000002</v>
      </c>
      <c r="E74" s="28">
        <f t="shared" si="62"/>
        <v>0.48782500000000001</v>
      </c>
      <c r="F74" s="28">
        <f t="shared" si="62"/>
        <v>0.47073749999999998</v>
      </c>
      <c r="G74" s="28">
        <f t="shared" si="62"/>
        <v>0.4407375</v>
      </c>
      <c r="H74" s="28">
        <f t="shared" si="62"/>
        <v>0.42581249999999998</v>
      </c>
      <c r="I74" s="28">
        <f t="shared" si="62"/>
        <v>0.406775</v>
      </c>
      <c r="J74" s="28">
        <f t="shared" si="62"/>
        <v>0.39942500000000003</v>
      </c>
      <c r="K74" s="28">
        <f t="shared" si="62"/>
        <v>0.38365000000000005</v>
      </c>
      <c r="L74" s="28">
        <f t="shared" si="62"/>
        <v>0.34926250000000003</v>
      </c>
      <c r="N74" s="35" t="s">
        <v>30</v>
      </c>
      <c r="O74" s="28">
        <f t="shared" ref="O74:X74" si="63">O10+$D$27*O43</f>
        <v>-0.29809999999999998</v>
      </c>
      <c r="P74" s="28">
        <f t="shared" si="63"/>
        <v>-0.27760000000000001</v>
      </c>
      <c r="Q74" s="28">
        <f t="shared" si="63"/>
        <v>-0.2581</v>
      </c>
      <c r="R74" s="28">
        <f t="shared" si="63"/>
        <v>-0.2336</v>
      </c>
      <c r="S74" s="28">
        <f t="shared" si="63"/>
        <v>-0.21210000000000001</v>
      </c>
      <c r="T74" s="28">
        <f t="shared" si="63"/>
        <v>-0.19919999999999999</v>
      </c>
      <c r="U74" s="28">
        <f t="shared" si="63"/>
        <v>-0.18490000000000001</v>
      </c>
      <c r="V74" s="28">
        <f t="shared" si="63"/>
        <v>-0.15720000000000001</v>
      </c>
      <c r="W74" s="28">
        <f t="shared" si="63"/>
        <v>-0.13869999999999999</v>
      </c>
      <c r="X74" s="28">
        <f t="shared" si="63"/>
        <v>-0.1153</v>
      </c>
      <c r="Z74" s="35" t="s">
        <v>30</v>
      </c>
      <c r="AA74" s="28">
        <f t="shared" ref="AA74:AJ74" si="64">AA10+$E$27*AA43</f>
        <v>0.79239999999999999</v>
      </c>
      <c r="AB74" s="28">
        <f t="shared" si="64"/>
        <v>0.76490000000000002</v>
      </c>
      <c r="AC74" s="28">
        <f t="shared" si="64"/>
        <v>0.73919999999999997</v>
      </c>
      <c r="AD74" s="28">
        <f t="shared" si="64"/>
        <v>0.71899999999999997</v>
      </c>
      <c r="AE74" s="28">
        <f t="shared" si="64"/>
        <v>0.69799999999999995</v>
      </c>
      <c r="AF74" s="28">
        <f t="shared" si="64"/>
        <v>0.6633</v>
      </c>
      <c r="AG74" s="28">
        <f t="shared" si="64"/>
        <v>0.65800000000000003</v>
      </c>
      <c r="AH74" s="28">
        <f t="shared" si="64"/>
        <v>0.63339999999999996</v>
      </c>
      <c r="AI74" s="28">
        <f t="shared" si="64"/>
        <v>0.61299999999999999</v>
      </c>
      <c r="AJ74" s="28">
        <f t="shared" si="64"/>
        <v>0.58930000000000005</v>
      </c>
      <c r="AL74" s="35" t="s">
        <v>30</v>
      </c>
      <c r="AM74" s="37">
        <f t="shared" ref="AM74:AV74" si="65">C74*(1+(((2-3*O74^2)/24*AA74^2)+(O74*AA74*C74/4))*1)</f>
        <v>0.52496923455392164</v>
      </c>
      <c r="AN74" s="37">
        <f t="shared" si="65"/>
        <v>0.51459839079683711</v>
      </c>
      <c r="AO74" s="37">
        <f t="shared" si="65"/>
        <v>0.49646779786194095</v>
      </c>
      <c r="AP74" s="37">
        <f t="shared" si="65"/>
        <v>0.48005233643024914</v>
      </c>
      <c r="AQ74" s="37">
        <f t="shared" si="65"/>
        <v>0.45023464586635992</v>
      </c>
      <c r="AR74" s="37">
        <f t="shared" si="65"/>
        <v>0.4345059106753667</v>
      </c>
      <c r="AS74" s="37">
        <f t="shared" si="65"/>
        <v>0.4156661140127571</v>
      </c>
      <c r="AT74" s="37">
        <f t="shared" si="65"/>
        <v>0.40831258311903268</v>
      </c>
      <c r="AU74" s="37">
        <f t="shared" si="65"/>
        <v>0.39218839520488724</v>
      </c>
      <c r="AV74" s="37">
        <f t="shared" si="65"/>
        <v>0.35709634637817073</v>
      </c>
    </row>
    <row r="75" spans="1:48" ht="15" customHeight="1">
      <c r="B75" s="35" t="s">
        <v>60</v>
      </c>
      <c r="C75" s="28">
        <f t="shared" ref="C75:L75" si="66">C11+$C$27*C44</f>
        <v>0.49675000000000002</v>
      </c>
      <c r="D75" s="28">
        <f t="shared" si="66"/>
        <v>0.47893750000000002</v>
      </c>
      <c r="E75" s="28">
        <f t="shared" si="66"/>
        <v>0.45511249999999998</v>
      </c>
      <c r="F75" s="28">
        <f t="shared" si="66"/>
        <v>0.44829999999999998</v>
      </c>
      <c r="G75" s="28">
        <f t="shared" si="66"/>
        <v>0.41862499999999997</v>
      </c>
      <c r="H75" s="28">
        <f t="shared" si="66"/>
        <v>0.40128749999999996</v>
      </c>
      <c r="I75" s="28">
        <f t="shared" si="66"/>
        <v>0.38596249999999999</v>
      </c>
      <c r="J75" s="28">
        <f t="shared" si="66"/>
        <v>0.36746250000000003</v>
      </c>
      <c r="K75" s="28">
        <f t="shared" si="66"/>
        <v>0.3530875</v>
      </c>
      <c r="L75" s="28">
        <f t="shared" si="66"/>
        <v>0.3296</v>
      </c>
      <c r="N75" s="35" t="s">
        <v>60</v>
      </c>
      <c r="O75" s="28">
        <f t="shared" ref="O75:X75" si="67">O11+$D$27*O44</f>
        <v>-0.28220000000000001</v>
      </c>
      <c r="P75" s="28">
        <f t="shared" si="67"/>
        <v>-0.25979999999999998</v>
      </c>
      <c r="Q75" s="28">
        <f t="shared" si="67"/>
        <v>-0.24129999999999999</v>
      </c>
      <c r="R75" s="28">
        <f t="shared" si="67"/>
        <v>-0.21659999999999999</v>
      </c>
      <c r="S75" s="28">
        <f t="shared" si="67"/>
        <v>-0.2039</v>
      </c>
      <c r="T75" s="28">
        <f t="shared" si="67"/>
        <v>-0.16750000000000001</v>
      </c>
      <c r="U75" s="28">
        <f t="shared" si="67"/>
        <v>-0.15329999999999999</v>
      </c>
      <c r="V75" s="28">
        <f t="shared" si="67"/>
        <v>-0.1431</v>
      </c>
      <c r="W75" s="28">
        <f t="shared" si="67"/>
        <v>-0.1216</v>
      </c>
      <c r="X75" s="28">
        <f t="shared" si="67"/>
        <v>-0.1003</v>
      </c>
      <c r="Z75" s="35" t="s">
        <v>60</v>
      </c>
      <c r="AA75" s="28">
        <f t="shared" ref="AA75:AJ75" si="68">AA11+$E$27*AA44</f>
        <v>0.75839999999999996</v>
      </c>
      <c r="AB75" s="28">
        <f t="shared" si="68"/>
        <v>0.73129999999999995</v>
      </c>
      <c r="AC75" s="28">
        <f t="shared" si="68"/>
        <v>0.72360000000000002</v>
      </c>
      <c r="AD75" s="28">
        <f t="shared" si="68"/>
        <v>0.70430000000000004</v>
      </c>
      <c r="AE75" s="28">
        <f t="shared" si="68"/>
        <v>0.67149999999999999</v>
      </c>
      <c r="AF75" s="28">
        <f t="shared" si="68"/>
        <v>0.64970000000000006</v>
      </c>
      <c r="AG75" s="28">
        <f t="shared" si="68"/>
        <v>0.61950000000000005</v>
      </c>
      <c r="AH75" s="28">
        <f t="shared" si="68"/>
        <v>0.59760000000000002</v>
      </c>
      <c r="AI75" s="28">
        <f t="shared" si="68"/>
        <v>0.58020000000000005</v>
      </c>
      <c r="AJ75" s="28">
        <f t="shared" si="68"/>
        <v>0.55640000000000001</v>
      </c>
      <c r="AL75" s="35" t="s">
        <v>60</v>
      </c>
      <c r="AM75" s="37">
        <f t="shared" ref="AM75:AV75" si="69">C75*(1+(((2-3*O75^2)/24*AA75^2)+(O75*AA75*C75/4))*2)</f>
        <v>0.51227504290417203</v>
      </c>
      <c r="AN75" s="37">
        <f t="shared" si="69"/>
        <v>0.49551447606278487</v>
      </c>
      <c r="AO75" s="37">
        <f t="shared" si="69"/>
        <v>0.47327698433232174</v>
      </c>
      <c r="AP75" s="37">
        <f t="shared" si="69"/>
        <v>0.46742479582438778</v>
      </c>
      <c r="AQ75" s="37">
        <f t="shared" si="69"/>
        <v>0.43612625527422211</v>
      </c>
      <c r="AR75" s="37">
        <f t="shared" si="69"/>
        <v>0.41956854098260554</v>
      </c>
      <c r="AS75" s="37">
        <f t="shared" si="69"/>
        <v>0.40270604603358762</v>
      </c>
      <c r="AT75" s="37">
        <f t="shared" si="69"/>
        <v>0.38288880542396259</v>
      </c>
      <c r="AU75" s="37">
        <f t="shared" si="69"/>
        <v>0.36806030304037579</v>
      </c>
      <c r="AV75" s="37">
        <f t="shared" si="69"/>
        <v>0.34331836174906111</v>
      </c>
    </row>
    <row r="76" spans="1:48" ht="15" customHeight="1">
      <c r="B76" s="35" t="s">
        <v>61</v>
      </c>
      <c r="C76" s="28">
        <f t="shared" ref="C76:L76" si="70">C12+$C$27*C45</f>
        <v>0.487925</v>
      </c>
      <c r="D76" s="28">
        <f t="shared" si="70"/>
        <v>0.456675</v>
      </c>
      <c r="E76" s="28">
        <f t="shared" si="70"/>
        <v>0.43577500000000002</v>
      </c>
      <c r="F76" s="28">
        <f t="shared" si="70"/>
        <v>0.43698750000000003</v>
      </c>
      <c r="G76" s="28">
        <f t="shared" si="70"/>
        <v>0.41026250000000003</v>
      </c>
      <c r="H76" s="28">
        <f t="shared" si="70"/>
        <v>0.38497500000000001</v>
      </c>
      <c r="I76" s="28">
        <f t="shared" si="70"/>
        <v>0.37538749999999999</v>
      </c>
      <c r="J76" s="28">
        <f t="shared" si="70"/>
        <v>0.34711250000000005</v>
      </c>
      <c r="K76" s="28">
        <f t="shared" si="70"/>
        <v>0.33897499999999997</v>
      </c>
      <c r="L76" s="28">
        <f t="shared" si="70"/>
        <v>0.33081250000000001</v>
      </c>
      <c r="N76" s="35" t="s">
        <v>61</v>
      </c>
      <c r="O76" s="28">
        <f t="shared" ref="O76:X76" si="71">O12+$D$27*O45</f>
        <v>-0.2455</v>
      </c>
      <c r="P76" s="28">
        <f t="shared" si="71"/>
        <v>-0.22939999999999999</v>
      </c>
      <c r="Q76" s="28">
        <f t="shared" si="71"/>
        <v>-0.21870000000000001</v>
      </c>
      <c r="R76" s="28">
        <f t="shared" si="71"/>
        <v>-0.1971</v>
      </c>
      <c r="S76" s="28">
        <f t="shared" si="71"/>
        <v>-0.1817</v>
      </c>
      <c r="T76" s="28">
        <f t="shared" si="71"/>
        <v>-0.15010000000000001</v>
      </c>
      <c r="U76" s="28">
        <f t="shared" si="71"/>
        <v>-0.13550000000000001</v>
      </c>
      <c r="V76" s="28">
        <f t="shared" si="71"/>
        <v>-0.1111</v>
      </c>
      <c r="W76" s="28">
        <f t="shared" si="71"/>
        <v>-0.10059999999999999</v>
      </c>
      <c r="X76" s="28">
        <f t="shared" si="71"/>
        <v>-8.3299999999999999E-2</v>
      </c>
      <c r="Z76" s="35" t="s">
        <v>61</v>
      </c>
      <c r="AA76" s="28">
        <f t="shared" ref="AA76:AJ76" si="72">AA12+$E$27*AA45</f>
        <v>0.74509999999999998</v>
      </c>
      <c r="AB76" s="28">
        <f t="shared" si="72"/>
        <v>0.72640000000000005</v>
      </c>
      <c r="AC76" s="28">
        <f t="shared" si="72"/>
        <v>0.70150000000000001</v>
      </c>
      <c r="AD76" s="28">
        <f t="shared" si="72"/>
        <v>0.67830000000000001</v>
      </c>
      <c r="AE76" s="28">
        <f t="shared" si="72"/>
        <v>0.65639999999999998</v>
      </c>
      <c r="AF76" s="28">
        <f t="shared" si="72"/>
        <v>0.63260000000000005</v>
      </c>
      <c r="AG76" s="28">
        <f t="shared" si="72"/>
        <v>0.60009999999999997</v>
      </c>
      <c r="AH76" s="28">
        <f t="shared" si="72"/>
        <v>0.5837</v>
      </c>
      <c r="AI76" s="28">
        <f t="shared" si="72"/>
        <v>0.55820000000000003</v>
      </c>
      <c r="AJ76" s="28">
        <f t="shared" si="72"/>
        <v>0.52949999999999997</v>
      </c>
      <c r="AL76" s="35" t="s">
        <v>61</v>
      </c>
      <c r="AM76" s="37">
        <f t="shared" ref="AM76:AV76" si="73">C76*(1+(((2-3*O76^2)/24*AA76^2)+(O76*AA76*C76/4))*3)</f>
        <v>0.51686219374880815</v>
      </c>
      <c r="AN76" s="37">
        <f t="shared" si="73"/>
        <v>0.4860974103145298</v>
      </c>
      <c r="AO76" s="37">
        <f t="shared" si="73"/>
        <v>0.46368958632369406</v>
      </c>
      <c r="AP76" s="37">
        <f t="shared" si="73"/>
        <v>0.46517469840250059</v>
      </c>
      <c r="AQ76" s="37">
        <f t="shared" si="73"/>
        <v>0.4372095977690153</v>
      </c>
      <c r="AR76" s="37">
        <f t="shared" si="73"/>
        <v>0.41163400710066617</v>
      </c>
      <c r="AS76" s="37">
        <f t="shared" si="73"/>
        <v>0.39965910781470187</v>
      </c>
      <c r="AT76" s="37">
        <f t="shared" si="73"/>
        <v>0.37027078893388488</v>
      </c>
      <c r="AU76" s="37">
        <f t="shared" si="73"/>
        <v>0.36013990710276261</v>
      </c>
      <c r="AV76" s="37">
        <f t="shared" si="73"/>
        <v>0.35013842353321512</v>
      </c>
    </row>
    <row r="77" spans="1:48" ht="15" customHeight="1">
      <c r="B77" s="35" t="s">
        <v>62</v>
      </c>
      <c r="C77" s="28">
        <f t="shared" ref="C77:L77" si="74">C13+$C$27*C46</f>
        <v>0.45363749999999997</v>
      </c>
      <c r="D77" s="28">
        <f t="shared" si="74"/>
        <v>0.44083749999999999</v>
      </c>
      <c r="E77" s="28">
        <f t="shared" si="74"/>
        <v>0.42309999999999998</v>
      </c>
      <c r="F77" s="28">
        <f t="shared" si="74"/>
        <v>0.41364999999999996</v>
      </c>
      <c r="G77" s="28">
        <f t="shared" si="74"/>
        <v>0.40110000000000001</v>
      </c>
      <c r="H77" s="28">
        <f t="shared" si="74"/>
        <v>0.37289999999999995</v>
      </c>
      <c r="I77" s="28">
        <f t="shared" si="74"/>
        <v>0.36488750000000003</v>
      </c>
      <c r="J77" s="28">
        <f t="shared" si="74"/>
        <v>0.3485375</v>
      </c>
      <c r="K77" s="28">
        <f t="shared" si="74"/>
        <v>0.3298625</v>
      </c>
      <c r="L77" s="28">
        <f t="shared" si="74"/>
        <v>0.30049999999999999</v>
      </c>
      <c r="N77" s="35" t="s">
        <v>62</v>
      </c>
      <c r="O77" s="28">
        <f t="shared" ref="O77:X77" si="75">O13+$D$27*O46</f>
        <v>-0.2389</v>
      </c>
      <c r="P77" s="28">
        <f t="shared" si="75"/>
        <v>-0.21940000000000001</v>
      </c>
      <c r="Q77" s="28">
        <f t="shared" si="75"/>
        <v>-0.20050000000000001</v>
      </c>
      <c r="R77" s="28">
        <f t="shared" si="75"/>
        <v>-0.18090000000000001</v>
      </c>
      <c r="S77" s="28">
        <f t="shared" si="75"/>
        <v>-0.15310000000000001</v>
      </c>
      <c r="T77" s="28">
        <f t="shared" si="75"/>
        <v>-0.12809999999999999</v>
      </c>
      <c r="U77" s="28">
        <f t="shared" si="75"/>
        <v>-0.1099</v>
      </c>
      <c r="V77" s="28">
        <f t="shared" si="75"/>
        <v>-9.7600000000000006E-2</v>
      </c>
      <c r="W77" s="28">
        <f t="shared" si="75"/>
        <v>-7.4700000000000003E-2</v>
      </c>
      <c r="X77" s="28">
        <f t="shared" si="75"/>
        <v>-5.2299999999999999E-2</v>
      </c>
      <c r="Z77" s="35" t="s">
        <v>62</v>
      </c>
      <c r="AA77" s="28">
        <f t="shared" ref="AA77:AJ77" si="76">AA13+$E$27*AA46</f>
        <v>0.70840000000000003</v>
      </c>
      <c r="AB77" s="28">
        <f t="shared" si="76"/>
        <v>0.69769999999999999</v>
      </c>
      <c r="AC77" s="28">
        <f t="shared" si="76"/>
        <v>0.6804</v>
      </c>
      <c r="AD77" s="28">
        <f t="shared" si="76"/>
        <v>0.65559999999999996</v>
      </c>
      <c r="AE77" s="28">
        <f t="shared" si="76"/>
        <v>0.63280000000000003</v>
      </c>
      <c r="AF77" s="28">
        <f t="shared" si="76"/>
        <v>0.60509999999999997</v>
      </c>
      <c r="AG77" s="28">
        <f t="shared" si="76"/>
        <v>0.57689999999999997</v>
      </c>
      <c r="AH77" s="28">
        <f t="shared" si="76"/>
        <v>0.56689999999999996</v>
      </c>
      <c r="AI77" s="28">
        <f t="shared" si="76"/>
        <v>0.53549999999999998</v>
      </c>
      <c r="AJ77" s="28">
        <f t="shared" si="76"/>
        <v>0.52270000000000005</v>
      </c>
      <c r="AL77" s="35" t="s">
        <v>62</v>
      </c>
      <c r="AM77" s="37">
        <f t="shared" ref="AM77:AV77" si="77">C77*(1+(((2-3*O77^2)/24*AA77^2)+(O77*AA77*C77/4))*5)</f>
        <v>0.49683749674279126</v>
      </c>
      <c r="AN77" s="37">
        <f t="shared" si="77"/>
        <v>0.4866098557382052</v>
      </c>
      <c r="AO77" s="37">
        <f t="shared" si="77"/>
        <v>0.4692655505247364</v>
      </c>
      <c r="AP77" s="37">
        <f t="shared" si="77"/>
        <v>0.45872731564856911</v>
      </c>
      <c r="AQ77" s="37">
        <f t="shared" si="77"/>
        <v>0.44618681948235867</v>
      </c>
      <c r="AR77" s="37">
        <f t="shared" si="77"/>
        <v>0.41491641431574955</v>
      </c>
      <c r="AS77" s="37">
        <f t="shared" si="77"/>
        <v>0.40401879329950802</v>
      </c>
      <c r="AT77" s="37">
        <f t="shared" si="77"/>
        <v>0.38614040277946859</v>
      </c>
      <c r="AU77" s="37">
        <f t="shared" si="77"/>
        <v>0.3635049973226101</v>
      </c>
      <c r="AV77" s="37">
        <f t="shared" si="77"/>
        <v>0.33148277837001738</v>
      </c>
    </row>
    <row r="78" spans="1:48" ht="15" customHeight="1">
      <c r="B78" s="35" t="s">
        <v>63</v>
      </c>
      <c r="C78" s="28">
        <f t="shared" ref="C78:L78" si="78">C14+$C$27*C47</f>
        <v>0.45482500000000003</v>
      </c>
      <c r="D78" s="28">
        <f t="shared" si="78"/>
        <v>0.42556250000000001</v>
      </c>
      <c r="E78" s="28">
        <f t="shared" si="78"/>
        <v>0.408225</v>
      </c>
      <c r="F78" s="28">
        <f t="shared" si="78"/>
        <v>0.40103749999999999</v>
      </c>
      <c r="G78" s="28">
        <f t="shared" si="78"/>
        <v>0.37887499999999996</v>
      </c>
      <c r="H78" s="28">
        <f t="shared" si="78"/>
        <v>0.35017499999999996</v>
      </c>
      <c r="I78" s="28">
        <f t="shared" si="78"/>
        <v>0.33103750000000004</v>
      </c>
      <c r="J78" s="28">
        <f t="shared" si="78"/>
        <v>0.31368749999999995</v>
      </c>
      <c r="K78" s="28">
        <f t="shared" si="78"/>
        <v>0.31153749999999997</v>
      </c>
      <c r="L78" s="28">
        <f t="shared" si="78"/>
        <v>0.29173749999999998</v>
      </c>
      <c r="N78" s="35" t="s">
        <v>63</v>
      </c>
      <c r="O78" s="28">
        <f t="shared" ref="O78:X78" si="79">O14+$D$27*O47</f>
        <v>-0.221</v>
      </c>
      <c r="P78" s="28">
        <f t="shared" si="79"/>
        <v>-0.18790000000000001</v>
      </c>
      <c r="Q78" s="28">
        <f t="shared" si="79"/>
        <v>-0.16539999999999999</v>
      </c>
      <c r="R78" s="28">
        <f t="shared" si="79"/>
        <v>-0.15240000000000001</v>
      </c>
      <c r="S78" s="28">
        <f t="shared" si="79"/>
        <v>-0.1391</v>
      </c>
      <c r="T78" s="28">
        <f t="shared" si="79"/>
        <v>-0.1157</v>
      </c>
      <c r="U78" s="28">
        <f t="shared" si="79"/>
        <v>-0.1046</v>
      </c>
      <c r="V78" s="28">
        <f t="shared" si="79"/>
        <v>-8.7499999999999994E-2</v>
      </c>
      <c r="W78" s="28">
        <f t="shared" si="79"/>
        <v>-4.8899999999999999E-2</v>
      </c>
      <c r="X78" s="28">
        <f t="shared" si="79"/>
        <v>-3.5900000000000001E-2</v>
      </c>
      <c r="Z78" s="35" t="s">
        <v>63</v>
      </c>
      <c r="AA78" s="28">
        <f t="shared" ref="AA78:AJ78" si="80">AA14+$E$27*AA47</f>
        <v>0.69499999999999995</v>
      </c>
      <c r="AB78" s="28">
        <f t="shared" si="80"/>
        <v>0.68089999999999995</v>
      </c>
      <c r="AC78" s="28">
        <f t="shared" si="80"/>
        <v>0.64870000000000005</v>
      </c>
      <c r="AD78" s="28">
        <f t="shared" si="80"/>
        <v>0.63519999999999999</v>
      </c>
      <c r="AE78" s="28">
        <f t="shared" si="80"/>
        <v>0.61209999999999998</v>
      </c>
      <c r="AF78" s="28">
        <f t="shared" si="80"/>
        <v>0.5776</v>
      </c>
      <c r="AG78" s="28">
        <f t="shared" si="80"/>
        <v>0.55610000000000004</v>
      </c>
      <c r="AH78" s="28">
        <f t="shared" si="80"/>
        <v>0.53469999999999995</v>
      </c>
      <c r="AI78" s="28">
        <f t="shared" si="80"/>
        <v>0.51149999999999995</v>
      </c>
      <c r="AJ78" s="28">
        <f t="shared" si="80"/>
        <v>0.49619999999999997</v>
      </c>
      <c r="AL78" s="35" t="s">
        <v>63</v>
      </c>
      <c r="AM78" s="37">
        <f t="shared" ref="AM78:AV78" si="81">C78*(1+(((2-3*O78^2)/24*AA78^2)+(O78*AA78*C78/4))*10)</f>
        <v>0.54505520229287785</v>
      </c>
      <c r="AN78" s="37">
        <f t="shared" si="81"/>
        <v>0.52334633717088475</v>
      </c>
      <c r="AO78" s="37">
        <f t="shared" si="81"/>
        <v>0.50080426963597069</v>
      </c>
      <c r="AP78" s="37">
        <f t="shared" si="81"/>
        <v>0.49225872595942116</v>
      </c>
      <c r="AQ78" s="37">
        <f t="shared" si="81"/>
        <v>0.46317992823335585</v>
      </c>
      <c r="AR78" s="37">
        <f t="shared" si="81"/>
        <v>0.42508849295274442</v>
      </c>
      <c r="AS78" s="37">
        <f t="shared" si="81"/>
        <v>0.3990117740914022</v>
      </c>
      <c r="AT78" s="37">
        <f t="shared" si="81"/>
        <v>0.37605690727867686</v>
      </c>
      <c r="AU78" s="37">
        <f t="shared" si="81"/>
        <v>0.37314844590981411</v>
      </c>
      <c r="AV78" s="37">
        <f t="shared" si="81"/>
        <v>0.34768978326030242</v>
      </c>
    </row>
    <row r="79" spans="1:48" ht="15" customHeight="1">
      <c r="B79" s="35" t="s">
        <v>64</v>
      </c>
      <c r="C79" s="28">
        <f t="shared" ref="C79:L79" si="82">C15+$C$27*C48</f>
        <v>0.42271249999999999</v>
      </c>
      <c r="D79" s="28">
        <f t="shared" si="82"/>
        <v>0.4080375</v>
      </c>
      <c r="E79" s="28">
        <f t="shared" si="82"/>
        <v>0.38492500000000002</v>
      </c>
      <c r="F79" s="28">
        <f t="shared" si="82"/>
        <v>0.38285000000000002</v>
      </c>
      <c r="G79" s="28">
        <f t="shared" si="82"/>
        <v>0.35337499999999999</v>
      </c>
      <c r="H79" s="28">
        <f t="shared" si="82"/>
        <v>0.33821250000000003</v>
      </c>
      <c r="I79" s="28">
        <f t="shared" si="82"/>
        <v>0.3228375</v>
      </c>
      <c r="J79" s="28">
        <f t="shared" si="82"/>
        <v>0.31129999999999997</v>
      </c>
      <c r="K79" s="28">
        <f t="shared" si="82"/>
        <v>0.28363749999999999</v>
      </c>
      <c r="L79" s="28">
        <f t="shared" si="82"/>
        <v>0.27687500000000004</v>
      </c>
      <c r="N79" s="35" t="s">
        <v>64</v>
      </c>
      <c r="O79" s="28">
        <f t="shared" ref="O79:X79" si="83">O15+$D$27*O48</f>
        <v>-0.19439999999999999</v>
      </c>
      <c r="P79" s="28">
        <f t="shared" si="83"/>
        <v>-0.1744</v>
      </c>
      <c r="Q79" s="28">
        <f t="shared" si="83"/>
        <v>-0.15509999999999999</v>
      </c>
      <c r="R79" s="28">
        <f t="shared" si="83"/>
        <v>-0.1457</v>
      </c>
      <c r="S79" s="28">
        <f t="shared" si="83"/>
        <v>-0.1179</v>
      </c>
      <c r="T79" s="28">
        <f t="shared" si="83"/>
        <v>-0.1036</v>
      </c>
      <c r="U79" s="28">
        <f t="shared" si="83"/>
        <v>-8.77E-2</v>
      </c>
      <c r="V79" s="28">
        <f t="shared" si="83"/>
        <v>-5.2299999999999999E-2</v>
      </c>
      <c r="W79" s="28">
        <f t="shared" si="83"/>
        <v>-4.5400000000000003E-2</v>
      </c>
      <c r="X79" s="28">
        <f t="shared" si="83"/>
        <v>-0.02</v>
      </c>
      <c r="Z79" s="35" t="s">
        <v>64</v>
      </c>
      <c r="AA79" s="28">
        <f t="shared" ref="AA79:AJ79" si="84">AA15+$E$27*AA48</f>
        <v>0.67669999999999997</v>
      </c>
      <c r="AB79" s="28">
        <f t="shared" si="84"/>
        <v>0.65110000000000001</v>
      </c>
      <c r="AC79" s="28">
        <f t="shared" si="84"/>
        <v>0.62429999999999997</v>
      </c>
      <c r="AD79" s="28">
        <f t="shared" si="84"/>
        <v>0.60589999999999999</v>
      </c>
      <c r="AE79" s="28">
        <f t="shared" si="84"/>
        <v>0.58440000000000003</v>
      </c>
      <c r="AF79" s="28">
        <f t="shared" si="84"/>
        <v>0.56679999999999997</v>
      </c>
      <c r="AG79" s="28">
        <f t="shared" si="84"/>
        <v>0.53100000000000003</v>
      </c>
      <c r="AH79" s="28">
        <f t="shared" si="84"/>
        <v>0.51790000000000003</v>
      </c>
      <c r="AI79" s="28">
        <f t="shared" si="84"/>
        <v>0.4894</v>
      </c>
      <c r="AJ79" s="28">
        <f t="shared" si="84"/>
        <v>0.46779999999999999</v>
      </c>
      <c r="AL79" s="35" t="s">
        <v>64</v>
      </c>
      <c r="AM79" s="37">
        <f t="shared" ref="AM79:AV79" si="85">C79*(1+(((2-3*O79^2)/24*AA79^2)+(O79*AA79*C79/4))*20)</f>
        <v>0.60950950600101439</v>
      </c>
      <c r="AN79" s="37">
        <f t="shared" si="85"/>
        <v>0.58865526721275085</v>
      </c>
      <c r="AO79" s="37">
        <f t="shared" si="85"/>
        <v>0.55420930517128031</v>
      </c>
      <c r="AP79" s="37">
        <f t="shared" si="85"/>
        <v>0.54494313953902529</v>
      </c>
      <c r="AQ79" s="37">
        <f t="shared" si="85"/>
        <v>0.50730454320337537</v>
      </c>
      <c r="AR79" s="37">
        <f t="shared" si="85"/>
        <v>0.4828040351994507</v>
      </c>
      <c r="AS79" s="37">
        <f t="shared" si="85"/>
        <v>0.44853194877604091</v>
      </c>
      <c r="AT79" s="37">
        <f t="shared" si="85"/>
        <v>0.43676642719404624</v>
      </c>
      <c r="AU79" s="37">
        <f t="shared" si="85"/>
        <v>0.38757439578267572</v>
      </c>
      <c r="AV79" s="37">
        <f t="shared" si="85"/>
        <v>0.37421234917232088</v>
      </c>
    </row>
    <row r="80" spans="1:48" ht="15" customHeight="1">
      <c r="B80" s="35" t="s">
        <v>65</v>
      </c>
      <c r="C80" s="28">
        <f t="shared" ref="C80:L80" si="86">C16+$C$27*C49</f>
        <v>0.41492499999999999</v>
      </c>
      <c r="D80" s="28">
        <f t="shared" si="86"/>
        <v>0.3926</v>
      </c>
      <c r="E80" s="28">
        <f t="shared" si="86"/>
        <v>0.37532500000000002</v>
      </c>
      <c r="F80" s="28">
        <f t="shared" si="86"/>
        <v>0.36185</v>
      </c>
      <c r="G80" s="28">
        <f t="shared" si="86"/>
        <v>0.34678750000000003</v>
      </c>
      <c r="H80" s="28">
        <f t="shared" si="86"/>
        <v>0.31998749999999998</v>
      </c>
      <c r="I80" s="28">
        <f t="shared" si="86"/>
        <v>0.30549999999999999</v>
      </c>
      <c r="J80" s="28">
        <f t="shared" si="86"/>
        <v>0.285275</v>
      </c>
      <c r="K80" s="28">
        <f t="shared" si="86"/>
        <v>0.26877500000000004</v>
      </c>
      <c r="L80" s="28">
        <f t="shared" si="86"/>
        <v>0.25577500000000003</v>
      </c>
      <c r="N80" s="35" t="s">
        <v>65</v>
      </c>
      <c r="O80" s="28">
        <f t="shared" ref="O80:X80" si="87">O16+$D$27*O49</f>
        <v>-0.17599999999999999</v>
      </c>
      <c r="P80" s="28">
        <f t="shared" si="87"/>
        <v>-0.15490000000000001</v>
      </c>
      <c r="Q80" s="28">
        <f t="shared" si="87"/>
        <v>-0.1366</v>
      </c>
      <c r="R80" s="28">
        <f t="shared" si="87"/>
        <v>-0.10780000000000001</v>
      </c>
      <c r="S80" s="28">
        <f t="shared" si="87"/>
        <v>-9.3200000000000005E-2</v>
      </c>
      <c r="T80" s="28">
        <f t="shared" si="87"/>
        <v>-7.0199999999999999E-2</v>
      </c>
      <c r="U80" s="28">
        <f t="shared" si="87"/>
        <v>-4.9500000000000002E-2</v>
      </c>
      <c r="V80" s="28">
        <f t="shared" si="87"/>
        <v>-4.3700000000000003E-2</v>
      </c>
      <c r="W80" s="28">
        <f t="shared" si="87"/>
        <v>-1.83E-2</v>
      </c>
      <c r="X80" s="28">
        <f t="shared" si="87"/>
        <v>8.8999999999999999E-3</v>
      </c>
      <c r="Z80" s="35" t="s">
        <v>65</v>
      </c>
      <c r="AA80" s="28">
        <f t="shared" ref="AA80:AJ80" si="88">AA16+$E$27*AA49</f>
        <v>0.65680000000000005</v>
      </c>
      <c r="AB80" s="28">
        <f t="shared" si="88"/>
        <v>0.62050000000000005</v>
      </c>
      <c r="AC80" s="28">
        <f t="shared" si="88"/>
        <v>0.59799999999999998</v>
      </c>
      <c r="AD80" s="28">
        <f t="shared" si="88"/>
        <v>0.58220000000000005</v>
      </c>
      <c r="AE80" s="28">
        <f t="shared" si="88"/>
        <v>0.55259999999999998</v>
      </c>
      <c r="AF80" s="28">
        <f t="shared" si="88"/>
        <v>0.53369999999999995</v>
      </c>
      <c r="AG80" s="28">
        <f t="shared" si="88"/>
        <v>0.5081</v>
      </c>
      <c r="AH80" s="28">
        <f t="shared" si="88"/>
        <v>0.49780000000000002</v>
      </c>
      <c r="AI80" s="28">
        <f t="shared" si="88"/>
        <v>0.47789999999999999</v>
      </c>
      <c r="AJ80" s="28">
        <f t="shared" si="88"/>
        <v>0.45789999999999997</v>
      </c>
      <c r="AL80" s="35" t="s">
        <v>65</v>
      </c>
      <c r="AM80" s="37">
        <f t="shared" ref="AM80:AV80" si="89">C80*(1+(((2-3*O80^2)/24*AA80^2)+(O80*AA80*C80/4))*30)</f>
        <v>0.69235454245624706</v>
      </c>
      <c r="AN80" s="37">
        <f t="shared" si="89"/>
        <v>0.64578597663410275</v>
      </c>
      <c r="AO80" s="37">
        <f t="shared" si="89"/>
        <v>0.61517419439376075</v>
      </c>
      <c r="AP80" s="37">
        <f t="shared" si="89"/>
        <v>0.60150146199270615</v>
      </c>
      <c r="AQ80" s="37">
        <f t="shared" si="89"/>
        <v>0.56162837662051823</v>
      </c>
      <c r="AR80" s="37">
        <f t="shared" si="89"/>
        <v>0.51739135825426363</v>
      </c>
      <c r="AS80" s="37">
        <f t="shared" si="89"/>
        <v>0.48434421291943164</v>
      </c>
      <c r="AT80" s="37">
        <f t="shared" si="89"/>
        <v>0.44822229498308291</v>
      </c>
      <c r="AU80" s="37">
        <f t="shared" si="89"/>
        <v>0.41742229767326661</v>
      </c>
      <c r="AV80" s="37">
        <f t="shared" si="89"/>
        <v>0.39183104870767493</v>
      </c>
    </row>
    <row r="82" spans="1:48" ht="15" customHeight="1">
      <c r="A82" s="7" t="s">
        <v>134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spans="1:48" ht="15" customHeight="1">
      <c r="B83" s="7" t="s">
        <v>115</v>
      </c>
      <c r="C83" s="7"/>
      <c r="D83" s="7"/>
      <c r="E83" s="7"/>
      <c r="F83" s="7"/>
      <c r="G83" s="7"/>
      <c r="H83" s="7"/>
      <c r="I83" s="7"/>
      <c r="J83" s="7"/>
      <c r="K83" s="7"/>
      <c r="L83" s="7"/>
      <c r="N83" s="7" t="s">
        <v>116</v>
      </c>
      <c r="O83" s="7"/>
      <c r="P83" s="7"/>
      <c r="Q83" s="7"/>
      <c r="R83" s="7"/>
      <c r="S83" s="7"/>
      <c r="T83" s="7"/>
      <c r="U83" s="7"/>
      <c r="V83" s="7"/>
      <c r="W83" s="7"/>
      <c r="X83" s="7"/>
      <c r="Z83" s="7" t="s">
        <v>117</v>
      </c>
      <c r="AA83" s="7"/>
      <c r="AB83" s="7"/>
      <c r="AC83" s="7"/>
      <c r="AD83" s="7"/>
      <c r="AE83" s="7"/>
      <c r="AF83" s="7"/>
      <c r="AG83" s="7"/>
      <c r="AH83" s="7"/>
      <c r="AI83" s="7"/>
      <c r="AJ83" s="7"/>
      <c r="AL83" s="6" t="s">
        <v>118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ht="15" customHeight="1">
      <c r="B84" s="20" t="s">
        <v>119</v>
      </c>
      <c r="C84" s="21" t="s">
        <v>120</v>
      </c>
      <c r="D84" s="21" t="s">
        <v>58</v>
      </c>
      <c r="E84" s="21" t="s">
        <v>59</v>
      </c>
      <c r="F84" s="21" t="s">
        <v>30</v>
      </c>
      <c r="G84" s="21" t="s">
        <v>60</v>
      </c>
      <c r="H84" s="21" t="s">
        <v>61</v>
      </c>
      <c r="I84" s="21" t="s">
        <v>62</v>
      </c>
      <c r="J84" s="21" t="s">
        <v>63</v>
      </c>
      <c r="K84" s="21" t="s">
        <v>64</v>
      </c>
      <c r="L84" s="21" t="s">
        <v>65</v>
      </c>
      <c r="N84" s="20" t="s">
        <v>119</v>
      </c>
      <c r="O84" s="21" t="s">
        <v>120</v>
      </c>
      <c r="P84" s="21" t="s">
        <v>58</v>
      </c>
      <c r="Q84" s="21" t="s">
        <v>59</v>
      </c>
      <c r="R84" s="21" t="s">
        <v>30</v>
      </c>
      <c r="S84" s="21" t="s">
        <v>60</v>
      </c>
      <c r="T84" s="21" t="s">
        <v>61</v>
      </c>
      <c r="U84" s="21" t="s">
        <v>62</v>
      </c>
      <c r="V84" s="21" t="s">
        <v>63</v>
      </c>
      <c r="W84" s="21" t="s">
        <v>64</v>
      </c>
      <c r="X84" s="21" t="s">
        <v>65</v>
      </c>
      <c r="Z84" s="20" t="s">
        <v>119</v>
      </c>
      <c r="AA84" s="21" t="s">
        <v>120</v>
      </c>
      <c r="AB84" s="21" t="s">
        <v>58</v>
      </c>
      <c r="AC84" s="21" t="s">
        <v>59</v>
      </c>
      <c r="AD84" s="21" t="s">
        <v>30</v>
      </c>
      <c r="AE84" s="21" t="s">
        <v>60</v>
      </c>
      <c r="AF84" s="21" t="s">
        <v>61</v>
      </c>
      <c r="AG84" s="21" t="s">
        <v>62</v>
      </c>
      <c r="AH84" s="21" t="s">
        <v>63</v>
      </c>
      <c r="AI84" s="21" t="s">
        <v>64</v>
      </c>
      <c r="AJ84" s="21" t="s">
        <v>65</v>
      </c>
      <c r="AL84" s="20" t="s">
        <v>119</v>
      </c>
      <c r="AM84" s="21" t="s">
        <v>120</v>
      </c>
      <c r="AN84" s="21" t="s">
        <v>58</v>
      </c>
      <c r="AO84" s="21" t="s">
        <v>59</v>
      </c>
      <c r="AP84" s="21" t="s">
        <v>30</v>
      </c>
      <c r="AQ84" s="21" t="s">
        <v>60</v>
      </c>
      <c r="AR84" s="21" t="s">
        <v>61</v>
      </c>
      <c r="AS84" s="21" t="s">
        <v>62</v>
      </c>
      <c r="AT84" s="21" t="s">
        <v>63</v>
      </c>
      <c r="AU84" s="21" t="s">
        <v>64</v>
      </c>
      <c r="AV84" s="21" t="s">
        <v>65</v>
      </c>
    </row>
    <row r="85" spans="1:48" ht="15" customHeight="1">
      <c r="B85" s="35" t="s">
        <v>120</v>
      </c>
      <c r="C85" s="28">
        <f t="shared" ref="C85:L85" si="90">C7+$C$28*C40</f>
        <v>0.56571199999999999</v>
      </c>
      <c r="D85" s="28">
        <f t="shared" si="90"/>
        <v>0.54461599999999999</v>
      </c>
      <c r="E85" s="28">
        <f t="shared" si="90"/>
        <v>0.53673999999999999</v>
      </c>
      <c r="F85" s="28">
        <f t="shared" si="90"/>
        <v>0.50748000000000004</v>
      </c>
      <c r="G85" s="28">
        <f t="shared" si="90"/>
        <v>0.498944</v>
      </c>
      <c r="H85" s="28">
        <f t="shared" si="90"/>
        <v>0.47764400000000001</v>
      </c>
      <c r="I85" s="28">
        <f t="shared" si="90"/>
        <v>0.45427999999999996</v>
      </c>
      <c r="J85" s="28">
        <f t="shared" si="90"/>
        <v>0.44550000000000001</v>
      </c>
      <c r="K85" s="28">
        <f t="shared" si="90"/>
        <v>0.41819999999999996</v>
      </c>
      <c r="L85" s="28">
        <f t="shared" si="90"/>
        <v>0.40832400000000002</v>
      </c>
      <c r="N85" s="35" t="s">
        <v>120</v>
      </c>
      <c r="O85" s="28">
        <f t="shared" ref="O85:X85" si="91">O7+$D$28*O40</f>
        <v>-0.35859999999999997</v>
      </c>
      <c r="P85" s="28">
        <f t="shared" si="91"/>
        <v>-0.3387</v>
      </c>
      <c r="Q85" s="28">
        <f t="shared" si="91"/>
        <v>-0.31259999999999999</v>
      </c>
      <c r="R85" s="28">
        <f t="shared" si="91"/>
        <v>-0.28510000000000002</v>
      </c>
      <c r="S85" s="28">
        <f t="shared" si="91"/>
        <v>-0.2797</v>
      </c>
      <c r="T85" s="28">
        <f t="shared" si="91"/>
        <v>-0.25829999999999997</v>
      </c>
      <c r="U85" s="28">
        <f t="shared" si="91"/>
        <v>-0.23080000000000001</v>
      </c>
      <c r="V85" s="28">
        <f t="shared" si="91"/>
        <v>-0.2049</v>
      </c>
      <c r="W85" s="28">
        <f t="shared" si="91"/>
        <v>-0.19289999999999999</v>
      </c>
      <c r="X85" s="28">
        <f t="shared" si="91"/>
        <v>-0.17710000000000001</v>
      </c>
      <c r="Z85" s="35" t="s">
        <v>120</v>
      </c>
      <c r="AA85" s="28">
        <f t="shared" ref="AA85:AJ85" si="92">AA7+$E$28*AA40</f>
        <v>0.85950000000000004</v>
      </c>
      <c r="AB85" s="28">
        <f t="shared" si="92"/>
        <v>0.81869999999999998</v>
      </c>
      <c r="AC85" s="28">
        <f t="shared" si="92"/>
        <v>0.81269999999999998</v>
      </c>
      <c r="AD85" s="28">
        <f t="shared" si="92"/>
        <v>0.77910000000000001</v>
      </c>
      <c r="AE85" s="28">
        <f t="shared" si="92"/>
        <v>0.754</v>
      </c>
      <c r="AF85" s="28">
        <f t="shared" si="92"/>
        <v>0.73119999999999996</v>
      </c>
      <c r="AG85" s="28">
        <f t="shared" si="92"/>
        <v>0.71279999999999999</v>
      </c>
      <c r="AH85" s="28">
        <f t="shared" si="92"/>
        <v>0.70079999999999998</v>
      </c>
      <c r="AI85" s="28">
        <f t="shared" si="92"/>
        <v>0.66579999999999995</v>
      </c>
      <c r="AJ85" s="28">
        <f t="shared" si="92"/>
        <v>0.65159999999999996</v>
      </c>
      <c r="AL85" s="35" t="s">
        <v>120</v>
      </c>
      <c r="AM85" s="37">
        <f t="shared" ref="AM85:AV85" si="93">C85*(1+(((2-3*O85^2)/24*AA85^2)+(O85*AA85*C85/4))*0.0833333333333333)</f>
        <v>0.56599940641207702</v>
      </c>
      <c r="AN85" s="37">
        <f t="shared" si="93"/>
        <v>0.54500130168800964</v>
      </c>
      <c r="AO85" s="37">
        <f t="shared" si="93"/>
        <v>0.53731622299621917</v>
      </c>
      <c r="AP85" s="37">
        <f t="shared" si="93"/>
        <v>0.50816659016525512</v>
      </c>
      <c r="AQ85" s="37">
        <f t="shared" si="93"/>
        <v>0.49958891671715594</v>
      </c>
      <c r="AR85" s="37">
        <f t="shared" si="93"/>
        <v>0.478342255282935</v>
      </c>
      <c r="AS85" s="37">
        <f t="shared" si="93"/>
        <v>0.45504748035032067</v>
      </c>
      <c r="AT85" s="37">
        <f t="shared" si="93"/>
        <v>0.44632998674899149</v>
      </c>
      <c r="AU85" s="37">
        <f t="shared" si="93"/>
        <v>0.41894757705034719</v>
      </c>
      <c r="AV85" s="37">
        <f t="shared" si="93"/>
        <v>0.40907046058626401</v>
      </c>
    </row>
    <row r="86" spans="1:48" ht="15" customHeight="1">
      <c r="B86" s="35" t="s">
        <v>58</v>
      </c>
      <c r="C86" s="28">
        <f t="shared" ref="C86:L86" si="94">C8+$C$28*C41</f>
        <v>0.55408800000000002</v>
      </c>
      <c r="D86" s="28">
        <f t="shared" si="94"/>
        <v>0.53094799999999998</v>
      </c>
      <c r="E86" s="28">
        <f t="shared" si="94"/>
        <v>0.51680400000000004</v>
      </c>
      <c r="F86" s="28">
        <f t="shared" si="94"/>
        <v>0.48916800000000005</v>
      </c>
      <c r="G86" s="28">
        <f t="shared" si="94"/>
        <v>0.47189199999999998</v>
      </c>
      <c r="H86" s="28">
        <f t="shared" si="94"/>
        <v>0.45674799999999999</v>
      </c>
      <c r="I86" s="28">
        <f t="shared" si="94"/>
        <v>0.44879200000000002</v>
      </c>
      <c r="J86" s="28">
        <f t="shared" si="94"/>
        <v>0.425676</v>
      </c>
      <c r="K86" s="28">
        <f t="shared" si="94"/>
        <v>0.40610399999999997</v>
      </c>
      <c r="L86" s="28">
        <f t="shared" si="94"/>
        <v>0.393652</v>
      </c>
      <c r="N86" s="35" t="s">
        <v>58</v>
      </c>
      <c r="O86" s="28">
        <f t="shared" ref="O86:X86" si="95">O8+$D$28*O41</f>
        <v>-0.33150000000000002</v>
      </c>
      <c r="P86" s="28">
        <f t="shared" si="95"/>
        <v>-0.31509999999999999</v>
      </c>
      <c r="Q86" s="28">
        <f t="shared" si="95"/>
        <v>-0.2858</v>
      </c>
      <c r="R86" s="28">
        <f t="shared" si="95"/>
        <v>-0.26819999999999999</v>
      </c>
      <c r="S86" s="28">
        <f t="shared" si="95"/>
        <v>-0.25790000000000002</v>
      </c>
      <c r="T86" s="28">
        <f t="shared" si="95"/>
        <v>-0.23180000000000001</v>
      </c>
      <c r="U86" s="28">
        <f t="shared" si="95"/>
        <v>-0.21340000000000001</v>
      </c>
      <c r="V86" s="28">
        <f t="shared" si="95"/>
        <v>-0.18690000000000001</v>
      </c>
      <c r="W86" s="28">
        <f t="shared" si="95"/>
        <v>-0.1704</v>
      </c>
      <c r="X86" s="28">
        <f t="shared" si="95"/>
        <v>-0.1598</v>
      </c>
      <c r="Z86" s="35" t="s">
        <v>58</v>
      </c>
      <c r="AA86" s="28">
        <f t="shared" ref="AA86:AJ86" si="96">AA8+$E$28*AA41</f>
        <v>0.83740000000000003</v>
      </c>
      <c r="AB86" s="28">
        <f t="shared" si="96"/>
        <v>0.79790000000000005</v>
      </c>
      <c r="AC86" s="28">
        <f t="shared" si="96"/>
        <v>0.78169999999999995</v>
      </c>
      <c r="AD86" s="28">
        <f t="shared" si="96"/>
        <v>0.76629999999999998</v>
      </c>
      <c r="AE86" s="28">
        <f t="shared" si="96"/>
        <v>0.7319</v>
      </c>
      <c r="AF86" s="28">
        <f t="shared" si="96"/>
        <v>0.71640000000000004</v>
      </c>
      <c r="AG86" s="28">
        <f t="shared" si="96"/>
        <v>0.68520000000000003</v>
      </c>
      <c r="AH86" s="28">
        <f t="shared" si="96"/>
        <v>0.67559999999999998</v>
      </c>
      <c r="AI86" s="28">
        <f t="shared" si="96"/>
        <v>0.65529999999999999</v>
      </c>
      <c r="AJ86" s="28">
        <f t="shared" si="96"/>
        <v>0.62919999999999998</v>
      </c>
      <c r="AL86" s="35" t="s">
        <v>58</v>
      </c>
      <c r="AM86" s="37">
        <f t="shared" ref="AM86:AV86" si="97">C86*(1+(((2-3*O86^2)/24*AA86^2)+(O86*AA86*C86/4))*0.25)</f>
        <v>0.55552177628076449</v>
      </c>
      <c r="AN86" s="37">
        <f t="shared" si="97"/>
        <v>0.53251161487526977</v>
      </c>
      <c r="AO86" s="37">
        <f t="shared" si="97"/>
        <v>0.51884763265959499</v>
      </c>
      <c r="AP86" s="37">
        <f t="shared" si="97"/>
        <v>0.49143298137032532</v>
      </c>
      <c r="AQ86" s="37">
        <f t="shared" si="97"/>
        <v>0.47400583065695834</v>
      </c>
      <c r="AR86" s="37">
        <f t="shared" si="97"/>
        <v>0.45907284271400139</v>
      </c>
      <c r="AS86" s="37">
        <f t="shared" si="97"/>
        <v>0.45104118197368798</v>
      </c>
      <c r="AT86" s="37">
        <f t="shared" si="97"/>
        <v>0.42808168539921138</v>
      </c>
      <c r="AU86" s="37">
        <f t="shared" si="97"/>
        <v>0.40842788438895239</v>
      </c>
      <c r="AV86" s="37">
        <f t="shared" si="97"/>
        <v>0.39580058339987284</v>
      </c>
    </row>
    <row r="87" spans="1:48" ht="15" customHeight="1">
      <c r="B87" s="35" t="s">
        <v>59</v>
      </c>
      <c r="C87" s="28">
        <f t="shared" ref="C87:L87" si="98">C9+$C$28*C42</f>
        <v>0.54088000000000003</v>
      </c>
      <c r="D87" s="28">
        <f t="shared" si="98"/>
        <v>0.51205600000000007</v>
      </c>
      <c r="E87" s="28">
        <f t="shared" si="98"/>
        <v>0.50238000000000005</v>
      </c>
      <c r="F87" s="28">
        <f t="shared" si="98"/>
        <v>0.48237600000000003</v>
      </c>
      <c r="G87" s="28">
        <f t="shared" si="98"/>
        <v>0.46466800000000003</v>
      </c>
      <c r="H87" s="28">
        <f t="shared" si="98"/>
        <v>0.44406800000000002</v>
      </c>
      <c r="I87" s="28">
        <f t="shared" si="98"/>
        <v>0.43374799999999997</v>
      </c>
      <c r="J87" s="28">
        <f t="shared" si="98"/>
        <v>0.41847599999999996</v>
      </c>
      <c r="K87" s="28">
        <f t="shared" si="98"/>
        <v>0.39140399999999997</v>
      </c>
      <c r="L87" s="28">
        <f t="shared" si="98"/>
        <v>0.377052</v>
      </c>
      <c r="N87" s="35" t="s">
        <v>59</v>
      </c>
      <c r="O87" s="28">
        <f t="shared" ref="O87:X87" si="99">O9+$D$28*O42</f>
        <v>-0.31990000000000002</v>
      </c>
      <c r="P87" s="28">
        <f t="shared" si="99"/>
        <v>-0.28760000000000002</v>
      </c>
      <c r="Q87" s="28">
        <f t="shared" si="99"/>
        <v>-0.26929999999999998</v>
      </c>
      <c r="R87" s="28">
        <f t="shared" si="99"/>
        <v>-0.2429</v>
      </c>
      <c r="S87" s="28">
        <f t="shared" si="99"/>
        <v>-0.22689999999999999</v>
      </c>
      <c r="T87" s="28">
        <f t="shared" si="99"/>
        <v>-0.21820000000000001</v>
      </c>
      <c r="U87" s="28">
        <f t="shared" si="99"/>
        <v>-0.19670000000000001</v>
      </c>
      <c r="V87" s="28">
        <f t="shared" si="99"/>
        <v>-0.1716</v>
      </c>
      <c r="W87" s="28">
        <f t="shared" si="99"/>
        <v>-0.1651</v>
      </c>
      <c r="X87" s="28">
        <f t="shared" si="99"/>
        <v>-0.13689999999999999</v>
      </c>
      <c r="Z87" s="35" t="s">
        <v>59</v>
      </c>
      <c r="AA87" s="28">
        <f t="shared" ref="AA87:AJ87" si="100">AA9+$E$28*AA42</f>
        <v>0.79890000000000005</v>
      </c>
      <c r="AB87" s="28">
        <f t="shared" si="100"/>
        <v>0.77569999999999995</v>
      </c>
      <c r="AC87" s="28">
        <f t="shared" si="100"/>
        <v>0.75229999999999997</v>
      </c>
      <c r="AD87" s="28">
        <f t="shared" si="100"/>
        <v>0.74429999999999996</v>
      </c>
      <c r="AE87" s="28">
        <f t="shared" si="100"/>
        <v>0.70930000000000004</v>
      </c>
      <c r="AF87" s="28">
        <f t="shared" si="100"/>
        <v>0.68940000000000001</v>
      </c>
      <c r="AG87" s="28">
        <f t="shared" si="100"/>
        <v>0.67</v>
      </c>
      <c r="AH87" s="28">
        <f t="shared" si="100"/>
        <v>0.65739999999999998</v>
      </c>
      <c r="AI87" s="28">
        <f t="shared" si="100"/>
        <v>0.61939999999999995</v>
      </c>
      <c r="AJ87" s="28">
        <f t="shared" si="100"/>
        <v>0.60450000000000004</v>
      </c>
      <c r="AL87" s="35" t="s">
        <v>59</v>
      </c>
      <c r="AM87" s="37">
        <f t="shared" ref="AM87:AV87" si="101">C87*(1+(((2-3*O87^2)/24*AA87^2)+(O87*AA87*C87/4))*0.5)</f>
        <v>0.54371000999834951</v>
      </c>
      <c r="AN87" s="37">
        <f t="shared" si="101"/>
        <v>0.51598923308470457</v>
      </c>
      <c r="AO87" s="37">
        <f t="shared" si="101"/>
        <v>0.50654662356066338</v>
      </c>
      <c r="AP87" s="37">
        <f t="shared" si="101"/>
        <v>0.48726664440033107</v>
      </c>
      <c r="AQ87" s="37">
        <f t="shared" si="101"/>
        <v>0.46931279503127382</v>
      </c>
      <c r="AR87" s="37">
        <f t="shared" si="101"/>
        <v>0.44852589397628534</v>
      </c>
      <c r="AS87" s="37">
        <f t="shared" si="101"/>
        <v>0.43829074841626131</v>
      </c>
      <c r="AT87" s="37">
        <f t="shared" si="101"/>
        <v>0.42320933039235181</v>
      </c>
      <c r="AU87" s="37">
        <f t="shared" si="101"/>
        <v>0.39544673731032948</v>
      </c>
      <c r="AV87" s="37">
        <f t="shared" si="101"/>
        <v>0.38116088335080289</v>
      </c>
    </row>
    <row r="88" spans="1:48" ht="15" customHeight="1">
      <c r="B88" s="35" t="s">
        <v>30</v>
      </c>
      <c r="C88" s="28">
        <f t="shared" ref="C88:L88" si="102">C10+$C$28*C43</f>
        <v>0.51666000000000001</v>
      </c>
      <c r="D88" s="28">
        <f t="shared" si="102"/>
        <v>0.50575999999999999</v>
      </c>
      <c r="E88" s="28">
        <f t="shared" si="102"/>
        <v>0.487236</v>
      </c>
      <c r="F88" s="28">
        <f t="shared" si="102"/>
        <v>0.47020000000000001</v>
      </c>
      <c r="G88" s="28">
        <f t="shared" si="102"/>
        <v>0.44026399999999999</v>
      </c>
      <c r="H88" s="28">
        <f t="shared" si="102"/>
        <v>0.42537999999999998</v>
      </c>
      <c r="I88" s="28">
        <f t="shared" si="102"/>
        <v>0.40639199999999998</v>
      </c>
      <c r="J88" s="28">
        <f t="shared" si="102"/>
        <v>0.399088</v>
      </c>
      <c r="K88" s="28">
        <f t="shared" si="102"/>
        <v>0.38333600000000001</v>
      </c>
      <c r="L88" s="28">
        <f t="shared" si="102"/>
        <v>0.34901200000000004</v>
      </c>
      <c r="N88" s="35" t="s">
        <v>30</v>
      </c>
      <c r="O88" s="28">
        <f t="shared" ref="O88:X88" si="103">O10+$D$28*O43</f>
        <v>-0.29809999999999998</v>
      </c>
      <c r="P88" s="28">
        <f t="shared" si="103"/>
        <v>-0.27760000000000001</v>
      </c>
      <c r="Q88" s="28">
        <f t="shared" si="103"/>
        <v>-0.2581</v>
      </c>
      <c r="R88" s="28">
        <f t="shared" si="103"/>
        <v>-0.2336</v>
      </c>
      <c r="S88" s="28">
        <f t="shared" si="103"/>
        <v>-0.21210000000000001</v>
      </c>
      <c r="T88" s="28">
        <f t="shared" si="103"/>
        <v>-0.19919999999999999</v>
      </c>
      <c r="U88" s="28">
        <f t="shared" si="103"/>
        <v>-0.18490000000000001</v>
      </c>
      <c r="V88" s="28">
        <f t="shared" si="103"/>
        <v>-0.15720000000000001</v>
      </c>
      <c r="W88" s="28">
        <f t="shared" si="103"/>
        <v>-0.13869999999999999</v>
      </c>
      <c r="X88" s="28">
        <f t="shared" si="103"/>
        <v>-0.1153</v>
      </c>
      <c r="Z88" s="35" t="s">
        <v>30</v>
      </c>
      <c r="AA88" s="28">
        <f t="shared" ref="AA88:AJ88" si="104">AA10+$E$28*AA43</f>
        <v>0.79239999999999999</v>
      </c>
      <c r="AB88" s="28">
        <f t="shared" si="104"/>
        <v>0.76490000000000002</v>
      </c>
      <c r="AC88" s="28">
        <f t="shared" si="104"/>
        <v>0.73919999999999997</v>
      </c>
      <c r="AD88" s="28">
        <f t="shared" si="104"/>
        <v>0.71899999999999997</v>
      </c>
      <c r="AE88" s="28">
        <f t="shared" si="104"/>
        <v>0.69799999999999995</v>
      </c>
      <c r="AF88" s="28">
        <f t="shared" si="104"/>
        <v>0.6633</v>
      </c>
      <c r="AG88" s="28">
        <f t="shared" si="104"/>
        <v>0.65800000000000003</v>
      </c>
      <c r="AH88" s="28">
        <f t="shared" si="104"/>
        <v>0.63339999999999996</v>
      </c>
      <c r="AI88" s="28">
        <f t="shared" si="104"/>
        <v>0.61299999999999999</v>
      </c>
      <c r="AJ88" s="28">
        <f t="shared" si="104"/>
        <v>0.58930000000000005</v>
      </c>
      <c r="AL88" s="35" t="s">
        <v>30</v>
      </c>
      <c r="AM88" s="37">
        <f t="shared" ref="AM88:AV88" si="105">C88*(1+(((2-3*O88^2)/24*AA88^2)+(O88*AA88*C88/4))*1)</f>
        <v>0.5243269851025959</v>
      </c>
      <c r="AN88" s="37">
        <f t="shared" si="105"/>
        <v>0.51398991475932554</v>
      </c>
      <c r="AO88" s="37">
        <f t="shared" si="105"/>
        <v>0.49588205069232616</v>
      </c>
      <c r="AP88" s="37">
        <f t="shared" si="105"/>
        <v>0.47951481265067564</v>
      </c>
      <c r="AQ88" s="37">
        <f t="shared" si="105"/>
        <v>0.44975865833623879</v>
      </c>
      <c r="AR88" s="37">
        <f t="shared" si="105"/>
        <v>0.4340706579181966</v>
      </c>
      <c r="AS88" s="37">
        <f t="shared" si="105"/>
        <v>0.41527947676401517</v>
      </c>
      <c r="AT88" s="37">
        <f t="shared" si="105"/>
        <v>0.40797143242564204</v>
      </c>
      <c r="AU88" s="37">
        <f t="shared" si="105"/>
        <v>0.39186996542302527</v>
      </c>
      <c r="AV88" s="37">
        <f t="shared" si="105"/>
        <v>0.35684171283680827</v>
      </c>
    </row>
    <row r="89" spans="1:48" ht="15" customHeight="1">
      <c r="B89" s="35" t="s">
        <v>60</v>
      </c>
      <c r="C89" s="28">
        <f t="shared" ref="C89:L89" si="106">C11+$C$28*C44</f>
        <v>0.49612800000000001</v>
      </c>
      <c r="D89" s="28">
        <f t="shared" si="106"/>
        <v>0.47836400000000001</v>
      </c>
      <c r="E89" s="28">
        <f t="shared" si="106"/>
        <v>0.454592</v>
      </c>
      <c r="F89" s="28">
        <f t="shared" si="106"/>
        <v>0.44780799999999998</v>
      </c>
      <c r="G89" s="28">
        <f t="shared" si="106"/>
        <v>0.41819600000000001</v>
      </c>
      <c r="H89" s="28">
        <f t="shared" si="106"/>
        <v>0.40088799999999997</v>
      </c>
      <c r="I89" s="28">
        <f t="shared" si="106"/>
        <v>0.38562400000000002</v>
      </c>
      <c r="J89" s="28">
        <f t="shared" si="106"/>
        <v>0.36715999999999999</v>
      </c>
      <c r="K89" s="28">
        <f t="shared" si="106"/>
        <v>0.35283599999999998</v>
      </c>
      <c r="L89" s="28">
        <f t="shared" si="106"/>
        <v>0.32939200000000002</v>
      </c>
      <c r="N89" s="35" t="s">
        <v>60</v>
      </c>
      <c r="O89" s="28">
        <f t="shared" ref="O89:X89" si="107">O11+$D$28*O44</f>
        <v>-0.28220000000000001</v>
      </c>
      <c r="P89" s="28">
        <f t="shared" si="107"/>
        <v>-0.25979999999999998</v>
      </c>
      <c r="Q89" s="28">
        <f t="shared" si="107"/>
        <v>-0.24129999999999999</v>
      </c>
      <c r="R89" s="28">
        <f t="shared" si="107"/>
        <v>-0.21659999999999999</v>
      </c>
      <c r="S89" s="28">
        <f t="shared" si="107"/>
        <v>-0.2039</v>
      </c>
      <c r="T89" s="28">
        <f t="shared" si="107"/>
        <v>-0.16750000000000001</v>
      </c>
      <c r="U89" s="28">
        <f t="shared" si="107"/>
        <v>-0.15329999999999999</v>
      </c>
      <c r="V89" s="28">
        <f t="shared" si="107"/>
        <v>-0.1431</v>
      </c>
      <c r="W89" s="28">
        <f t="shared" si="107"/>
        <v>-0.1216</v>
      </c>
      <c r="X89" s="28">
        <f t="shared" si="107"/>
        <v>-0.1003</v>
      </c>
      <c r="Z89" s="35" t="s">
        <v>60</v>
      </c>
      <c r="AA89" s="28">
        <f t="shared" ref="AA89:AJ89" si="108">AA11+$E$28*AA44</f>
        <v>0.75839999999999996</v>
      </c>
      <c r="AB89" s="28">
        <f t="shared" si="108"/>
        <v>0.73129999999999995</v>
      </c>
      <c r="AC89" s="28">
        <f t="shared" si="108"/>
        <v>0.72360000000000002</v>
      </c>
      <c r="AD89" s="28">
        <f t="shared" si="108"/>
        <v>0.70430000000000004</v>
      </c>
      <c r="AE89" s="28">
        <f t="shared" si="108"/>
        <v>0.67149999999999999</v>
      </c>
      <c r="AF89" s="28">
        <f t="shared" si="108"/>
        <v>0.64970000000000006</v>
      </c>
      <c r="AG89" s="28">
        <f t="shared" si="108"/>
        <v>0.61950000000000005</v>
      </c>
      <c r="AH89" s="28">
        <f t="shared" si="108"/>
        <v>0.59760000000000002</v>
      </c>
      <c r="AI89" s="28">
        <f t="shared" si="108"/>
        <v>0.58020000000000005</v>
      </c>
      <c r="AJ89" s="28">
        <f t="shared" si="108"/>
        <v>0.55640000000000001</v>
      </c>
      <c r="AL89" s="35" t="s">
        <v>60</v>
      </c>
      <c r="AM89" s="37">
        <f t="shared" ref="AM89:AV89" si="109">C89*(1+(((2-3*O89^2)/24*AA89^2)+(O89*AA89*C89/4))*2)</f>
        <v>0.51166662585687317</v>
      </c>
      <c r="AN89" s="37">
        <f t="shared" si="109"/>
        <v>0.49494718742478588</v>
      </c>
      <c r="AO89" s="37">
        <f t="shared" si="109"/>
        <v>0.47275636715222341</v>
      </c>
      <c r="AP89" s="37">
        <f t="shared" si="109"/>
        <v>0.46692861193276231</v>
      </c>
      <c r="AQ89" s="37">
        <f t="shared" si="109"/>
        <v>0.4356916023136343</v>
      </c>
      <c r="AR89" s="37">
        <f t="shared" si="109"/>
        <v>0.41915955577355934</v>
      </c>
      <c r="AS89" s="37">
        <f t="shared" si="109"/>
        <v>0.40235905982286324</v>
      </c>
      <c r="AT89" s="37">
        <f t="shared" si="109"/>
        <v>0.3825783552717425</v>
      </c>
      <c r="AU89" s="37">
        <f t="shared" si="109"/>
        <v>0.36780126843683197</v>
      </c>
      <c r="AV89" s="37">
        <f t="shared" si="109"/>
        <v>0.34310361629519281</v>
      </c>
    </row>
    <row r="90" spans="1:48" ht="15" customHeight="1">
      <c r="B90" s="35" t="s">
        <v>61</v>
      </c>
      <c r="C90" s="28">
        <f t="shared" ref="C90:L90" si="110">C12+$C$28*C45</f>
        <v>0.48733599999999999</v>
      </c>
      <c r="D90" s="28">
        <f t="shared" si="110"/>
        <v>0.45613599999999999</v>
      </c>
      <c r="E90" s="28">
        <f t="shared" si="110"/>
        <v>0.43529600000000002</v>
      </c>
      <c r="F90" s="28">
        <f t="shared" si="110"/>
        <v>0.43653600000000004</v>
      </c>
      <c r="G90" s="28">
        <f t="shared" si="110"/>
        <v>0.40987600000000002</v>
      </c>
      <c r="H90" s="28">
        <f t="shared" si="110"/>
        <v>0.38462800000000003</v>
      </c>
      <c r="I90" s="28">
        <f t="shared" si="110"/>
        <v>0.37507200000000002</v>
      </c>
      <c r="J90" s="28">
        <f t="shared" si="110"/>
        <v>0.34684800000000005</v>
      </c>
      <c r="K90" s="28">
        <f t="shared" si="110"/>
        <v>0.33877199999999996</v>
      </c>
      <c r="L90" s="28">
        <f t="shared" si="110"/>
        <v>0.33062799999999998</v>
      </c>
      <c r="N90" s="35" t="s">
        <v>61</v>
      </c>
      <c r="O90" s="28">
        <f t="shared" ref="O90:X90" si="111">O12+$D$28*O45</f>
        <v>-0.2455</v>
      </c>
      <c r="P90" s="28">
        <f t="shared" si="111"/>
        <v>-0.22939999999999999</v>
      </c>
      <c r="Q90" s="28">
        <f t="shared" si="111"/>
        <v>-0.21870000000000001</v>
      </c>
      <c r="R90" s="28">
        <f t="shared" si="111"/>
        <v>-0.1971</v>
      </c>
      <c r="S90" s="28">
        <f t="shared" si="111"/>
        <v>-0.1817</v>
      </c>
      <c r="T90" s="28">
        <f t="shared" si="111"/>
        <v>-0.15010000000000001</v>
      </c>
      <c r="U90" s="28">
        <f t="shared" si="111"/>
        <v>-0.13550000000000001</v>
      </c>
      <c r="V90" s="28">
        <f t="shared" si="111"/>
        <v>-0.1111</v>
      </c>
      <c r="W90" s="28">
        <f t="shared" si="111"/>
        <v>-0.10059999999999999</v>
      </c>
      <c r="X90" s="28">
        <f t="shared" si="111"/>
        <v>-8.3299999999999999E-2</v>
      </c>
      <c r="Z90" s="35" t="s">
        <v>61</v>
      </c>
      <c r="AA90" s="28">
        <f t="shared" ref="AA90:AJ90" si="112">AA12+$E$28*AA45</f>
        <v>0.74509999999999998</v>
      </c>
      <c r="AB90" s="28">
        <f t="shared" si="112"/>
        <v>0.72640000000000005</v>
      </c>
      <c r="AC90" s="28">
        <f t="shared" si="112"/>
        <v>0.70150000000000001</v>
      </c>
      <c r="AD90" s="28">
        <f t="shared" si="112"/>
        <v>0.67830000000000001</v>
      </c>
      <c r="AE90" s="28">
        <f t="shared" si="112"/>
        <v>0.65639999999999998</v>
      </c>
      <c r="AF90" s="28">
        <f t="shared" si="112"/>
        <v>0.63260000000000005</v>
      </c>
      <c r="AG90" s="28">
        <f t="shared" si="112"/>
        <v>0.60009999999999997</v>
      </c>
      <c r="AH90" s="28">
        <f t="shared" si="112"/>
        <v>0.5837</v>
      </c>
      <c r="AI90" s="28">
        <f t="shared" si="112"/>
        <v>0.55820000000000003</v>
      </c>
      <c r="AJ90" s="28">
        <f t="shared" si="112"/>
        <v>0.52949999999999997</v>
      </c>
      <c r="AL90" s="35" t="s">
        <v>61</v>
      </c>
      <c r="AM90" s="37">
        <f t="shared" ref="AM90:AV90" si="113">C90*(1+(((2-3*O90^2)/24*AA90^2)+(O90*AA90*C90/4))*3)</f>
        <v>0.51627764171907087</v>
      </c>
      <c r="AN90" s="37">
        <f t="shared" si="113"/>
        <v>0.48555441045135228</v>
      </c>
      <c r="AO90" s="37">
        <f t="shared" si="113"/>
        <v>0.46320389438710924</v>
      </c>
      <c r="AP90" s="37">
        <f t="shared" si="113"/>
        <v>0.46471383785457759</v>
      </c>
      <c r="AQ90" s="37">
        <f t="shared" si="113"/>
        <v>0.43681188200488341</v>
      </c>
      <c r="AR90" s="37">
        <f t="shared" si="113"/>
        <v>0.41127248257971233</v>
      </c>
      <c r="AS90" s="37">
        <f t="shared" si="113"/>
        <v>0.39933042507378541</v>
      </c>
      <c r="AT90" s="37">
        <f t="shared" si="113"/>
        <v>0.36999310430266469</v>
      </c>
      <c r="AU90" s="37">
        <f t="shared" si="113"/>
        <v>0.35992712855765663</v>
      </c>
      <c r="AV90" s="37">
        <f t="shared" si="113"/>
        <v>0.34994516306272105</v>
      </c>
    </row>
    <row r="91" spans="1:48" ht="15" customHeight="1">
      <c r="B91" s="35" t="s">
        <v>62</v>
      </c>
      <c r="C91" s="28">
        <f t="shared" ref="C91:L91" si="114">C13+$C$28*C46</f>
        <v>0.45311599999999996</v>
      </c>
      <c r="D91" s="28">
        <f t="shared" si="114"/>
        <v>0.44036000000000003</v>
      </c>
      <c r="E91" s="28">
        <f t="shared" si="114"/>
        <v>0.42265199999999997</v>
      </c>
      <c r="F91" s="28">
        <f t="shared" si="114"/>
        <v>0.41325999999999996</v>
      </c>
      <c r="G91" s="28">
        <f t="shared" si="114"/>
        <v>0.400756</v>
      </c>
      <c r="H91" s="28">
        <f t="shared" si="114"/>
        <v>0.37260799999999999</v>
      </c>
      <c r="I91" s="28">
        <f t="shared" si="114"/>
        <v>0.36464000000000002</v>
      </c>
      <c r="J91" s="28">
        <f t="shared" si="114"/>
        <v>0.34832000000000002</v>
      </c>
      <c r="K91" s="28">
        <f t="shared" si="114"/>
        <v>0.32969999999999999</v>
      </c>
      <c r="L91" s="28">
        <f t="shared" si="114"/>
        <v>0.30037200000000003</v>
      </c>
      <c r="N91" s="35" t="s">
        <v>62</v>
      </c>
      <c r="O91" s="28">
        <f t="shared" ref="O91:X91" si="115">O13+$D$28*O46</f>
        <v>-0.2389</v>
      </c>
      <c r="P91" s="28">
        <f t="shared" si="115"/>
        <v>-0.21940000000000001</v>
      </c>
      <c r="Q91" s="28">
        <f t="shared" si="115"/>
        <v>-0.20050000000000001</v>
      </c>
      <c r="R91" s="28">
        <f t="shared" si="115"/>
        <v>-0.18090000000000001</v>
      </c>
      <c r="S91" s="28">
        <f t="shared" si="115"/>
        <v>-0.15310000000000001</v>
      </c>
      <c r="T91" s="28">
        <f t="shared" si="115"/>
        <v>-0.12809999999999999</v>
      </c>
      <c r="U91" s="28">
        <f t="shared" si="115"/>
        <v>-0.1099</v>
      </c>
      <c r="V91" s="28">
        <f t="shared" si="115"/>
        <v>-9.7600000000000006E-2</v>
      </c>
      <c r="W91" s="28">
        <f t="shared" si="115"/>
        <v>-7.4700000000000003E-2</v>
      </c>
      <c r="X91" s="28">
        <f t="shared" si="115"/>
        <v>-5.2299999999999999E-2</v>
      </c>
      <c r="Z91" s="35" t="s">
        <v>62</v>
      </c>
      <c r="AA91" s="28">
        <f t="shared" ref="AA91:AJ91" si="116">AA13+$E$28*AA46</f>
        <v>0.70840000000000003</v>
      </c>
      <c r="AB91" s="28">
        <f t="shared" si="116"/>
        <v>0.69769999999999999</v>
      </c>
      <c r="AC91" s="28">
        <f t="shared" si="116"/>
        <v>0.6804</v>
      </c>
      <c r="AD91" s="28">
        <f t="shared" si="116"/>
        <v>0.65559999999999996</v>
      </c>
      <c r="AE91" s="28">
        <f t="shared" si="116"/>
        <v>0.63280000000000003</v>
      </c>
      <c r="AF91" s="28">
        <f t="shared" si="116"/>
        <v>0.60509999999999997</v>
      </c>
      <c r="AG91" s="28">
        <f t="shared" si="116"/>
        <v>0.57689999999999997</v>
      </c>
      <c r="AH91" s="28">
        <f t="shared" si="116"/>
        <v>0.56689999999999996</v>
      </c>
      <c r="AI91" s="28">
        <f t="shared" si="116"/>
        <v>0.53549999999999998</v>
      </c>
      <c r="AJ91" s="28">
        <f t="shared" si="116"/>
        <v>0.52270000000000005</v>
      </c>
      <c r="AL91" s="35" t="s">
        <v>62</v>
      </c>
      <c r="AM91" s="37">
        <f t="shared" ref="AM91:AV91" si="117">C91*(1+(((2-3*O91^2)/24*AA91^2)+(O91*AA91*C91/4))*5)</f>
        <v>0.49631632249228591</v>
      </c>
      <c r="AN91" s="37">
        <f t="shared" si="117"/>
        <v>0.48612301101236066</v>
      </c>
      <c r="AO91" s="37">
        <f t="shared" si="117"/>
        <v>0.46880095670132205</v>
      </c>
      <c r="AP91" s="37">
        <f t="shared" si="117"/>
        <v>0.45831870884581022</v>
      </c>
      <c r="AQ91" s="37">
        <f t="shared" si="117"/>
        <v>0.44582084629875923</v>
      </c>
      <c r="AR91" s="37">
        <f t="shared" si="117"/>
        <v>0.41460205524770316</v>
      </c>
      <c r="AS91" s="37">
        <f t="shared" si="117"/>
        <v>0.40375190321898102</v>
      </c>
      <c r="AT91" s="37">
        <f t="shared" si="117"/>
        <v>0.38590467687905272</v>
      </c>
      <c r="AU91" s="37">
        <f t="shared" si="117"/>
        <v>0.36332860297221159</v>
      </c>
      <c r="AV91" s="37">
        <f t="shared" si="117"/>
        <v>0.33134289485997565</v>
      </c>
    </row>
    <row r="92" spans="1:48" ht="15" customHeight="1">
      <c r="B92" s="35" t="s">
        <v>63</v>
      </c>
      <c r="C92" s="28">
        <f t="shared" ref="C92:L92" si="118">C14+$C$28*C47</f>
        <v>0.45434400000000003</v>
      </c>
      <c r="D92" s="28">
        <f t="shared" si="118"/>
        <v>0.425124</v>
      </c>
      <c r="E92" s="28">
        <f t="shared" si="118"/>
        <v>0.40781600000000001</v>
      </c>
      <c r="F92" s="28">
        <f t="shared" si="118"/>
        <v>0.40068799999999999</v>
      </c>
      <c r="G92" s="28">
        <f t="shared" si="118"/>
        <v>0.37856799999999996</v>
      </c>
      <c r="H92" s="28">
        <f t="shared" si="118"/>
        <v>0.34990399999999999</v>
      </c>
      <c r="I92" s="28">
        <f t="shared" si="118"/>
        <v>0.33083200000000001</v>
      </c>
      <c r="J92" s="28">
        <f t="shared" si="118"/>
        <v>0.31352799999999997</v>
      </c>
      <c r="K92" s="28">
        <f t="shared" si="118"/>
        <v>0.31140000000000001</v>
      </c>
      <c r="L92" s="28">
        <f t="shared" si="118"/>
        <v>0.29164799999999996</v>
      </c>
      <c r="N92" s="35" t="s">
        <v>63</v>
      </c>
      <c r="O92" s="28">
        <f t="shared" ref="O92:X92" si="119">O14+$D$28*O47</f>
        <v>-0.221</v>
      </c>
      <c r="P92" s="28">
        <f t="shared" si="119"/>
        <v>-0.18790000000000001</v>
      </c>
      <c r="Q92" s="28">
        <f t="shared" si="119"/>
        <v>-0.16539999999999999</v>
      </c>
      <c r="R92" s="28">
        <f t="shared" si="119"/>
        <v>-0.15240000000000001</v>
      </c>
      <c r="S92" s="28">
        <f t="shared" si="119"/>
        <v>-0.1391</v>
      </c>
      <c r="T92" s="28">
        <f t="shared" si="119"/>
        <v>-0.1157</v>
      </c>
      <c r="U92" s="28">
        <f t="shared" si="119"/>
        <v>-0.1046</v>
      </c>
      <c r="V92" s="28">
        <f t="shared" si="119"/>
        <v>-8.7499999999999994E-2</v>
      </c>
      <c r="W92" s="28">
        <f t="shared" si="119"/>
        <v>-4.8899999999999999E-2</v>
      </c>
      <c r="X92" s="28">
        <f t="shared" si="119"/>
        <v>-3.5900000000000001E-2</v>
      </c>
      <c r="Z92" s="35" t="s">
        <v>63</v>
      </c>
      <c r="AA92" s="28">
        <f t="shared" ref="AA92:AJ92" si="120">AA14+$E$28*AA47</f>
        <v>0.69499999999999995</v>
      </c>
      <c r="AB92" s="28">
        <f t="shared" si="120"/>
        <v>0.68089999999999995</v>
      </c>
      <c r="AC92" s="28">
        <f t="shared" si="120"/>
        <v>0.64870000000000005</v>
      </c>
      <c r="AD92" s="28">
        <f t="shared" si="120"/>
        <v>0.63519999999999999</v>
      </c>
      <c r="AE92" s="28">
        <f t="shared" si="120"/>
        <v>0.61209999999999998</v>
      </c>
      <c r="AF92" s="28">
        <f t="shared" si="120"/>
        <v>0.5776</v>
      </c>
      <c r="AG92" s="28">
        <f t="shared" si="120"/>
        <v>0.55610000000000004</v>
      </c>
      <c r="AH92" s="28">
        <f t="shared" si="120"/>
        <v>0.53469999999999995</v>
      </c>
      <c r="AI92" s="28">
        <f t="shared" si="120"/>
        <v>0.51149999999999995</v>
      </c>
      <c r="AJ92" s="28">
        <f t="shared" si="120"/>
        <v>0.49619999999999997</v>
      </c>
      <c r="AL92" s="35" t="s">
        <v>63</v>
      </c>
      <c r="AM92" s="37">
        <f t="shared" ref="AM92:AV92" si="121">C92*(1+(((2-3*O92^2)/24*AA92^2)+(O92*AA92*C92/4))*10)</f>
        <v>0.544562695800337</v>
      </c>
      <c r="AN92" s="37">
        <f t="shared" si="121"/>
        <v>0.52286670656760925</v>
      </c>
      <c r="AO92" s="37">
        <f t="shared" si="121"/>
        <v>0.50034725574130878</v>
      </c>
      <c r="AP92" s="37">
        <f t="shared" si="121"/>
        <v>0.49186361897088265</v>
      </c>
      <c r="AQ92" s="37">
        <f t="shared" si="121"/>
        <v>0.46282935489746801</v>
      </c>
      <c r="AR92" s="37">
        <f t="shared" si="121"/>
        <v>0.42477535981193987</v>
      </c>
      <c r="AS92" s="37">
        <f t="shared" si="121"/>
        <v>0.39877396385199765</v>
      </c>
      <c r="AT92" s="37">
        <f t="shared" si="121"/>
        <v>0.37587154362573799</v>
      </c>
      <c r="AU92" s="37">
        <f t="shared" si="121"/>
        <v>0.37298643075624061</v>
      </c>
      <c r="AV92" s="37">
        <f t="shared" si="121"/>
        <v>0.34758428051846529</v>
      </c>
    </row>
    <row r="93" spans="1:48" ht="15" customHeight="1">
      <c r="B93" s="35" t="s">
        <v>64</v>
      </c>
      <c r="C93" s="28">
        <f t="shared" ref="C93:L93" si="122">C15+$C$28*C48</f>
        <v>0.42227999999999999</v>
      </c>
      <c r="D93" s="28">
        <f t="shared" si="122"/>
        <v>0.40765199999999996</v>
      </c>
      <c r="E93" s="28">
        <f t="shared" si="122"/>
        <v>0.38456800000000002</v>
      </c>
      <c r="F93" s="28">
        <f t="shared" si="122"/>
        <v>0.38253199999999998</v>
      </c>
      <c r="G93" s="28">
        <f t="shared" si="122"/>
        <v>0.35312399999999999</v>
      </c>
      <c r="H93" s="28">
        <f t="shared" si="122"/>
        <v>0.33798400000000001</v>
      </c>
      <c r="I93" s="28">
        <f t="shared" si="122"/>
        <v>0.32265600000000005</v>
      </c>
      <c r="J93" s="28">
        <f t="shared" si="122"/>
        <v>0.311172</v>
      </c>
      <c r="K93" s="28">
        <f t="shared" si="122"/>
        <v>0.28355999999999998</v>
      </c>
      <c r="L93" s="28">
        <f t="shared" si="122"/>
        <v>0.27680000000000005</v>
      </c>
      <c r="N93" s="35" t="s">
        <v>64</v>
      </c>
      <c r="O93" s="28">
        <f t="shared" ref="O93:X93" si="123">O15+$D$28*O48</f>
        <v>-0.19439999999999999</v>
      </c>
      <c r="P93" s="28">
        <f t="shared" si="123"/>
        <v>-0.1744</v>
      </c>
      <c r="Q93" s="28">
        <f t="shared" si="123"/>
        <v>-0.15509999999999999</v>
      </c>
      <c r="R93" s="28">
        <f t="shared" si="123"/>
        <v>-0.1457</v>
      </c>
      <c r="S93" s="28">
        <f t="shared" si="123"/>
        <v>-0.1179</v>
      </c>
      <c r="T93" s="28">
        <f t="shared" si="123"/>
        <v>-0.1036</v>
      </c>
      <c r="U93" s="28">
        <f t="shared" si="123"/>
        <v>-8.77E-2</v>
      </c>
      <c r="V93" s="28">
        <f t="shared" si="123"/>
        <v>-5.2299999999999999E-2</v>
      </c>
      <c r="W93" s="28">
        <f t="shared" si="123"/>
        <v>-4.5400000000000003E-2</v>
      </c>
      <c r="X93" s="28">
        <f t="shared" si="123"/>
        <v>-0.02</v>
      </c>
      <c r="Z93" s="35" t="s">
        <v>64</v>
      </c>
      <c r="AA93" s="28">
        <f t="shared" ref="AA93:AJ93" si="124">AA15+$E$28*AA48</f>
        <v>0.67669999999999997</v>
      </c>
      <c r="AB93" s="28">
        <f t="shared" si="124"/>
        <v>0.65110000000000001</v>
      </c>
      <c r="AC93" s="28">
        <f t="shared" si="124"/>
        <v>0.62429999999999997</v>
      </c>
      <c r="AD93" s="28">
        <f t="shared" si="124"/>
        <v>0.60589999999999999</v>
      </c>
      <c r="AE93" s="28">
        <f t="shared" si="124"/>
        <v>0.58440000000000003</v>
      </c>
      <c r="AF93" s="28">
        <f t="shared" si="124"/>
        <v>0.56679999999999997</v>
      </c>
      <c r="AG93" s="28">
        <f t="shared" si="124"/>
        <v>0.53100000000000003</v>
      </c>
      <c r="AH93" s="28">
        <f t="shared" si="124"/>
        <v>0.51790000000000003</v>
      </c>
      <c r="AI93" s="28">
        <f t="shared" si="124"/>
        <v>0.4894</v>
      </c>
      <c r="AJ93" s="28">
        <f t="shared" si="124"/>
        <v>0.46779999999999999</v>
      </c>
      <c r="AL93" s="35" t="s">
        <v>64</v>
      </c>
      <c r="AM93" s="37">
        <f t="shared" ref="AM93:AV93" si="125">C93*(1+(((2-3*O93^2)/24*AA93^2)+(O93*AA93*C93/4))*20)</f>
        <v>0.60900601322370906</v>
      </c>
      <c r="AN93" s="37">
        <f t="shared" si="125"/>
        <v>0.58818834893898175</v>
      </c>
      <c r="AO93" s="37">
        <f t="shared" si="125"/>
        <v>0.55376177046157504</v>
      </c>
      <c r="AP93" s="37">
        <f t="shared" si="125"/>
        <v>0.54454419690495037</v>
      </c>
      <c r="AQ93" s="37">
        <f t="shared" si="125"/>
        <v>0.5069747428269068</v>
      </c>
      <c r="AR93" s="37">
        <f t="shared" si="125"/>
        <v>0.48250052232499507</v>
      </c>
      <c r="AS93" s="37">
        <f t="shared" si="125"/>
        <v>0.44829341885796092</v>
      </c>
      <c r="AT93" s="37">
        <f t="shared" si="125"/>
        <v>0.43659223225605048</v>
      </c>
      <c r="AU93" s="37">
        <f t="shared" si="125"/>
        <v>0.38747093785844611</v>
      </c>
      <c r="AV93" s="37">
        <f t="shared" si="125"/>
        <v>0.37411195354882143</v>
      </c>
    </row>
    <row r="94" spans="1:48" ht="15" customHeight="1">
      <c r="B94" s="35" t="s">
        <v>65</v>
      </c>
      <c r="C94" s="28">
        <f t="shared" ref="C94:L94" si="126">C16+$C$28*C49</f>
        <v>0.41454399999999997</v>
      </c>
      <c r="D94" s="28">
        <f t="shared" si="126"/>
        <v>0.39223600000000003</v>
      </c>
      <c r="E94" s="28">
        <f t="shared" si="126"/>
        <v>0.37502800000000003</v>
      </c>
      <c r="F94" s="28">
        <f t="shared" si="126"/>
        <v>0.36158400000000002</v>
      </c>
      <c r="G94" s="28">
        <f t="shared" si="126"/>
        <v>0.34658</v>
      </c>
      <c r="H94" s="28">
        <f t="shared" si="126"/>
        <v>0.31980799999999998</v>
      </c>
      <c r="I94" s="28">
        <f t="shared" si="126"/>
        <v>0.30537200000000003</v>
      </c>
      <c r="J94" s="28">
        <f t="shared" si="126"/>
        <v>0.28520000000000001</v>
      </c>
      <c r="K94" s="28">
        <f t="shared" si="126"/>
        <v>0.26870000000000005</v>
      </c>
      <c r="L94" s="28">
        <f t="shared" si="126"/>
        <v>0.25570000000000004</v>
      </c>
      <c r="N94" s="35" t="s">
        <v>65</v>
      </c>
      <c r="O94" s="28">
        <f t="shared" ref="O94:X94" si="127">O16+$D$28*O49</f>
        <v>-0.17599999999999999</v>
      </c>
      <c r="P94" s="28">
        <f t="shared" si="127"/>
        <v>-0.15490000000000001</v>
      </c>
      <c r="Q94" s="28">
        <f t="shared" si="127"/>
        <v>-0.1366</v>
      </c>
      <c r="R94" s="28">
        <f t="shared" si="127"/>
        <v>-0.10780000000000001</v>
      </c>
      <c r="S94" s="28">
        <f t="shared" si="127"/>
        <v>-9.3200000000000005E-2</v>
      </c>
      <c r="T94" s="28">
        <f t="shared" si="127"/>
        <v>-7.0199999999999999E-2</v>
      </c>
      <c r="U94" s="28">
        <f t="shared" si="127"/>
        <v>-4.9500000000000002E-2</v>
      </c>
      <c r="V94" s="28">
        <f t="shared" si="127"/>
        <v>-4.3700000000000003E-2</v>
      </c>
      <c r="W94" s="28">
        <f t="shared" si="127"/>
        <v>-1.83E-2</v>
      </c>
      <c r="X94" s="28">
        <f t="shared" si="127"/>
        <v>8.8999999999999999E-3</v>
      </c>
      <c r="Z94" s="35" t="s">
        <v>65</v>
      </c>
      <c r="AA94" s="28">
        <f t="shared" ref="AA94:AJ94" si="128">AA16+$E$28*AA49</f>
        <v>0.65680000000000005</v>
      </c>
      <c r="AB94" s="28">
        <f t="shared" si="128"/>
        <v>0.62050000000000005</v>
      </c>
      <c r="AC94" s="28">
        <f t="shared" si="128"/>
        <v>0.59799999999999998</v>
      </c>
      <c r="AD94" s="28">
        <f t="shared" si="128"/>
        <v>0.58220000000000005</v>
      </c>
      <c r="AE94" s="28">
        <f t="shared" si="128"/>
        <v>0.55259999999999998</v>
      </c>
      <c r="AF94" s="28">
        <f t="shared" si="128"/>
        <v>0.53369999999999995</v>
      </c>
      <c r="AG94" s="28">
        <f t="shared" si="128"/>
        <v>0.5081</v>
      </c>
      <c r="AH94" s="28">
        <f t="shared" si="128"/>
        <v>0.49780000000000002</v>
      </c>
      <c r="AI94" s="28">
        <f t="shared" si="128"/>
        <v>0.47789999999999999</v>
      </c>
      <c r="AJ94" s="28">
        <f t="shared" si="128"/>
        <v>0.45789999999999997</v>
      </c>
      <c r="AL94" s="35" t="s">
        <v>65</v>
      </c>
      <c r="AM94" s="37">
        <f t="shared" ref="AM94:AV94" si="129">C94*(1+(((2-3*O94^2)/24*AA94^2)+(O94*AA94*C94/4))*30)</f>
        <v>0.69185572732791367</v>
      </c>
      <c r="AN94" s="37">
        <f t="shared" si="129"/>
        <v>0.64529015550424562</v>
      </c>
      <c r="AO94" s="37">
        <f t="shared" si="129"/>
        <v>0.61475563742166073</v>
      </c>
      <c r="AP94" s="37">
        <f t="shared" si="129"/>
        <v>0.60110456490616448</v>
      </c>
      <c r="AQ94" s="37">
        <f t="shared" si="129"/>
        <v>0.5613201053234993</v>
      </c>
      <c r="AR94" s="37">
        <f t="shared" si="129"/>
        <v>0.51711725325856417</v>
      </c>
      <c r="AS94" s="37">
        <f t="shared" si="129"/>
        <v>0.48414865300865223</v>
      </c>
      <c r="AT94" s="37">
        <f t="shared" si="129"/>
        <v>0.44810794531536186</v>
      </c>
      <c r="AU94" s="37">
        <f t="shared" si="129"/>
        <v>0.41730714040324141</v>
      </c>
      <c r="AV94" s="37">
        <f t="shared" si="129"/>
        <v>0.39171556731605256</v>
      </c>
    </row>
    <row r="96" spans="1:48" ht="15" customHeight="1">
      <c r="A96" s="7" t="s">
        <v>135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spans="1:48" ht="15" customHeight="1">
      <c r="B97" s="7" t="s">
        <v>115</v>
      </c>
      <c r="C97" s="7"/>
      <c r="D97" s="7"/>
      <c r="E97" s="7"/>
      <c r="F97" s="7"/>
      <c r="G97" s="7"/>
      <c r="H97" s="7"/>
      <c r="I97" s="7"/>
      <c r="J97" s="7"/>
      <c r="K97" s="7"/>
      <c r="L97" s="7"/>
      <c r="N97" s="7" t="s">
        <v>116</v>
      </c>
      <c r="O97" s="7"/>
      <c r="P97" s="7"/>
      <c r="Q97" s="7"/>
      <c r="R97" s="7"/>
      <c r="S97" s="7"/>
      <c r="T97" s="7"/>
      <c r="U97" s="7"/>
      <c r="V97" s="7"/>
      <c r="W97" s="7"/>
      <c r="X97" s="7"/>
      <c r="Z97" s="7" t="s">
        <v>117</v>
      </c>
      <c r="AA97" s="7"/>
      <c r="AB97" s="7"/>
      <c r="AC97" s="7"/>
      <c r="AD97" s="7"/>
      <c r="AE97" s="7"/>
      <c r="AF97" s="7"/>
      <c r="AG97" s="7"/>
      <c r="AH97" s="7"/>
      <c r="AI97" s="7"/>
      <c r="AJ97" s="7"/>
      <c r="AL97" s="6" t="s">
        <v>118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ht="15" customHeight="1">
      <c r="B98" s="20" t="s">
        <v>119</v>
      </c>
      <c r="C98" s="21" t="s">
        <v>120</v>
      </c>
      <c r="D98" s="21" t="s">
        <v>58</v>
      </c>
      <c r="E98" s="21" t="s">
        <v>59</v>
      </c>
      <c r="F98" s="21" t="s">
        <v>30</v>
      </c>
      <c r="G98" s="21" t="s">
        <v>60</v>
      </c>
      <c r="H98" s="21" t="s">
        <v>61</v>
      </c>
      <c r="I98" s="21" t="s">
        <v>62</v>
      </c>
      <c r="J98" s="21" t="s">
        <v>63</v>
      </c>
      <c r="K98" s="21" t="s">
        <v>64</v>
      </c>
      <c r="L98" s="21" t="s">
        <v>65</v>
      </c>
      <c r="N98" s="20" t="s">
        <v>119</v>
      </c>
      <c r="O98" s="21" t="s">
        <v>120</v>
      </c>
      <c r="P98" s="21" t="s">
        <v>58</v>
      </c>
      <c r="Q98" s="21" t="s">
        <v>59</v>
      </c>
      <c r="R98" s="21" t="s">
        <v>30</v>
      </c>
      <c r="S98" s="21" t="s">
        <v>60</v>
      </c>
      <c r="T98" s="21" t="s">
        <v>61</v>
      </c>
      <c r="U98" s="21" t="s">
        <v>62</v>
      </c>
      <c r="V98" s="21" t="s">
        <v>63</v>
      </c>
      <c r="W98" s="21" t="s">
        <v>64</v>
      </c>
      <c r="X98" s="21" t="s">
        <v>65</v>
      </c>
      <c r="Z98" s="20" t="s">
        <v>119</v>
      </c>
      <c r="AA98" s="21" t="s">
        <v>120</v>
      </c>
      <c r="AB98" s="21" t="s">
        <v>58</v>
      </c>
      <c r="AC98" s="21" t="s">
        <v>59</v>
      </c>
      <c r="AD98" s="21" t="s">
        <v>30</v>
      </c>
      <c r="AE98" s="21" t="s">
        <v>60</v>
      </c>
      <c r="AF98" s="21" t="s">
        <v>61</v>
      </c>
      <c r="AG98" s="21" t="s">
        <v>62</v>
      </c>
      <c r="AH98" s="21" t="s">
        <v>63</v>
      </c>
      <c r="AI98" s="21" t="s">
        <v>64</v>
      </c>
      <c r="AJ98" s="21" t="s">
        <v>65</v>
      </c>
      <c r="AL98" s="20" t="s">
        <v>119</v>
      </c>
      <c r="AM98" s="21" t="s">
        <v>120</v>
      </c>
      <c r="AN98" s="21" t="s">
        <v>58</v>
      </c>
      <c r="AO98" s="21" t="s">
        <v>59</v>
      </c>
      <c r="AP98" s="21" t="s">
        <v>30</v>
      </c>
      <c r="AQ98" s="21" t="s">
        <v>60</v>
      </c>
      <c r="AR98" s="21" t="s">
        <v>61</v>
      </c>
      <c r="AS98" s="21" t="s">
        <v>62</v>
      </c>
      <c r="AT98" s="21" t="s">
        <v>63</v>
      </c>
      <c r="AU98" s="21" t="s">
        <v>64</v>
      </c>
      <c r="AV98" s="21" t="s">
        <v>65</v>
      </c>
    </row>
    <row r="99" spans="1:48" ht="15" customHeight="1">
      <c r="B99" s="35" t="s">
        <v>120</v>
      </c>
      <c r="C99" s="28">
        <f t="shared" ref="C99:L99" si="130">C7+$C$29*C40</f>
        <v>0.57932050000000002</v>
      </c>
      <c r="D99" s="28">
        <f t="shared" si="130"/>
        <v>0.55751899999999999</v>
      </c>
      <c r="E99" s="28">
        <f t="shared" si="130"/>
        <v>0.54881000000000002</v>
      </c>
      <c r="F99" s="28">
        <f t="shared" si="130"/>
        <v>0.51887000000000005</v>
      </c>
      <c r="G99" s="28">
        <f t="shared" si="130"/>
        <v>0.50945849999999993</v>
      </c>
      <c r="H99" s="28">
        <f t="shared" si="130"/>
        <v>0.48730850000000003</v>
      </c>
      <c r="I99" s="28">
        <f t="shared" si="130"/>
        <v>0.46354499999999998</v>
      </c>
      <c r="J99" s="28">
        <f t="shared" si="130"/>
        <v>0.45400000000000001</v>
      </c>
      <c r="K99" s="28">
        <f t="shared" si="130"/>
        <v>0.42585000000000001</v>
      </c>
      <c r="L99" s="28">
        <f t="shared" si="130"/>
        <v>0.41514099999999998</v>
      </c>
      <c r="N99" s="35" t="s">
        <v>120</v>
      </c>
      <c r="O99" s="28">
        <f t="shared" ref="O99:X99" si="131">O7+$D$29*O40</f>
        <v>-0.35859999999999997</v>
      </c>
      <c r="P99" s="28">
        <f t="shared" si="131"/>
        <v>-0.3387</v>
      </c>
      <c r="Q99" s="28">
        <f t="shared" si="131"/>
        <v>-0.31259999999999999</v>
      </c>
      <c r="R99" s="28">
        <f t="shared" si="131"/>
        <v>-0.28510000000000002</v>
      </c>
      <c r="S99" s="28">
        <f t="shared" si="131"/>
        <v>-0.2797</v>
      </c>
      <c r="T99" s="28">
        <f t="shared" si="131"/>
        <v>-0.25829999999999997</v>
      </c>
      <c r="U99" s="28">
        <f t="shared" si="131"/>
        <v>-0.23080000000000001</v>
      </c>
      <c r="V99" s="28">
        <f t="shared" si="131"/>
        <v>-0.2049</v>
      </c>
      <c r="W99" s="28">
        <f t="shared" si="131"/>
        <v>-0.19289999999999999</v>
      </c>
      <c r="X99" s="28">
        <f t="shared" si="131"/>
        <v>-0.17710000000000001</v>
      </c>
      <c r="Z99" s="35" t="s">
        <v>120</v>
      </c>
      <c r="AA99" s="28">
        <f t="shared" ref="AA99:AJ99" si="132">AA7+$E$29*AA40</f>
        <v>0.85950000000000004</v>
      </c>
      <c r="AB99" s="28">
        <f t="shared" si="132"/>
        <v>0.81869999999999998</v>
      </c>
      <c r="AC99" s="28">
        <f t="shared" si="132"/>
        <v>0.81269999999999998</v>
      </c>
      <c r="AD99" s="28">
        <f t="shared" si="132"/>
        <v>0.77910000000000001</v>
      </c>
      <c r="AE99" s="28">
        <f t="shared" si="132"/>
        <v>0.754</v>
      </c>
      <c r="AF99" s="28">
        <f t="shared" si="132"/>
        <v>0.73119999999999996</v>
      </c>
      <c r="AG99" s="28">
        <f t="shared" si="132"/>
        <v>0.71279999999999999</v>
      </c>
      <c r="AH99" s="28">
        <f t="shared" si="132"/>
        <v>0.70079999999999998</v>
      </c>
      <c r="AI99" s="28">
        <f t="shared" si="132"/>
        <v>0.66579999999999995</v>
      </c>
      <c r="AJ99" s="28">
        <f t="shared" si="132"/>
        <v>0.65159999999999996</v>
      </c>
      <c r="AL99" s="35" t="s">
        <v>120</v>
      </c>
      <c r="AM99" s="37">
        <f t="shared" ref="AM99:AV99" si="133">C99*(1+(((2-3*O99^2)/24*AA99^2)+(O99*AA99*C99/4))*0.0833333333333333)</f>
        <v>0.57956419756701893</v>
      </c>
      <c r="AN99" s="37">
        <f t="shared" si="133"/>
        <v>0.55787187275383643</v>
      </c>
      <c r="AO99" s="37">
        <f t="shared" si="133"/>
        <v>0.5493641212481819</v>
      </c>
      <c r="AP99" s="37">
        <f t="shared" si="133"/>
        <v>0.51954465178432174</v>
      </c>
      <c r="AQ99" s="37">
        <f t="shared" si="133"/>
        <v>0.51009347205940736</v>
      </c>
      <c r="AR99" s="37">
        <f t="shared" si="133"/>
        <v>0.48800235239771339</v>
      </c>
      <c r="AS99" s="37">
        <f t="shared" si="133"/>
        <v>0.46431341332232673</v>
      </c>
      <c r="AT99" s="37">
        <f t="shared" si="133"/>
        <v>0.45483427828247586</v>
      </c>
      <c r="AU99" s="37">
        <f t="shared" si="133"/>
        <v>0.42660253552486682</v>
      </c>
      <c r="AV99" s="37">
        <f t="shared" si="133"/>
        <v>0.41589311906817916</v>
      </c>
    </row>
    <row r="100" spans="1:48" ht="15" customHeight="1">
      <c r="B100" s="35" t="s">
        <v>58</v>
      </c>
      <c r="C100" s="28">
        <f t="shared" ref="C100:L100" si="134">C8+$C$29*C41</f>
        <v>0.56682949999999999</v>
      </c>
      <c r="D100" s="28">
        <f t="shared" si="134"/>
        <v>0.54288199999999998</v>
      </c>
      <c r="E100" s="28">
        <f t="shared" si="134"/>
        <v>0.52799850000000004</v>
      </c>
      <c r="F100" s="28">
        <f t="shared" si="134"/>
        <v>0.49948700000000001</v>
      </c>
      <c r="G100" s="28">
        <f t="shared" si="134"/>
        <v>0.48180299999999998</v>
      </c>
      <c r="H100" s="28">
        <f t="shared" si="134"/>
        <v>0.46570699999999998</v>
      </c>
      <c r="I100" s="28">
        <f t="shared" si="134"/>
        <v>0.4572155</v>
      </c>
      <c r="J100" s="28">
        <f t="shared" si="134"/>
        <v>0.4330965</v>
      </c>
      <c r="K100" s="28">
        <f t="shared" si="134"/>
        <v>0.41304849999999999</v>
      </c>
      <c r="L100" s="28">
        <f t="shared" si="134"/>
        <v>0.39978049999999998</v>
      </c>
      <c r="N100" s="35" t="s">
        <v>58</v>
      </c>
      <c r="O100" s="28">
        <f t="shared" ref="O100:X100" si="135">O8+$D$29*O41</f>
        <v>-0.33150000000000002</v>
      </c>
      <c r="P100" s="28">
        <f t="shared" si="135"/>
        <v>-0.31509999999999999</v>
      </c>
      <c r="Q100" s="28">
        <f t="shared" si="135"/>
        <v>-0.2858</v>
      </c>
      <c r="R100" s="28">
        <f t="shared" si="135"/>
        <v>-0.26819999999999999</v>
      </c>
      <c r="S100" s="28">
        <f t="shared" si="135"/>
        <v>-0.25790000000000002</v>
      </c>
      <c r="T100" s="28">
        <f t="shared" si="135"/>
        <v>-0.23180000000000001</v>
      </c>
      <c r="U100" s="28">
        <f t="shared" si="135"/>
        <v>-0.21340000000000001</v>
      </c>
      <c r="V100" s="28">
        <f t="shared" si="135"/>
        <v>-0.18690000000000001</v>
      </c>
      <c r="W100" s="28">
        <f t="shared" si="135"/>
        <v>-0.1704</v>
      </c>
      <c r="X100" s="28">
        <f t="shared" si="135"/>
        <v>-0.1598</v>
      </c>
      <c r="Z100" s="35" t="s">
        <v>58</v>
      </c>
      <c r="AA100" s="28">
        <f t="shared" ref="AA100:AJ100" si="136">AA8+$E$29*AA41</f>
        <v>0.83740000000000003</v>
      </c>
      <c r="AB100" s="28">
        <f t="shared" si="136"/>
        <v>0.79790000000000005</v>
      </c>
      <c r="AC100" s="28">
        <f t="shared" si="136"/>
        <v>0.78169999999999995</v>
      </c>
      <c r="AD100" s="28">
        <f t="shared" si="136"/>
        <v>0.76629999999999998</v>
      </c>
      <c r="AE100" s="28">
        <f t="shared" si="136"/>
        <v>0.7319</v>
      </c>
      <c r="AF100" s="28">
        <f t="shared" si="136"/>
        <v>0.71640000000000004</v>
      </c>
      <c r="AG100" s="28">
        <f t="shared" si="136"/>
        <v>0.68520000000000003</v>
      </c>
      <c r="AH100" s="28">
        <f t="shared" si="136"/>
        <v>0.67559999999999998</v>
      </c>
      <c r="AI100" s="28">
        <f t="shared" si="136"/>
        <v>0.65529999999999999</v>
      </c>
      <c r="AJ100" s="28">
        <f t="shared" si="136"/>
        <v>0.62919999999999998</v>
      </c>
      <c r="AL100" s="35" t="s">
        <v>58</v>
      </c>
      <c r="AM100" s="37">
        <f t="shared" ref="AM100:AV100" si="137">C100*(1+(((2-3*O100^2)/24*AA100^2)+(O100*AA100*C100/4))*0.25)</f>
        <v>0.56817094128409185</v>
      </c>
      <c r="AN100" s="37">
        <f t="shared" si="137"/>
        <v>0.54437895507382061</v>
      </c>
      <c r="AO100" s="37">
        <f t="shared" si="137"/>
        <v>0.5300038683195667</v>
      </c>
      <c r="AP100" s="37">
        <f t="shared" si="137"/>
        <v>0.5017335548417946</v>
      </c>
      <c r="AQ100" s="37">
        <f t="shared" si="137"/>
        <v>0.48390489284647537</v>
      </c>
      <c r="AR100" s="37">
        <f t="shared" si="137"/>
        <v>0.46803414060027171</v>
      </c>
      <c r="AS100" s="37">
        <f t="shared" si="137"/>
        <v>0.4594717005135987</v>
      </c>
      <c r="AT100" s="37">
        <f t="shared" si="137"/>
        <v>0.43551875918548427</v>
      </c>
      <c r="AU100" s="37">
        <f t="shared" si="137"/>
        <v>0.41539210499517243</v>
      </c>
      <c r="AV100" s="37">
        <f t="shared" si="137"/>
        <v>0.40194713675704147</v>
      </c>
    </row>
    <row r="101" spans="1:48" ht="15" customHeight="1">
      <c r="B101" s="35" t="s">
        <v>59</v>
      </c>
      <c r="C101" s="28">
        <f t="shared" ref="C101:L101" si="138">C9+$C$29*C42</f>
        <v>0.55269500000000005</v>
      </c>
      <c r="D101" s="28">
        <f t="shared" si="138"/>
        <v>0.52321649999999997</v>
      </c>
      <c r="E101" s="28">
        <f t="shared" si="138"/>
        <v>0.51313249999999999</v>
      </c>
      <c r="F101" s="28">
        <f t="shared" si="138"/>
        <v>0.49213400000000002</v>
      </c>
      <c r="G101" s="28">
        <f t="shared" si="138"/>
        <v>0.47392450000000003</v>
      </c>
      <c r="H101" s="28">
        <f t="shared" si="138"/>
        <v>0.452262</v>
      </c>
      <c r="I101" s="28">
        <f t="shared" si="138"/>
        <v>0.44100699999999998</v>
      </c>
      <c r="J101" s="28">
        <f t="shared" si="138"/>
        <v>0.425259</v>
      </c>
      <c r="K101" s="28">
        <f t="shared" si="138"/>
        <v>0.39749849999999998</v>
      </c>
      <c r="L101" s="28">
        <f t="shared" si="138"/>
        <v>0.38211800000000001</v>
      </c>
      <c r="N101" s="35" t="s">
        <v>59</v>
      </c>
      <c r="O101" s="28">
        <f t="shared" ref="O101:X101" si="139">O9+$D$29*O42</f>
        <v>-0.31990000000000002</v>
      </c>
      <c r="P101" s="28">
        <f t="shared" si="139"/>
        <v>-0.28760000000000002</v>
      </c>
      <c r="Q101" s="28">
        <f t="shared" si="139"/>
        <v>-0.26929999999999998</v>
      </c>
      <c r="R101" s="28">
        <f t="shared" si="139"/>
        <v>-0.2429</v>
      </c>
      <c r="S101" s="28">
        <f t="shared" si="139"/>
        <v>-0.22689999999999999</v>
      </c>
      <c r="T101" s="28">
        <f t="shared" si="139"/>
        <v>-0.21820000000000001</v>
      </c>
      <c r="U101" s="28">
        <f t="shared" si="139"/>
        <v>-0.19670000000000001</v>
      </c>
      <c r="V101" s="28">
        <f t="shared" si="139"/>
        <v>-0.1716</v>
      </c>
      <c r="W101" s="28">
        <f t="shared" si="139"/>
        <v>-0.1651</v>
      </c>
      <c r="X101" s="28">
        <f t="shared" si="139"/>
        <v>-0.13689999999999999</v>
      </c>
      <c r="Z101" s="35" t="s">
        <v>59</v>
      </c>
      <c r="AA101" s="28">
        <f t="shared" ref="AA101:AJ101" si="140">AA9+$E$29*AA42</f>
        <v>0.79890000000000005</v>
      </c>
      <c r="AB101" s="28">
        <f t="shared" si="140"/>
        <v>0.77569999999999995</v>
      </c>
      <c r="AC101" s="28">
        <f t="shared" si="140"/>
        <v>0.75229999999999997</v>
      </c>
      <c r="AD101" s="28">
        <f t="shared" si="140"/>
        <v>0.74429999999999996</v>
      </c>
      <c r="AE101" s="28">
        <f t="shared" si="140"/>
        <v>0.70930000000000004</v>
      </c>
      <c r="AF101" s="28">
        <f t="shared" si="140"/>
        <v>0.68940000000000001</v>
      </c>
      <c r="AG101" s="28">
        <f t="shared" si="140"/>
        <v>0.67</v>
      </c>
      <c r="AH101" s="28">
        <f t="shared" si="140"/>
        <v>0.65739999999999998</v>
      </c>
      <c r="AI101" s="28">
        <f t="shared" si="140"/>
        <v>0.61939999999999995</v>
      </c>
      <c r="AJ101" s="28">
        <f t="shared" si="140"/>
        <v>0.60450000000000004</v>
      </c>
      <c r="AL101" s="35" t="s">
        <v>59</v>
      </c>
      <c r="AM101" s="37">
        <f t="shared" ref="AM101:AV101" si="141">C101*(1+(((2-3*O101^2)/24*AA101^2)+(O101*AA101*C101/4))*0.5)</f>
        <v>0.55537821843671464</v>
      </c>
      <c r="AN101" s="37">
        <f t="shared" si="141"/>
        <v>0.52707262098579155</v>
      </c>
      <c r="AO101" s="37">
        <f t="shared" si="141"/>
        <v>0.51724857657485945</v>
      </c>
      <c r="AP101" s="37">
        <f t="shared" si="141"/>
        <v>0.49701505242301491</v>
      </c>
      <c r="AQ101" s="37">
        <f t="shared" si="141"/>
        <v>0.47857356928686828</v>
      </c>
      <c r="AR101" s="37">
        <f t="shared" si="141"/>
        <v>0.45673246937177825</v>
      </c>
      <c r="AS101" s="37">
        <f t="shared" si="141"/>
        <v>0.44557303717231467</v>
      </c>
      <c r="AT101" s="37">
        <f t="shared" si="141"/>
        <v>0.4300283766219577</v>
      </c>
      <c r="AU101" s="37">
        <f t="shared" si="141"/>
        <v>0.40157321904458565</v>
      </c>
      <c r="AV101" s="37">
        <f t="shared" si="141"/>
        <v>0.386262064540913</v>
      </c>
    </row>
    <row r="102" spans="1:48" ht="15" customHeight="1">
      <c r="B102" s="35" t="s">
        <v>30</v>
      </c>
      <c r="C102" s="28">
        <f t="shared" ref="C102:L102" si="142">C10+$C$29*C43</f>
        <v>0.52775249999999996</v>
      </c>
      <c r="D102" s="28">
        <f t="shared" si="142"/>
        <v>0.51621499999999998</v>
      </c>
      <c r="E102" s="28">
        <f t="shared" si="142"/>
        <v>0.497249</v>
      </c>
      <c r="F102" s="28">
        <f t="shared" si="142"/>
        <v>0.47933749999999997</v>
      </c>
      <c r="G102" s="28">
        <f t="shared" si="142"/>
        <v>0.44831350000000003</v>
      </c>
      <c r="H102" s="28">
        <f t="shared" si="142"/>
        <v>0.43273249999999996</v>
      </c>
      <c r="I102" s="28">
        <f t="shared" si="142"/>
        <v>0.41290300000000002</v>
      </c>
      <c r="J102" s="28">
        <f t="shared" si="142"/>
        <v>0.40481700000000004</v>
      </c>
      <c r="K102" s="28">
        <f t="shared" si="142"/>
        <v>0.38867400000000002</v>
      </c>
      <c r="L102" s="28">
        <f t="shared" si="142"/>
        <v>0.35327050000000004</v>
      </c>
      <c r="N102" s="35" t="s">
        <v>30</v>
      </c>
      <c r="O102" s="28">
        <f t="shared" ref="O102:X102" si="143">O10+$D$29*O43</f>
        <v>-0.29809999999999998</v>
      </c>
      <c r="P102" s="28">
        <f t="shared" si="143"/>
        <v>-0.27760000000000001</v>
      </c>
      <c r="Q102" s="28">
        <f t="shared" si="143"/>
        <v>-0.2581</v>
      </c>
      <c r="R102" s="28">
        <f t="shared" si="143"/>
        <v>-0.2336</v>
      </c>
      <c r="S102" s="28">
        <f t="shared" si="143"/>
        <v>-0.21210000000000001</v>
      </c>
      <c r="T102" s="28">
        <f t="shared" si="143"/>
        <v>-0.19919999999999999</v>
      </c>
      <c r="U102" s="28">
        <f t="shared" si="143"/>
        <v>-0.18490000000000001</v>
      </c>
      <c r="V102" s="28">
        <f t="shared" si="143"/>
        <v>-0.15720000000000001</v>
      </c>
      <c r="W102" s="28">
        <f t="shared" si="143"/>
        <v>-0.13869999999999999</v>
      </c>
      <c r="X102" s="28">
        <f t="shared" si="143"/>
        <v>-0.1153</v>
      </c>
      <c r="Z102" s="35" t="s">
        <v>30</v>
      </c>
      <c r="AA102" s="28">
        <f t="shared" ref="AA102:AJ102" si="144">AA10+$E$29*AA43</f>
        <v>0.79239999999999999</v>
      </c>
      <c r="AB102" s="28">
        <f t="shared" si="144"/>
        <v>0.76490000000000002</v>
      </c>
      <c r="AC102" s="28">
        <f t="shared" si="144"/>
        <v>0.73919999999999997</v>
      </c>
      <c r="AD102" s="28">
        <f t="shared" si="144"/>
        <v>0.71899999999999997</v>
      </c>
      <c r="AE102" s="28">
        <f t="shared" si="144"/>
        <v>0.69799999999999995</v>
      </c>
      <c r="AF102" s="28">
        <f t="shared" si="144"/>
        <v>0.6633</v>
      </c>
      <c r="AG102" s="28">
        <f t="shared" si="144"/>
        <v>0.65800000000000003</v>
      </c>
      <c r="AH102" s="28">
        <f t="shared" si="144"/>
        <v>0.63339999999999996</v>
      </c>
      <c r="AI102" s="28">
        <f t="shared" si="144"/>
        <v>0.61299999999999999</v>
      </c>
      <c r="AJ102" s="28">
        <f t="shared" si="144"/>
        <v>0.58930000000000005</v>
      </c>
      <c r="AL102" s="35" t="s">
        <v>30</v>
      </c>
      <c r="AM102" s="37">
        <f t="shared" ref="AM102:AV102" si="145">C102*(1+(((2-3*O102^2)/24*AA102^2)+(O102*AA102*C102/4))*1)</f>
        <v>0.53523838703049176</v>
      </c>
      <c r="AN102" s="37">
        <f t="shared" si="145"/>
        <v>0.5243285462575642</v>
      </c>
      <c r="AO102" s="37">
        <f t="shared" si="145"/>
        <v>0.5058352517783643</v>
      </c>
      <c r="AP102" s="37">
        <f t="shared" si="145"/>
        <v>0.4886494172556835</v>
      </c>
      <c r="AQ102" s="37">
        <f t="shared" si="145"/>
        <v>0.45784818927859838</v>
      </c>
      <c r="AR102" s="37">
        <f t="shared" si="145"/>
        <v>0.44146827412775269</v>
      </c>
      <c r="AS102" s="37">
        <f t="shared" si="145"/>
        <v>0.4218510964102401</v>
      </c>
      <c r="AT102" s="37">
        <f t="shared" si="145"/>
        <v>0.41377022526113372</v>
      </c>
      <c r="AU102" s="37">
        <f t="shared" si="145"/>
        <v>0.39728270167492319</v>
      </c>
      <c r="AV102" s="37">
        <f t="shared" si="145"/>
        <v>0.36117019311199555</v>
      </c>
    </row>
    <row r="103" spans="1:48" ht="15" customHeight="1">
      <c r="B103" s="35" t="s">
        <v>60</v>
      </c>
      <c r="C103" s="28">
        <f t="shared" ref="C103:L103" si="146">C11+$C$29*C44</f>
        <v>0.50670199999999999</v>
      </c>
      <c r="D103" s="28">
        <f t="shared" si="146"/>
        <v>0.48811350000000003</v>
      </c>
      <c r="E103" s="28">
        <f t="shared" si="146"/>
        <v>0.46344049999999998</v>
      </c>
      <c r="F103" s="28">
        <f t="shared" si="146"/>
        <v>0.45617200000000002</v>
      </c>
      <c r="G103" s="28">
        <f t="shared" si="146"/>
        <v>0.42548900000000001</v>
      </c>
      <c r="H103" s="28">
        <f t="shared" si="146"/>
        <v>0.40767949999999997</v>
      </c>
      <c r="I103" s="28">
        <f t="shared" si="146"/>
        <v>0.39137850000000002</v>
      </c>
      <c r="J103" s="28">
        <f t="shared" si="146"/>
        <v>0.37230249999999998</v>
      </c>
      <c r="K103" s="28">
        <f t="shared" si="146"/>
        <v>0.35711150000000003</v>
      </c>
      <c r="L103" s="28">
        <f t="shared" si="146"/>
        <v>0.332928</v>
      </c>
      <c r="N103" s="35" t="s">
        <v>60</v>
      </c>
      <c r="O103" s="28">
        <f t="shared" ref="O103:X103" si="147">O11+$D$29*O44</f>
        <v>-0.28220000000000001</v>
      </c>
      <c r="P103" s="28">
        <f t="shared" si="147"/>
        <v>-0.25979999999999998</v>
      </c>
      <c r="Q103" s="28">
        <f t="shared" si="147"/>
        <v>-0.24129999999999999</v>
      </c>
      <c r="R103" s="28">
        <f t="shared" si="147"/>
        <v>-0.21659999999999999</v>
      </c>
      <c r="S103" s="28">
        <f t="shared" si="147"/>
        <v>-0.2039</v>
      </c>
      <c r="T103" s="28">
        <f t="shared" si="147"/>
        <v>-0.16750000000000001</v>
      </c>
      <c r="U103" s="28">
        <f t="shared" si="147"/>
        <v>-0.15329999999999999</v>
      </c>
      <c r="V103" s="28">
        <f t="shared" si="147"/>
        <v>-0.1431</v>
      </c>
      <c r="W103" s="28">
        <f t="shared" si="147"/>
        <v>-0.1216</v>
      </c>
      <c r="X103" s="28">
        <f t="shared" si="147"/>
        <v>-0.1003</v>
      </c>
      <c r="Z103" s="35" t="s">
        <v>60</v>
      </c>
      <c r="AA103" s="28">
        <f t="shared" ref="AA103:AJ103" si="148">AA11+$E$29*AA44</f>
        <v>0.75839999999999996</v>
      </c>
      <c r="AB103" s="28">
        <f t="shared" si="148"/>
        <v>0.73129999999999995</v>
      </c>
      <c r="AC103" s="28">
        <f t="shared" si="148"/>
        <v>0.72360000000000002</v>
      </c>
      <c r="AD103" s="28">
        <f t="shared" si="148"/>
        <v>0.70430000000000004</v>
      </c>
      <c r="AE103" s="28">
        <f t="shared" si="148"/>
        <v>0.67149999999999999</v>
      </c>
      <c r="AF103" s="28">
        <f t="shared" si="148"/>
        <v>0.64970000000000006</v>
      </c>
      <c r="AG103" s="28">
        <f t="shared" si="148"/>
        <v>0.61950000000000005</v>
      </c>
      <c r="AH103" s="28">
        <f t="shared" si="148"/>
        <v>0.59760000000000002</v>
      </c>
      <c r="AI103" s="28">
        <f t="shared" si="148"/>
        <v>0.58020000000000005</v>
      </c>
      <c r="AJ103" s="28">
        <f t="shared" si="148"/>
        <v>0.55640000000000001</v>
      </c>
      <c r="AL103" s="35" t="s">
        <v>60</v>
      </c>
      <c r="AM103" s="37">
        <f t="shared" ref="AM103:AV103" si="149">C103*(1+(((2-3*O103^2)/24*AA103^2)+(O103*AA103*C103/4))*2)</f>
        <v>0.52199845471143758</v>
      </c>
      <c r="AN103" s="37">
        <f t="shared" si="149"/>
        <v>0.50458259580610454</v>
      </c>
      <c r="AO103" s="37">
        <f t="shared" si="149"/>
        <v>0.48160042587757201</v>
      </c>
      <c r="AP103" s="37">
        <f t="shared" si="149"/>
        <v>0.4753587159915692</v>
      </c>
      <c r="AQ103" s="37">
        <f t="shared" si="149"/>
        <v>0.44307727562286631</v>
      </c>
      <c r="AR103" s="37">
        <f t="shared" si="149"/>
        <v>0.42610994221715098</v>
      </c>
      <c r="AS103" s="37">
        <f t="shared" si="149"/>
        <v>0.40825634548013312</v>
      </c>
      <c r="AT103" s="37">
        <f t="shared" si="149"/>
        <v>0.3878549436187208</v>
      </c>
      <c r="AU103" s="37">
        <f t="shared" si="149"/>
        <v>0.37220424978443056</v>
      </c>
      <c r="AV103" s="37">
        <f t="shared" si="149"/>
        <v>0.34675396064839359</v>
      </c>
    </row>
    <row r="104" spans="1:48" ht="15" customHeight="1">
      <c r="B104" s="35" t="s">
        <v>61</v>
      </c>
      <c r="C104" s="28">
        <f t="shared" ref="C104:L104" si="150">C12+$C$29*C45</f>
        <v>0.49734899999999999</v>
      </c>
      <c r="D104" s="28">
        <f t="shared" si="150"/>
        <v>0.46529899999999996</v>
      </c>
      <c r="E104" s="28">
        <f t="shared" si="150"/>
        <v>0.44343900000000003</v>
      </c>
      <c r="F104" s="28">
        <f t="shared" si="150"/>
        <v>0.44421150000000004</v>
      </c>
      <c r="G104" s="28">
        <f t="shared" si="150"/>
        <v>0.4164465</v>
      </c>
      <c r="H104" s="28">
        <f t="shared" si="150"/>
        <v>0.39052700000000001</v>
      </c>
      <c r="I104" s="28">
        <f t="shared" si="150"/>
        <v>0.38043549999999998</v>
      </c>
      <c r="J104" s="28">
        <f t="shared" si="150"/>
        <v>0.3513445</v>
      </c>
      <c r="K104" s="28">
        <f t="shared" si="150"/>
        <v>0.342223</v>
      </c>
      <c r="L104" s="28">
        <f t="shared" si="150"/>
        <v>0.33376449999999996</v>
      </c>
      <c r="N104" s="35" t="s">
        <v>61</v>
      </c>
      <c r="O104" s="28">
        <f t="shared" ref="O104:X104" si="151">O12+$D$29*O45</f>
        <v>-0.2455</v>
      </c>
      <c r="P104" s="28">
        <f t="shared" si="151"/>
        <v>-0.22939999999999999</v>
      </c>
      <c r="Q104" s="28">
        <f t="shared" si="151"/>
        <v>-0.21870000000000001</v>
      </c>
      <c r="R104" s="28">
        <f t="shared" si="151"/>
        <v>-0.1971</v>
      </c>
      <c r="S104" s="28">
        <f t="shared" si="151"/>
        <v>-0.1817</v>
      </c>
      <c r="T104" s="28">
        <f t="shared" si="151"/>
        <v>-0.15010000000000001</v>
      </c>
      <c r="U104" s="28">
        <f t="shared" si="151"/>
        <v>-0.13550000000000001</v>
      </c>
      <c r="V104" s="28">
        <f t="shared" si="151"/>
        <v>-0.1111</v>
      </c>
      <c r="W104" s="28">
        <f t="shared" si="151"/>
        <v>-0.10059999999999999</v>
      </c>
      <c r="X104" s="28">
        <f t="shared" si="151"/>
        <v>-8.3299999999999999E-2</v>
      </c>
      <c r="Z104" s="35" t="s">
        <v>61</v>
      </c>
      <c r="AA104" s="28">
        <f t="shared" ref="AA104:AJ104" si="152">AA12+$E$29*AA45</f>
        <v>0.74509999999999998</v>
      </c>
      <c r="AB104" s="28">
        <f t="shared" si="152"/>
        <v>0.72640000000000005</v>
      </c>
      <c r="AC104" s="28">
        <f t="shared" si="152"/>
        <v>0.70150000000000001</v>
      </c>
      <c r="AD104" s="28">
        <f t="shared" si="152"/>
        <v>0.67830000000000001</v>
      </c>
      <c r="AE104" s="28">
        <f t="shared" si="152"/>
        <v>0.65639999999999998</v>
      </c>
      <c r="AF104" s="28">
        <f t="shared" si="152"/>
        <v>0.63260000000000005</v>
      </c>
      <c r="AG104" s="28">
        <f t="shared" si="152"/>
        <v>0.60009999999999997</v>
      </c>
      <c r="AH104" s="28">
        <f t="shared" si="152"/>
        <v>0.5837</v>
      </c>
      <c r="AI104" s="28">
        <f t="shared" si="152"/>
        <v>0.55820000000000003</v>
      </c>
      <c r="AJ104" s="28">
        <f t="shared" si="152"/>
        <v>0.52949999999999997</v>
      </c>
      <c r="AL104" s="35" t="s">
        <v>61</v>
      </c>
      <c r="AM104" s="37">
        <f t="shared" ref="AM104:AV104" si="153">C104*(1+(((2-3*O104^2)/24*AA104^2)+(O104*AA104*C104/4))*3)</f>
        <v>0.52620208048650008</v>
      </c>
      <c r="AN104" s="37">
        <f t="shared" si="153"/>
        <v>0.49477553221938775</v>
      </c>
      <c r="AO104" s="37">
        <f t="shared" si="153"/>
        <v>0.47145347642932472</v>
      </c>
      <c r="AP104" s="37">
        <f t="shared" si="153"/>
        <v>0.4725429074339319</v>
      </c>
      <c r="AQ104" s="37">
        <f t="shared" si="153"/>
        <v>0.44356941542825468</v>
      </c>
      <c r="AR104" s="37">
        <f t="shared" si="153"/>
        <v>0.41741606705760292</v>
      </c>
      <c r="AS104" s="37">
        <f t="shared" si="153"/>
        <v>0.40491638049926187</v>
      </c>
      <c r="AT104" s="37">
        <f t="shared" si="153"/>
        <v>0.37471281751454849</v>
      </c>
      <c r="AU104" s="37">
        <f t="shared" si="153"/>
        <v>0.36354389175048674</v>
      </c>
      <c r="AV104" s="37">
        <f t="shared" si="153"/>
        <v>0.3532302847703756</v>
      </c>
    </row>
    <row r="105" spans="1:48" ht="15" customHeight="1">
      <c r="B105" s="35" t="s">
        <v>62</v>
      </c>
      <c r="C105" s="28">
        <f t="shared" ref="C105:L105" si="154">C13+$C$29*C46</f>
        <v>0.46198149999999999</v>
      </c>
      <c r="D105" s="28">
        <f t="shared" si="154"/>
        <v>0.44847750000000003</v>
      </c>
      <c r="E105" s="28">
        <f t="shared" si="154"/>
        <v>0.43026799999999998</v>
      </c>
      <c r="F105" s="28">
        <f t="shared" si="154"/>
        <v>0.41988999999999999</v>
      </c>
      <c r="G105" s="28">
        <f t="shared" si="154"/>
        <v>0.40660400000000002</v>
      </c>
      <c r="H105" s="28">
        <f t="shared" si="154"/>
        <v>0.37757199999999996</v>
      </c>
      <c r="I105" s="28">
        <f t="shared" si="154"/>
        <v>0.36884749999999999</v>
      </c>
      <c r="J105" s="28">
        <f t="shared" si="154"/>
        <v>0.35201750000000004</v>
      </c>
      <c r="K105" s="28">
        <f t="shared" si="154"/>
        <v>0.33246249999999999</v>
      </c>
      <c r="L105" s="28">
        <f t="shared" si="154"/>
        <v>0.30254799999999998</v>
      </c>
      <c r="N105" s="35" t="s">
        <v>62</v>
      </c>
      <c r="O105" s="28">
        <f t="shared" ref="O105:X105" si="155">O13+$D$29*O46</f>
        <v>-0.2389</v>
      </c>
      <c r="P105" s="28">
        <f t="shared" si="155"/>
        <v>-0.21940000000000001</v>
      </c>
      <c r="Q105" s="28">
        <f t="shared" si="155"/>
        <v>-0.20050000000000001</v>
      </c>
      <c r="R105" s="28">
        <f t="shared" si="155"/>
        <v>-0.18090000000000001</v>
      </c>
      <c r="S105" s="28">
        <f t="shared" si="155"/>
        <v>-0.15310000000000001</v>
      </c>
      <c r="T105" s="28">
        <f t="shared" si="155"/>
        <v>-0.12809999999999999</v>
      </c>
      <c r="U105" s="28">
        <f t="shared" si="155"/>
        <v>-0.1099</v>
      </c>
      <c r="V105" s="28">
        <f t="shared" si="155"/>
        <v>-9.7600000000000006E-2</v>
      </c>
      <c r="W105" s="28">
        <f t="shared" si="155"/>
        <v>-7.4700000000000003E-2</v>
      </c>
      <c r="X105" s="28">
        <f t="shared" si="155"/>
        <v>-5.2299999999999999E-2</v>
      </c>
      <c r="Z105" s="35" t="s">
        <v>62</v>
      </c>
      <c r="AA105" s="28">
        <f t="shared" ref="AA105:AJ105" si="156">AA13+$E$29*AA46</f>
        <v>0.70840000000000003</v>
      </c>
      <c r="AB105" s="28">
        <f t="shared" si="156"/>
        <v>0.69769999999999999</v>
      </c>
      <c r="AC105" s="28">
        <f t="shared" si="156"/>
        <v>0.6804</v>
      </c>
      <c r="AD105" s="28">
        <f t="shared" si="156"/>
        <v>0.65559999999999996</v>
      </c>
      <c r="AE105" s="28">
        <f t="shared" si="156"/>
        <v>0.63280000000000003</v>
      </c>
      <c r="AF105" s="28">
        <f t="shared" si="156"/>
        <v>0.60509999999999997</v>
      </c>
      <c r="AG105" s="28">
        <f t="shared" si="156"/>
        <v>0.57689999999999997</v>
      </c>
      <c r="AH105" s="28">
        <f t="shared" si="156"/>
        <v>0.56689999999999996</v>
      </c>
      <c r="AI105" s="28">
        <f t="shared" si="156"/>
        <v>0.53549999999999998</v>
      </c>
      <c r="AJ105" s="28">
        <f t="shared" si="156"/>
        <v>0.52270000000000005</v>
      </c>
      <c r="AL105" s="35" t="s">
        <v>62</v>
      </c>
      <c r="AM105" s="37">
        <f t="shared" ref="AM105:AV105" si="157">C105*(1+(((2-3*O105^2)/24*AA105^2)+(O105*AA105*C105/4))*5)</f>
        <v>0.50516063590746552</v>
      </c>
      <c r="AN105" s="37">
        <f t="shared" si="157"/>
        <v>0.49438750462297637</v>
      </c>
      <c r="AO105" s="37">
        <f t="shared" si="157"/>
        <v>0.47668974247222651</v>
      </c>
      <c r="AP105" s="37">
        <f t="shared" si="157"/>
        <v>0.46525889131367043</v>
      </c>
      <c r="AQ105" s="37">
        <f t="shared" si="157"/>
        <v>0.45203849245918498</v>
      </c>
      <c r="AR105" s="37">
        <f t="shared" si="157"/>
        <v>0.41994391231223743</v>
      </c>
      <c r="AS105" s="37">
        <f t="shared" si="157"/>
        <v>0.40828771412093184</v>
      </c>
      <c r="AT105" s="37">
        <f t="shared" si="157"/>
        <v>0.38991112726049376</v>
      </c>
      <c r="AU105" s="37">
        <f t="shared" si="157"/>
        <v>0.36632694778737546</v>
      </c>
      <c r="AV105" s="37">
        <f t="shared" si="157"/>
        <v>0.33372076224711678</v>
      </c>
    </row>
    <row r="106" spans="1:48" ht="15" customHeight="1">
      <c r="B106" s="35" t="s">
        <v>63</v>
      </c>
      <c r="C106" s="28">
        <f t="shared" ref="C106:L106" si="158">C14+$C$29*C47</f>
        <v>0.46252100000000002</v>
      </c>
      <c r="D106" s="28">
        <f t="shared" si="158"/>
        <v>0.43257850000000003</v>
      </c>
      <c r="E106" s="28">
        <f t="shared" si="158"/>
        <v>0.414769</v>
      </c>
      <c r="F106" s="28">
        <f t="shared" si="158"/>
        <v>0.40662949999999998</v>
      </c>
      <c r="G106" s="28">
        <f t="shared" si="158"/>
        <v>0.38378699999999999</v>
      </c>
      <c r="H106" s="28">
        <f t="shared" si="158"/>
        <v>0.35451099999999997</v>
      </c>
      <c r="I106" s="28">
        <f t="shared" si="158"/>
        <v>0.3343255</v>
      </c>
      <c r="J106" s="28">
        <f t="shared" si="158"/>
        <v>0.31623949999999995</v>
      </c>
      <c r="K106" s="28">
        <f t="shared" si="158"/>
        <v>0.3137375</v>
      </c>
      <c r="L106" s="28">
        <f t="shared" si="158"/>
        <v>0.29316949999999997</v>
      </c>
      <c r="N106" s="35" t="s">
        <v>63</v>
      </c>
      <c r="O106" s="28">
        <f t="shared" ref="O106:X106" si="159">O14+$D$29*O47</f>
        <v>-0.221</v>
      </c>
      <c r="P106" s="28">
        <f t="shared" si="159"/>
        <v>-0.18790000000000001</v>
      </c>
      <c r="Q106" s="28">
        <f t="shared" si="159"/>
        <v>-0.16539999999999999</v>
      </c>
      <c r="R106" s="28">
        <f t="shared" si="159"/>
        <v>-0.15240000000000001</v>
      </c>
      <c r="S106" s="28">
        <f t="shared" si="159"/>
        <v>-0.1391</v>
      </c>
      <c r="T106" s="28">
        <f t="shared" si="159"/>
        <v>-0.1157</v>
      </c>
      <c r="U106" s="28">
        <f t="shared" si="159"/>
        <v>-0.1046</v>
      </c>
      <c r="V106" s="28">
        <f t="shared" si="159"/>
        <v>-8.7499999999999994E-2</v>
      </c>
      <c r="W106" s="28">
        <f t="shared" si="159"/>
        <v>-4.8899999999999999E-2</v>
      </c>
      <c r="X106" s="28">
        <f t="shared" si="159"/>
        <v>-3.5900000000000001E-2</v>
      </c>
      <c r="Z106" s="35" t="s">
        <v>63</v>
      </c>
      <c r="AA106" s="28">
        <f t="shared" ref="AA106:AJ106" si="160">AA14+$E$29*AA47</f>
        <v>0.69499999999999995</v>
      </c>
      <c r="AB106" s="28">
        <f t="shared" si="160"/>
        <v>0.68089999999999995</v>
      </c>
      <c r="AC106" s="28">
        <f t="shared" si="160"/>
        <v>0.64870000000000005</v>
      </c>
      <c r="AD106" s="28">
        <f t="shared" si="160"/>
        <v>0.63519999999999999</v>
      </c>
      <c r="AE106" s="28">
        <f t="shared" si="160"/>
        <v>0.61209999999999998</v>
      </c>
      <c r="AF106" s="28">
        <f t="shared" si="160"/>
        <v>0.5776</v>
      </c>
      <c r="AG106" s="28">
        <f t="shared" si="160"/>
        <v>0.55610000000000004</v>
      </c>
      <c r="AH106" s="28">
        <f t="shared" si="160"/>
        <v>0.53469999999999995</v>
      </c>
      <c r="AI106" s="28">
        <f t="shared" si="160"/>
        <v>0.51149999999999995</v>
      </c>
      <c r="AJ106" s="28">
        <f t="shared" si="160"/>
        <v>0.49619999999999997</v>
      </c>
      <c r="AL106" s="35" t="s">
        <v>63</v>
      </c>
      <c r="AM106" s="37">
        <f t="shared" ref="AM106:AV106" si="161">C106*(1+(((2-3*O106^2)/24*AA106^2)+(O106*AA106*C106/4))*10)</f>
        <v>0.55291114176643186</v>
      </c>
      <c r="AN106" s="37">
        <f t="shared" si="161"/>
        <v>0.53100369827623151</v>
      </c>
      <c r="AO106" s="37">
        <f t="shared" si="161"/>
        <v>0.5081042870307072</v>
      </c>
      <c r="AP106" s="37">
        <f t="shared" si="161"/>
        <v>0.49857239698586286</v>
      </c>
      <c r="AQ106" s="37">
        <f t="shared" si="161"/>
        <v>0.46878364484353885</v>
      </c>
      <c r="AR106" s="37">
        <f t="shared" si="161"/>
        <v>0.43009528580733741</v>
      </c>
      <c r="AS106" s="37">
        <f t="shared" si="161"/>
        <v>0.40281506753470753</v>
      </c>
      <c r="AT106" s="37">
        <f t="shared" si="161"/>
        <v>0.37902191635304844</v>
      </c>
      <c r="AU106" s="37">
        <f t="shared" si="161"/>
        <v>0.37574036680196532</v>
      </c>
      <c r="AV106" s="37">
        <f t="shared" si="161"/>
        <v>0.34937773009965967</v>
      </c>
    </row>
    <row r="107" spans="1:48" ht="15" customHeight="1">
      <c r="B107" s="35" t="s">
        <v>64</v>
      </c>
      <c r="C107" s="28">
        <f t="shared" ref="C107:L107" si="162">C15+$C$29*C48</f>
        <v>0.42963249999999997</v>
      </c>
      <c r="D107" s="28">
        <f t="shared" si="162"/>
        <v>0.4142055</v>
      </c>
      <c r="E107" s="28">
        <f t="shared" si="162"/>
        <v>0.39063700000000001</v>
      </c>
      <c r="F107" s="28">
        <f t="shared" si="162"/>
        <v>0.38793800000000001</v>
      </c>
      <c r="G107" s="28">
        <f t="shared" si="162"/>
        <v>0.35739100000000001</v>
      </c>
      <c r="H107" s="28">
        <f t="shared" si="162"/>
        <v>0.34186850000000002</v>
      </c>
      <c r="I107" s="28">
        <f t="shared" si="162"/>
        <v>0.32574150000000002</v>
      </c>
      <c r="J107" s="28">
        <f t="shared" si="162"/>
        <v>0.31334799999999996</v>
      </c>
      <c r="K107" s="28">
        <f t="shared" si="162"/>
        <v>0.28487750000000001</v>
      </c>
      <c r="L107" s="28">
        <f t="shared" si="162"/>
        <v>0.27807500000000002</v>
      </c>
      <c r="N107" s="35" t="s">
        <v>64</v>
      </c>
      <c r="O107" s="28">
        <f t="shared" ref="O107:X107" si="163">O15+$D$29*O48</f>
        <v>-0.19439999999999999</v>
      </c>
      <c r="P107" s="28">
        <f t="shared" si="163"/>
        <v>-0.1744</v>
      </c>
      <c r="Q107" s="28">
        <f t="shared" si="163"/>
        <v>-0.15509999999999999</v>
      </c>
      <c r="R107" s="28">
        <f t="shared" si="163"/>
        <v>-0.1457</v>
      </c>
      <c r="S107" s="28">
        <f t="shared" si="163"/>
        <v>-0.1179</v>
      </c>
      <c r="T107" s="28">
        <f t="shared" si="163"/>
        <v>-0.1036</v>
      </c>
      <c r="U107" s="28">
        <f t="shared" si="163"/>
        <v>-8.77E-2</v>
      </c>
      <c r="V107" s="28">
        <f t="shared" si="163"/>
        <v>-5.2299999999999999E-2</v>
      </c>
      <c r="W107" s="28">
        <f t="shared" si="163"/>
        <v>-4.5400000000000003E-2</v>
      </c>
      <c r="X107" s="28">
        <f t="shared" si="163"/>
        <v>-0.02</v>
      </c>
      <c r="Z107" s="35" t="s">
        <v>64</v>
      </c>
      <c r="AA107" s="28">
        <f t="shared" ref="AA107:AJ107" si="164">AA15+$E$29*AA48</f>
        <v>0.67669999999999997</v>
      </c>
      <c r="AB107" s="28">
        <f t="shared" si="164"/>
        <v>0.65110000000000001</v>
      </c>
      <c r="AC107" s="28">
        <f t="shared" si="164"/>
        <v>0.62429999999999997</v>
      </c>
      <c r="AD107" s="28">
        <f t="shared" si="164"/>
        <v>0.60589999999999999</v>
      </c>
      <c r="AE107" s="28">
        <f t="shared" si="164"/>
        <v>0.58440000000000003</v>
      </c>
      <c r="AF107" s="28">
        <f t="shared" si="164"/>
        <v>0.56679999999999997</v>
      </c>
      <c r="AG107" s="28">
        <f t="shared" si="164"/>
        <v>0.53100000000000003</v>
      </c>
      <c r="AH107" s="28">
        <f t="shared" si="164"/>
        <v>0.51790000000000003</v>
      </c>
      <c r="AI107" s="28">
        <f t="shared" si="164"/>
        <v>0.4894</v>
      </c>
      <c r="AJ107" s="28">
        <f t="shared" si="164"/>
        <v>0.46779999999999999</v>
      </c>
      <c r="AL107" s="35" t="s">
        <v>64</v>
      </c>
      <c r="AM107" s="37">
        <f t="shared" ref="AM107:AV107" si="165">C107*(1+(((2-3*O107^2)/24*AA107^2)+(O107*AA107*C107/4))*20)</f>
        <v>0.61753192445621563</v>
      </c>
      <c r="AN107" s="37">
        <f t="shared" si="165"/>
        <v>0.59610300963748741</v>
      </c>
      <c r="AO107" s="37">
        <f t="shared" si="165"/>
        <v>0.5613530771061559</v>
      </c>
      <c r="AP107" s="37">
        <f t="shared" si="165"/>
        <v>0.55131408070676924</v>
      </c>
      <c r="AQ107" s="37">
        <f t="shared" si="165"/>
        <v>0.51257544571605074</v>
      </c>
      <c r="AR107" s="37">
        <f t="shared" si="165"/>
        <v>0.48765607152814078</v>
      </c>
      <c r="AS107" s="37">
        <f t="shared" si="165"/>
        <v>0.45234634111957156</v>
      </c>
      <c r="AT107" s="37">
        <f t="shared" si="165"/>
        <v>0.43955294266143868</v>
      </c>
      <c r="AU107" s="37">
        <f t="shared" si="165"/>
        <v>0.38922954107640834</v>
      </c>
      <c r="AV107" s="37">
        <f t="shared" si="165"/>
        <v>0.37581860757491287</v>
      </c>
    </row>
    <row r="108" spans="1:48" ht="15" customHeight="1">
      <c r="B108" s="35" t="s">
        <v>65</v>
      </c>
      <c r="C108" s="28">
        <f t="shared" ref="C108:L108" si="166">C16+$C$29*C49</f>
        <v>0.42102099999999998</v>
      </c>
      <c r="D108" s="28">
        <f t="shared" si="166"/>
        <v>0.398424</v>
      </c>
      <c r="E108" s="28">
        <f t="shared" si="166"/>
        <v>0.380077</v>
      </c>
      <c r="F108" s="28">
        <f t="shared" si="166"/>
        <v>0.36610600000000004</v>
      </c>
      <c r="G108" s="28">
        <f t="shared" si="166"/>
        <v>0.35010750000000002</v>
      </c>
      <c r="H108" s="28">
        <f t="shared" si="166"/>
        <v>0.32285950000000002</v>
      </c>
      <c r="I108" s="28">
        <f t="shared" si="166"/>
        <v>0.30754799999999999</v>
      </c>
      <c r="J108" s="28">
        <f t="shared" si="166"/>
        <v>0.28647499999999998</v>
      </c>
      <c r="K108" s="28">
        <f t="shared" si="166"/>
        <v>0.26997500000000002</v>
      </c>
      <c r="L108" s="28">
        <f t="shared" si="166"/>
        <v>0.25697500000000001</v>
      </c>
      <c r="N108" s="35" t="s">
        <v>65</v>
      </c>
      <c r="O108" s="28">
        <f t="shared" ref="O108:X108" si="167">O16+$D$29*O49</f>
        <v>-0.17599999999999999</v>
      </c>
      <c r="P108" s="28">
        <f t="shared" si="167"/>
        <v>-0.15490000000000001</v>
      </c>
      <c r="Q108" s="28">
        <f t="shared" si="167"/>
        <v>-0.1366</v>
      </c>
      <c r="R108" s="28">
        <f t="shared" si="167"/>
        <v>-0.10780000000000001</v>
      </c>
      <c r="S108" s="28">
        <f t="shared" si="167"/>
        <v>-9.3200000000000005E-2</v>
      </c>
      <c r="T108" s="28">
        <f t="shared" si="167"/>
        <v>-7.0199999999999999E-2</v>
      </c>
      <c r="U108" s="28">
        <f t="shared" si="167"/>
        <v>-4.9500000000000002E-2</v>
      </c>
      <c r="V108" s="28">
        <f t="shared" si="167"/>
        <v>-4.3700000000000003E-2</v>
      </c>
      <c r="W108" s="28">
        <f t="shared" si="167"/>
        <v>-1.83E-2</v>
      </c>
      <c r="X108" s="28">
        <f t="shared" si="167"/>
        <v>8.8999999999999999E-3</v>
      </c>
      <c r="Z108" s="35" t="s">
        <v>65</v>
      </c>
      <c r="AA108" s="28">
        <f t="shared" ref="AA108:AJ108" si="168">AA16+$E$29*AA49</f>
        <v>0.65680000000000005</v>
      </c>
      <c r="AB108" s="28">
        <f t="shared" si="168"/>
        <v>0.62050000000000005</v>
      </c>
      <c r="AC108" s="28">
        <f t="shared" si="168"/>
        <v>0.59799999999999998</v>
      </c>
      <c r="AD108" s="28">
        <f t="shared" si="168"/>
        <v>0.58220000000000005</v>
      </c>
      <c r="AE108" s="28">
        <f t="shared" si="168"/>
        <v>0.55259999999999998</v>
      </c>
      <c r="AF108" s="28">
        <f t="shared" si="168"/>
        <v>0.53369999999999995</v>
      </c>
      <c r="AG108" s="28">
        <f t="shared" si="168"/>
        <v>0.5081</v>
      </c>
      <c r="AH108" s="28">
        <f t="shared" si="168"/>
        <v>0.49780000000000002</v>
      </c>
      <c r="AI108" s="28">
        <f t="shared" si="168"/>
        <v>0.47789999999999999</v>
      </c>
      <c r="AJ108" s="28">
        <f t="shared" si="168"/>
        <v>0.45789999999999997</v>
      </c>
      <c r="AL108" s="35" t="s">
        <v>65</v>
      </c>
      <c r="AM108" s="37">
        <f t="shared" ref="AM108:AV108" si="169">C108*(1+(((2-3*O108^2)/24*AA108^2)+(O108*AA108*C108/4))*30)</f>
        <v>0.70030135300952689</v>
      </c>
      <c r="AN108" s="37">
        <f t="shared" si="169"/>
        <v>0.65369313548998331</v>
      </c>
      <c r="AO108" s="37">
        <f t="shared" si="169"/>
        <v>0.6218564067050415</v>
      </c>
      <c r="AP108" s="37">
        <f t="shared" si="169"/>
        <v>0.60784275629095408</v>
      </c>
      <c r="AQ108" s="37">
        <f t="shared" si="169"/>
        <v>0.56655619367941878</v>
      </c>
      <c r="AR108" s="37">
        <f t="shared" si="169"/>
        <v>0.52177457558821672</v>
      </c>
      <c r="AS108" s="37">
        <f t="shared" si="169"/>
        <v>0.48747233086264746</v>
      </c>
      <c r="AT108" s="37">
        <f t="shared" si="169"/>
        <v>0.45005164004107584</v>
      </c>
      <c r="AU108" s="37">
        <f t="shared" si="169"/>
        <v>0.41926471363825313</v>
      </c>
      <c r="AV108" s="37">
        <f t="shared" si="169"/>
        <v>0.39367879773781517</v>
      </c>
    </row>
    <row r="110" spans="1:48" ht="15" customHeight="1">
      <c r="A110" s="7" t="s">
        <v>136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1:48" ht="15" customHeight="1">
      <c r="B111" s="7" t="s">
        <v>115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N111" s="7" t="s">
        <v>116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Z111" s="7" t="s">
        <v>117</v>
      </c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L111" s="6" t="s">
        <v>118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ht="15" customHeight="1">
      <c r="B112" s="20" t="s">
        <v>119</v>
      </c>
      <c r="C112" s="21" t="s">
        <v>120</v>
      </c>
      <c r="D112" s="21" t="s">
        <v>58</v>
      </c>
      <c r="E112" s="21" t="s">
        <v>59</v>
      </c>
      <c r="F112" s="21" t="s">
        <v>30</v>
      </c>
      <c r="G112" s="21" t="s">
        <v>60</v>
      </c>
      <c r="H112" s="21" t="s">
        <v>61</v>
      </c>
      <c r="I112" s="21" t="s">
        <v>62</v>
      </c>
      <c r="J112" s="21" t="s">
        <v>63</v>
      </c>
      <c r="K112" s="21" t="s">
        <v>64</v>
      </c>
      <c r="L112" s="21" t="s">
        <v>65</v>
      </c>
      <c r="N112" s="20" t="s">
        <v>119</v>
      </c>
      <c r="O112" s="21" t="s">
        <v>120</v>
      </c>
      <c r="P112" s="21" t="s">
        <v>58</v>
      </c>
      <c r="Q112" s="21" t="s">
        <v>59</v>
      </c>
      <c r="R112" s="21" t="s">
        <v>30</v>
      </c>
      <c r="S112" s="21" t="s">
        <v>60</v>
      </c>
      <c r="T112" s="21" t="s">
        <v>61</v>
      </c>
      <c r="U112" s="21" t="s">
        <v>62</v>
      </c>
      <c r="V112" s="21" t="s">
        <v>63</v>
      </c>
      <c r="W112" s="21" t="s">
        <v>64</v>
      </c>
      <c r="X112" s="21" t="s">
        <v>65</v>
      </c>
      <c r="Z112" s="20" t="s">
        <v>119</v>
      </c>
      <c r="AA112" s="21" t="s">
        <v>120</v>
      </c>
      <c r="AB112" s="21" t="s">
        <v>58</v>
      </c>
      <c r="AC112" s="21" t="s">
        <v>59</v>
      </c>
      <c r="AD112" s="21" t="s">
        <v>30</v>
      </c>
      <c r="AE112" s="21" t="s">
        <v>60</v>
      </c>
      <c r="AF112" s="21" t="s">
        <v>61</v>
      </c>
      <c r="AG112" s="21" t="s">
        <v>62</v>
      </c>
      <c r="AH112" s="21" t="s">
        <v>63</v>
      </c>
      <c r="AI112" s="21" t="s">
        <v>64</v>
      </c>
      <c r="AJ112" s="21" t="s">
        <v>65</v>
      </c>
      <c r="AL112" s="20" t="s">
        <v>119</v>
      </c>
      <c r="AM112" s="21" t="s">
        <v>120</v>
      </c>
      <c r="AN112" s="21" t="s">
        <v>58</v>
      </c>
      <c r="AO112" s="21" t="s">
        <v>59</v>
      </c>
      <c r="AP112" s="21" t="s">
        <v>30</v>
      </c>
      <c r="AQ112" s="21" t="s">
        <v>60</v>
      </c>
      <c r="AR112" s="21" t="s">
        <v>61</v>
      </c>
      <c r="AS112" s="21" t="s">
        <v>62</v>
      </c>
      <c r="AT112" s="21" t="s">
        <v>63</v>
      </c>
      <c r="AU112" s="21" t="s">
        <v>64</v>
      </c>
      <c r="AV112" s="21" t="s">
        <v>65</v>
      </c>
    </row>
    <row r="113" spans="1:48" ht="15" customHeight="1">
      <c r="B113" s="35" t="s">
        <v>120</v>
      </c>
      <c r="C113" s="28">
        <f t="shared" ref="C113:L113" si="170">C7+$C$30*C40</f>
        <v>0.57195589999999996</v>
      </c>
      <c r="D113" s="28">
        <f t="shared" si="170"/>
        <v>0.55053620000000003</v>
      </c>
      <c r="E113" s="28">
        <f t="shared" si="170"/>
        <v>0.54227800000000004</v>
      </c>
      <c r="F113" s="28">
        <f t="shared" si="170"/>
        <v>0.512706</v>
      </c>
      <c r="G113" s="28">
        <f t="shared" si="170"/>
        <v>0.50376829999999995</v>
      </c>
      <c r="H113" s="28">
        <f t="shared" si="170"/>
        <v>0.48207830000000002</v>
      </c>
      <c r="I113" s="28">
        <f t="shared" si="170"/>
        <v>0.45853099999999997</v>
      </c>
      <c r="J113" s="28">
        <f t="shared" si="170"/>
        <v>0.44940000000000002</v>
      </c>
      <c r="K113" s="28">
        <f t="shared" si="170"/>
        <v>0.42170999999999997</v>
      </c>
      <c r="L113" s="28">
        <f t="shared" si="170"/>
        <v>0.41145179999999998</v>
      </c>
      <c r="N113" s="35" t="s">
        <v>120</v>
      </c>
      <c r="O113" s="28">
        <f t="shared" ref="O113:X113" si="171">O7+$D$30*O40</f>
        <v>-0.35859999999999997</v>
      </c>
      <c r="P113" s="28">
        <f t="shared" si="171"/>
        <v>-0.3387</v>
      </c>
      <c r="Q113" s="28">
        <f t="shared" si="171"/>
        <v>-0.31259999999999999</v>
      </c>
      <c r="R113" s="28">
        <f t="shared" si="171"/>
        <v>-0.28510000000000002</v>
      </c>
      <c r="S113" s="28">
        <f t="shared" si="171"/>
        <v>-0.2797</v>
      </c>
      <c r="T113" s="28">
        <f t="shared" si="171"/>
        <v>-0.25829999999999997</v>
      </c>
      <c r="U113" s="28">
        <f t="shared" si="171"/>
        <v>-0.23080000000000001</v>
      </c>
      <c r="V113" s="28">
        <f t="shared" si="171"/>
        <v>-0.2049</v>
      </c>
      <c r="W113" s="28">
        <f t="shared" si="171"/>
        <v>-0.19289999999999999</v>
      </c>
      <c r="X113" s="28">
        <f t="shared" si="171"/>
        <v>-0.17710000000000001</v>
      </c>
      <c r="Z113" s="35" t="s">
        <v>120</v>
      </c>
      <c r="AA113" s="28">
        <f t="shared" ref="AA113:AJ113" si="172">AA7+$E$30*AA40</f>
        <v>0.85950000000000004</v>
      </c>
      <c r="AB113" s="28">
        <f t="shared" si="172"/>
        <v>0.81869999999999998</v>
      </c>
      <c r="AC113" s="28">
        <f t="shared" si="172"/>
        <v>0.81269999999999998</v>
      </c>
      <c r="AD113" s="28">
        <f t="shared" si="172"/>
        <v>0.77910000000000001</v>
      </c>
      <c r="AE113" s="28">
        <f t="shared" si="172"/>
        <v>0.754</v>
      </c>
      <c r="AF113" s="28">
        <f t="shared" si="172"/>
        <v>0.73119999999999996</v>
      </c>
      <c r="AG113" s="28">
        <f t="shared" si="172"/>
        <v>0.71279999999999999</v>
      </c>
      <c r="AH113" s="28">
        <f t="shared" si="172"/>
        <v>0.70079999999999998</v>
      </c>
      <c r="AI113" s="28">
        <f t="shared" si="172"/>
        <v>0.66579999999999995</v>
      </c>
      <c r="AJ113" s="28">
        <f t="shared" si="172"/>
        <v>0.65159999999999996</v>
      </c>
      <c r="AL113" s="35" t="s">
        <v>120</v>
      </c>
      <c r="AM113" s="37">
        <f t="shared" ref="AM113:AV113" si="173">C113*(1+(((2-3*O113^2)/24*AA113^2)+(O113*AA113*C113/4))*0.0833333333333333)</f>
        <v>0.57222354703600187</v>
      </c>
      <c r="AN113" s="37">
        <f t="shared" si="173"/>
        <v>0.55090686134669842</v>
      </c>
      <c r="AO113" s="37">
        <f t="shared" si="173"/>
        <v>0.54284427365376808</v>
      </c>
      <c r="AP113" s="37">
        <f t="shared" si="173"/>
        <v>0.5133872616220797</v>
      </c>
      <c r="AQ113" s="37">
        <f t="shared" si="173"/>
        <v>0.50440877448449317</v>
      </c>
      <c r="AR113" s="37">
        <f t="shared" si="173"/>
        <v>0.4827746263918693</v>
      </c>
      <c r="AS113" s="37">
        <f t="shared" si="173"/>
        <v>0.45929898147276826</v>
      </c>
      <c r="AT113" s="37">
        <f t="shared" si="173"/>
        <v>0.45023200947375902</v>
      </c>
      <c r="AU113" s="37">
        <f t="shared" si="173"/>
        <v>0.42245989099655767</v>
      </c>
      <c r="AV113" s="37">
        <f t="shared" si="173"/>
        <v>0.41220088457238407</v>
      </c>
    </row>
    <row r="114" spans="1:48" ht="15" customHeight="1">
      <c r="B114" s="35" t="s">
        <v>58</v>
      </c>
      <c r="C114" s="28">
        <f t="shared" ref="C114:L114" si="174">C8+$C$30*C41</f>
        <v>0.55993409999999999</v>
      </c>
      <c r="D114" s="28">
        <f t="shared" si="174"/>
        <v>0.5364236</v>
      </c>
      <c r="E114" s="28">
        <f t="shared" si="174"/>
        <v>0.52194030000000002</v>
      </c>
      <c r="F114" s="28">
        <f t="shared" si="174"/>
        <v>0.49390260000000002</v>
      </c>
      <c r="G114" s="28">
        <f t="shared" si="174"/>
        <v>0.47643939999999996</v>
      </c>
      <c r="H114" s="28">
        <f t="shared" si="174"/>
        <v>0.46085860000000001</v>
      </c>
      <c r="I114" s="28">
        <f t="shared" si="174"/>
        <v>0.45265690000000003</v>
      </c>
      <c r="J114" s="28">
        <f t="shared" si="174"/>
        <v>0.42908070000000004</v>
      </c>
      <c r="K114" s="28">
        <f t="shared" si="174"/>
        <v>0.4092903</v>
      </c>
      <c r="L114" s="28">
        <f t="shared" si="174"/>
        <v>0.39646390000000004</v>
      </c>
      <c r="N114" s="35" t="s">
        <v>58</v>
      </c>
      <c r="O114" s="28">
        <f t="shared" ref="O114:X114" si="175">O8+$D$30*O41</f>
        <v>-0.33150000000000002</v>
      </c>
      <c r="P114" s="28">
        <f t="shared" si="175"/>
        <v>-0.31509999999999999</v>
      </c>
      <c r="Q114" s="28">
        <f t="shared" si="175"/>
        <v>-0.2858</v>
      </c>
      <c r="R114" s="28">
        <f t="shared" si="175"/>
        <v>-0.26819999999999999</v>
      </c>
      <c r="S114" s="28">
        <f t="shared" si="175"/>
        <v>-0.25790000000000002</v>
      </c>
      <c r="T114" s="28">
        <f t="shared" si="175"/>
        <v>-0.23180000000000001</v>
      </c>
      <c r="U114" s="28">
        <f t="shared" si="175"/>
        <v>-0.21340000000000001</v>
      </c>
      <c r="V114" s="28">
        <f t="shared" si="175"/>
        <v>-0.18690000000000001</v>
      </c>
      <c r="W114" s="28">
        <f t="shared" si="175"/>
        <v>-0.1704</v>
      </c>
      <c r="X114" s="28">
        <f t="shared" si="175"/>
        <v>-0.1598</v>
      </c>
      <c r="Z114" s="35" t="s">
        <v>58</v>
      </c>
      <c r="AA114" s="28">
        <f t="shared" ref="AA114:AJ114" si="176">AA8+$E$30*AA41</f>
        <v>0.83740000000000003</v>
      </c>
      <c r="AB114" s="28">
        <f t="shared" si="176"/>
        <v>0.79790000000000005</v>
      </c>
      <c r="AC114" s="28">
        <f t="shared" si="176"/>
        <v>0.78169999999999995</v>
      </c>
      <c r="AD114" s="28">
        <f t="shared" si="176"/>
        <v>0.76629999999999998</v>
      </c>
      <c r="AE114" s="28">
        <f t="shared" si="176"/>
        <v>0.7319</v>
      </c>
      <c r="AF114" s="28">
        <f t="shared" si="176"/>
        <v>0.71640000000000004</v>
      </c>
      <c r="AG114" s="28">
        <f t="shared" si="176"/>
        <v>0.68520000000000003</v>
      </c>
      <c r="AH114" s="28">
        <f t="shared" si="176"/>
        <v>0.67559999999999998</v>
      </c>
      <c r="AI114" s="28">
        <f t="shared" si="176"/>
        <v>0.65529999999999999</v>
      </c>
      <c r="AJ114" s="28">
        <f t="shared" si="176"/>
        <v>0.62919999999999998</v>
      </c>
      <c r="AL114" s="35" t="s">
        <v>58</v>
      </c>
      <c r="AM114" s="37">
        <f t="shared" ref="AM114:AV114" si="177">C114*(1+(((2-3*O114^2)/24*AA114^2)+(O114*AA114*C114/4))*0.25)</f>
        <v>0.56132621020620033</v>
      </c>
      <c r="AN114" s="37">
        <f t="shared" si="177"/>
        <v>0.53795718548112537</v>
      </c>
      <c r="AO114" s="37">
        <f t="shared" si="177"/>
        <v>0.52396681056660799</v>
      </c>
      <c r="AP114" s="37">
        <f t="shared" si="177"/>
        <v>0.49615946646873177</v>
      </c>
      <c r="AQ114" s="37">
        <f t="shared" si="177"/>
        <v>0.47854804105021381</v>
      </c>
      <c r="AR114" s="37">
        <f t="shared" si="177"/>
        <v>0.46318470388693811</v>
      </c>
      <c r="AS114" s="37">
        <f t="shared" si="177"/>
        <v>0.45490946325816078</v>
      </c>
      <c r="AT114" s="37">
        <f t="shared" si="177"/>
        <v>0.43149409774442204</v>
      </c>
      <c r="AU114" s="37">
        <f t="shared" si="177"/>
        <v>0.41162331623824067</v>
      </c>
      <c r="AV114" s="37">
        <f t="shared" si="177"/>
        <v>0.39862082531044007</v>
      </c>
    </row>
    <row r="115" spans="1:48" ht="15" customHeight="1">
      <c r="B115" s="35" t="s">
        <v>59</v>
      </c>
      <c r="C115" s="28">
        <f t="shared" ref="C115:L115" si="178">C9+$C$30*C42</f>
        <v>0.54630100000000004</v>
      </c>
      <c r="D115" s="28">
        <f t="shared" si="178"/>
        <v>0.51717670000000004</v>
      </c>
      <c r="E115" s="28">
        <f t="shared" si="178"/>
        <v>0.50731349999999997</v>
      </c>
      <c r="F115" s="28">
        <f t="shared" si="178"/>
        <v>0.48685320000000004</v>
      </c>
      <c r="G115" s="28">
        <f t="shared" si="178"/>
        <v>0.46891510000000003</v>
      </c>
      <c r="H115" s="28">
        <f t="shared" si="178"/>
        <v>0.44782759999999999</v>
      </c>
      <c r="I115" s="28">
        <f t="shared" si="178"/>
        <v>0.43707859999999998</v>
      </c>
      <c r="J115" s="28">
        <f t="shared" si="178"/>
        <v>0.42158819999999997</v>
      </c>
      <c r="K115" s="28">
        <f t="shared" si="178"/>
        <v>0.39420029999999995</v>
      </c>
      <c r="L115" s="28">
        <f t="shared" si="178"/>
        <v>0.3793764</v>
      </c>
      <c r="N115" s="35" t="s">
        <v>59</v>
      </c>
      <c r="O115" s="28">
        <f t="shared" ref="O115:X115" si="179">O9+$D$30*O42</f>
        <v>-0.31990000000000002</v>
      </c>
      <c r="P115" s="28">
        <f t="shared" si="179"/>
        <v>-0.28760000000000002</v>
      </c>
      <c r="Q115" s="28">
        <f t="shared" si="179"/>
        <v>-0.26929999999999998</v>
      </c>
      <c r="R115" s="28">
        <f t="shared" si="179"/>
        <v>-0.2429</v>
      </c>
      <c r="S115" s="28">
        <f t="shared" si="179"/>
        <v>-0.22689999999999999</v>
      </c>
      <c r="T115" s="28">
        <f t="shared" si="179"/>
        <v>-0.21820000000000001</v>
      </c>
      <c r="U115" s="28">
        <f t="shared" si="179"/>
        <v>-0.19670000000000001</v>
      </c>
      <c r="V115" s="28">
        <f t="shared" si="179"/>
        <v>-0.1716</v>
      </c>
      <c r="W115" s="28">
        <f t="shared" si="179"/>
        <v>-0.1651</v>
      </c>
      <c r="X115" s="28">
        <f t="shared" si="179"/>
        <v>-0.13689999999999999</v>
      </c>
      <c r="Z115" s="35" t="s">
        <v>59</v>
      </c>
      <c r="AA115" s="28">
        <f t="shared" ref="AA115:AJ115" si="180">AA9+$E$30*AA42</f>
        <v>0.79890000000000005</v>
      </c>
      <c r="AB115" s="28">
        <f t="shared" si="180"/>
        <v>0.77569999999999995</v>
      </c>
      <c r="AC115" s="28">
        <f t="shared" si="180"/>
        <v>0.75229999999999997</v>
      </c>
      <c r="AD115" s="28">
        <f t="shared" si="180"/>
        <v>0.74429999999999996</v>
      </c>
      <c r="AE115" s="28">
        <f t="shared" si="180"/>
        <v>0.70930000000000004</v>
      </c>
      <c r="AF115" s="28">
        <f t="shared" si="180"/>
        <v>0.68940000000000001</v>
      </c>
      <c r="AG115" s="28">
        <f t="shared" si="180"/>
        <v>0.67</v>
      </c>
      <c r="AH115" s="28">
        <f t="shared" si="180"/>
        <v>0.65739999999999998</v>
      </c>
      <c r="AI115" s="28">
        <f t="shared" si="180"/>
        <v>0.61939999999999995</v>
      </c>
      <c r="AJ115" s="28">
        <f t="shared" si="180"/>
        <v>0.60450000000000004</v>
      </c>
      <c r="AL115" s="35" t="s">
        <v>59</v>
      </c>
      <c r="AM115" s="37">
        <f t="shared" ref="AM115:AV115" si="181">C115*(1+(((2-3*O115^2)/24*AA115^2)+(O115*AA115*C115/4))*0.5)</f>
        <v>0.54906476588465569</v>
      </c>
      <c r="AN115" s="37">
        <f t="shared" si="181"/>
        <v>0.5210754147104717</v>
      </c>
      <c r="AO115" s="37">
        <f t="shared" si="181"/>
        <v>0.51145765842512858</v>
      </c>
      <c r="AP115" s="37">
        <f t="shared" si="181"/>
        <v>0.49173997768354927</v>
      </c>
      <c r="AQ115" s="37">
        <f t="shared" si="181"/>
        <v>0.47356228416908036</v>
      </c>
      <c r="AR115" s="37">
        <f t="shared" si="181"/>
        <v>0.4522915773455829</v>
      </c>
      <c r="AS115" s="37">
        <f t="shared" si="181"/>
        <v>0.44163224938524986</v>
      </c>
      <c r="AT115" s="37">
        <f t="shared" si="181"/>
        <v>0.4263382303468124</v>
      </c>
      <c r="AU115" s="37">
        <f t="shared" si="181"/>
        <v>0.39825782917579394</v>
      </c>
      <c r="AV115" s="37">
        <f t="shared" si="181"/>
        <v>0.38350149122976046</v>
      </c>
    </row>
    <row r="116" spans="1:48" ht="15" customHeight="1">
      <c r="B116" s="35" t="s">
        <v>30</v>
      </c>
      <c r="C116" s="28">
        <f t="shared" ref="C116:L116" si="182">C10+$C$30*C43</f>
        <v>0.52174949999999998</v>
      </c>
      <c r="D116" s="28">
        <f t="shared" si="182"/>
        <v>0.51055700000000004</v>
      </c>
      <c r="E116" s="28">
        <f t="shared" si="182"/>
        <v>0.4918302</v>
      </c>
      <c r="F116" s="28">
        <f t="shared" si="182"/>
        <v>0.47439249999999999</v>
      </c>
      <c r="G116" s="28">
        <f t="shared" si="182"/>
        <v>0.4439573</v>
      </c>
      <c r="H116" s="28">
        <f t="shared" si="182"/>
        <v>0.42875349999999995</v>
      </c>
      <c r="I116" s="28">
        <f t="shared" si="182"/>
        <v>0.4093794</v>
      </c>
      <c r="J116" s="28">
        <f t="shared" si="182"/>
        <v>0.40171660000000003</v>
      </c>
      <c r="K116" s="28">
        <f t="shared" si="182"/>
        <v>0.38578520000000005</v>
      </c>
      <c r="L116" s="28">
        <f t="shared" si="182"/>
        <v>0.35096590000000005</v>
      </c>
      <c r="N116" s="35" t="s">
        <v>30</v>
      </c>
      <c r="O116" s="28">
        <f t="shared" ref="O116:X116" si="183">O10+$D$30*O43</f>
        <v>-0.29809999999999998</v>
      </c>
      <c r="P116" s="28">
        <f t="shared" si="183"/>
        <v>-0.27760000000000001</v>
      </c>
      <c r="Q116" s="28">
        <f t="shared" si="183"/>
        <v>-0.2581</v>
      </c>
      <c r="R116" s="28">
        <f t="shared" si="183"/>
        <v>-0.2336</v>
      </c>
      <c r="S116" s="28">
        <f t="shared" si="183"/>
        <v>-0.21210000000000001</v>
      </c>
      <c r="T116" s="28">
        <f t="shared" si="183"/>
        <v>-0.19919999999999999</v>
      </c>
      <c r="U116" s="28">
        <f t="shared" si="183"/>
        <v>-0.18490000000000001</v>
      </c>
      <c r="V116" s="28">
        <f t="shared" si="183"/>
        <v>-0.15720000000000001</v>
      </c>
      <c r="W116" s="28">
        <f t="shared" si="183"/>
        <v>-0.13869999999999999</v>
      </c>
      <c r="X116" s="28">
        <f t="shared" si="183"/>
        <v>-0.1153</v>
      </c>
      <c r="Z116" s="35" t="s">
        <v>30</v>
      </c>
      <c r="AA116" s="28">
        <f t="shared" ref="AA116:AJ116" si="184">AA10+$E$30*AA43</f>
        <v>0.79239999999999999</v>
      </c>
      <c r="AB116" s="28">
        <f t="shared" si="184"/>
        <v>0.76490000000000002</v>
      </c>
      <c r="AC116" s="28">
        <f t="shared" si="184"/>
        <v>0.73919999999999997</v>
      </c>
      <c r="AD116" s="28">
        <f t="shared" si="184"/>
        <v>0.71899999999999997</v>
      </c>
      <c r="AE116" s="28">
        <f t="shared" si="184"/>
        <v>0.69799999999999995</v>
      </c>
      <c r="AF116" s="28">
        <f t="shared" si="184"/>
        <v>0.6633</v>
      </c>
      <c r="AG116" s="28">
        <f t="shared" si="184"/>
        <v>0.65800000000000003</v>
      </c>
      <c r="AH116" s="28">
        <f t="shared" si="184"/>
        <v>0.63339999999999996</v>
      </c>
      <c r="AI116" s="28">
        <f t="shared" si="184"/>
        <v>0.61299999999999999</v>
      </c>
      <c r="AJ116" s="28">
        <f t="shared" si="184"/>
        <v>0.58930000000000005</v>
      </c>
      <c r="AL116" s="35" t="s">
        <v>30</v>
      </c>
      <c r="AM116" s="37">
        <f t="shared" ref="AM116:AV116" si="185">C116*(1+(((2-3*O116^2)/24*AA116^2)+(O116*AA116*C116/4))*1)</f>
        <v>0.52933519726773193</v>
      </c>
      <c r="AN116" s="37">
        <f t="shared" si="185"/>
        <v>0.51873496292972132</v>
      </c>
      <c r="AO116" s="37">
        <f t="shared" si="185"/>
        <v>0.50045000095982539</v>
      </c>
      <c r="AP116" s="37">
        <f t="shared" si="185"/>
        <v>0.48370685470003943</v>
      </c>
      <c r="AQ116" s="37">
        <f t="shared" si="185"/>
        <v>0.45347092094259217</v>
      </c>
      <c r="AR116" s="37">
        <f t="shared" si="185"/>
        <v>0.43746530169496811</v>
      </c>
      <c r="AS116" s="37">
        <f t="shared" si="185"/>
        <v>0.41829501065563679</v>
      </c>
      <c r="AT116" s="37">
        <f t="shared" si="185"/>
        <v>0.41063225788842</v>
      </c>
      <c r="AU116" s="37">
        <f t="shared" si="185"/>
        <v>0.39435360656379609</v>
      </c>
      <c r="AV116" s="37">
        <f t="shared" si="185"/>
        <v>0.35882779792348041</v>
      </c>
    </row>
    <row r="117" spans="1:48" ht="15" customHeight="1">
      <c r="B117" s="35" t="s">
        <v>60</v>
      </c>
      <c r="C117" s="28">
        <f t="shared" ref="C117:L117" si="186">C11+$C$30*C44</f>
        <v>0.50097959999999997</v>
      </c>
      <c r="D117" s="28">
        <f t="shared" si="186"/>
        <v>0.48283730000000002</v>
      </c>
      <c r="E117" s="28">
        <f t="shared" si="186"/>
        <v>0.4586519</v>
      </c>
      <c r="F117" s="28">
        <f t="shared" si="186"/>
        <v>0.45164559999999998</v>
      </c>
      <c r="G117" s="28">
        <f t="shared" si="186"/>
        <v>0.42154219999999998</v>
      </c>
      <c r="H117" s="28">
        <f t="shared" si="186"/>
        <v>0.40400409999999998</v>
      </c>
      <c r="I117" s="28">
        <f t="shared" si="186"/>
        <v>0.38826430000000001</v>
      </c>
      <c r="J117" s="28">
        <f t="shared" si="186"/>
        <v>0.3695195</v>
      </c>
      <c r="K117" s="28">
        <f t="shared" si="186"/>
        <v>0.35479769999999999</v>
      </c>
      <c r="L117" s="28">
        <f t="shared" si="186"/>
        <v>0.33101440000000004</v>
      </c>
      <c r="N117" s="35" t="s">
        <v>60</v>
      </c>
      <c r="O117" s="28">
        <f t="shared" ref="O117:X117" si="187">O11+$D$30*O44</f>
        <v>-0.28220000000000001</v>
      </c>
      <c r="P117" s="28">
        <f t="shared" si="187"/>
        <v>-0.25979999999999998</v>
      </c>
      <c r="Q117" s="28">
        <f t="shared" si="187"/>
        <v>-0.24129999999999999</v>
      </c>
      <c r="R117" s="28">
        <f t="shared" si="187"/>
        <v>-0.21659999999999999</v>
      </c>
      <c r="S117" s="28">
        <f t="shared" si="187"/>
        <v>-0.2039</v>
      </c>
      <c r="T117" s="28">
        <f t="shared" si="187"/>
        <v>-0.16750000000000001</v>
      </c>
      <c r="U117" s="28">
        <f t="shared" si="187"/>
        <v>-0.15329999999999999</v>
      </c>
      <c r="V117" s="28">
        <f t="shared" si="187"/>
        <v>-0.1431</v>
      </c>
      <c r="W117" s="28">
        <f t="shared" si="187"/>
        <v>-0.1216</v>
      </c>
      <c r="X117" s="28">
        <f t="shared" si="187"/>
        <v>-0.1003</v>
      </c>
      <c r="Z117" s="35" t="s">
        <v>60</v>
      </c>
      <c r="AA117" s="28">
        <f t="shared" ref="AA117:AJ117" si="188">AA11+$E$30*AA44</f>
        <v>0.75839999999999996</v>
      </c>
      <c r="AB117" s="28">
        <f t="shared" si="188"/>
        <v>0.73129999999999995</v>
      </c>
      <c r="AC117" s="28">
        <f t="shared" si="188"/>
        <v>0.72360000000000002</v>
      </c>
      <c r="AD117" s="28">
        <f t="shared" si="188"/>
        <v>0.70430000000000004</v>
      </c>
      <c r="AE117" s="28">
        <f t="shared" si="188"/>
        <v>0.67149999999999999</v>
      </c>
      <c r="AF117" s="28">
        <f t="shared" si="188"/>
        <v>0.64970000000000006</v>
      </c>
      <c r="AG117" s="28">
        <f t="shared" si="188"/>
        <v>0.61950000000000005</v>
      </c>
      <c r="AH117" s="28">
        <f t="shared" si="188"/>
        <v>0.59760000000000002</v>
      </c>
      <c r="AI117" s="28">
        <f t="shared" si="188"/>
        <v>0.58020000000000005</v>
      </c>
      <c r="AJ117" s="28">
        <f t="shared" si="188"/>
        <v>0.55640000000000001</v>
      </c>
      <c r="AL117" s="35" t="s">
        <v>60</v>
      </c>
      <c r="AM117" s="37">
        <f t="shared" ref="AM117:AV117" si="189">C117*(1+(((2-3*O117^2)/24*AA117^2)+(O117*AA117*C117/4))*2)</f>
        <v>0.51641008294064861</v>
      </c>
      <c r="AN117" s="37">
        <f t="shared" si="189"/>
        <v>0.49937038160056851</v>
      </c>
      <c r="AO117" s="37">
        <f t="shared" si="189"/>
        <v>0.4768159266564076</v>
      </c>
      <c r="AP117" s="37">
        <f t="shared" si="189"/>
        <v>0.47079786697816983</v>
      </c>
      <c r="AQ117" s="37">
        <f t="shared" si="189"/>
        <v>0.43908122713717113</v>
      </c>
      <c r="AR117" s="37">
        <f t="shared" si="189"/>
        <v>0.42234917979263187</v>
      </c>
      <c r="AS117" s="37">
        <f t="shared" si="189"/>
        <v>0.40506526368112988</v>
      </c>
      <c r="AT117" s="37">
        <f t="shared" si="189"/>
        <v>0.38499965893210997</v>
      </c>
      <c r="AU117" s="37">
        <f t="shared" si="189"/>
        <v>0.36982161999650759</v>
      </c>
      <c r="AV117" s="37">
        <f t="shared" si="189"/>
        <v>0.34477856680466623</v>
      </c>
    </row>
    <row r="118" spans="1:48" ht="15" customHeight="1">
      <c r="B118" s="35" t="s">
        <v>61</v>
      </c>
      <c r="C118" s="28">
        <f t="shared" ref="C118:L118" si="190">C12+$C$30*C45</f>
        <v>0.49193019999999998</v>
      </c>
      <c r="D118" s="28">
        <f t="shared" si="190"/>
        <v>0.46034019999999998</v>
      </c>
      <c r="E118" s="28">
        <f t="shared" si="190"/>
        <v>0.43903219999999998</v>
      </c>
      <c r="F118" s="28">
        <f t="shared" si="190"/>
        <v>0.4400577</v>
      </c>
      <c r="G118" s="28">
        <f t="shared" si="190"/>
        <v>0.4128907</v>
      </c>
      <c r="H118" s="28">
        <f t="shared" si="190"/>
        <v>0.38733460000000003</v>
      </c>
      <c r="I118" s="28">
        <f t="shared" si="190"/>
        <v>0.3775329</v>
      </c>
      <c r="J118" s="28">
        <f t="shared" si="190"/>
        <v>0.34891110000000003</v>
      </c>
      <c r="K118" s="28">
        <f t="shared" si="190"/>
        <v>0.34035539999999997</v>
      </c>
      <c r="L118" s="28">
        <f t="shared" si="190"/>
        <v>0.3320671</v>
      </c>
      <c r="N118" s="35" t="s">
        <v>61</v>
      </c>
      <c r="O118" s="28">
        <f t="shared" ref="O118:X118" si="191">O12+$D$30*O45</f>
        <v>-0.2455</v>
      </c>
      <c r="P118" s="28">
        <f t="shared" si="191"/>
        <v>-0.22939999999999999</v>
      </c>
      <c r="Q118" s="28">
        <f t="shared" si="191"/>
        <v>-0.21870000000000001</v>
      </c>
      <c r="R118" s="28">
        <f t="shared" si="191"/>
        <v>-0.1971</v>
      </c>
      <c r="S118" s="28">
        <f t="shared" si="191"/>
        <v>-0.1817</v>
      </c>
      <c r="T118" s="28">
        <f t="shared" si="191"/>
        <v>-0.15010000000000001</v>
      </c>
      <c r="U118" s="28">
        <f t="shared" si="191"/>
        <v>-0.13550000000000001</v>
      </c>
      <c r="V118" s="28">
        <f t="shared" si="191"/>
        <v>-0.1111</v>
      </c>
      <c r="W118" s="28">
        <f t="shared" si="191"/>
        <v>-0.10059999999999999</v>
      </c>
      <c r="X118" s="28">
        <f t="shared" si="191"/>
        <v>-8.3299999999999999E-2</v>
      </c>
      <c r="Z118" s="35" t="s">
        <v>61</v>
      </c>
      <c r="AA118" s="28">
        <f t="shared" ref="AA118:AJ118" si="192">AA12+$E$30*AA45</f>
        <v>0.74509999999999998</v>
      </c>
      <c r="AB118" s="28">
        <f t="shared" si="192"/>
        <v>0.72640000000000005</v>
      </c>
      <c r="AC118" s="28">
        <f t="shared" si="192"/>
        <v>0.70150000000000001</v>
      </c>
      <c r="AD118" s="28">
        <f t="shared" si="192"/>
        <v>0.67830000000000001</v>
      </c>
      <c r="AE118" s="28">
        <f t="shared" si="192"/>
        <v>0.65639999999999998</v>
      </c>
      <c r="AF118" s="28">
        <f t="shared" si="192"/>
        <v>0.63260000000000005</v>
      </c>
      <c r="AG118" s="28">
        <f t="shared" si="192"/>
        <v>0.60009999999999997</v>
      </c>
      <c r="AH118" s="28">
        <f t="shared" si="192"/>
        <v>0.5837</v>
      </c>
      <c r="AI118" s="28">
        <f t="shared" si="192"/>
        <v>0.55820000000000003</v>
      </c>
      <c r="AJ118" s="28">
        <f t="shared" si="192"/>
        <v>0.52949999999999997</v>
      </c>
      <c r="AL118" s="35" t="s">
        <v>61</v>
      </c>
      <c r="AM118" s="37">
        <f t="shared" ref="AM118:AV118" si="193">C118*(1+(((2-3*O118^2)/24*AA118^2)+(O118*AA118*C118/4))*3)</f>
        <v>0.52083462313209106</v>
      </c>
      <c r="AN118" s="37">
        <f t="shared" si="193"/>
        <v>0.48978788358247066</v>
      </c>
      <c r="AO118" s="37">
        <f t="shared" si="193"/>
        <v>0.46699089122092391</v>
      </c>
      <c r="AP118" s="37">
        <f t="shared" si="193"/>
        <v>0.46830746597998618</v>
      </c>
      <c r="AQ118" s="37">
        <f t="shared" si="193"/>
        <v>0.43991335622457217</v>
      </c>
      <c r="AR118" s="37">
        <f t="shared" si="193"/>
        <v>0.41409191902937903</v>
      </c>
      <c r="AS118" s="37">
        <f t="shared" si="193"/>
        <v>0.40189382847476363</v>
      </c>
      <c r="AT118" s="37">
        <f t="shared" si="193"/>
        <v>0.37215886395000436</v>
      </c>
      <c r="AU118" s="37">
        <f t="shared" si="193"/>
        <v>0.36158670915505892</v>
      </c>
      <c r="AV118" s="37">
        <f t="shared" si="193"/>
        <v>0.3514525350058797</v>
      </c>
    </row>
    <row r="119" spans="1:48" ht="15" customHeight="1">
      <c r="B119" s="35" t="s">
        <v>62</v>
      </c>
      <c r="C119" s="28">
        <f t="shared" ref="C119:L119" si="194">C13+$C$30*C46</f>
        <v>0.45718369999999997</v>
      </c>
      <c r="D119" s="28">
        <f t="shared" si="194"/>
        <v>0.44408449999999999</v>
      </c>
      <c r="E119" s="28">
        <f t="shared" si="194"/>
        <v>0.42614639999999998</v>
      </c>
      <c r="F119" s="28">
        <f t="shared" si="194"/>
        <v>0.41630200000000001</v>
      </c>
      <c r="G119" s="28">
        <f t="shared" si="194"/>
        <v>0.4034392</v>
      </c>
      <c r="H119" s="28">
        <f t="shared" si="194"/>
        <v>0.37488559999999999</v>
      </c>
      <c r="I119" s="28">
        <f t="shared" si="194"/>
        <v>0.36657050000000002</v>
      </c>
      <c r="J119" s="28">
        <f t="shared" si="194"/>
        <v>0.35001650000000001</v>
      </c>
      <c r="K119" s="28">
        <f t="shared" si="194"/>
        <v>0.33096749999999997</v>
      </c>
      <c r="L119" s="28">
        <f t="shared" si="194"/>
        <v>0.30137039999999998</v>
      </c>
      <c r="N119" s="35" t="s">
        <v>62</v>
      </c>
      <c r="O119" s="28">
        <f t="shared" ref="O119:X119" si="195">O13+$D$30*O46</f>
        <v>-0.2389</v>
      </c>
      <c r="P119" s="28">
        <f t="shared" si="195"/>
        <v>-0.21940000000000001</v>
      </c>
      <c r="Q119" s="28">
        <f t="shared" si="195"/>
        <v>-0.20050000000000001</v>
      </c>
      <c r="R119" s="28">
        <f t="shared" si="195"/>
        <v>-0.18090000000000001</v>
      </c>
      <c r="S119" s="28">
        <f t="shared" si="195"/>
        <v>-0.15310000000000001</v>
      </c>
      <c r="T119" s="28">
        <f t="shared" si="195"/>
        <v>-0.12809999999999999</v>
      </c>
      <c r="U119" s="28">
        <f t="shared" si="195"/>
        <v>-0.1099</v>
      </c>
      <c r="V119" s="28">
        <f t="shared" si="195"/>
        <v>-9.7600000000000006E-2</v>
      </c>
      <c r="W119" s="28">
        <f t="shared" si="195"/>
        <v>-7.4700000000000003E-2</v>
      </c>
      <c r="X119" s="28">
        <f t="shared" si="195"/>
        <v>-5.2299999999999999E-2</v>
      </c>
      <c r="Z119" s="35" t="s">
        <v>62</v>
      </c>
      <c r="AA119" s="28">
        <f t="shared" ref="AA119:AJ119" si="196">AA13+$E$30*AA46</f>
        <v>0.70840000000000003</v>
      </c>
      <c r="AB119" s="28">
        <f t="shared" si="196"/>
        <v>0.69769999999999999</v>
      </c>
      <c r="AC119" s="28">
        <f t="shared" si="196"/>
        <v>0.6804</v>
      </c>
      <c r="AD119" s="28">
        <f t="shared" si="196"/>
        <v>0.65559999999999996</v>
      </c>
      <c r="AE119" s="28">
        <f t="shared" si="196"/>
        <v>0.63280000000000003</v>
      </c>
      <c r="AF119" s="28">
        <f t="shared" si="196"/>
        <v>0.60509999999999997</v>
      </c>
      <c r="AG119" s="28">
        <f t="shared" si="196"/>
        <v>0.57689999999999997</v>
      </c>
      <c r="AH119" s="28">
        <f t="shared" si="196"/>
        <v>0.56689999999999996</v>
      </c>
      <c r="AI119" s="28">
        <f t="shared" si="196"/>
        <v>0.53549999999999998</v>
      </c>
      <c r="AJ119" s="28">
        <f t="shared" si="196"/>
        <v>0.52270000000000005</v>
      </c>
      <c r="AL119" s="35" t="s">
        <v>62</v>
      </c>
      <c r="AM119" s="37">
        <f t="shared" ref="AM119:AV119" si="197">C119*(1+(((2-3*O119^2)/24*AA119^2)+(O119*AA119*C119/4))*5)</f>
        <v>0.50037843012176231</v>
      </c>
      <c r="AN119" s="37">
        <f t="shared" si="197"/>
        <v>0.48991808586184377</v>
      </c>
      <c r="AO119" s="37">
        <f t="shared" si="197"/>
        <v>0.4724229732246617</v>
      </c>
      <c r="AP119" s="37">
        <f t="shared" si="197"/>
        <v>0.46150464593741647</v>
      </c>
      <c r="AQ119" s="37">
        <f t="shared" si="197"/>
        <v>0.44867467702848574</v>
      </c>
      <c r="AR119" s="37">
        <f t="shared" si="197"/>
        <v>0.41705361779547528</v>
      </c>
      <c r="AS119" s="37">
        <f t="shared" si="197"/>
        <v>0.40583338835602512</v>
      </c>
      <c r="AT119" s="37">
        <f t="shared" si="197"/>
        <v>0.38774316536679898</v>
      </c>
      <c r="AU119" s="37">
        <f t="shared" si="197"/>
        <v>0.3647044088727055</v>
      </c>
      <c r="AV119" s="37">
        <f t="shared" si="197"/>
        <v>0.33243395654300539</v>
      </c>
    </row>
    <row r="120" spans="1:48" ht="15" customHeight="1">
      <c r="B120" s="35" t="s">
        <v>63</v>
      </c>
      <c r="C120" s="28">
        <f t="shared" ref="C120:L120" si="198">C14+$C$30*C47</f>
        <v>0.45809580000000005</v>
      </c>
      <c r="D120" s="28">
        <f t="shared" si="198"/>
        <v>0.42854430000000004</v>
      </c>
      <c r="E120" s="28">
        <f t="shared" si="198"/>
        <v>0.41100620000000004</v>
      </c>
      <c r="F120" s="28">
        <f t="shared" si="198"/>
        <v>0.4034141</v>
      </c>
      <c r="G120" s="28">
        <f t="shared" si="198"/>
        <v>0.38096259999999998</v>
      </c>
      <c r="H120" s="28">
        <f t="shared" si="198"/>
        <v>0.35201779999999999</v>
      </c>
      <c r="I120" s="28">
        <f t="shared" si="198"/>
        <v>0.33243490000000003</v>
      </c>
      <c r="J120" s="28">
        <f t="shared" si="198"/>
        <v>0.3147721</v>
      </c>
      <c r="K120" s="28">
        <f t="shared" si="198"/>
        <v>0.31247249999999999</v>
      </c>
      <c r="L120" s="28">
        <f t="shared" si="198"/>
        <v>0.2923461</v>
      </c>
      <c r="N120" s="35" t="s">
        <v>63</v>
      </c>
      <c r="O120" s="28">
        <f t="shared" ref="O120:X120" si="199">O14+$D$30*O47</f>
        <v>-0.221</v>
      </c>
      <c r="P120" s="28">
        <f t="shared" si="199"/>
        <v>-0.18790000000000001</v>
      </c>
      <c r="Q120" s="28">
        <f t="shared" si="199"/>
        <v>-0.16539999999999999</v>
      </c>
      <c r="R120" s="28">
        <f t="shared" si="199"/>
        <v>-0.15240000000000001</v>
      </c>
      <c r="S120" s="28">
        <f t="shared" si="199"/>
        <v>-0.1391</v>
      </c>
      <c r="T120" s="28">
        <f t="shared" si="199"/>
        <v>-0.1157</v>
      </c>
      <c r="U120" s="28">
        <f t="shared" si="199"/>
        <v>-0.1046</v>
      </c>
      <c r="V120" s="28">
        <f t="shared" si="199"/>
        <v>-8.7499999999999994E-2</v>
      </c>
      <c r="W120" s="28">
        <f t="shared" si="199"/>
        <v>-4.8899999999999999E-2</v>
      </c>
      <c r="X120" s="28">
        <f t="shared" si="199"/>
        <v>-3.5900000000000001E-2</v>
      </c>
      <c r="Z120" s="35" t="s">
        <v>63</v>
      </c>
      <c r="AA120" s="28">
        <f t="shared" ref="AA120:AJ120" si="200">AA14+$E$30*AA47</f>
        <v>0.69499999999999995</v>
      </c>
      <c r="AB120" s="28">
        <f t="shared" si="200"/>
        <v>0.68089999999999995</v>
      </c>
      <c r="AC120" s="28">
        <f t="shared" si="200"/>
        <v>0.64870000000000005</v>
      </c>
      <c r="AD120" s="28">
        <f t="shared" si="200"/>
        <v>0.63519999999999999</v>
      </c>
      <c r="AE120" s="28">
        <f t="shared" si="200"/>
        <v>0.61209999999999998</v>
      </c>
      <c r="AF120" s="28">
        <f t="shared" si="200"/>
        <v>0.5776</v>
      </c>
      <c r="AG120" s="28">
        <f t="shared" si="200"/>
        <v>0.55610000000000004</v>
      </c>
      <c r="AH120" s="28">
        <f t="shared" si="200"/>
        <v>0.53469999999999995</v>
      </c>
      <c r="AI120" s="28">
        <f t="shared" si="200"/>
        <v>0.51149999999999995</v>
      </c>
      <c r="AJ120" s="28">
        <f t="shared" si="200"/>
        <v>0.49619999999999997</v>
      </c>
      <c r="AL120" s="35" t="s">
        <v>63</v>
      </c>
      <c r="AM120" s="37">
        <f t="shared" ref="AM120:AV120" si="201">C120*(1+(((2-3*O120^2)/24*AA120^2)+(O120*AA120*C120/4))*10)</f>
        <v>0.54839953438277156</v>
      </c>
      <c r="AN120" s="37">
        <f t="shared" si="201"/>
        <v>0.52660456320648064</v>
      </c>
      <c r="AO120" s="37">
        <f t="shared" si="201"/>
        <v>0.50390958416030007</v>
      </c>
      <c r="AP120" s="37">
        <f t="shared" si="201"/>
        <v>0.49494388552739899</v>
      </c>
      <c r="AQ120" s="37">
        <f t="shared" si="201"/>
        <v>0.46556276284840892</v>
      </c>
      <c r="AR120" s="37">
        <f t="shared" si="201"/>
        <v>0.42721714751755124</v>
      </c>
      <c r="AS120" s="37">
        <f t="shared" si="201"/>
        <v>0.40062855799385527</v>
      </c>
      <c r="AT120" s="37">
        <f t="shared" si="201"/>
        <v>0.37731722229099418</v>
      </c>
      <c r="AU120" s="37">
        <f t="shared" si="201"/>
        <v>0.37425008624893402</v>
      </c>
      <c r="AV120" s="37">
        <f t="shared" si="201"/>
        <v>0.34840718298393747</v>
      </c>
    </row>
    <row r="121" spans="1:48" ht="15" customHeight="1">
      <c r="B121" s="35" t="s">
        <v>64</v>
      </c>
      <c r="C121" s="28">
        <f t="shared" ref="C121:L121" si="202">C15+$C$30*C48</f>
        <v>0.42565349999999996</v>
      </c>
      <c r="D121" s="28">
        <f t="shared" si="202"/>
        <v>0.41065889999999999</v>
      </c>
      <c r="E121" s="28">
        <f t="shared" si="202"/>
        <v>0.38735259999999999</v>
      </c>
      <c r="F121" s="28">
        <f t="shared" si="202"/>
        <v>0.38501240000000003</v>
      </c>
      <c r="G121" s="28">
        <f t="shared" si="202"/>
        <v>0.3550818</v>
      </c>
      <c r="H121" s="28">
        <f t="shared" si="202"/>
        <v>0.33976630000000002</v>
      </c>
      <c r="I121" s="28">
        <f t="shared" si="202"/>
        <v>0.32407170000000002</v>
      </c>
      <c r="J121" s="28">
        <f t="shared" si="202"/>
        <v>0.31217039999999996</v>
      </c>
      <c r="K121" s="28">
        <f t="shared" si="202"/>
        <v>0.28416449999999999</v>
      </c>
      <c r="L121" s="28">
        <f t="shared" si="202"/>
        <v>0.27738500000000005</v>
      </c>
      <c r="N121" s="35" t="s">
        <v>64</v>
      </c>
      <c r="O121" s="28">
        <f t="shared" ref="O121:X121" si="203">O15+$D$30*O48</f>
        <v>-0.19439999999999999</v>
      </c>
      <c r="P121" s="28">
        <f t="shared" si="203"/>
        <v>-0.1744</v>
      </c>
      <c r="Q121" s="28">
        <f t="shared" si="203"/>
        <v>-0.15509999999999999</v>
      </c>
      <c r="R121" s="28">
        <f t="shared" si="203"/>
        <v>-0.1457</v>
      </c>
      <c r="S121" s="28">
        <f t="shared" si="203"/>
        <v>-0.1179</v>
      </c>
      <c r="T121" s="28">
        <f t="shared" si="203"/>
        <v>-0.1036</v>
      </c>
      <c r="U121" s="28">
        <f t="shared" si="203"/>
        <v>-8.77E-2</v>
      </c>
      <c r="V121" s="28">
        <f t="shared" si="203"/>
        <v>-5.2299999999999999E-2</v>
      </c>
      <c r="W121" s="28">
        <f t="shared" si="203"/>
        <v>-4.5400000000000003E-2</v>
      </c>
      <c r="X121" s="28">
        <f t="shared" si="203"/>
        <v>-0.02</v>
      </c>
      <c r="Z121" s="35" t="s">
        <v>64</v>
      </c>
      <c r="AA121" s="28">
        <f t="shared" ref="AA121:AJ121" si="204">AA15+$E$30*AA48</f>
        <v>0.67669999999999997</v>
      </c>
      <c r="AB121" s="28">
        <f t="shared" si="204"/>
        <v>0.65110000000000001</v>
      </c>
      <c r="AC121" s="28">
        <f t="shared" si="204"/>
        <v>0.62429999999999997</v>
      </c>
      <c r="AD121" s="28">
        <f t="shared" si="204"/>
        <v>0.60589999999999999</v>
      </c>
      <c r="AE121" s="28">
        <f t="shared" si="204"/>
        <v>0.58440000000000003</v>
      </c>
      <c r="AF121" s="28">
        <f t="shared" si="204"/>
        <v>0.56679999999999997</v>
      </c>
      <c r="AG121" s="28">
        <f t="shared" si="204"/>
        <v>0.53100000000000003</v>
      </c>
      <c r="AH121" s="28">
        <f t="shared" si="204"/>
        <v>0.51790000000000003</v>
      </c>
      <c r="AI121" s="28">
        <f t="shared" si="204"/>
        <v>0.4894</v>
      </c>
      <c r="AJ121" s="28">
        <f t="shared" si="204"/>
        <v>0.46779999999999999</v>
      </c>
      <c r="AL121" s="35" t="s">
        <v>64</v>
      </c>
      <c r="AM121" s="37">
        <f t="shared" ref="AM121:AV121" si="205">C121*(1+(((2-3*O121^2)/24*AA121^2)+(O121*AA121*C121/4))*20)</f>
        <v>0.61292673102026241</v>
      </c>
      <c r="AN121" s="37">
        <f t="shared" si="205"/>
        <v>0.59182583623304486</v>
      </c>
      <c r="AO121" s="37">
        <f t="shared" si="205"/>
        <v>0.5572492684302961</v>
      </c>
      <c r="AP121" s="37">
        <f t="shared" si="205"/>
        <v>0.54765358196013081</v>
      </c>
      <c r="AQ121" s="37">
        <f t="shared" si="205"/>
        <v>0.50954603457875147</v>
      </c>
      <c r="AR121" s="37">
        <f t="shared" si="205"/>
        <v>0.48486710966154178</v>
      </c>
      <c r="AS121" s="37">
        <f t="shared" si="205"/>
        <v>0.45015354538156405</v>
      </c>
      <c r="AT121" s="37">
        <f t="shared" si="205"/>
        <v>0.43795083508201238</v>
      </c>
      <c r="AU121" s="37">
        <f t="shared" si="205"/>
        <v>0.38827787427611854</v>
      </c>
      <c r="AV121" s="37">
        <f t="shared" si="205"/>
        <v>0.37489502545530451</v>
      </c>
    </row>
    <row r="122" spans="1:48" ht="15" customHeight="1">
      <c r="B122" s="35" t="s">
        <v>65</v>
      </c>
      <c r="C122" s="28">
        <f t="shared" ref="C122:L122" si="206">C16+$C$30*C49</f>
        <v>0.41751579999999999</v>
      </c>
      <c r="D122" s="28">
        <f t="shared" si="206"/>
        <v>0.39507520000000002</v>
      </c>
      <c r="E122" s="28">
        <f t="shared" si="206"/>
        <v>0.37734460000000003</v>
      </c>
      <c r="F122" s="28">
        <f t="shared" si="206"/>
        <v>0.3636588</v>
      </c>
      <c r="G122" s="28">
        <f t="shared" si="206"/>
        <v>0.34819850000000002</v>
      </c>
      <c r="H122" s="28">
        <f t="shared" si="206"/>
        <v>0.3212081</v>
      </c>
      <c r="I122" s="28">
        <f t="shared" si="206"/>
        <v>0.30637039999999999</v>
      </c>
      <c r="J122" s="28">
        <f t="shared" si="206"/>
        <v>0.28578500000000001</v>
      </c>
      <c r="K122" s="28">
        <f t="shared" si="206"/>
        <v>0.26928500000000005</v>
      </c>
      <c r="L122" s="28">
        <f t="shared" si="206"/>
        <v>0.25628500000000004</v>
      </c>
      <c r="N122" s="35" t="s">
        <v>65</v>
      </c>
      <c r="O122" s="28">
        <f t="shared" ref="O122:X122" si="207">O16+$D$30*O49</f>
        <v>-0.17599999999999999</v>
      </c>
      <c r="P122" s="28">
        <f t="shared" si="207"/>
        <v>-0.15490000000000001</v>
      </c>
      <c r="Q122" s="28">
        <f t="shared" si="207"/>
        <v>-0.1366</v>
      </c>
      <c r="R122" s="28">
        <f t="shared" si="207"/>
        <v>-0.10780000000000001</v>
      </c>
      <c r="S122" s="28">
        <f t="shared" si="207"/>
        <v>-9.3200000000000005E-2</v>
      </c>
      <c r="T122" s="28">
        <f t="shared" si="207"/>
        <v>-7.0199999999999999E-2</v>
      </c>
      <c r="U122" s="28">
        <f t="shared" si="207"/>
        <v>-4.9500000000000002E-2</v>
      </c>
      <c r="V122" s="28">
        <f t="shared" si="207"/>
        <v>-4.3700000000000003E-2</v>
      </c>
      <c r="W122" s="28">
        <f t="shared" si="207"/>
        <v>-1.83E-2</v>
      </c>
      <c r="X122" s="28">
        <f t="shared" si="207"/>
        <v>8.8999999999999999E-3</v>
      </c>
      <c r="Z122" s="35" t="s">
        <v>65</v>
      </c>
      <c r="AA122" s="28">
        <f t="shared" ref="AA122:AJ122" si="208">AA16+$E$30*AA49</f>
        <v>0.65680000000000005</v>
      </c>
      <c r="AB122" s="28">
        <f t="shared" si="208"/>
        <v>0.62050000000000005</v>
      </c>
      <c r="AC122" s="28">
        <f t="shared" si="208"/>
        <v>0.59799999999999998</v>
      </c>
      <c r="AD122" s="28">
        <f t="shared" si="208"/>
        <v>0.58220000000000005</v>
      </c>
      <c r="AE122" s="28">
        <f t="shared" si="208"/>
        <v>0.55259999999999998</v>
      </c>
      <c r="AF122" s="28">
        <f t="shared" si="208"/>
        <v>0.53369999999999995</v>
      </c>
      <c r="AG122" s="28">
        <f t="shared" si="208"/>
        <v>0.5081</v>
      </c>
      <c r="AH122" s="28">
        <f t="shared" si="208"/>
        <v>0.49780000000000002</v>
      </c>
      <c r="AI122" s="28">
        <f t="shared" si="208"/>
        <v>0.47789999999999999</v>
      </c>
      <c r="AJ122" s="28">
        <f t="shared" si="208"/>
        <v>0.45789999999999997</v>
      </c>
      <c r="AL122" s="35" t="s">
        <v>65</v>
      </c>
      <c r="AM122" s="37">
        <f t="shared" ref="AM122:AV122" si="209">C122*(1+(((2-3*O122^2)/24*AA122^2)+(O122*AA122*C122/4))*30)</f>
        <v>0.69573981018640318</v>
      </c>
      <c r="AN122" s="37">
        <f t="shared" si="209"/>
        <v>0.64915249436887357</v>
      </c>
      <c r="AO122" s="37">
        <f t="shared" si="209"/>
        <v>0.61801751545178873</v>
      </c>
      <c r="AP122" s="37">
        <f t="shared" si="209"/>
        <v>0.60419859565933798</v>
      </c>
      <c r="AQ122" s="37">
        <f t="shared" si="209"/>
        <v>0.56372373932003328</v>
      </c>
      <c r="AR122" s="37">
        <f t="shared" si="209"/>
        <v>0.51925479201855862</v>
      </c>
      <c r="AS122" s="37">
        <f t="shared" si="209"/>
        <v>0.48567385639002736</v>
      </c>
      <c r="AT122" s="37">
        <f t="shared" si="209"/>
        <v>0.44899982404660493</v>
      </c>
      <c r="AU122" s="37">
        <f t="shared" si="209"/>
        <v>0.4182053475401315</v>
      </c>
      <c r="AV122" s="37">
        <f t="shared" si="209"/>
        <v>0.39261633128972268</v>
      </c>
    </row>
    <row r="124" spans="1:48" ht="15" customHeight="1">
      <c r="A124" s="7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1:48" ht="15" customHeight="1">
      <c r="B125" s="7" t="s">
        <v>115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N125" s="7" t="s">
        <v>116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Z125" s="7" t="s">
        <v>117</v>
      </c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L125" s="6" t="s">
        <v>118</v>
      </c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ht="15" customHeight="1">
      <c r="B126" s="20" t="s">
        <v>119</v>
      </c>
      <c r="C126" s="21" t="s">
        <v>120</v>
      </c>
      <c r="D126" s="21" t="s">
        <v>58</v>
      </c>
      <c r="E126" s="21" t="s">
        <v>59</v>
      </c>
      <c r="F126" s="21" t="s">
        <v>30</v>
      </c>
      <c r="G126" s="21" t="s">
        <v>60</v>
      </c>
      <c r="H126" s="21" t="s">
        <v>61</v>
      </c>
      <c r="I126" s="21" t="s">
        <v>62</v>
      </c>
      <c r="J126" s="21" t="s">
        <v>63</v>
      </c>
      <c r="K126" s="21" t="s">
        <v>64</v>
      </c>
      <c r="L126" s="21" t="s">
        <v>65</v>
      </c>
      <c r="N126" s="20" t="s">
        <v>119</v>
      </c>
      <c r="O126" s="21" t="s">
        <v>120</v>
      </c>
      <c r="P126" s="21" t="s">
        <v>58</v>
      </c>
      <c r="Q126" s="21" t="s">
        <v>59</v>
      </c>
      <c r="R126" s="21" t="s">
        <v>30</v>
      </c>
      <c r="S126" s="21" t="s">
        <v>60</v>
      </c>
      <c r="T126" s="21" t="s">
        <v>61</v>
      </c>
      <c r="U126" s="21" t="s">
        <v>62</v>
      </c>
      <c r="V126" s="21" t="s">
        <v>63</v>
      </c>
      <c r="W126" s="21" t="s">
        <v>64</v>
      </c>
      <c r="X126" s="21" t="s">
        <v>65</v>
      </c>
      <c r="Z126" s="20" t="s">
        <v>119</v>
      </c>
      <c r="AA126" s="21" t="s">
        <v>120</v>
      </c>
      <c r="AB126" s="21" t="s">
        <v>58</v>
      </c>
      <c r="AC126" s="21" t="s">
        <v>59</v>
      </c>
      <c r="AD126" s="21" t="s">
        <v>30</v>
      </c>
      <c r="AE126" s="21" t="s">
        <v>60</v>
      </c>
      <c r="AF126" s="21" t="s">
        <v>61</v>
      </c>
      <c r="AG126" s="21" t="s">
        <v>62</v>
      </c>
      <c r="AH126" s="21" t="s">
        <v>63</v>
      </c>
      <c r="AI126" s="21" t="s">
        <v>64</v>
      </c>
      <c r="AJ126" s="21" t="s">
        <v>65</v>
      </c>
      <c r="AL126" s="20" t="s">
        <v>119</v>
      </c>
      <c r="AM126" s="21" t="s">
        <v>120</v>
      </c>
      <c r="AN126" s="21" t="s">
        <v>58</v>
      </c>
      <c r="AO126" s="21" t="s">
        <v>59</v>
      </c>
      <c r="AP126" s="21" t="s">
        <v>30</v>
      </c>
      <c r="AQ126" s="21" t="s">
        <v>60</v>
      </c>
      <c r="AR126" s="21" t="s">
        <v>61</v>
      </c>
      <c r="AS126" s="21" t="s">
        <v>62</v>
      </c>
      <c r="AT126" s="21" t="s">
        <v>63</v>
      </c>
      <c r="AU126" s="21" t="s">
        <v>64</v>
      </c>
      <c r="AV126" s="21" t="s">
        <v>65</v>
      </c>
    </row>
    <row r="127" spans="1:48" ht="15" customHeight="1">
      <c r="B127" s="35" t="s">
        <v>120</v>
      </c>
      <c r="C127" s="28">
        <f t="shared" ref="C127:L127" si="210">C7+$C$31*C40</f>
        <v>0.5749978</v>
      </c>
      <c r="D127" s="28">
        <f t="shared" si="210"/>
        <v>0.55342040000000003</v>
      </c>
      <c r="E127" s="28">
        <f t="shared" si="210"/>
        <v>0.54497600000000002</v>
      </c>
      <c r="F127" s="28">
        <f t="shared" si="210"/>
        <v>0.51525200000000004</v>
      </c>
      <c r="G127" s="28">
        <f t="shared" si="210"/>
        <v>0.50611859999999997</v>
      </c>
      <c r="H127" s="28">
        <f t="shared" si="210"/>
        <v>0.48423860000000002</v>
      </c>
      <c r="I127" s="28">
        <f t="shared" si="210"/>
        <v>0.46060199999999996</v>
      </c>
      <c r="J127" s="28">
        <f t="shared" si="210"/>
        <v>0.45129999999999998</v>
      </c>
      <c r="K127" s="28">
        <f t="shared" si="210"/>
        <v>0.42341999999999996</v>
      </c>
      <c r="L127" s="28">
        <f t="shared" si="210"/>
        <v>0.4129756</v>
      </c>
      <c r="N127" s="35" t="s">
        <v>120</v>
      </c>
      <c r="O127" s="28">
        <f t="shared" ref="O127:X127" si="211">O7+$D$31*O40</f>
        <v>-0.35859999999999997</v>
      </c>
      <c r="P127" s="28">
        <f t="shared" si="211"/>
        <v>-0.3387</v>
      </c>
      <c r="Q127" s="28">
        <f t="shared" si="211"/>
        <v>-0.31259999999999999</v>
      </c>
      <c r="R127" s="28">
        <f t="shared" si="211"/>
        <v>-0.28510000000000002</v>
      </c>
      <c r="S127" s="28">
        <f t="shared" si="211"/>
        <v>-0.2797</v>
      </c>
      <c r="T127" s="28">
        <f t="shared" si="211"/>
        <v>-0.25829999999999997</v>
      </c>
      <c r="U127" s="28">
        <f t="shared" si="211"/>
        <v>-0.23080000000000001</v>
      </c>
      <c r="V127" s="28">
        <f t="shared" si="211"/>
        <v>-0.2049</v>
      </c>
      <c r="W127" s="28">
        <f t="shared" si="211"/>
        <v>-0.19289999999999999</v>
      </c>
      <c r="X127" s="28">
        <f t="shared" si="211"/>
        <v>-0.17710000000000001</v>
      </c>
      <c r="Z127" s="35" t="s">
        <v>120</v>
      </c>
      <c r="AA127" s="28">
        <f t="shared" ref="AA127:AJ127" si="212">AA7+$E$31*AA40</f>
        <v>0.85950000000000004</v>
      </c>
      <c r="AB127" s="28">
        <f t="shared" si="212"/>
        <v>0.81869999999999998</v>
      </c>
      <c r="AC127" s="28">
        <f t="shared" si="212"/>
        <v>0.81269999999999998</v>
      </c>
      <c r="AD127" s="28">
        <f t="shared" si="212"/>
        <v>0.77910000000000001</v>
      </c>
      <c r="AE127" s="28">
        <f t="shared" si="212"/>
        <v>0.754</v>
      </c>
      <c r="AF127" s="28">
        <f t="shared" si="212"/>
        <v>0.73119999999999996</v>
      </c>
      <c r="AG127" s="28">
        <f t="shared" si="212"/>
        <v>0.71279999999999999</v>
      </c>
      <c r="AH127" s="28">
        <f t="shared" si="212"/>
        <v>0.70079999999999998</v>
      </c>
      <c r="AI127" s="28">
        <f t="shared" si="212"/>
        <v>0.66579999999999995</v>
      </c>
      <c r="AJ127" s="28">
        <f t="shared" si="212"/>
        <v>0.65159999999999996</v>
      </c>
      <c r="AL127" s="35" t="s">
        <v>120</v>
      </c>
      <c r="AM127" s="37">
        <f t="shared" ref="AM127:AV127" si="213">C127*(1+(((2-3*O127^2)/24*AA127^2)+(O127*AA127*C127/4))*0.0833333333333333)</f>
        <v>0.57525563929756285</v>
      </c>
      <c r="AN127" s="37">
        <f t="shared" si="213"/>
        <v>0.55378378217482949</v>
      </c>
      <c r="AO127" s="37">
        <f t="shared" si="213"/>
        <v>0.54553730893037344</v>
      </c>
      <c r="AP127" s="37">
        <f t="shared" si="213"/>
        <v>0.51593057409785514</v>
      </c>
      <c r="AQ127" s="37">
        <f t="shared" si="213"/>
        <v>0.5067568362325966</v>
      </c>
      <c r="AR127" s="37">
        <f t="shared" si="213"/>
        <v>0.48493393061973866</v>
      </c>
      <c r="AS127" s="37">
        <f t="shared" si="213"/>
        <v>0.46137018073513197</v>
      </c>
      <c r="AT127" s="37">
        <f t="shared" si="213"/>
        <v>0.45213296193700309</v>
      </c>
      <c r="AU127" s="37">
        <f t="shared" si="213"/>
        <v>0.4241709944199975</v>
      </c>
      <c r="AV127" s="37">
        <f t="shared" si="213"/>
        <v>0.41372594588384543</v>
      </c>
    </row>
    <row r="128" spans="1:48" ht="15" customHeight="1">
      <c r="B128" s="35" t="s">
        <v>58</v>
      </c>
      <c r="C128" s="28">
        <f t="shared" ref="C128:L128" si="214">C8+$C$31*C41</f>
        <v>0.56278220000000001</v>
      </c>
      <c r="D128" s="28">
        <f t="shared" si="214"/>
        <v>0.53909119999999999</v>
      </c>
      <c r="E128" s="28">
        <f t="shared" si="214"/>
        <v>0.52444259999999998</v>
      </c>
      <c r="F128" s="28">
        <f t="shared" si="214"/>
        <v>0.49620920000000002</v>
      </c>
      <c r="G128" s="28">
        <f t="shared" si="214"/>
        <v>0.47865479999999999</v>
      </c>
      <c r="H128" s="28">
        <f t="shared" si="214"/>
        <v>0.46286119999999997</v>
      </c>
      <c r="I128" s="28">
        <f t="shared" si="214"/>
        <v>0.45453979999999999</v>
      </c>
      <c r="J128" s="28">
        <f t="shared" si="214"/>
        <v>0.43073939999999999</v>
      </c>
      <c r="K128" s="28">
        <f t="shared" si="214"/>
        <v>0.4108426</v>
      </c>
      <c r="L128" s="28">
        <f t="shared" si="214"/>
        <v>0.39783380000000002</v>
      </c>
      <c r="N128" s="35" t="s">
        <v>58</v>
      </c>
      <c r="O128" s="28">
        <f t="shared" ref="O128:X128" si="215">O8+$D$31*O41</f>
        <v>-0.33150000000000002</v>
      </c>
      <c r="P128" s="28">
        <f t="shared" si="215"/>
        <v>-0.31509999999999999</v>
      </c>
      <c r="Q128" s="28">
        <f t="shared" si="215"/>
        <v>-0.2858</v>
      </c>
      <c r="R128" s="28">
        <f t="shared" si="215"/>
        <v>-0.26819999999999999</v>
      </c>
      <c r="S128" s="28">
        <f t="shared" si="215"/>
        <v>-0.25790000000000002</v>
      </c>
      <c r="T128" s="28">
        <f t="shared" si="215"/>
        <v>-0.23180000000000001</v>
      </c>
      <c r="U128" s="28">
        <f t="shared" si="215"/>
        <v>-0.21340000000000001</v>
      </c>
      <c r="V128" s="28">
        <f t="shared" si="215"/>
        <v>-0.18690000000000001</v>
      </c>
      <c r="W128" s="28">
        <f t="shared" si="215"/>
        <v>-0.1704</v>
      </c>
      <c r="X128" s="28">
        <f t="shared" si="215"/>
        <v>-0.1598</v>
      </c>
      <c r="Z128" s="35" t="s">
        <v>58</v>
      </c>
      <c r="AA128" s="28">
        <f t="shared" ref="AA128:AJ128" si="216">AA8+$E$31*AA41</f>
        <v>0.83740000000000003</v>
      </c>
      <c r="AB128" s="28">
        <f t="shared" si="216"/>
        <v>0.79790000000000005</v>
      </c>
      <c r="AC128" s="28">
        <f t="shared" si="216"/>
        <v>0.78169999999999995</v>
      </c>
      <c r="AD128" s="28">
        <f t="shared" si="216"/>
        <v>0.76629999999999998</v>
      </c>
      <c r="AE128" s="28">
        <f t="shared" si="216"/>
        <v>0.7319</v>
      </c>
      <c r="AF128" s="28">
        <f t="shared" si="216"/>
        <v>0.71640000000000004</v>
      </c>
      <c r="AG128" s="28">
        <f t="shared" si="216"/>
        <v>0.68520000000000003</v>
      </c>
      <c r="AH128" s="28">
        <f t="shared" si="216"/>
        <v>0.67559999999999998</v>
      </c>
      <c r="AI128" s="28">
        <f t="shared" si="216"/>
        <v>0.65529999999999999</v>
      </c>
      <c r="AJ128" s="28">
        <f t="shared" si="216"/>
        <v>0.62919999999999998</v>
      </c>
      <c r="AL128" s="35" t="s">
        <v>58</v>
      </c>
      <c r="AM128" s="37">
        <f t="shared" ref="AM128:AV128" si="217">C128*(1+(((2-3*O128^2)/24*AA128^2)+(O128*AA128*C128/4))*0.25)</f>
        <v>0.56415358173245156</v>
      </c>
      <c r="AN128" s="37">
        <f t="shared" si="217"/>
        <v>0.54060981443195388</v>
      </c>
      <c r="AO128" s="37">
        <f t="shared" si="217"/>
        <v>0.52646050214216278</v>
      </c>
      <c r="AP128" s="37">
        <f t="shared" si="217"/>
        <v>0.49846190443482585</v>
      </c>
      <c r="AQ128" s="37">
        <f t="shared" si="217"/>
        <v>0.48076073602929292</v>
      </c>
      <c r="AR128" s="37">
        <f t="shared" si="217"/>
        <v>0.46518779124364751</v>
      </c>
      <c r="AS128" s="37">
        <f t="shared" si="217"/>
        <v>0.45679391164503991</v>
      </c>
      <c r="AT128" s="37">
        <f t="shared" si="217"/>
        <v>0.43315648875980839</v>
      </c>
      <c r="AU128" s="37">
        <f t="shared" si="217"/>
        <v>0.41318001375266727</v>
      </c>
      <c r="AV128" s="37">
        <f t="shared" si="217"/>
        <v>0.399994753318556</v>
      </c>
    </row>
    <row r="129" spans="1:48" ht="15" customHeight="1">
      <c r="B129" s="35" t="s">
        <v>59</v>
      </c>
      <c r="C129" s="28">
        <f t="shared" ref="C129:L129" si="218">C9+$C$31*C42</f>
        <v>0.54894200000000004</v>
      </c>
      <c r="D129" s="28">
        <f t="shared" si="218"/>
        <v>0.51967140000000001</v>
      </c>
      <c r="E129" s="28">
        <f t="shared" si="218"/>
        <v>0.50971699999999998</v>
      </c>
      <c r="F129" s="28">
        <f t="shared" si="218"/>
        <v>0.48903440000000004</v>
      </c>
      <c r="G129" s="28">
        <f t="shared" si="218"/>
        <v>0.47098420000000002</v>
      </c>
      <c r="H129" s="28">
        <f t="shared" si="218"/>
        <v>0.44965919999999998</v>
      </c>
      <c r="I129" s="28">
        <f t="shared" si="218"/>
        <v>0.43870120000000001</v>
      </c>
      <c r="J129" s="28">
        <f t="shared" si="218"/>
        <v>0.42310439999999999</v>
      </c>
      <c r="K129" s="28">
        <f t="shared" si="218"/>
        <v>0.39556259999999999</v>
      </c>
      <c r="L129" s="28">
        <f t="shared" si="218"/>
        <v>0.38050879999999998</v>
      </c>
      <c r="N129" s="35" t="s">
        <v>59</v>
      </c>
      <c r="O129" s="28">
        <f t="shared" ref="O129:X129" si="219">O9+$D$31*O42</f>
        <v>-0.31990000000000002</v>
      </c>
      <c r="P129" s="28">
        <f t="shared" si="219"/>
        <v>-0.28760000000000002</v>
      </c>
      <c r="Q129" s="28">
        <f t="shared" si="219"/>
        <v>-0.26929999999999998</v>
      </c>
      <c r="R129" s="28">
        <f t="shared" si="219"/>
        <v>-0.2429</v>
      </c>
      <c r="S129" s="28">
        <f t="shared" si="219"/>
        <v>-0.22689999999999999</v>
      </c>
      <c r="T129" s="28">
        <f t="shared" si="219"/>
        <v>-0.21820000000000001</v>
      </c>
      <c r="U129" s="28">
        <f t="shared" si="219"/>
        <v>-0.19670000000000001</v>
      </c>
      <c r="V129" s="28">
        <f t="shared" si="219"/>
        <v>-0.1716</v>
      </c>
      <c r="W129" s="28">
        <f t="shared" si="219"/>
        <v>-0.1651</v>
      </c>
      <c r="X129" s="28">
        <f t="shared" si="219"/>
        <v>-0.13689999999999999</v>
      </c>
      <c r="Z129" s="35" t="s">
        <v>59</v>
      </c>
      <c r="AA129" s="28">
        <f t="shared" ref="AA129:AJ129" si="220">AA9+$E$31*AA42</f>
        <v>0.79890000000000005</v>
      </c>
      <c r="AB129" s="28">
        <f t="shared" si="220"/>
        <v>0.77569999999999995</v>
      </c>
      <c r="AC129" s="28">
        <f t="shared" si="220"/>
        <v>0.75229999999999997</v>
      </c>
      <c r="AD129" s="28">
        <f t="shared" si="220"/>
        <v>0.74429999999999996</v>
      </c>
      <c r="AE129" s="28">
        <f t="shared" si="220"/>
        <v>0.70930000000000004</v>
      </c>
      <c r="AF129" s="28">
        <f t="shared" si="220"/>
        <v>0.68940000000000001</v>
      </c>
      <c r="AG129" s="28">
        <f t="shared" si="220"/>
        <v>0.67</v>
      </c>
      <c r="AH129" s="28">
        <f t="shared" si="220"/>
        <v>0.65739999999999998</v>
      </c>
      <c r="AI129" s="28">
        <f t="shared" si="220"/>
        <v>0.61939999999999995</v>
      </c>
      <c r="AJ129" s="28">
        <f t="shared" si="220"/>
        <v>0.60450000000000004</v>
      </c>
      <c r="AL129" s="35" t="s">
        <v>59</v>
      </c>
      <c r="AM129" s="37">
        <f t="shared" ref="AM129:AV129" si="221">C129*(1+(((2-3*O129^2)/24*AA129^2)+(O129*AA129*C129/4))*0.5)</f>
        <v>0.55167281292503512</v>
      </c>
      <c r="AN129" s="37">
        <f t="shared" si="221"/>
        <v>0.52355276827664354</v>
      </c>
      <c r="AO129" s="37">
        <f t="shared" si="221"/>
        <v>0.51384976729109211</v>
      </c>
      <c r="AP129" s="37">
        <f t="shared" si="221"/>
        <v>0.4939189656891243</v>
      </c>
      <c r="AQ129" s="37">
        <f t="shared" si="221"/>
        <v>0.47563228519515588</v>
      </c>
      <c r="AR129" s="37">
        <f t="shared" si="221"/>
        <v>0.45412594847582427</v>
      </c>
      <c r="AS129" s="37">
        <f t="shared" si="221"/>
        <v>0.44326002771418066</v>
      </c>
      <c r="AT129" s="37">
        <f t="shared" si="221"/>
        <v>0.42786246726555172</v>
      </c>
      <c r="AU129" s="37">
        <f t="shared" si="221"/>
        <v>0.39962726305094748</v>
      </c>
      <c r="AV129" s="37">
        <f t="shared" si="221"/>
        <v>0.38464174688255309</v>
      </c>
    </row>
    <row r="130" spans="1:48" ht="15" customHeight="1">
      <c r="B130" s="35" t="s">
        <v>30</v>
      </c>
      <c r="C130" s="28">
        <f t="shared" ref="C130:L130" si="222">C10+$C$31*C43</f>
        <v>0.52422900000000006</v>
      </c>
      <c r="D130" s="28">
        <f t="shared" si="222"/>
        <v>0.51289399999999996</v>
      </c>
      <c r="E130" s="28">
        <f t="shared" si="222"/>
        <v>0.49406840000000002</v>
      </c>
      <c r="F130" s="28">
        <f t="shared" si="222"/>
        <v>0.476435</v>
      </c>
      <c r="G130" s="28">
        <f t="shared" si="222"/>
        <v>0.4457566</v>
      </c>
      <c r="H130" s="28">
        <f t="shared" si="222"/>
        <v>0.43039699999999997</v>
      </c>
      <c r="I130" s="28">
        <f t="shared" si="222"/>
        <v>0.4108348</v>
      </c>
      <c r="J130" s="28">
        <f t="shared" si="222"/>
        <v>0.4029972</v>
      </c>
      <c r="K130" s="28">
        <f t="shared" si="222"/>
        <v>0.3869784</v>
      </c>
      <c r="L130" s="28">
        <f t="shared" si="222"/>
        <v>0.3519178</v>
      </c>
      <c r="N130" s="35" t="s">
        <v>30</v>
      </c>
      <c r="O130" s="28">
        <f t="shared" ref="O130:X130" si="223">O10+$D$31*O43</f>
        <v>-0.29809999999999998</v>
      </c>
      <c r="P130" s="28">
        <f t="shared" si="223"/>
        <v>-0.27760000000000001</v>
      </c>
      <c r="Q130" s="28">
        <f t="shared" si="223"/>
        <v>-0.2581</v>
      </c>
      <c r="R130" s="28">
        <f t="shared" si="223"/>
        <v>-0.2336</v>
      </c>
      <c r="S130" s="28">
        <f t="shared" si="223"/>
        <v>-0.21210000000000001</v>
      </c>
      <c r="T130" s="28">
        <f t="shared" si="223"/>
        <v>-0.19919999999999999</v>
      </c>
      <c r="U130" s="28">
        <f t="shared" si="223"/>
        <v>-0.18490000000000001</v>
      </c>
      <c r="V130" s="28">
        <f t="shared" si="223"/>
        <v>-0.15720000000000001</v>
      </c>
      <c r="W130" s="28">
        <f t="shared" si="223"/>
        <v>-0.13869999999999999</v>
      </c>
      <c r="X130" s="28">
        <f t="shared" si="223"/>
        <v>-0.1153</v>
      </c>
      <c r="Z130" s="35" t="s">
        <v>30</v>
      </c>
      <c r="AA130" s="28">
        <f t="shared" ref="AA130:AJ130" si="224">AA10+$E$31*AA43</f>
        <v>0.79239999999999999</v>
      </c>
      <c r="AB130" s="28">
        <f t="shared" si="224"/>
        <v>0.76490000000000002</v>
      </c>
      <c r="AC130" s="28">
        <f t="shared" si="224"/>
        <v>0.73919999999999997</v>
      </c>
      <c r="AD130" s="28">
        <f t="shared" si="224"/>
        <v>0.71899999999999997</v>
      </c>
      <c r="AE130" s="28">
        <f t="shared" si="224"/>
        <v>0.69799999999999995</v>
      </c>
      <c r="AF130" s="28">
        <f t="shared" si="224"/>
        <v>0.6633</v>
      </c>
      <c r="AG130" s="28">
        <f t="shared" si="224"/>
        <v>0.65800000000000003</v>
      </c>
      <c r="AH130" s="28">
        <f t="shared" si="224"/>
        <v>0.63339999999999996</v>
      </c>
      <c r="AI130" s="28">
        <f t="shared" si="224"/>
        <v>0.61299999999999999</v>
      </c>
      <c r="AJ130" s="28">
        <f t="shared" si="224"/>
        <v>0.58930000000000005</v>
      </c>
      <c r="AL130" s="35" t="s">
        <v>30</v>
      </c>
      <c r="AM130" s="37">
        <f t="shared" ref="AM130:AV130" si="225">C130*(1+(((2-3*O130^2)/24*AA130^2)+(O130*AA130*C130/4))*1)</f>
        <v>0.53177398722311786</v>
      </c>
      <c r="AN130" s="37">
        <f t="shared" si="225"/>
        <v>0.52104576803818103</v>
      </c>
      <c r="AO130" s="37">
        <f t="shared" si="225"/>
        <v>0.50267468323467368</v>
      </c>
      <c r="AP130" s="37">
        <f t="shared" si="225"/>
        <v>0.48574859685885219</v>
      </c>
      <c r="AQ130" s="37">
        <f t="shared" si="225"/>
        <v>0.45527909335737088</v>
      </c>
      <c r="AR130" s="37">
        <f t="shared" si="225"/>
        <v>0.4391188301431318</v>
      </c>
      <c r="AS130" s="37">
        <f t="shared" si="225"/>
        <v>0.41976392023879522</v>
      </c>
      <c r="AT130" s="37">
        <f t="shared" si="225"/>
        <v>0.41192843285736946</v>
      </c>
      <c r="AU130" s="37">
        <f t="shared" si="225"/>
        <v>0.39556349320112266</v>
      </c>
      <c r="AV130" s="37">
        <f t="shared" si="225"/>
        <v>0.35979533085211368</v>
      </c>
    </row>
    <row r="131" spans="1:48" ht="15" customHeight="1">
      <c r="B131" s="35" t="s">
        <v>60</v>
      </c>
      <c r="C131" s="28">
        <f t="shared" ref="C131:L131" si="226">C11+$C$31*C44</f>
        <v>0.50334319999999999</v>
      </c>
      <c r="D131" s="28">
        <f t="shared" si="226"/>
        <v>0.48501660000000002</v>
      </c>
      <c r="E131" s="28">
        <f t="shared" si="226"/>
        <v>0.46062979999999998</v>
      </c>
      <c r="F131" s="28">
        <f t="shared" si="226"/>
        <v>0.45351520000000001</v>
      </c>
      <c r="G131" s="28">
        <f t="shared" si="226"/>
        <v>0.4231724</v>
      </c>
      <c r="H131" s="28">
        <f t="shared" si="226"/>
        <v>0.4055222</v>
      </c>
      <c r="I131" s="28">
        <f t="shared" si="226"/>
        <v>0.38955060000000002</v>
      </c>
      <c r="J131" s="28">
        <f t="shared" si="226"/>
        <v>0.37066899999999997</v>
      </c>
      <c r="K131" s="28">
        <f t="shared" si="226"/>
        <v>0.3557534</v>
      </c>
      <c r="L131" s="28">
        <f t="shared" si="226"/>
        <v>0.33180480000000001</v>
      </c>
      <c r="N131" s="35" t="s">
        <v>60</v>
      </c>
      <c r="O131" s="28">
        <f t="shared" ref="O131:X131" si="227">O11+$D$31*O44</f>
        <v>-0.28220000000000001</v>
      </c>
      <c r="P131" s="28">
        <f t="shared" si="227"/>
        <v>-0.25979999999999998</v>
      </c>
      <c r="Q131" s="28">
        <f t="shared" si="227"/>
        <v>-0.24129999999999999</v>
      </c>
      <c r="R131" s="28">
        <f t="shared" si="227"/>
        <v>-0.21659999999999999</v>
      </c>
      <c r="S131" s="28">
        <f t="shared" si="227"/>
        <v>-0.2039</v>
      </c>
      <c r="T131" s="28">
        <f t="shared" si="227"/>
        <v>-0.16750000000000001</v>
      </c>
      <c r="U131" s="28">
        <f t="shared" si="227"/>
        <v>-0.15329999999999999</v>
      </c>
      <c r="V131" s="28">
        <f t="shared" si="227"/>
        <v>-0.1431</v>
      </c>
      <c r="W131" s="28">
        <f t="shared" si="227"/>
        <v>-0.1216</v>
      </c>
      <c r="X131" s="28">
        <f t="shared" si="227"/>
        <v>-0.1003</v>
      </c>
      <c r="Z131" s="35" t="s">
        <v>60</v>
      </c>
      <c r="AA131" s="28">
        <f t="shared" ref="AA131:AJ131" si="228">AA11+$E$31*AA44</f>
        <v>0.75839999999999996</v>
      </c>
      <c r="AB131" s="28">
        <f t="shared" si="228"/>
        <v>0.73129999999999995</v>
      </c>
      <c r="AC131" s="28">
        <f t="shared" si="228"/>
        <v>0.72360000000000002</v>
      </c>
      <c r="AD131" s="28">
        <f t="shared" si="228"/>
        <v>0.70430000000000004</v>
      </c>
      <c r="AE131" s="28">
        <f t="shared" si="228"/>
        <v>0.67149999999999999</v>
      </c>
      <c r="AF131" s="28">
        <f t="shared" si="228"/>
        <v>0.64970000000000006</v>
      </c>
      <c r="AG131" s="28">
        <f t="shared" si="228"/>
        <v>0.61950000000000005</v>
      </c>
      <c r="AH131" s="28">
        <f t="shared" si="228"/>
        <v>0.59760000000000002</v>
      </c>
      <c r="AI131" s="28">
        <f t="shared" si="228"/>
        <v>0.58020000000000005</v>
      </c>
      <c r="AJ131" s="28">
        <f t="shared" si="228"/>
        <v>0.55640000000000001</v>
      </c>
      <c r="AL131" s="35" t="s">
        <v>60</v>
      </c>
      <c r="AM131" s="37">
        <f t="shared" ref="AM131:AV131" si="229">C131*(1+(((2-3*O131^2)/24*AA131^2)+(O131*AA131*C131/4))*2)</f>
        <v>0.51871917299394987</v>
      </c>
      <c r="AN131" s="37">
        <f t="shared" si="229"/>
        <v>0.50152389381963636</v>
      </c>
      <c r="AO131" s="37">
        <f t="shared" si="229"/>
        <v>0.47879261819491464</v>
      </c>
      <c r="AP131" s="37">
        <f t="shared" si="229"/>
        <v>0.47268207479153068</v>
      </c>
      <c r="AQ131" s="37">
        <f t="shared" si="229"/>
        <v>0.44073202744147982</v>
      </c>
      <c r="AR131" s="37">
        <f t="shared" si="229"/>
        <v>0.42390271638574006</v>
      </c>
      <c r="AS131" s="37">
        <f t="shared" si="229"/>
        <v>0.40638343085409168</v>
      </c>
      <c r="AT131" s="37">
        <f t="shared" si="229"/>
        <v>0.38617909593806782</v>
      </c>
      <c r="AU131" s="37">
        <f t="shared" si="229"/>
        <v>0.37080579547772319</v>
      </c>
      <c r="AV131" s="37">
        <f t="shared" si="229"/>
        <v>0.3455945151208723</v>
      </c>
    </row>
    <row r="132" spans="1:48" ht="15" customHeight="1">
      <c r="B132" s="35" t="s">
        <v>61</v>
      </c>
      <c r="C132" s="28">
        <f t="shared" ref="C132:L132" si="230">C12+$C$31*C45</f>
        <v>0.49416840000000001</v>
      </c>
      <c r="D132" s="28">
        <f t="shared" si="230"/>
        <v>0.46238839999999998</v>
      </c>
      <c r="E132" s="28">
        <f t="shared" si="230"/>
        <v>0.44085240000000003</v>
      </c>
      <c r="F132" s="28">
        <f t="shared" si="230"/>
        <v>0.44177340000000004</v>
      </c>
      <c r="G132" s="28">
        <f t="shared" si="230"/>
        <v>0.41435939999999999</v>
      </c>
      <c r="H132" s="28">
        <f t="shared" si="230"/>
        <v>0.38865320000000003</v>
      </c>
      <c r="I132" s="28">
        <f t="shared" si="230"/>
        <v>0.37873180000000001</v>
      </c>
      <c r="J132" s="28">
        <f t="shared" si="230"/>
        <v>0.34991620000000001</v>
      </c>
      <c r="K132" s="28">
        <f t="shared" si="230"/>
        <v>0.34112679999999995</v>
      </c>
      <c r="L132" s="28">
        <f t="shared" si="230"/>
        <v>0.33276820000000001</v>
      </c>
      <c r="N132" s="35" t="s">
        <v>61</v>
      </c>
      <c r="O132" s="28">
        <f t="shared" ref="O132:X132" si="231">O12+$D$31*O45</f>
        <v>-0.2455</v>
      </c>
      <c r="P132" s="28">
        <f t="shared" si="231"/>
        <v>-0.22939999999999999</v>
      </c>
      <c r="Q132" s="28">
        <f t="shared" si="231"/>
        <v>-0.21870000000000001</v>
      </c>
      <c r="R132" s="28">
        <f t="shared" si="231"/>
        <v>-0.1971</v>
      </c>
      <c r="S132" s="28">
        <f t="shared" si="231"/>
        <v>-0.1817</v>
      </c>
      <c r="T132" s="28">
        <f t="shared" si="231"/>
        <v>-0.15010000000000001</v>
      </c>
      <c r="U132" s="28">
        <f t="shared" si="231"/>
        <v>-0.13550000000000001</v>
      </c>
      <c r="V132" s="28">
        <f t="shared" si="231"/>
        <v>-0.1111</v>
      </c>
      <c r="W132" s="28">
        <f t="shared" si="231"/>
        <v>-0.10059999999999999</v>
      </c>
      <c r="X132" s="28">
        <f t="shared" si="231"/>
        <v>-8.3299999999999999E-2</v>
      </c>
      <c r="Z132" s="35" t="s">
        <v>61</v>
      </c>
      <c r="AA132" s="28">
        <f t="shared" ref="AA132:AJ132" si="232">AA12+$E$31*AA45</f>
        <v>0.74509999999999998</v>
      </c>
      <c r="AB132" s="28">
        <f t="shared" si="232"/>
        <v>0.72640000000000005</v>
      </c>
      <c r="AC132" s="28">
        <f t="shared" si="232"/>
        <v>0.70150000000000001</v>
      </c>
      <c r="AD132" s="28">
        <f t="shared" si="232"/>
        <v>0.67830000000000001</v>
      </c>
      <c r="AE132" s="28">
        <f t="shared" si="232"/>
        <v>0.65639999999999998</v>
      </c>
      <c r="AF132" s="28">
        <f t="shared" si="232"/>
        <v>0.63260000000000005</v>
      </c>
      <c r="AG132" s="28">
        <f t="shared" si="232"/>
        <v>0.60009999999999997</v>
      </c>
      <c r="AH132" s="28">
        <f t="shared" si="232"/>
        <v>0.5837</v>
      </c>
      <c r="AI132" s="28">
        <f t="shared" si="232"/>
        <v>0.55820000000000003</v>
      </c>
      <c r="AJ132" s="28">
        <f t="shared" si="232"/>
        <v>0.52949999999999997</v>
      </c>
      <c r="AL132" s="35" t="s">
        <v>61</v>
      </c>
      <c r="AM132" s="37">
        <f t="shared" ref="AM132:AV132" si="233">C132*(1+(((2-3*O132^2)/24*AA132^2)+(O132*AA132*C132/4))*3)</f>
        <v>0.52305259302888585</v>
      </c>
      <c r="AN132" s="37">
        <f t="shared" si="233"/>
        <v>0.49184874437377207</v>
      </c>
      <c r="AO132" s="37">
        <f t="shared" si="233"/>
        <v>0.46883467467145185</v>
      </c>
      <c r="AP132" s="37">
        <f t="shared" si="233"/>
        <v>0.47005730688306885</v>
      </c>
      <c r="AQ132" s="37">
        <f t="shared" si="233"/>
        <v>0.44142374183078953</v>
      </c>
      <c r="AR132" s="37">
        <f t="shared" si="233"/>
        <v>0.41546511265057545</v>
      </c>
      <c r="AS132" s="37">
        <f t="shared" si="233"/>
        <v>0.40314239844240202</v>
      </c>
      <c r="AT132" s="37">
        <f t="shared" si="233"/>
        <v>0.37321382763585198</v>
      </c>
      <c r="AU132" s="37">
        <f t="shared" si="233"/>
        <v>0.36239514627568181</v>
      </c>
      <c r="AV132" s="37">
        <f t="shared" si="233"/>
        <v>0.35218684605901868</v>
      </c>
    </row>
    <row r="133" spans="1:48" ht="15" customHeight="1">
      <c r="B133" s="35" t="s">
        <v>62</v>
      </c>
      <c r="C133" s="28">
        <f t="shared" ref="C133:L133" si="234">C13+$C$31*C46</f>
        <v>0.4591654</v>
      </c>
      <c r="D133" s="28">
        <f t="shared" si="234"/>
        <v>0.44589899999999999</v>
      </c>
      <c r="E133" s="28">
        <f t="shared" si="234"/>
        <v>0.42784879999999997</v>
      </c>
      <c r="F133" s="28">
        <f t="shared" si="234"/>
        <v>0.41778399999999999</v>
      </c>
      <c r="G133" s="28">
        <f t="shared" si="234"/>
        <v>0.40474640000000001</v>
      </c>
      <c r="H133" s="28">
        <f t="shared" si="234"/>
        <v>0.37599519999999997</v>
      </c>
      <c r="I133" s="28">
        <f t="shared" si="234"/>
        <v>0.36751100000000003</v>
      </c>
      <c r="J133" s="28">
        <f t="shared" si="234"/>
        <v>0.35084300000000002</v>
      </c>
      <c r="K133" s="28">
        <f t="shared" si="234"/>
        <v>0.33158499999999996</v>
      </c>
      <c r="L133" s="28">
        <f t="shared" si="234"/>
        <v>0.30185680000000004</v>
      </c>
      <c r="N133" s="35" t="s">
        <v>62</v>
      </c>
      <c r="O133" s="28">
        <f t="shared" ref="O133:X133" si="235">O13+$D$31*O46</f>
        <v>-0.2389</v>
      </c>
      <c r="P133" s="28">
        <f t="shared" si="235"/>
        <v>-0.21940000000000001</v>
      </c>
      <c r="Q133" s="28">
        <f t="shared" si="235"/>
        <v>-0.20050000000000001</v>
      </c>
      <c r="R133" s="28">
        <f t="shared" si="235"/>
        <v>-0.18090000000000001</v>
      </c>
      <c r="S133" s="28">
        <f t="shared" si="235"/>
        <v>-0.15310000000000001</v>
      </c>
      <c r="T133" s="28">
        <f t="shared" si="235"/>
        <v>-0.12809999999999999</v>
      </c>
      <c r="U133" s="28">
        <f t="shared" si="235"/>
        <v>-0.1099</v>
      </c>
      <c r="V133" s="28">
        <f t="shared" si="235"/>
        <v>-9.7600000000000006E-2</v>
      </c>
      <c r="W133" s="28">
        <f t="shared" si="235"/>
        <v>-7.4700000000000003E-2</v>
      </c>
      <c r="X133" s="28">
        <f t="shared" si="235"/>
        <v>-5.2299999999999999E-2</v>
      </c>
      <c r="Z133" s="35" t="s">
        <v>62</v>
      </c>
      <c r="AA133" s="28">
        <f t="shared" ref="AA133:AJ133" si="236">AA13+$E$31*AA46</f>
        <v>0.70840000000000003</v>
      </c>
      <c r="AB133" s="28">
        <f t="shared" si="236"/>
        <v>0.69769999999999999</v>
      </c>
      <c r="AC133" s="28">
        <f t="shared" si="236"/>
        <v>0.6804</v>
      </c>
      <c r="AD133" s="28">
        <f t="shared" si="236"/>
        <v>0.65559999999999996</v>
      </c>
      <c r="AE133" s="28">
        <f t="shared" si="236"/>
        <v>0.63280000000000003</v>
      </c>
      <c r="AF133" s="28">
        <f t="shared" si="236"/>
        <v>0.60509999999999997</v>
      </c>
      <c r="AG133" s="28">
        <f t="shared" si="236"/>
        <v>0.57689999999999997</v>
      </c>
      <c r="AH133" s="28">
        <f t="shared" si="236"/>
        <v>0.56689999999999996</v>
      </c>
      <c r="AI133" s="28">
        <f t="shared" si="236"/>
        <v>0.53549999999999998</v>
      </c>
      <c r="AJ133" s="28">
        <f t="shared" si="236"/>
        <v>0.52270000000000005</v>
      </c>
      <c r="AL133" s="35" t="s">
        <v>62</v>
      </c>
      <c r="AM133" s="37">
        <f t="shared" ref="AM133:AV133" si="237">C133*(1+(((2-3*O133^2)/24*AA133^2)+(O133*AA133*C133/4))*5)</f>
        <v>0.50235486960040565</v>
      </c>
      <c r="AN133" s="37">
        <f t="shared" si="237"/>
        <v>0.49176504537272359</v>
      </c>
      <c r="AO133" s="37">
        <f t="shared" si="237"/>
        <v>0.47418603673465981</v>
      </c>
      <c r="AP133" s="37">
        <f t="shared" si="237"/>
        <v>0.4630557752001116</v>
      </c>
      <c r="AQ133" s="37">
        <f t="shared" si="237"/>
        <v>0.45006437312095526</v>
      </c>
      <c r="AR133" s="37">
        <f t="shared" si="237"/>
        <v>0.41824760461916033</v>
      </c>
      <c r="AS133" s="37">
        <f t="shared" si="237"/>
        <v>0.40684723122433208</v>
      </c>
      <c r="AT133" s="37">
        <f t="shared" si="237"/>
        <v>0.38863869502514414</v>
      </c>
      <c r="AU133" s="37">
        <f t="shared" si="237"/>
        <v>0.36537461508369989</v>
      </c>
      <c r="AV133" s="37">
        <f t="shared" si="237"/>
        <v>0.33296547473532911</v>
      </c>
    </row>
    <row r="134" spans="1:48" ht="15" customHeight="1">
      <c r="B134" s="35" t="s">
        <v>63</v>
      </c>
      <c r="C134" s="28">
        <f t="shared" ref="C134:L134" si="238">C14+$C$31*C47</f>
        <v>0.45992360000000004</v>
      </c>
      <c r="D134" s="28">
        <f t="shared" si="238"/>
        <v>0.4302106</v>
      </c>
      <c r="E134" s="28">
        <f t="shared" si="238"/>
        <v>0.41256039999999999</v>
      </c>
      <c r="F134" s="28">
        <f t="shared" si="238"/>
        <v>0.4047422</v>
      </c>
      <c r="G134" s="28">
        <f t="shared" si="238"/>
        <v>0.38212919999999995</v>
      </c>
      <c r="H134" s="28">
        <f t="shared" si="238"/>
        <v>0.35304759999999996</v>
      </c>
      <c r="I134" s="28">
        <f t="shared" si="238"/>
        <v>0.33321580000000001</v>
      </c>
      <c r="J134" s="28">
        <f t="shared" si="238"/>
        <v>0.3153782</v>
      </c>
      <c r="K134" s="28">
        <f t="shared" si="238"/>
        <v>0.31299499999999997</v>
      </c>
      <c r="L134" s="28">
        <f t="shared" si="238"/>
        <v>0.29268619999999995</v>
      </c>
      <c r="N134" s="35" t="s">
        <v>63</v>
      </c>
      <c r="O134" s="28">
        <f t="shared" ref="O134:X134" si="239">O14+$D$31*O47</f>
        <v>-0.221</v>
      </c>
      <c r="P134" s="28">
        <f t="shared" si="239"/>
        <v>-0.18790000000000001</v>
      </c>
      <c r="Q134" s="28">
        <f t="shared" si="239"/>
        <v>-0.16539999999999999</v>
      </c>
      <c r="R134" s="28">
        <f t="shared" si="239"/>
        <v>-0.15240000000000001</v>
      </c>
      <c r="S134" s="28">
        <f t="shared" si="239"/>
        <v>-0.1391</v>
      </c>
      <c r="T134" s="28">
        <f t="shared" si="239"/>
        <v>-0.1157</v>
      </c>
      <c r="U134" s="28">
        <f t="shared" si="239"/>
        <v>-0.1046</v>
      </c>
      <c r="V134" s="28">
        <f t="shared" si="239"/>
        <v>-8.7499999999999994E-2</v>
      </c>
      <c r="W134" s="28">
        <f t="shared" si="239"/>
        <v>-4.8899999999999999E-2</v>
      </c>
      <c r="X134" s="28">
        <f t="shared" si="239"/>
        <v>-3.5900000000000001E-2</v>
      </c>
      <c r="Z134" s="35" t="s">
        <v>63</v>
      </c>
      <c r="AA134" s="28">
        <f t="shared" ref="AA134:AJ134" si="240">AA14+$E$31*AA47</f>
        <v>0.69499999999999995</v>
      </c>
      <c r="AB134" s="28">
        <f t="shared" si="240"/>
        <v>0.68089999999999995</v>
      </c>
      <c r="AC134" s="28">
        <f t="shared" si="240"/>
        <v>0.64870000000000005</v>
      </c>
      <c r="AD134" s="28">
        <f t="shared" si="240"/>
        <v>0.63519999999999999</v>
      </c>
      <c r="AE134" s="28">
        <f t="shared" si="240"/>
        <v>0.61209999999999998</v>
      </c>
      <c r="AF134" s="28">
        <f t="shared" si="240"/>
        <v>0.5776</v>
      </c>
      <c r="AG134" s="28">
        <f t="shared" si="240"/>
        <v>0.55610000000000004</v>
      </c>
      <c r="AH134" s="28">
        <f t="shared" si="240"/>
        <v>0.53469999999999995</v>
      </c>
      <c r="AI134" s="28">
        <f t="shared" si="240"/>
        <v>0.51149999999999995</v>
      </c>
      <c r="AJ134" s="28">
        <f t="shared" si="240"/>
        <v>0.49619999999999997</v>
      </c>
      <c r="AL134" s="35" t="s">
        <v>63</v>
      </c>
      <c r="AM134" s="37">
        <f t="shared" ref="AM134:AV134" si="241">C134*(1+(((2-3*O134^2)/24*AA134^2)+(O134*AA134*C134/4))*10)</f>
        <v>0.55026484738036641</v>
      </c>
      <c r="AN134" s="37">
        <f t="shared" si="241"/>
        <v>0.52842285927830057</v>
      </c>
      <c r="AO134" s="37">
        <f t="shared" si="241"/>
        <v>0.50564309957767639</v>
      </c>
      <c r="AP134" s="37">
        <f t="shared" si="241"/>
        <v>0.49644322512778288</v>
      </c>
      <c r="AQ134" s="37">
        <f t="shared" si="241"/>
        <v>0.46689353881544277</v>
      </c>
      <c r="AR134" s="37">
        <f t="shared" si="241"/>
        <v>0.42840619554493303</v>
      </c>
      <c r="AS134" s="37">
        <f t="shared" si="241"/>
        <v>0.40153180751583251</v>
      </c>
      <c r="AT134" s="37">
        <f t="shared" si="241"/>
        <v>0.37802139611578067</v>
      </c>
      <c r="AU134" s="37">
        <f t="shared" si="241"/>
        <v>0.37486566117138631</v>
      </c>
      <c r="AV134" s="37">
        <f t="shared" si="241"/>
        <v>0.34880806846049145</v>
      </c>
    </row>
    <row r="135" spans="1:48" ht="15" customHeight="1">
      <c r="B135" s="35" t="s">
        <v>64</v>
      </c>
      <c r="C135" s="28">
        <f t="shared" ref="C135:L135" si="242">C15+$C$31*C48</f>
        <v>0.42729699999999998</v>
      </c>
      <c r="D135" s="28">
        <f t="shared" si="242"/>
        <v>0.41212379999999998</v>
      </c>
      <c r="E135" s="28">
        <f t="shared" si="242"/>
        <v>0.38870919999999998</v>
      </c>
      <c r="F135" s="28">
        <f t="shared" si="242"/>
        <v>0.38622080000000003</v>
      </c>
      <c r="G135" s="28">
        <f t="shared" si="242"/>
        <v>0.35603560000000001</v>
      </c>
      <c r="H135" s="28">
        <f t="shared" si="242"/>
        <v>0.34063460000000001</v>
      </c>
      <c r="I135" s="28">
        <f t="shared" si="242"/>
        <v>0.32476140000000003</v>
      </c>
      <c r="J135" s="28">
        <f t="shared" si="242"/>
        <v>0.31265679999999996</v>
      </c>
      <c r="K135" s="28">
        <f t="shared" si="242"/>
        <v>0.28445900000000002</v>
      </c>
      <c r="L135" s="28">
        <f t="shared" si="242"/>
        <v>0.27767000000000003</v>
      </c>
      <c r="N135" s="35" t="s">
        <v>64</v>
      </c>
      <c r="O135" s="28">
        <f t="shared" ref="O135:X135" si="243">O15+$D$31*O48</f>
        <v>-0.19439999999999999</v>
      </c>
      <c r="P135" s="28">
        <f t="shared" si="243"/>
        <v>-0.1744</v>
      </c>
      <c r="Q135" s="28">
        <f t="shared" si="243"/>
        <v>-0.15509999999999999</v>
      </c>
      <c r="R135" s="28">
        <f t="shared" si="243"/>
        <v>-0.1457</v>
      </c>
      <c r="S135" s="28">
        <f t="shared" si="243"/>
        <v>-0.1179</v>
      </c>
      <c r="T135" s="28">
        <f t="shared" si="243"/>
        <v>-0.1036</v>
      </c>
      <c r="U135" s="28">
        <f t="shared" si="243"/>
        <v>-8.77E-2</v>
      </c>
      <c r="V135" s="28">
        <f t="shared" si="243"/>
        <v>-5.2299999999999999E-2</v>
      </c>
      <c r="W135" s="28">
        <f t="shared" si="243"/>
        <v>-4.5400000000000003E-2</v>
      </c>
      <c r="X135" s="28">
        <f t="shared" si="243"/>
        <v>-0.02</v>
      </c>
      <c r="Z135" s="35" t="s">
        <v>64</v>
      </c>
      <c r="AA135" s="28">
        <f t="shared" ref="AA135:AJ135" si="244">AA15+$E$31*AA48</f>
        <v>0.67669999999999997</v>
      </c>
      <c r="AB135" s="28">
        <f t="shared" si="244"/>
        <v>0.65110000000000001</v>
      </c>
      <c r="AC135" s="28">
        <f t="shared" si="244"/>
        <v>0.62429999999999997</v>
      </c>
      <c r="AD135" s="28">
        <f t="shared" si="244"/>
        <v>0.60589999999999999</v>
      </c>
      <c r="AE135" s="28">
        <f t="shared" si="244"/>
        <v>0.58440000000000003</v>
      </c>
      <c r="AF135" s="28">
        <f t="shared" si="244"/>
        <v>0.56679999999999997</v>
      </c>
      <c r="AG135" s="28">
        <f t="shared" si="244"/>
        <v>0.53100000000000003</v>
      </c>
      <c r="AH135" s="28">
        <f t="shared" si="244"/>
        <v>0.51790000000000003</v>
      </c>
      <c r="AI135" s="28">
        <f t="shared" si="244"/>
        <v>0.4894</v>
      </c>
      <c r="AJ135" s="28">
        <f t="shared" si="244"/>
        <v>0.46779999999999999</v>
      </c>
      <c r="AL135" s="35" t="s">
        <v>64</v>
      </c>
      <c r="AM135" s="37">
        <f t="shared" ref="AM135:AV135" si="245">C135*(1+(((2-3*O135^2)/24*AA135^2)+(O135*AA135*C135/4))*20)</f>
        <v>0.61483140084814281</v>
      </c>
      <c r="AN135" s="37">
        <f t="shared" si="245"/>
        <v>0.59359422618478874</v>
      </c>
      <c r="AO135" s="37">
        <f t="shared" si="245"/>
        <v>0.55894558600087108</v>
      </c>
      <c r="AP135" s="37">
        <f t="shared" si="245"/>
        <v>0.54916644302423445</v>
      </c>
      <c r="AQ135" s="37">
        <f t="shared" si="245"/>
        <v>0.51079775845978537</v>
      </c>
      <c r="AR135" s="37">
        <f t="shared" si="245"/>
        <v>0.48601938673591072</v>
      </c>
      <c r="AS135" s="37">
        <f t="shared" si="245"/>
        <v>0.4510594227566842</v>
      </c>
      <c r="AT135" s="37">
        <f t="shared" si="245"/>
        <v>0.43861262070097518</v>
      </c>
      <c r="AU135" s="37">
        <f t="shared" si="245"/>
        <v>0.38867096773357213</v>
      </c>
      <c r="AV135" s="37">
        <f t="shared" si="245"/>
        <v>0.37527651042602855</v>
      </c>
    </row>
    <row r="136" spans="1:48" ht="15" customHeight="1">
      <c r="B136" s="35" t="s">
        <v>65</v>
      </c>
      <c r="C136" s="28">
        <f t="shared" ref="C136:L136" si="246">C16+$C$31*C49</f>
        <v>0.41896359999999999</v>
      </c>
      <c r="D136" s="28">
        <f t="shared" si="246"/>
        <v>0.39645839999999999</v>
      </c>
      <c r="E136" s="28">
        <f t="shared" si="246"/>
        <v>0.37847320000000001</v>
      </c>
      <c r="F136" s="28">
        <f t="shared" si="246"/>
        <v>0.36466960000000004</v>
      </c>
      <c r="G136" s="28">
        <f t="shared" si="246"/>
        <v>0.34898699999999999</v>
      </c>
      <c r="H136" s="28">
        <f t="shared" si="246"/>
        <v>0.32189020000000002</v>
      </c>
      <c r="I136" s="28">
        <f t="shared" si="246"/>
        <v>0.30685680000000004</v>
      </c>
      <c r="J136" s="28">
        <f t="shared" si="246"/>
        <v>0.28606999999999999</v>
      </c>
      <c r="K136" s="28">
        <f t="shared" si="246"/>
        <v>0.26957000000000003</v>
      </c>
      <c r="L136" s="28">
        <f t="shared" si="246"/>
        <v>0.25657000000000002</v>
      </c>
      <c r="N136" s="35" t="s">
        <v>65</v>
      </c>
      <c r="O136" s="28">
        <f t="shared" ref="O136:X136" si="247">O16+$D$31*O49</f>
        <v>-0.17599999999999999</v>
      </c>
      <c r="P136" s="28">
        <f t="shared" si="247"/>
        <v>-0.15490000000000001</v>
      </c>
      <c r="Q136" s="28">
        <f t="shared" si="247"/>
        <v>-0.1366</v>
      </c>
      <c r="R136" s="28">
        <f t="shared" si="247"/>
        <v>-0.10780000000000001</v>
      </c>
      <c r="S136" s="28">
        <f t="shared" si="247"/>
        <v>-9.3200000000000005E-2</v>
      </c>
      <c r="T136" s="28">
        <f t="shared" si="247"/>
        <v>-7.0199999999999999E-2</v>
      </c>
      <c r="U136" s="28">
        <f t="shared" si="247"/>
        <v>-4.9500000000000002E-2</v>
      </c>
      <c r="V136" s="28">
        <f t="shared" si="247"/>
        <v>-4.3700000000000003E-2</v>
      </c>
      <c r="W136" s="28">
        <f t="shared" si="247"/>
        <v>-1.83E-2</v>
      </c>
      <c r="X136" s="28">
        <f t="shared" si="247"/>
        <v>8.8999999999999999E-3</v>
      </c>
      <c r="Z136" s="35" t="s">
        <v>65</v>
      </c>
      <c r="AA136" s="28">
        <f t="shared" ref="AA136:AJ136" si="248">AA16+$E$31*AA49</f>
        <v>0.65680000000000005</v>
      </c>
      <c r="AB136" s="28">
        <f t="shared" si="248"/>
        <v>0.62050000000000005</v>
      </c>
      <c r="AC136" s="28">
        <f t="shared" si="248"/>
        <v>0.59799999999999998</v>
      </c>
      <c r="AD136" s="28">
        <f t="shared" si="248"/>
        <v>0.58220000000000005</v>
      </c>
      <c r="AE136" s="28">
        <f t="shared" si="248"/>
        <v>0.55259999999999998</v>
      </c>
      <c r="AF136" s="28">
        <f t="shared" si="248"/>
        <v>0.53369999999999995</v>
      </c>
      <c r="AG136" s="28">
        <f t="shared" si="248"/>
        <v>0.5081</v>
      </c>
      <c r="AH136" s="28">
        <f t="shared" si="248"/>
        <v>0.49780000000000002</v>
      </c>
      <c r="AI136" s="28">
        <f t="shared" si="248"/>
        <v>0.47789999999999999</v>
      </c>
      <c r="AJ136" s="28">
        <f t="shared" si="248"/>
        <v>0.45789999999999997</v>
      </c>
      <c r="AL136" s="35" t="s">
        <v>65</v>
      </c>
      <c r="AM136" s="37">
        <f t="shared" ref="AM136:AV136" si="249">C136*(1+(((2-3*O136^2)/24*AA136^2)+(O136*AA136*C136/4))*30)</f>
        <v>0.69762650816493854</v>
      </c>
      <c r="AN136" s="37">
        <f t="shared" si="249"/>
        <v>0.65102993647412988</v>
      </c>
      <c r="AO136" s="37">
        <f t="shared" si="249"/>
        <v>0.61960425337583136</v>
      </c>
      <c r="AP136" s="37">
        <f t="shared" si="249"/>
        <v>0.60570447587009935</v>
      </c>
      <c r="AQ136" s="37">
        <f t="shared" si="249"/>
        <v>0.56489400739340123</v>
      </c>
      <c r="AR136" s="37">
        <f t="shared" si="249"/>
        <v>0.5202957579698676</v>
      </c>
      <c r="AS136" s="37">
        <f t="shared" si="249"/>
        <v>0.48641676795982192</v>
      </c>
      <c r="AT136" s="37">
        <f t="shared" si="249"/>
        <v>0.44943428861549634</v>
      </c>
      <c r="AU136" s="37">
        <f t="shared" si="249"/>
        <v>0.41864291936898196</v>
      </c>
      <c r="AV136" s="37">
        <f t="shared" si="249"/>
        <v>0.39305517259903333</v>
      </c>
    </row>
    <row r="138" spans="1:48" ht="15" customHeight="1">
      <c r="A138" s="7" t="s">
        <v>138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8" ht="15" customHeight="1">
      <c r="B139" s="7" t="s">
        <v>115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N139" s="7" t="s">
        <v>116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Z139" s="7" t="s">
        <v>117</v>
      </c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L139" s="6" t="s">
        <v>118</v>
      </c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ht="15" customHeight="1">
      <c r="B140" s="20" t="s">
        <v>119</v>
      </c>
      <c r="C140" s="21" t="s">
        <v>120</v>
      </c>
      <c r="D140" s="21" t="s">
        <v>58</v>
      </c>
      <c r="E140" s="21" t="s">
        <v>59</v>
      </c>
      <c r="F140" s="21" t="s">
        <v>30</v>
      </c>
      <c r="G140" s="21" t="s">
        <v>60</v>
      </c>
      <c r="H140" s="21" t="s">
        <v>61</v>
      </c>
      <c r="I140" s="21" t="s">
        <v>62</v>
      </c>
      <c r="J140" s="21" t="s">
        <v>63</v>
      </c>
      <c r="K140" s="21" t="s">
        <v>64</v>
      </c>
      <c r="L140" s="21" t="s">
        <v>65</v>
      </c>
      <c r="N140" s="20" t="s">
        <v>119</v>
      </c>
      <c r="O140" s="21" t="s">
        <v>120</v>
      </c>
      <c r="P140" s="21" t="s">
        <v>58</v>
      </c>
      <c r="Q140" s="21" t="s">
        <v>59</v>
      </c>
      <c r="R140" s="21" t="s">
        <v>30</v>
      </c>
      <c r="S140" s="21" t="s">
        <v>60</v>
      </c>
      <c r="T140" s="21" t="s">
        <v>61</v>
      </c>
      <c r="U140" s="21" t="s">
        <v>62</v>
      </c>
      <c r="V140" s="21" t="s">
        <v>63</v>
      </c>
      <c r="W140" s="21" t="s">
        <v>64</v>
      </c>
      <c r="X140" s="21" t="s">
        <v>65</v>
      </c>
      <c r="Z140" s="20" t="s">
        <v>119</v>
      </c>
      <c r="AA140" s="21" t="s">
        <v>120</v>
      </c>
      <c r="AB140" s="21" t="s">
        <v>58</v>
      </c>
      <c r="AC140" s="21" t="s">
        <v>59</v>
      </c>
      <c r="AD140" s="21" t="s">
        <v>30</v>
      </c>
      <c r="AE140" s="21" t="s">
        <v>60</v>
      </c>
      <c r="AF140" s="21" t="s">
        <v>61</v>
      </c>
      <c r="AG140" s="21" t="s">
        <v>62</v>
      </c>
      <c r="AH140" s="21" t="s">
        <v>63</v>
      </c>
      <c r="AI140" s="21" t="s">
        <v>64</v>
      </c>
      <c r="AJ140" s="21" t="s">
        <v>65</v>
      </c>
      <c r="AL140" s="20" t="s">
        <v>119</v>
      </c>
      <c r="AM140" s="21" t="s">
        <v>120</v>
      </c>
      <c r="AN140" s="21" t="s">
        <v>58</v>
      </c>
      <c r="AO140" s="21" t="s">
        <v>59</v>
      </c>
      <c r="AP140" s="21" t="s">
        <v>30</v>
      </c>
      <c r="AQ140" s="21" t="s">
        <v>60</v>
      </c>
      <c r="AR140" s="21" t="s">
        <v>61</v>
      </c>
      <c r="AS140" s="21" t="s">
        <v>62</v>
      </c>
      <c r="AT140" s="21" t="s">
        <v>63</v>
      </c>
      <c r="AU140" s="21" t="s">
        <v>64</v>
      </c>
      <c r="AV140" s="21" t="s">
        <v>65</v>
      </c>
    </row>
    <row r="141" spans="1:48" ht="15" customHeight="1">
      <c r="B141" s="35" t="s">
        <v>120</v>
      </c>
      <c r="C141" s="28">
        <f t="shared" ref="C141:L141" si="250">C7+$C$32*C40</f>
        <v>0.58860630000000003</v>
      </c>
      <c r="D141" s="28">
        <f t="shared" si="250"/>
        <v>0.56632339999999992</v>
      </c>
      <c r="E141" s="28">
        <f t="shared" si="250"/>
        <v>0.55704600000000004</v>
      </c>
      <c r="F141" s="28">
        <f t="shared" si="250"/>
        <v>0.52664200000000005</v>
      </c>
      <c r="G141" s="28">
        <f t="shared" si="250"/>
        <v>0.51663309999999996</v>
      </c>
      <c r="H141" s="28">
        <f t="shared" si="250"/>
        <v>0.49390310000000004</v>
      </c>
      <c r="I141" s="28">
        <f t="shared" si="250"/>
        <v>0.46986699999999998</v>
      </c>
      <c r="J141" s="28">
        <f t="shared" si="250"/>
        <v>0.45979999999999999</v>
      </c>
      <c r="K141" s="28">
        <f t="shared" si="250"/>
        <v>0.43107000000000001</v>
      </c>
      <c r="L141" s="28">
        <f t="shared" si="250"/>
        <v>0.41979260000000002</v>
      </c>
      <c r="N141" s="35" t="s">
        <v>120</v>
      </c>
      <c r="O141" s="28">
        <f t="shared" ref="O141:X141" si="251">O7+$D$32*O40</f>
        <v>-0.35859999999999997</v>
      </c>
      <c r="P141" s="28">
        <f t="shared" si="251"/>
        <v>-0.3387</v>
      </c>
      <c r="Q141" s="28">
        <f t="shared" si="251"/>
        <v>-0.31259999999999999</v>
      </c>
      <c r="R141" s="28">
        <f t="shared" si="251"/>
        <v>-0.28510000000000002</v>
      </c>
      <c r="S141" s="28">
        <f t="shared" si="251"/>
        <v>-0.2797</v>
      </c>
      <c r="T141" s="28">
        <f t="shared" si="251"/>
        <v>-0.25829999999999997</v>
      </c>
      <c r="U141" s="28">
        <f t="shared" si="251"/>
        <v>-0.23080000000000001</v>
      </c>
      <c r="V141" s="28">
        <f t="shared" si="251"/>
        <v>-0.2049</v>
      </c>
      <c r="W141" s="28">
        <f t="shared" si="251"/>
        <v>-0.19289999999999999</v>
      </c>
      <c r="X141" s="28">
        <f t="shared" si="251"/>
        <v>-0.17710000000000001</v>
      </c>
      <c r="Z141" s="35" t="s">
        <v>120</v>
      </c>
      <c r="AA141" s="28">
        <f t="shared" ref="AA141:AJ141" si="252">AA7+$E$32*AA40</f>
        <v>0.85950000000000004</v>
      </c>
      <c r="AB141" s="28">
        <f t="shared" si="252"/>
        <v>0.81869999999999998</v>
      </c>
      <c r="AC141" s="28">
        <f t="shared" si="252"/>
        <v>0.81269999999999998</v>
      </c>
      <c r="AD141" s="28">
        <f t="shared" si="252"/>
        <v>0.77910000000000001</v>
      </c>
      <c r="AE141" s="28">
        <f t="shared" si="252"/>
        <v>0.754</v>
      </c>
      <c r="AF141" s="28">
        <f t="shared" si="252"/>
        <v>0.73119999999999996</v>
      </c>
      <c r="AG141" s="28">
        <f t="shared" si="252"/>
        <v>0.71279999999999999</v>
      </c>
      <c r="AH141" s="28">
        <f t="shared" si="252"/>
        <v>0.70079999999999998</v>
      </c>
      <c r="AI141" s="28">
        <f t="shared" si="252"/>
        <v>0.66579999999999995</v>
      </c>
      <c r="AJ141" s="28">
        <f t="shared" si="252"/>
        <v>0.65159999999999996</v>
      </c>
      <c r="AL141" s="35" t="s">
        <v>120</v>
      </c>
      <c r="AM141" s="37">
        <f t="shared" ref="AM141:AV141" si="253">C141*(1+(((2-3*O141^2)/24*AA141^2)+(O141*AA141*C141/4))*0.0833333333333333)</f>
        <v>0.58881880761697414</v>
      </c>
      <c r="AN141" s="37">
        <f t="shared" si="253"/>
        <v>0.56665304068052735</v>
      </c>
      <c r="AO141" s="37">
        <f t="shared" si="253"/>
        <v>0.55758415490164892</v>
      </c>
      <c r="AP141" s="37">
        <f t="shared" si="253"/>
        <v>0.52730781643061564</v>
      </c>
      <c r="AQ141" s="37">
        <f t="shared" si="253"/>
        <v>0.51726072868878381</v>
      </c>
      <c r="AR141" s="37">
        <f t="shared" si="253"/>
        <v>0.49459352618109731</v>
      </c>
      <c r="AS141" s="37">
        <f t="shared" si="253"/>
        <v>0.47063571220101846</v>
      </c>
      <c r="AT141" s="37">
        <f t="shared" si="253"/>
        <v>0.46063695850464342</v>
      </c>
      <c r="AU141" s="37">
        <f t="shared" si="253"/>
        <v>0.43182573919835876</v>
      </c>
      <c r="AV141" s="37">
        <f t="shared" si="253"/>
        <v>0.42054845189588341</v>
      </c>
    </row>
    <row r="142" spans="1:48" ht="15" customHeight="1">
      <c r="B142" s="35" t="s">
        <v>58</v>
      </c>
      <c r="C142" s="28">
        <f t="shared" ref="C142:L142" si="254">C8+$C$32*C41</f>
        <v>0.57552369999999997</v>
      </c>
      <c r="D142" s="28">
        <f t="shared" si="254"/>
        <v>0.55102519999999999</v>
      </c>
      <c r="E142" s="28">
        <f t="shared" si="254"/>
        <v>0.53563709999999998</v>
      </c>
      <c r="F142" s="28">
        <f t="shared" si="254"/>
        <v>0.50652819999999998</v>
      </c>
      <c r="G142" s="28">
        <f t="shared" si="254"/>
        <v>0.48856579999999999</v>
      </c>
      <c r="H142" s="28">
        <f t="shared" si="254"/>
        <v>0.47182020000000002</v>
      </c>
      <c r="I142" s="28">
        <f t="shared" si="254"/>
        <v>0.46296330000000002</v>
      </c>
      <c r="J142" s="28">
        <f t="shared" si="254"/>
        <v>0.43815989999999999</v>
      </c>
      <c r="K142" s="28">
        <f t="shared" si="254"/>
        <v>0.41778709999999997</v>
      </c>
      <c r="L142" s="28">
        <f t="shared" si="254"/>
        <v>0.4039623</v>
      </c>
      <c r="N142" s="35" t="s">
        <v>58</v>
      </c>
      <c r="O142" s="28">
        <f t="shared" ref="O142:X142" si="255">O8+$D$32*O41</f>
        <v>-0.33150000000000002</v>
      </c>
      <c r="P142" s="28">
        <f t="shared" si="255"/>
        <v>-0.31509999999999999</v>
      </c>
      <c r="Q142" s="28">
        <f t="shared" si="255"/>
        <v>-0.2858</v>
      </c>
      <c r="R142" s="28">
        <f t="shared" si="255"/>
        <v>-0.26819999999999999</v>
      </c>
      <c r="S142" s="28">
        <f t="shared" si="255"/>
        <v>-0.25790000000000002</v>
      </c>
      <c r="T142" s="28">
        <f t="shared" si="255"/>
        <v>-0.23180000000000001</v>
      </c>
      <c r="U142" s="28">
        <f t="shared" si="255"/>
        <v>-0.21340000000000001</v>
      </c>
      <c r="V142" s="28">
        <f t="shared" si="255"/>
        <v>-0.18690000000000001</v>
      </c>
      <c r="W142" s="28">
        <f t="shared" si="255"/>
        <v>-0.1704</v>
      </c>
      <c r="X142" s="28">
        <f t="shared" si="255"/>
        <v>-0.1598</v>
      </c>
      <c r="Z142" s="35" t="s">
        <v>58</v>
      </c>
      <c r="AA142" s="28">
        <f t="shared" ref="AA142:AJ142" si="256">AA8+$E$32*AA41</f>
        <v>0.83740000000000003</v>
      </c>
      <c r="AB142" s="28">
        <f t="shared" si="256"/>
        <v>0.79790000000000005</v>
      </c>
      <c r="AC142" s="28">
        <f t="shared" si="256"/>
        <v>0.78169999999999995</v>
      </c>
      <c r="AD142" s="28">
        <f t="shared" si="256"/>
        <v>0.76629999999999998</v>
      </c>
      <c r="AE142" s="28">
        <f t="shared" si="256"/>
        <v>0.7319</v>
      </c>
      <c r="AF142" s="28">
        <f t="shared" si="256"/>
        <v>0.71640000000000004</v>
      </c>
      <c r="AG142" s="28">
        <f t="shared" si="256"/>
        <v>0.68520000000000003</v>
      </c>
      <c r="AH142" s="28">
        <f t="shared" si="256"/>
        <v>0.67559999999999998</v>
      </c>
      <c r="AI142" s="28">
        <f t="shared" si="256"/>
        <v>0.65529999999999999</v>
      </c>
      <c r="AJ142" s="28">
        <f t="shared" si="256"/>
        <v>0.62919999999999998</v>
      </c>
      <c r="AL142" s="35" t="s">
        <v>58</v>
      </c>
      <c r="AM142" s="37">
        <f t="shared" ref="AM142:AV142" si="257">C142*(1+(((2-3*O142^2)/24*AA142^2)+(O142*AA142*C142/4))*0.25)</f>
        <v>0.57679890279500767</v>
      </c>
      <c r="AN142" s="37">
        <f t="shared" si="257"/>
        <v>0.55247410049700874</v>
      </c>
      <c r="AO142" s="37">
        <f t="shared" si="257"/>
        <v>0.53761434982140055</v>
      </c>
      <c r="AP142" s="37">
        <f t="shared" si="257"/>
        <v>0.50876061130353001</v>
      </c>
      <c r="AQ142" s="37">
        <f t="shared" si="257"/>
        <v>0.49065821676277654</v>
      </c>
      <c r="AR142" s="37">
        <f t="shared" si="257"/>
        <v>0.47414795226945544</v>
      </c>
      <c r="AS142" s="37">
        <f t="shared" si="257"/>
        <v>0.46522354524049914</v>
      </c>
      <c r="AT142" s="37">
        <f t="shared" si="257"/>
        <v>0.44059296950556937</v>
      </c>
      <c r="AU142" s="37">
        <f t="shared" si="257"/>
        <v>0.42014377504370193</v>
      </c>
      <c r="AV142" s="37">
        <f t="shared" si="257"/>
        <v>0.40614098457407383</v>
      </c>
    </row>
    <row r="143" spans="1:48" ht="15" customHeight="1">
      <c r="B143" s="35" t="s">
        <v>59</v>
      </c>
      <c r="C143" s="28">
        <f t="shared" ref="C143:L143" si="258">C9+$C$32*C42</f>
        <v>0.56075699999999995</v>
      </c>
      <c r="D143" s="28">
        <f t="shared" si="258"/>
        <v>0.53083190000000002</v>
      </c>
      <c r="E143" s="28">
        <f t="shared" si="258"/>
        <v>0.52046950000000003</v>
      </c>
      <c r="F143" s="28">
        <f t="shared" si="258"/>
        <v>0.49879240000000002</v>
      </c>
      <c r="G143" s="28">
        <f t="shared" si="258"/>
        <v>0.48024070000000002</v>
      </c>
      <c r="H143" s="28">
        <f t="shared" si="258"/>
        <v>0.45785320000000002</v>
      </c>
      <c r="I143" s="28">
        <f t="shared" si="258"/>
        <v>0.44596019999999997</v>
      </c>
      <c r="J143" s="28">
        <f t="shared" si="258"/>
        <v>0.42988739999999998</v>
      </c>
      <c r="K143" s="28">
        <f t="shared" si="258"/>
        <v>0.40165709999999999</v>
      </c>
      <c r="L143" s="28">
        <f t="shared" si="258"/>
        <v>0.3855748</v>
      </c>
      <c r="N143" s="35" t="s">
        <v>59</v>
      </c>
      <c r="O143" s="28">
        <f t="shared" ref="O143:X143" si="259">O9+$D$32*O42</f>
        <v>-0.31990000000000002</v>
      </c>
      <c r="P143" s="28">
        <f t="shared" si="259"/>
        <v>-0.28760000000000002</v>
      </c>
      <c r="Q143" s="28">
        <f t="shared" si="259"/>
        <v>-0.26929999999999998</v>
      </c>
      <c r="R143" s="28">
        <f t="shared" si="259"/>
        <v>-0.2429</v>
      </c>
      <c r="S143" s="28">
        <f t="shared" si="259"/>
        <v>-0.22689999999999999</v>
      </c>
      <c r="T143" s="28">
        <f t="shared" si="259"/>
        <v>-0.21820000000000001</v>
      </c>
      <c r="U143" s="28">
        <f t="shared" si="259"/>
        <v>-0.19670000000000001</v>
      </c>
      <c r="V143" s="28">
        <f t="shared" si="259"/>
        <v>-0.1716</v>
      </c>
      <c r="W143" s="28">
        <f t="shared" si="259"/>
        <v>-0.1651</v>
      </c>
      <c r="X143" s="28">
        <f t="shared" si="259"/>
        <v>-0.13689999999999999</v>
      </c>
      <c r="Z143" s="35" t="s">
        <v>59</v>
      </c>
      <c r="AA143" s="28">
        <f t="shared" ref="AA143:AJ143" si="260">AA9+$E$32*AA42</f>
        <v>0.79890000000000005</v>
      </c>
      <c r="AB143" s="28">
        <f t="shared" si="260"/>
        <v>0.77569999999999995</v>
      </c>
      <c r="AC143" s="28">
        <f t="shared" si="260"/>
        <v>0.75229999999999997</v>
      </c>
      <c r="AD143" s="28">
        <f t="shared" si="260"/>
        <v>0.74429999999999996</v>
      </c>
      <c r="AE143" s="28">
        <f t="shared" si="260"/>
        <v>0.70930000000000004</v>
      </c>
      <c r="AF143" s="28">
        <f t="shared" si="260"/>
        <v>0.68940000000000001</v>
      </c>
      <c r="AG143" s="28">
        <f t="shared" si="260"/>
        <v>0.67</v>
      </c>
      <c r="AH143" s="28">
        <f t="shared" si="260"/>
        <v>0.65739999999999998</v>
      </c>
      <c r="AI143" s="28">
        <f t="shared" si="260"/>
        <v>0.61939999999999995</v>
      </c>
      <c r="AJ143" s="28">
        <f t="shared" si="260"/>
        <v>0.60450000000000004</v>
      </c>
      <c r="AL143" s="35" t="s">
        <v>59</v>
      </c>
      <c r="AM143" s="37">
        <f t="shared" ref="AM143:AV143" si="261">C143*(1+(((2-3*O143^2)/24*AA143^2)+(O143*AA143*C143/4))*0.5)</f>
        <v>0.56333493548613389</v>
      </c>
      <c r="AN143" s="37">
        <f t="shared" si="261"/>
        <v>0.53463141595167352</v>
      </c>
      <c r="AO143" s="37">
        <f t="shared" si="261"/>
        <v>0.52454772458209797</v>
      </c>
      <c r="AP143" s="37">
        <f t="shared" si="261"/>
        <v>0.503664437102048</v>
      </c>
      <c r="AQ143" s="37">
        <f t="shared" si="261"/>
        <v>0.48489070707256571</v>
      </c>
      <c r="AR143" s="37">
        <f t="shared" si="261"/>
        <v>0.46233080094374512</v>
      </c>
      <c r="AS143" s="37">
        <f t="shared" si="261"/>
        <v>0.45054113184267458</v>
      </c>
      <c r="AT143" s="37">
        <f t="shared" si="261"/>
        <v>0.43468062809479818</v>
      </c>
      <c r="AU143" s="37">
        <f t="shared" si="261"/>
        <v>0.40575309683219091</v>
      </c>
      <c r="AV143" s="37">
        <f t="shared" si="261"/>
        <v>0.38974256576359784</v>
      </c>
    </row>
    <row r="144" spans="1:48" ht="15" customHeight="1">
      <c r="B144" s="35" t="s">
        <v>30</v>
      </c>
      <c r="C144" s="28">
        <f t="shared" ref="C144:L144" si="262">C10+$C$32*C43</f>
        <v>0.53532150000000001</v>
      </c>
      <c r="D144" s="28">
        <f t="shared" si="262"/>
        <v>0.52334899999999995</v>
      </c>
      <c r="E144" s="28">
        <f t="shared" si="262"/>
        <v>0.50408140000000001</v>
      </c>
      <c r="F144" s="28">
        <f t="shared" si="262"/>
        <v>0.48557249999999996</v>
      </c>
      <c r="G144" s="28">
        <f t="shared" si="262"/>
        <v>0.45380609999999999</v>
      </c>
      <c r="H144" s="28">
        <f t="shared" si="262"/>
        <v>0.43774949999999996</v>
      </c>
      <c r="I144" s="28">
        <f t="shared" si="262"/>
        <v>0.41734579999999999</v>
      </c>
      <c r="J144" s="28">
        <f t="shared" si="262"/>
        <v>0.40872620000000004</v>
      </c>
      <c r="K144" s="28">
        <f t="shared" si="262"/>
        <v>0.39231640000000001</v>
      </c>
      <c r="L144" s="28">
        <f t="shared" si="262"/>
        <v>0.3561763</v>
      </c>
      <c r="N144" s="35" t="s">
        <v>30</v>
      </c>
      <c r="O144" s="28">
        <f t="shared" ref="O144:X144" si="263">O10+$D$32*O43</f>
        <v>-0.29809999999999998</v>
      </c>
      <c r="P144" s="28">
        <f t="shared" si="263"/>
        <v>-0.27760000000000001</v>
      </c>
      <c r="Q144" s="28">
        <f t="shared" si="263"/>
        <v>-0.2581</v>
      </c>
      <c r="R144" s="28">
        <f t="shared" si="263"/>
        <v>-0.2336</v>
      </c>
      <c r="S144" s="28">
        <f t="shared" si="263"/>
        <v>-0.21210000000000001</v>
      </c>
      <c r="T144" s="28">
        <f t="shared" si="263"/>
        <v>-0.19919999999999999</v>
      </c>
      <c r="U144" s="28">
        <f t="shared" si="263"/>
        <v>-0.18490000000000001</v>
      </c>
      <c r="V144" s="28">
        <f t="shared" si="263"/>
        <v>-0.15720000000000001</v>
      </c>
      <c r="W144" s="28">
        <f t="shared" si="263"/>
        <v>-0.13869999999999999</v>
      </c>
      <c r="X144" s="28">
        <f t="shared" si="263"/>
        <v>-0.1153</v>
      </c>
      <c r="Z144" s="35" t="s">
        <v>30</v>
      </c>
      <c r="AA144" s="28">
        <f t="shared" ref="AA144:AJ144" si="264">AA10+$E$32*AA43</f>
        <v>0.79239999999999999</v>
      </c>
      <c r="AB144" s="28">
        <f t="shared" si="264"/>
        <v>0.76490000000000002</v>
      </c>
      <c r="AC144" s="28">
        <f t="shared" si="264"/>
        <v>0.73919999999999997</v>
      </c>
      <c r="AD144" s="28">
        <f t="shared" si="264"/>
        <v>0.71899999999999997</v>
      </c>
      <c r="AE144" s="28">
        <f t="shared" si="264"/>
        <v>0.69799999999999995</v>
      </c>
      <c r="AF144" s="28">
        <f t="shared" si="264"/>
        <v>0.6633</v>
      </c>
      <c r="AG144" s="28">
        <f t="shared" si="264"/>
        <v>0.65800000000000003</v>
      </c>
      <c r="AH144" s="28">
        <f t="shared" si="264"/>
        <v>0.63339999999999996</v>
      </c>
      <c r="AI144" s="28">
        <f t="shared" si="264"/>
        <v>0.61299999999999999</v>
      </c>
      <c r="AJ144" s="28">
        <f t="shared" si="264"/>
        <v>0.58930000000000005</v>
      </c>
      <c r="AL144" s="35" t="s">
        <v>30</v>
      </c>
      <c r="AM144" s="37">
        <f t="shared" ref="AM144:AV144" si="265">C144*(1+(((2-3*O144^2)/24*AA144^2)+(O144*AA144*C144/4))*1)</f>
        <v>0.54267547297128049</v>
      </c>
      <c r="AN144" s="37">
        <f t="shared" si="265"/>
        <v>0.53137648088420653</v>
      </c>
      <c r="AO144" s="37">
        <f t="shared" si="265"/>
        <v>0.51262135816446541</v>
      </c>
      <c r="AP144" s="37">
        <f t="shared" si="265"/>
        <v>0.49487841697463414</v>
      </c>
      <c r="AQ144" s="37">
        <f t="shared" si="265"/>
        <v>0.4633653515486662</v>
      </c>
      <c r="AR144" s="37">
        <f t="shared" si="265"/>
        <v>0.4465140093922999</v>
      </c>
      <c r="AS144" s="37">
        <f t="shared" si="265"/>
        <v>0.42633378019055657</v>
      </c>
      <c r="AT144" s="37">
        <f t="shared" si="265"/>
        <v>0.41772611071224464</v>
      </c>
      <c r="AU144" s="37">
        <f t="shared" si="265"/>
        <v>0.40097540289537631</v>
      </c>
      <c r="AV144" s="37">
        <f t="shared" si="265"/>
        <v>0.36412339073173788</v>
      </c>
    </row>
    <row r="145" spans="1:48" ht="15" customHeight="1">
      <c r="B145" s="35" t="s">
        <v>60</v>
      </c>
      <c r="C145" s="28">
        <f t="shared" ref="C145:L145" si="266">C11+$C$32*C44</f>
        <v>0.51391720000000007</v>
      </c>
      <c r="D145" s="28">
        <f t="shared" si="266"/>
        <v>0.49476609999999999</v>
      </c>
      <c r="E145" s="28">
        <f t="shared" si="266"/>
        <v>0.46947830000000002</v>
      </c>
      <c r="F145" s="28">
        <f t="shared" si="266"/>
        <v>0.46187919999999999</v>
      </c>
      <c r="G145" s="28">
        <f t="shared" si="266"/>
        <v>0.4304654</v>
      </c>
      <c r="H145" s="28">
        <f t="shared" si="266"/>
        <v>0.41231370000000001</v>
      </c>
      <c r="I145" s="28">
        <f t="shared" si="266"/>
        <v>0.39530510000000002</v>
      </c>
      <c r="J145" s="28">
        <f t="shared" si="266"/>
        <v>0.37581150000000002</v>
      </c>
      <c r="K145" s="28">
        <f t="shared" si="266"/>
        <v>0.36002889999999999</v>
      </c>
      <c r="L145" s="28">
        <f t="shared" si="266"/>
        <v>0.33534079999999999</v>
      </c>
      <c r="N145" s="35" t="s">
        <v>60</v>
      </c>
      <c r="O145" s="28">
        <f t="shared" ref="O145:X145" si="267">O11+$D$32*O44</f>
        <v>-0.28220000000000001</v>
      </c>
      <c r="P145" s="28">
        <f t="shared" si="267"/>
        <v>-0.25979999999999998</v>
      </c>
      <c r="Q145" s="28">
        <f t="shared" si="267"/>
        <v>-0.24129999999999999</v>
      </c>
      <c r="R145" s="28">
        <f t="shared" si="267"/>
        <v>-0.21659999999999999</v>
      </c>
      <c r="S145" s="28">
        <f t="shared" si="267"/>
        <v>-0.2039</v>
      </c>
      <c r="T145" s="28">
        <f t="shared" si="267"/>
        <v>-0.16750000000000001</v>
      </c>
      <c r="U145" s="28">
        <f t="shared" si="267"/>
        <v>-0.15329999999999999</v>
      </c>
      <c r="V145" s="28">
        <f t="shared" si="267"/>
        <v>-0.1431</v>
      </c>
      <c r="W145" s="28">
        <f t="shared" si="267"/>
        <v>-0.1216</v>
      </c>
      <c r="X145" s="28">
        <f t="shared" si="267"/>
        <v>-0.1003</v>
      </c>
      <c r="Z145" s="35" t="s">
        <v>60</v>
      </c>
      <c r="AA145" s="28">
        <f t="shared" ref="AA145:AJ145" si="268">AA11+$E$32*AA44</f>
        <v>0.75839999999999996</v>
      </c>
      <c r="AB145" s="28">
        <f t="shared" si="268"/>
        <v>0.73129999999999995</v>
      </c>
      <c r="AC145" s="28">
        <f t="shared" si="268"/>
        <v>0.72360000000000002</v>
      </c>
      <c r="AD145" s="28">
        <f t="shared" si="268"/>
        <v>0.70430000000000004</v>
      </c>
      <c r="AE145" s="28">
        <f t="shared" si="268"/>
        <v>0.67149999999999999</v>
      </c>
      <c r="AF145" s="28">
        <f t="shared" si="268"/>
        <v>0.64970000000000006</v>
      </c>
      <c r="AG145" s="28">
        <f t="shared" si="268"/>
        <v>0.61950000000000005</v>
      </c>
      <c r="AH145" s="28">
        <f t="shared" si="268"/>
        <v>0.59760000000000002</v>
      </c>
      <c r="AI145" s="28">
        <f t="shared" si="268"/>
        <v>0.58020000000000005</v>
      </c>
      <c r="AJ145" s="28">
        <f t="shared" si="268"/>
        <v>0.55640000000000001</v>
      </c>
      <c r="AL145" s="35" t="s">
        <v>60</v>
      </c>
      <c r="AM145" s="37">
        <f t="shared" ref="AM145:AV145" si="269">C145*(1+(((2-3*O145^2)/24*AA145^2)+(O145*AA145*C145/4))*2)</f>
        <v>0.52903467347171584</v>
      </c>
      <c r="AN145" s="37">
        <f t="shared" si="269"/>
        <v>0.51114697942719178</v>
      </c>
      <c r="AO145" s="37">
        <f t="shared" si="269"/>
        <v>0.48762734858259393</v>
      </c>
      <c r="AP145" s="37">
        <f t="shared" si="269"/>
        <v>0.48110489680704022</v>
      </c>
      <c r="AQ145" s="37">
        <f t="shared" si="269"/>
        <v>0.4481127315706071</v>
      </c>
      <c r="AR145" s="37">
        <f t="shared" si="269"/>
        <v>0.4308496777695508</v>
      </c>
      <c r="AS145" s="37">
        <f t="shared" si="269"/>
        <v>0.4122785706200458</v>
      </c>
      <c r="AT145" s="37">
        <f t="shared" si="269"/>
        <v>0.39145414113594157</v>
      </c>
      <c r="AU145" s="37">
        <f t="shared" si="269"/>
        <v>0.37520789680198557</v>
      </c>
      <c r="AV145" s="37">
        <f t="shared" si="269"/>
        <v>0.34924438334836133</v>
      </c>
    </row>
    <row r="146" spans="1:48" ht="15" customHeight="1">
      <c r="B146" s="35" t="s">
        <v>61</v>
      </c>
      <c r="C146" s="28">
        <f t="shared" ref="C146:L146" si="270">C12+$C$32*C45</f>
        <v>0.5041814</v>
      </c>
      <c r="D146" s="28">
        <f t="shared" si="270"/>
        <v>0.47155140000000001</v>
      </c>
      <c r="E146" s="28">
        <f t="shared" si="270"/>
        <v>0.44899539999999999</v>
      </c>
      <c r="F146" s="28">
        <f t="shared" si="270"/>
        <v>0.44944890000000004</v>
      </c>
      <c r="G146" s="28">
        <f t="shared" si="270"/>
        <v>0.42092990000000002</v>
      </c>
      <c r="H146" s="28">
        <f t="shared" si="270"/>
        <v>0.39455220000000002</v>
      </c>
      <c r="I146" s="28">
        <f t="shared" si="270"/>
        <v>0.38409529999999997</v>
      </c>
      <c r="J146" s="28">
        <f t="shared" si="270"/>
        <v>0.35441270000000002</v>
      </c>
      <c r="K146" s="28">
        <f t="shared" si="270"/>
        <v>0.34457779999999999</v>
      </c>
      <c r="L146" s="28">
        <f t="shared" si="270"/>
        <v>0.3359047</v>
      </c>
      <c r="N146" s="35" t="s">
        <v>61</v>
      </c>
      <c r="O146" s="28">
        <f t="shared" ref="O146:X146" si="271">O12+$D$32*O45</f>
        <v>-0.2455</v>
      </c>
      <c r="P146" s="28">
        <f t="shared" si="271"/>
        <v>-0.22939999999999999</v>
      </c>
      <c r="Q146" s="28">
        <f t="shared" si="271"/>
        <v>-0.21870000000000001</v>
      </c>
      <c r="R146" s="28">
        <f t="shared" si="271"/>
        <v>-0.1971</v>
      </c>
      <c r="S146" s="28">
        <f t="shared" si="271"/>
        <v>-0.1817</v>
      </c>
      <c r="T146" s="28">
        <f t="shared" si="271"/>
        <v>-0.15010000000000001</v>
      </c>
      <c r="U146" s="28">
        <f t="shared" si="271"/>
        <v>-0.13550000000000001</v>
      </c>
      <c r="V146" s="28">
        <f t="shared" si="271"/>
        <v>-0.1111</v>
      </c>
      <c r="W146" s="28">
        <f t="shared" si="271"/>
        <v>-0.10059999999999999</v>
      </c>
      <c r="X146" s="28">
        <f t="shared" si="271"/>
        <v>-8.3299999999999999E-2</v>
      </c>
      <c r="Z146" s="35" t="s">
        <v>61</v>
      </c>
      <c r="AA146" s="28">
        <f t="shared" ref="AA146:AJ146" si="272">AA12+$E$32*AA45</f>
        <v>0.74509999999999998</v>
      </c>
      <c r="AB146" s="28">
        <f t="shared" si="272"/>
        <v>0.72640000000000005</v>
      </c>
      <c r="AC146" s="28">
        <f t="shared" si="272"/>
        <v>0.70150000000000001</v>
      </c>
      <c r="AD146" s="28">
        <f t="shared" si="272"/>
        <v>0.67830000000000001</v>
      </c>
      <c r="AE146" s="28">
        <f t="shared" si="272"/>
        <v>0.65639999999999998</v>
      </c>
      <c r="AF146" s="28">
        <f t="shared" si="272"/>
        <v>0.63260000000000005</v>
      </c>
      <c r="AG146" s="28">
        <f t="shared" si="272"/>
        <v>0.60009999999999997</v>
      </c>
      <c r="AH146" s="28">
        <f t="shared" si="272"/>
        <v>0.5837</v>
      </c>
      <c r="AI146" s="28">
        <f t="shared" si="272"/>
        <v>0.55820000000000003</v>
      </c>
      <c r="AJ146" s="28">
        <f t="shared" si="272"/>
        <v>0.52949999999999997</v>
      </c>
      <c r="AL146" s="35" t="s">
        <v>61</v>
      </c>
      <c r="AM146" s="37">
        <f t="shared" ref="AM146:AV146" si="273">C146*(1+(((2-3*O146^2)/24*AA146^2)+(O146*AA146*C146/4))*3)</f>
        <v>0.53295826047606476</v>
      </c>
      <c r="AN146" s="37">
        <f t="shared" si="273"/>
        <v>0.50105554607813196</v>
      </c>
      <c r="AO146" s="37">
        <f t="shared" si="273"/>
        <v>0.47707384443806566</v>
      </c>
      <c r="AP146" s="37">
        <f t="shared" si="273"/>
        <v>0.47787831484618548</v>
      </c>
      <c r="AQ146" s="37">
        <f t="shared" si="273"/>
        <v>0.44817600513219863</v>
      </c>
      <c r="AR146" s="37">
        <f t="shared" si="273"/>
        <v>0.4216053151798948</v>
      </c>
      <c r="AS146" s="37">
        <f t="shared" si="273"/>
        <v>0.40872595967122843</v>
      </c>
      <c r="AT146" s="37">
        <f t="shared" si="273"/>
        <v>0.37793219884539103</v>
      </c>
      <c r="AU146" s="37">
        <f t="shared" si="273"/>
        <v>0.36601122496125243</v>
      </c>
      <c r="AV146" s="37">
        <f t="shared" si="273"/>
        <v>0.35547152364509288</v>
      </c>
    </row>
    <row r="147" spans="1:48" ht="15" customHeight="1">
      <c r="B147" s="35" t="s">
        <v>62</v>
      </c>
      <c r="C147" s="28">
        <f t="shared" ref="C147:L147" si="274">C13+$C$32*C46</f>
        <v>0.46803089999999997</v>
      </c>
      <c r="D147" s="28">
        <f t="shared" si="274"/>
        <v>0.45401649999999999</v>
      </c>
      <c r="E147" s="28">
        <f t="shared" si="274"/>
        <v>0.43546479999999999</v>
      </c>
      <c r="F147" s="28">
        <f t="shared" si="274"/>
        <v>0.42441399999999996</v>
      </c>
      <c r="G147" s="28">
        <f t="shared" si="274"/>
        <v>0.41059440000000003</v>
      </c>
      <c r="H147" s="28">
        <f t="shared" si="274"/>
        <v>0.3809592</v>
      </c>
      <c r="I147" s="28">
        <f t="shared" si="274"/>
        <v>0.37171850000000001</v>
      </c>
      <c r="J147" s="28">
        <f t="shared" si="274"/>
        <v>0.35454050000000004</v>
      </c>
      <c r="K147" s="28">
        <f t="shared" si="274"/>
        <v>0.33434749999999996</v>
      </c>
      <c r="L147" s="28">
        <f t="shared" si="274"/>
        <v>0.30403279999999999</v>
      </c>
      <c r="N147" s="35" t="s">
        <v>62</v>
      </c>
      <c r="O147" s="28">
        <f t="shared" ref="O147:X147" si="275">O13+$D$32*O46</f>
        <v>-0.2389</v>
      </c>
      <c r="P147" s="28">
        <f t="shared" si="275"/>
        <v>-0.21940000000000001</v>
      </c>
      <c r="Q147" s="28">
        <f t="shared" si="275"/>
        <v>-0.20050000000000001</v>
      </c>
      <c r="R147" s="28">
        <f t="shared" si="275"/>
        <v>-0.18090000000000001</v>
      </c>
      <c r="S147" s="28">
        <f t="shared" si="275"/>
        <v>-0.15310000000000001</v>
      </c>
      <c r="T147" s="28">
        <f t="shared" si="275"/>
        <v>-0.12809999999999999</v>
      </c>
      <c r="U147" s="28">
        <f t="shared" si="275"/>
        <v>-0.1099</v>
      </c>
      <c r="V147" s="28">
        <f t="shared" si="275"/>
        <v>-9.7600000000000006E-2</v>
      </c>
      <c r="W147" s="28">
        <f t="shared" si="275"/>
        <v>-7.4700000000000003E-2</v>
      </c>
      <c r="X147" s="28">
        <f t="shared" si="275"/>
        <v>-5.2299999999999999E-2</v>
      </c>
      <c r="Z147" s="35" t="s">
        <v>62</v>
      </c>
      <c r="AA147" s="28">
        <f t="shared" ref="AA147:AJ147" si="276">AA13+$E$32*AA46</f>
        <v>0.70840000000000003</v>
      </c>
      <c r="AB147" s="28">
        <f t="shared" si="276"/>
        <v>0.69769999999999999</v>
      </c>
      <c r="AC147" s="28">
        <f t="shared" si="276"/>
        <v>0.6804</v>
      </c>
      <c r="AD147" s="28">
        <f t="shared" si="276"/>
        <v>0.65559999999999996</v>
      </c>
      <c r="AE147" s="28">
        <f t="shared" si="276"/>
        <v>0.63280000000000003</v>
      </c>
      <c r="AF147" s="28">
        <f t="shared" si="276"/>
        <v>0.60509999999999997</v>
      </c>
      <c r="AG147" s="28">
        <f t="shared" si="276"/>
        <v>0.57689999999999997</v>
      </c>
      <c r="AH147" s="28">
        <f t="shared" si="276"/>
        <v>0.56689999999999996</v>
      </c>
      <c r="AI147" s="28">
        <f t="shared" si="276"/>
        <v>0.53549999999999998</v>
      </c>
      <c r="AJ147" s="28">
        <f t="shared" si="276"/>
        <v>0.52270000000000005</v>
      </c>
      <c r="AL147" s="35" t="s">
        <v>62</v>
      </c>
      <c r="AM147" s="37">
        <f t="shared" ref="AM147:AV147" si="277">C147*(1+(((2-3*O147^2)/24*AA147^2)+(O147*AA147*C147/4))*5)</f>
        <v>0.51117649219263939</v>
      </c>
      <c r="AN147" s="37">
        <f t="shared" si="277"/>
        <v>0.50001233222666241</v>
      </c>
      <c r="AO147" s="37">
        <f t="shared" si="277"/>
        <v>0.48206132412621261</v>
      </c>
      <c r="AP147" s="37">
        <f t="shared" si="277"/>
        <v>0.46998706455836292</v>
      </c>
      <c r="AQ147" s="37">
        <f t="shared" si="277"/>
        <v>0.45627636723827225</v>
      </c>
      <c r="AR147" s="37">
        <f t="shared" si="277"/>
        <v>0.42358620339992681</v>
      </c>
      <c r="AS147" s="37">
        <f t="shared" si="277"/>
        <v>0.41138112744912059</v>
      </c>
      <c r="AT147" s="37">
        <f t="shared" si="277"/>
        <v>0.39264385501442295</v>
      </c>
      <c r="AU147" s="37">
        <f t="shared" si="277"/>
        <v>0.36837243914352991</v>
      </c>
      <c r="AV147" s="37">
        <f t="shared" si="277"/>
        <v>0.33534312131129584</v>
      </c>
    </row>
    <row r="148" spans="1:48" ht="15" customHeight="1">
      <c r="B148" s="35" t="s">
        <v>63</v>
      </c>
      <c r="C148" s="28">
        <f t="shared" ref="C148:L148" si="278">C14+$C$32*C47</f>
        <v>0.46810060000000003</v>
      </c>
      <c r="D148" s="28">
        <f t="shared" si="278"/>
        <v>0.43766510000000003</v>
      </c>
      <c r="E148" s="28">
        <f t="shared" si="278"/>
        <v>0.41951340000000004</v>
      </c>
      <c r="F148" s="28">
        <f t="shared" si="278"/>
        <v>0.41068369999999998</v>
      </c>
      <c r="G148" s="28">
        <f t="shared" si="278"/>
        <v>0.38734819999999998</v>
      </c>
      <c r="H148" s="28">
        <f t="shared" si="278"/>
        <v>0.35765459999999999</v>
      </c>
      <c r="I148" s="28">
        <f t="shared" si="278"/>
        <v>0.33670930000000004</v>
      </c>
      <c r="J148" s="28">
        <f t="shared" si="278"/>
        <v>0.31808969999999998</v>
      </c>
      <c r="K148" s="28">
        <f t="shared" si="278"/>
        <v>0.31533249999999996</v>
      </c>
      <c r="L148" s="28">
        <f t="shared" si="278"/>
        <v>0.29420769999999996</v>
      </c>
      <c r="N148" s="35" t="s">
        <v>63</v>
      </c>
      <c r="O148" s="28">
        <f t="shared" ref="O148:X148" si="279">O14+$D$32*O47</f>
        <v>-0.221</v>
      </c>
      <c r="P148" s="28">
        <f t="shared" si="279"/>
        <v>-0.18790000000000001</v>
      </c>
      <c r="Q148" s="28">
        <f t="shared" si="279"/>
        <v>-0.16539999999999999</v>
      </c>
      <c r="R148" s="28">
        <f t="shared" si="279"/>
        <v>-0.15240000000000001</v>
      </c>
      <c r="S148" s="28">
        <f t="shared" si="279"/>
        <v>-0.1391</v>
      </c>
      <c r="T148" s="28">
        <f t="shared" si="279"/>
        <v>-0.1157</v>
      </c>
      <c r="U148" s="28">
        <f t="shared" si="279"/>
        <v>-0.1046</v>
      </c>
      <c r="V148" s="28">
        <f t="shared" si="279"/>
        <v>-8.7499999999999994E-2</v>
      </c>
      <c r="W148" s="28">
        <f t="shared" si="279"/>
        <v>-4.8899999999999999E-2</v>
      </c>
      <c r="X148" s="28">
        <f t="shared" si="279"/>
        <v>-3.5900000000000001E-2</v>
      </c>
      <c r="Z148" s="35" t="s">
        <v>63</v>
      </c>
      <c r="AA148" s="28">
        <f t="shared" ref="AA148:AJ148" si="280">AA14+$E$32*AA47</f>
        <v>0.69499999999999995</v>
      </c>
      <c r="AB148" s="28">
        <f t="shared" si="280"/>
        <v>0.68089999999999995</v>
      </c>
      <c r="AC148" s="28">
        <f t="shared" si="280"/>
        <v>0.64870000000000005</v>
      </c>
      <c r="AD148" s="28">
        <f t="shared" si="280"/>
        <v>0.63519999999999999</v>
      </c>
      <c r="AE148" s="28">
        <f t="shared" si="280"/>
        <v>0.61209999999999998</v>
      </c>
      <c r="AF148" s="28">
        <f t="shared" si="280"/>
        <v>0.5776</v>
      </c>
      <c r="AG148" s="28">
        <f t="shared" si="280"/>
        <v>0.55610000000000004</v>
      </c>
      <c r="AH148" s="28">
        <f t="shared" si="280"/>
        <v>0.53469999999999995</v>
      </c>
      <c r="AI148" s="28">
        <f t="shared" si="280"/>
        <v>0.51149999999999995</v>
      </c>
      <c r="AJ148" s="28">
        <f t="shared" si="280"/>
        <v>0.49619999999999997</v>
      </c>
      <c r="AL148" s="35" t="s">
        <v>63</v>
      </c>
      <c r="AM148" s="37">
        <f t="shared" ref="AM148:AV148" si="281">C148*(1+(((2-3*O148^2)/24*AA148^2)+(O148*AA148*C148/4))*10)</f>
        <v>0.55857825495616553</v>
      </c>
      <c r="AN148" s="37">
        <f t="shared" si="281"/>
        <v>0.53653559459368749</v>
      </c>
      <c r="AO148" s="37">
        <f t="shared" si="281"/>
        <v>0.51338243373328718</v>
      </c>
      <c r="AP148" s="37">
        <f t="shared" si="281"/>
        <v>0.50314034399701002</v>
      </c>
      <c r="AQ148" s="37">
        <f t="shared" si="281"/>
        <v>0.47283991645368079</v>
      </c>
      <c r="AR148" s="37">
        <f t="shared" si="281"/>
        <v>0.4337212823128227</v>
      </c>
      <c r="AS148" s="37">
        <f t="shared" si="281"/>
        <v>0.4055704891371506</v>
      </c>
      <c r="AT148" s="37">
        <f t="shared" si="281"/>
        <v>0.38117059525274916</v>
      </c>
      <c r="AU148" s="37">
        <f t="shared" si="281"/>
        <v>0.37761913094782523</v>
      </c>
      <c r="AV148" s="37">
        <f t="shared" si="281"/>
        <v>0.35060137734813385</v>
      </c>
    </row>
    <row r="149" spans="1:48" ht="15" customHeight="1">
      <c r="B149" s="35" t="s">
        <v>64</v>
      </c>
      <c r="C149" s="28">
        <f t="shared" ref="C149:L149" si="282">C15+$C$32*C48</f>
        <v>0.43464949999999997</v>
      </c>
      <c r="D149" s="28">
        <f t="shared" si="282"/>
        <v>0.41867729999999997</v>
      </c>
      <c r="E149" s="28">
        <f t="shared" si="282"/>
        <v>0.39477820000000002</v>
      </c>
      <c r="F149" s="28">
        <f t="shared" si="282"/>
        <v>0.3916268</v>
      </c>
      <c r="G149" s="28">
        <f t="shared" si="282"/>
        <v>0.36030260000000003</v>
      </c>
      <c r="H149" s="28">
        <f t="shared" si="282"/>
        <v>0.34451910000000002</v>
      </c>
      <c r="I149" s="28">
        <f t="shared" si="282"/>
        <v>0.32784690000000005</v>
      </c>
      <c r="J149" s="28">
        <f t="shared" si="282"/>
        <v>0.31483279999999997</v>
      </c>
      <c r="K149" s="28">
        <f t="shared" si="282"/>
        <v>0.28577649999999999</v>
      </c>
      <c r="L149" s="28">
        <f t="shared" si="282"/>
        <v>0.278945</v>
      </c>
      <c r="N149" s="35" t="s">
        <v>64</v>
      </c>
      <c r="O149" s="28">
        <f t="shared" ref="O149:X149" si="283">O15+$D$32*O48</f>
        <v>-0.19439999999999999</v>
      </c>
      <c r="P149" s="28">
        <f t="shared" si="283"/>
        <v>-0.1744</v>
      </c>
      <c r="Q149" s="28">
        <f t="shared" si="283"/>
        <v>-0.15509999999999999</v>
      </c>
      <c r="R149" s="28">
        <f t="shared" si="283"/>
        <v>-0.1457</v>
      </c>
      <c r="S149" s="28">
        <f t="shared" si="283"/>
        <v>-0.1179</v>
      </c>
      <c r="T149" s="28">
        <f t="shared" si="283"/>
        <v>-0.1036</v>
      </c>
      <c r="U149" s="28">
        <f t="shared" si="283"/>
        <v>-8.77E-2</v>
      </c>
      <c r="V149" s="28">
        <f t="shared" si="283"/>
        <v>-5.2299999999999999E-2</v>
      </c>
      <c r="W149" s="28">
        <f t="shared" si="283"/>
        <v>-4.5400000000000003E-2</v>
      </c>
      <c r="X149" s="28">
        <f t="shared" si="283"/>
        <v>-0.02</v>
      </c>
      <c r="Z149" s="35" t="s">
        <v>64</v>
      </c>
      <c r="AA149" s="28">
        <f t="shared" ref="AA149:AJ149" si="284">AA15+$E$32*AA48</f>
        <v>0.67669999999999997</v>
      </c>
      <c r="AB149" s="28">
        <f t="shared" si="284"/>
        <v>0.65110000000000001</v>
      </c>
      <c r="AC149" s="28">
        <f t="shared" si="284"/>
        <v>0.62429999999999997</v>
      </c>
      <c r="AD149" s="28">
        <f t="shared" si="284"/>
        <v>0.60589999999999999</v>
      </c>
      <c r="AE149" s="28">
        <f t="shared" si="284"/>
        <v>0.58440000000000003</v>
      </c>
      <c r="AF149" s="28">
        <f t="shared" si="284"/>
        <v>0.56679999999999997</v>
      </c>
      <c r="AG149" s="28">
        <f t="shared" si="284"/>
        <v>0.53100000000000003</v>
      </c>
      <c r="AH149" s="28">
        <f t="shared" si="284"/>
        <v>0.51790000000000003</v>
      </c>
      <c r="AI149" s="28">
        <f t="shared" si="284"/>
        <v>0.4894</v>
      </c>
      <c r="AJ149" s="28">
        <f t="shared" si="284"/>
        <v>0.46779999999999999</v>
      </c>
      <c r="AL149" s="35" t="s">
        <v>64</v>
      </c>
      <c r="AM149" s="37">
        <f t="shared" ref="AM149:AV149" si="285">C149*(1+(((2-3*O149^2)/24*AA149^2)+(O149*AA149*C149/4))*20)</f>
        <v>0.62330878640720566</v>
      </c>
      <c r="AN149" s="37">
        <f t="shared" si="285"/>
        <v>0.60147560944771894</v>
      </c>
      <c r="AO149" s="37">
        <f t="shared" si="285"/>
        <v>0.56651255668586131</v>
      </c>
      <c r="AP149" s="37">
        <f t="shared" si="285"/>
        <v>0.55591872240874551</v>
      </c>
      <c r="AQ149" s="37">
        <f t="shared" si="285"/>
        <v>0.51638990125823769</v>
      </c>
      <c r="AR149" s="37">
        <f t="shared" si="285"/>
        <v>0.49116888992828744</v>
      </c>
      <c r="AS149" s="37">
        <f t="shared" si="285"/>
        <v>0.45510931981695701</v>
      </c>
      <c r="AT149" s="37">
        <f t="shared" si="285"/>
        <v>0.44157245597257944</v>
      </c>
      <c r="AU149" s="37">
        <f t="shared" si="285"/>
        <v>0.39042930778531965</v>
      </c>
      <c r="AV149" s="37">
        <f t="shared" si="285"/>
        <v>0.37698306067068998</v>
      </c>
    </row>
    <row r="150" spans="1:48" ht="15" customHeight="1">
      <c r="B150" s="35" t="s">
        <v>65</v>
      </c>
      <c r="C150" s="28">
        <f t="shared" ref="C150:L150" si="286">C16+$C$32*C49</f>
        <v>0.4254406</v>
      </c>
      <c r="D150" s="28">
        <f t="shared" si="286"/>
        <v>0.40264640000000002</v>
      </c>
      <c r="E150" s="28">
        <f t="shared" si="286"/>
        <v>0.38352219999999998</v>
      </c>
      <c r="F150" s="28">
        <f t="shared" si="286"/>
        <v>0.36919160000000001</v>
      </c>
      <c r="G150" s="28">
        <f t="shared" si="286"/>
        <v>0.35251450000000001</v>
      </c>
      <c r="H150" s="28">
        <f t="shared" si="286"/>
        <v>0.3249417</v>
      </c>
      <c r="I150" s="28">
        <f t="shared" si="286"/>
        <v>0.3090328</v>
      </c>
      <c r="J150" s="28">
        <f t="shared" si="286"/>
        <v>0.28734499999999996</v>
      </c>
      <c r="K150" s="28">
        <f t="shared" si="286"/>
        <v>0.270845</v>
      </c>
      <c r="L150" s="28">
        <f t="shared" si="286"/>
        <v>0.25784499999999999</v>
      </c>
      <c r="N150" s="35" t="s">
        <v>65</v>
      </c>
      <c r="O150" s="28">
        <f t="shared" ref="O150:X150" si="287">O16+$D$32*O49</f>
        <v>-0.17599999999999999</v>
      </c>
      <c r="P150" s="28">
        <f t="shared" si="287"/>
        <v>-0.15490000000000001</v>
      </c>
      <c r="Q150" s="28">
        <f t="shared" si="287"/>
        <v>-0.1366</v>
      </c>
      <c r="R150" s="28">
        <f t="shared" si="287"/>
        <v>-0.10780000000000001</v>
      </c>
      <c r="S150" s="28">
        <f t="shared" si="287"/>
        <v>-9.3200000000000005E-2</v>
      </c>
      <c r="T150" s="28">
        <f t="shared" si="287"/>
        <v>-7.0199999999999999E-2</v>
      </c>
      <c r="U150" s="28">
        <f t="shared" si="287"/>
        <v>-4.9500000000000002E-2</v>
      </c>
      <c r="V150" s="28">
        <f t="shared" si="287"/>
        <v>-4.3700000000000003E-2</v>
      </c>
      <c r="W150" s="28">
        <f t="shared" si="287"/>
        <v>-1.83E-2</v>
      </c>
      <c r="X150" s="28">
        <f t="shared" si="287"/>
        <v>8.8999999999999999E-3</v>
      </c>
      <c r="Z150" s="35" t="s">
        <v>65</v>
      </c>
      <c r="AA150" s="28">
        <f t="shared" ref="AA150:AJ150" si="288">AA16+$E$32*AA49</f>
        <v>0.65680000000000005</v>
      </c>
      <c r="AB150" s="28">
        <f t="shared" si="288"/>
        <v>0.62050000000000005</v>
      </c>
      <c r="AC150" s="28">
        <f t="shared" si="288"/>
        <v>0.59799999999999998</v>
      </c>
      <c r="AD150" s="28">
        <f t="shared" si="288"/>
        <v>0.58220000000000005</v>
      </c>
      <c r="AE150" s="28">
        <f t="shared" si="288"/>
        <v>0.55259999999999998</v>
      </c>
      <c r="AF150" s="28">
        <f t="shared" si="288"/>
        <v>0.53369999999999995</v>
      </c>
      <c r="AG150" s="28">
        <f t="shared" si="288"/>
        <v>0.5081</v>
      </c>
      <c r="AH150" s="28">
        <f t="shared" si="288"/>
        <v>0.49780000000000002</v>
      </c>
      <c r="AI150" s="28">
        <f t="shared" si="288"/>
        <v>0.47789999999999999</v>
      </c>
      <c r="AJ150" s="28">
        <f t="shared" si="288"/>
        <v>0.45789999999999997</v>
      </c>
      <c r="AL150" s="35" t="s">
        <v>65</v>
      </c>
      <c r="AM150" s="37">
        <f t="shared" ref="AM150:AV150" si="289">C150*(1+(((2-3*O150^2)/24*AA150^2)+(O150*AA150*C150/4))*30)</f>
        <v>0.70602249817147489</v>
      </c>
      <c r="AN150" s="37">
        <f t="shared" si="289"/>
        <v>0.65939524658820992</v>
      </c>
      <c r="AO150" s="37">
        <f t="shared" si="289"/>
        <v>0.62668370875784796</v>
      </c>
      <c r="AP150" s="37">
        <f t="shared" si="289"/>
        <v>0.61242953157958069</v>
      </c>
      <c r="AQ150" s="37">
        <f t="shared" si="289"/>
        <v>0.57012353639388846</v>
      </c>
      <c r="AR150" s="37">
        <f t="shared" si="289"/>
        <v>0.52494950953352382</v>
      </c>
      <c r="AS150" s="37">
        <f t="shared" si="289"/>
        <v>0.48973922690139571</v>
      </c>
      <c r="AT150" s="37">
        <f t="shared" si="289"/>
        <v>0.45137762138417215</v>
      </c>
      <c r="AU150" s="37">
        <f t="shared" si="289"/>
        <v>0.42060034708864086</v>
      </c>
      <c r="AV150" s="37">
        <f t="shared" si="289"/>
        <v>0.39501847082886027</v>
      </c>
    </row>
    <row r="152" spans="1:48" ht="15" customHeight="1">
      <c r="A152" s="7" t="s">
        <v>139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8" ht="15" customHeight="1">
      <c r="B153" s="7" t="s">
        <v>115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N153" s="7" t="s">
        <v>116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Z153" s="7" t="s">
        <v>117</v>
      </c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L153" s="6" t="s">
        <v>118</v>
      </c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ht="15" customHeight="1">
      <c r="B154" s="20" t="s">
        <v>119</v>
      </c>
      <c r="C154" s="21" t="s">
        <v>120</v>
      </c>
      <c r="D154" s="21" t="s">
        <v>58</v>
      </c>
      <c r="E154" s="21" t="s">
        <v>59</v>
      </c>
      <c r="F154" s="21" t="s">
        <v>30</v>
      </c>
      <c r="G154" s="21" t="s">
        <v>60</v>
      </c>
      <c r="H154" s="21" t="s">
        <v>61</v>
      </c>
      <c r="I154" s="21" t="s">
        <v>62</v>
      </c>
      <c r="J154" s="21" t="s">
        <v>63</v>
      </c>
      <c r="K154" s="21" t="s">
        <v>64</v>
      </c>
      <c r="L154" s="21" t="s">
        <v>65</v>
      </c>
      <c r="N154" s="20" t="s">
        <v>119</v>
      </c>
      <c r="O154" s="21" t="s">
        <v>120</v>
      </c>
      <c r="P154" s="21" t="s">
        <v>58</v>
      </c>
      <c r="Q154" s="21" t="s">
        <v>59</v>
      </c>
      <c r="R154" s="21" t="s">
        <v>30</v>
      </c>
      <c r="S154" s="21" t="s">
        <v>60</v>
      </c>
      <c r="T154" s="21" t="s">
        <v>61</v>
      </c>
      <c r="U154" s="21" t="s">
        <v>62</v>
      </c>
      <c r="V154" s="21" t="s">
        <v>63</v>
      </c>
      <c r="W154" s="21" t="s">
        <v>64</v>
      </c>
      <c r="X154" s="21" t="s">
        <v>65</v>
      </c>
      <c r="Z154" s="20" t="s">
        <v>119</v>
      </c>
      <c r="AA154" s="21" t="s">
        <v>120</v>
      </c>
      <c r="AB154" s="21" t="s">
        <v>58</v>
      </c>
      <c r="AC154" s="21" t="s">
        <v>59</v>
      </c>
      <c r="AD154" s="21" t="s">
        <v>30</v>
      </c>
      <c r="AE154" s="21" t="s">
        <v>60</v>
      </c>
      <c r="AF154" s="21" t="s">
        <v>61</v>
      </c>
      <c r="AG154" s="21" t="s">
        <v>62</v>
      </c>
      <c r="AH154" s="21" t="s">
        <v>63</v>
      </c>
      <c r="AI154" s="21" t="s">
        <v>64</v>
      </c>
      <c r="AJ154" s="21" t="s">
        <v>65</v>
      </c>
      <c r="AL154" s="20" t="s">
        <v>119</v>
      </c>
      <c r="AM154" s="21" t="s">
        <v>120</v>
      </c>
      <c r="AN154" s="21" t="s">
        <v>58</v>
      </c>
      <c r="AO154" s="21" t="s">
        <v>59</v>
      </c>
      <c r="AP154" s="21" t="s">
        <v>30</v>
      </c>
      <c r="AQ154" s="21" t="s">
        <v>60</v>
      </c>
      <c r="AR154" s="21" t="s">
        <v>61</v>
      </c>
      <c r="AS154" s="21" t="s">
        <v>62</v>
      </c>
      <c r="AT154" s="21" t="s">
        <v>63</v>
      </c>
      <c r="AU154" s="21" t="s">
        <v>64</v>
      </c>
      <c r="AV154" s="21" t="s">
        <v>65</v>
      </c>
    </row>
    <row r="155" spans="1:48" ht="15" customHeight="1">
      <c r="B155" s="35" t="s">
        <v>120</v>
      </c>
      <c r="C155" s="28">
        <f t="shared" ref="C155:L155" si="290">C7+$C$33*C40</f>
        <v>0.58236239999999995</v>
      </c>
      <c r="D155" s="28">
        <f t="shared" si="290"/>
        <v>0.56040319999999999</v>
      </c>
      <c r="E155" s="28">
        <f t="shared" si="290"/>
        <v>0.551508</v>
      </c>
      <c r="F155" s="28">
        <f t="shared" si="290"/>
        <v>0.52141599999999999</v>
      </c>
      <c r="G155" s="28">
        <f t="shared" si="290"/>
        <v>0.51180879999999995</v>
      </c>
      <c r="H155" s="28">
        <f t="shared" si="290"/>
        <v>0.48946880000000004</v>
      </c>
      <c r="I155" s="28">
        <f t="shared" si="290"/>
        <v>0.46561599999999997</v>
      </c>
      <c r="J155" s="28">
        <f t="shared" si="290"/>
        <v>0.45589999999999997</v>
      </c>
      <c r="K155" s="28">
        <f t="shared" si="290"/>
        <v>0.42756</v>
      </c>
      <c r="L155" s="28">
        <f t="shared" si="290"/>
        <v>0.4166648</v>
      </c>
      <c r="N155" s="35" t="s">
        <v>120</v>
      </c>
      <c r="O155" s="28">
        <f t="shared" ref="O155:X155" si="291">O7+$D$33*O40</f>
        <v>-0.35859999999999997</v>
      </c>
      <c r="P155" s="28">
        <f t="shared" si="291"/>
        <v>-0.3387</v>
      </c>
      <c r="Q155" s="28">
        <f t="shared" si="291"/>
        <v>-0.31259999999999999</v>
      </c>
      <c r="R155" s="28">
        <f t="shared" si="291"/>
        <v>-0.28510000000000002</v>
      </c>
      <c r="S155" s="28">
        <f t="shared" si="291"/>
        <v>-0.2797</v>
      </c>
      <c r="T155" s="28">
        <f t="shared" si="291"/>
        <v>-0.25829999999999997</v>
      </c>
      <c r="U155" s="28">
        <f t="shared" si="291"/>
        <v>-0.23080000000000001</v>
      </c>
      <c r="V155" s="28">
        <f t="shared" si="291"/>
        <v>-0.2049</v>
      </c>
      <c r="W155" s="28">
        <f t="shared" si="291"/>
        <v>-0.19289999999999999</v>
      </c>
      <c r="X155" s="28">
        <f t="shared" si="291"/>
        <v>-0.17710000000000001</v>
      </c>
      <c r="Z155" s="35" t="s">
        <v>120</v>
      </c>
      <c r="AA155" s="28">
        <f t="shared" ref="AA155:AJ155" si="292">AA7+$E$33*AA40</f>
        <v>0.85950000000000004</v>
      </c>
      <c r="AB155" s="28">
        <f t="shared" si="292"/>
        <v>0.81869999999999998</v>
      </c>
      <c r="AC155" s="28">
        <f t="shared" si="292"/>
        <v>0.81269999999999998</v>
      </c>
      <c r="AD155" s="28">
        <f t="shared" si="292"/>
        <v>0.77910000000000001</v>
      </c>
      <c r="AE155" s="28">
        <f t="shared" si="292"/>
        <v>0.754</v>
      </c>
      <c r="AF155" s="28">
        <f t="shared" si="292"/>
        <v>0.73119999999999996</v>
      </c>
      <c r="AG155" s="28">
        <f t="shared" si="292"/>
        <v>0.71279999999999999</v>
      </c>
      <c r="AH155" s="28">
        <f t="shared" si="292"/>
        <v>0.70079999999999998</v>
      </c>
      <c r="AI155" s="28">
        <f t="shared" si="292"/>
        <v>0.66579999999999995</v>
      </c>
      <c r="AJ155" s="28">
        <f t="shared" si="292"/>
        <v>0.65159999999999996</v>
      </c>
      <c r="AL155" s="35" t="s">
        <v>120</v>
      </c>
      <c r="AM155" s="37">
        <f t="shared" ref="AM155:AV155" si="293">C155*(1+(((2-3*O155^2)/24*AA155^2)+(O155*AA155*C155/4))*0.0833333333333333)</f>
        <v>0.58259600212913687</v>
      </c>
      <c r="AN155" s="37">
        <f t="shared" si="293"/>
        <v>0.56074856088875191</v>
      </c>
      <c r="AO155" s="37">
        <f t="shared" si="293"/>
        <v>0.55205696997441789</v>
      </c>
      <c r="AP155" s="37">
        <f t="shared" si="293"/>
        <v>0.52208781901542534</v>
      </c>
      <c r="AQ155" s="37">
        <f t="shared" si="293"/>
        <v>0.51244141628977857</v>
      </c>
      <c r="AR155" s="37">
        <f t="shared" si="293"/>
        <v>0.49016156770921587</v>
      </c>
      <c r="AS155" s="37">
        <f t="shared" si="293"/>
        <v>0.46638454140490371</v>
      </c>
      <c r="AT155" s="37">
        <f t="shared" si="293"/>
        <v>0.45673517845360073</v>
      </c>
      <c r="AU155" s="37">
        <f t="shared" si="293"/>
        <v>0.42831360106383565</v>
      </c>
      <c r="AV155" s="37">
        <f t="shared" si="293"/>
        <v>0.41741815334948384</v>
      </c>
    </row>
    <row r="156" spans="1:48" ht="15" customHeight="1">
      <c r="B156" s="35" t="s">
        <v>58</v>
      </c>
      <c r="C156" s="28">
        <f t="shared" ref="C156:L156" si="294">C8+$C$33*C41</f>
        <v>0.56967760000000001</v>
      </c>
      <c r="D156" s="28">
        <f t="shared" si="294"/>
        <v>0.54554959999999997</v>
      </c>
      <c r="E156" s="28">
        <f t="shared" si="294"/>
        <v>0.53050079999999999</v>
      </c>
      <c r="F156" s="28">
        <f t="shared" si="294"/>
        <v>0.50179360000000006</v>
      </c>
      <c r="G156" s="28">
        <f t="shared" si="294"/>
        <v>0.48401839999999996</v>
      </c>
      <c r="H156" s="28">
        <f t="shared" si="294"/>
        <v>0.4677096</v>
      </c>
      <c r="I156" s="28">
        <f t="shared" si="294"/>
        <v>0.45909840000000002</v>
      </c>
      <c r="J156" s="28">
        <f t="shared" si="294"/>
        <v>0.43475520000000001</v>
      </c>
      <c r="K156" s="28">
        <f t="shared" si="294"/>
        <v>0.41460079999999999</v>
      </c>
      <c r="L156" s="28">
        <f t="shared" si="294"/>
        <v>0.40115040000000002</v>
      </c>
      <c r="N156" s="35" t="s">
        <v>58</v>
      </c>
      <c r="O156" s="28">
        <f t="shared" ref="O156:X156" si="295">O8+$D$33*O41</f>
        <v>-0.33150000000000002</v>
      </c>
      <c r="P156" s="28">
        <f t="shared" si="295"/>
        <v>-0.31509999999999999</v>
      </c>
      <c r="Q156" s="28">
        <f t="shared" si="295"/>
        <v>-0.2858</v>
      </c>
      <c r="R156" s="28">
        <f t="shared" si="295"/>
        <v>-0.26819999999999999</v>
      </c>
      <c r="S156" s="28">
        <f t="shared" si="295"/>
        <v>-0.25790000000000002</v>
      </c>
      <c r="T156" s="28">
        <f t="shared" si="295"/>
        <v>-0.23180000000000001</v>
      </c>
      <c r="U156" s="28">
        <f t="shared" si="295"/>
        <v>-0.21340000000000001</v>
      </c>
      <c r="V156" s="28">
        <f t="shared" si="295"/>
        <v>-0.18690000000000001</v>
      </c>
      <c r="W156" s="28">
        <f t="shared" si="295"/>
        <v>-0.1704</v>
      </c>
      <c r="X156" s="28">
        <f t="shared" si="295"/>
        <v>-0.1598</v>
      </c>
      <c r="Z156" s="35" t="s">
        <v>58</v>
      </c>
      <c r="AA156" s="28">
        <f t="shared" ref="AA156:AJ156" si="296">AA8+$E$33*AA41</f>
        <v>0.83740000000000003</v>
      </c>
      <c r="AB156" s="28">
        <f t="shared" si="296"/>
        <v>0.79790000000000005</v>
      </c>
      <c r="AC156" s="28">
        <f t="shared" si="296"/>
        <v>0.78169999999999995</v>
      </c>
      <c r="AD156" s="28">
        <f t="shared" si="296"/>
        <v>0.76629999999999998</v>
      </c>
      <c r="AE156" s="28">
        <f t="shared" si="296"/>
        <v>0.7319</v>
      </c>
      <c r="AF156" s="28">
        <f t="shared" si="296"/>
        <v>0.71640000000000004</v>
      </c>
      <c r="AG156" s="28">
        <f t="shared" si="296"/>
        <v>0.68520000000000003</v>
      </c>
      <c r="AH156" s="28">
        <f t="shared" si="296"/>
        <v>0.67559999999999998</v>
      </c>
      <c r="AI156" s="28">
        <f t="shared" si="296"/>
        <v>0.65529999999999999</v>
      </c>
      <c r="AJ156" s="28">
        <f t="shared" si="296"/>
        <v>0.62919999999999998</v>
      </c>
      <c r="AL156" s="35" t="s">
        <v>58</v>
      </c>
      <c r="AM156" s="37">
        <f t="shared" ref="AM156:AV156" si="297">C156*(1+(((2-3*O156^2)/24*AA156^2)+(O156*AA156*C156/4))*0.25)</f>
        <v>0.57099763134903803</v>
      </c>
      <c r="AN156" s="37">
        <f t="shared" si="297"/>
        <v>0.54703104258191571</v>
      </c>
      <c r="AO156" s="37">
        <f t="shared" si="297"/>
        <v>0.53249713654924691</v>
      </c>
      <c r="AP156" s="37">
        <f t="shared" si="297"/>
        <v>0.50403566189291582</v>
      </c>
      <c r="AQ156" s="37">
        <f t="shared" si="297"/>
        <v>0.48611730746194926</v>
      </c>
      <c r="AR156" s="37">
        <f t="shared" si="297"/>
        <v>0.47003702641214451</v>
      </c>
      <c r="AS156" s="37">
        <f t="shared" si="297"/>
        <v>0.4613559920158023</v>
      </c>
      <c r="AT156" s="37">
        <f t="shared" si="297"/>
        <v>0.43718104506549388</v>
      </c>
      <c r="AU156" s="37">
        <f t="shared" si="297"/>
        <v>0.41694872108130859</v>
      </c>
      <c r="AV156" s="37">
        <f t="shared" si="297"/>
        <v>0.40332100766234963</v>
      </c>
    </row>
    <row r="157" spans="1:48" ht="15" customHeight="1">
      <c r="B157" s="35" t="s">
        <v>59</v>
      </c>
      <c r="C157" s="28">
        <f t="shared" ref="C157:L157" si="298">C9+$C$33*C42</f>
        <v>0.55533600000000005</v>
      </c>
      <c r="D157" s="28">
        <f t="shared" si="298"/>
        <v>0.52571120000000005</v>
      </c>
      <c r="E157" s="28">
        <f t="shared" si="298"/>
        <v>0.51553599999999999</v>
      </c>
      <c r="F157" s="28">
        <f t="shared" si="298"/>
        <v>0.49431520000000001</v>
      </c>
      <c r="G157" s="28">
        <f t="shared" si="298"/>
        <v>0.47599360000000002</v>
      </c>
      <c r="H157" s="28">
        <f t="shared" si="298"/>
        <v>0.45409359999999999</v>
      </c>
      <c r="I157" s="28">
        <f t="shared" si="298"/>
        <v>0.44262960000000001</v>
      </c>
      <c r="J157" s="28">
        <f t="shared" si="298"/>
        <v>0.42677519999999997</v>
      </c>
      <c r="K157" s="28">
        <f t="shared" si="298"/>
        <v>0.39886079999999996</v>
      </c>
      <c r="L157" s="28">
        <f t="shared" si="298"/>
        <v>0.38325039999999999</v>
      </c>
      <c r="N157" s="35" t="s">
        <v>59</v>
      </c>
      <c r="O157" s="28">
        <f t="shared" ref="O157:X157" si="299">O9+$D$33*O42</f>
        <v>-0.31990000000000002</v>
      </c>
      <c r="P157" s="28">
        <f t="shared" si="299"/>
        <v>-0.28760000000000002</v>
      </c>
      <c r="Q157" s="28">
        <f t="shared" si="299"/>
        <v>-0.26929999999999998</v>
      </c>
      <c r="R157" s="28">
        <f t="shared" si="299"/>
        <v>-0.2429</v>
      </c>
      <c r="S157" s="28">
        <f t="shared" si="299"/>
        <v>-0.22689999999999999</v>
      </c>
      <c r="T157" s="28">
        <f t="shared" si="299"/>
        <v>-0.21820000000000001</v>
      </c>
      <c r="U157" s="28">
        <f t="shared" si="299"/>
        <v>-0.19670000000000001</v>
      </c>
      <c r="V157" s="28">
        <f t="shared" si="299"/>
        <v>-0.1716</v>
      </c>
      <c r="W157" s="28">
        <f t="shared" si="299"/>
        <v>-0.1651</v>
      </c>
      <c r="X157" s="28">
        <f t="shared" si="299"/>
        <v>-0.13689999999999999</v>
      </c>
      <c r="Z157" s="35" t="s">
        <v>59</v>
      </c>
      <c r="AA157" s="28">
        <f t="shared" ref="AA157:AJ157" si="300">AA9+$E$33*AA42</f>
        <v>0.79890000000000005</v>
      </c>
      <c r="AB157" s="28">
        <f t="shared" si="300"/>
        <v>0.77569999999999995</v>
      </c>
      <c r="AC157" s="28">
        <f t="shared" si="300"/>
        <v>0.75229999999999997</v>
      </c>
      <c r="AD157" s="28">
        <f t="shared" si="300"/>
        <v>0.74429999999999996</v>
      </c>
      <c r="AE157" s="28">
        <f t="shared" si="300"/>
        <v>0.70930000000000004</v>
      </c>
      <c r="AF157" s="28">
        <f t="shared" si="300"/>
        <v>0.68940000000000001</v>
      </c>
      <c r="AG157" s="28">
        <f t="shared" si="300"/>
        <v>0.67</v>
      </c>
      <c r="AH157" s="28">
        <f t="shared" si="300"/>
        <v>0.65739999999999998</v>
      </c>
      <c r="AI157" s="28">
        <f t="shared" si="300"/>
        <v>0.61939999999999995</v>
      </c>
      <c r="AJ157" s="28">
        <f t="shared" si="300"/>
        <v>0.60450000000000004</v>
      </c>
      <c r="AL157" s="35" t="s">
        <v>59</v>
      </c>
      <c r="AM157" s="37">
        <f t="shared" ref="AM157:AV157" si="301">C157*(1+(((2-3*O157^2)/24*AA157^2)+(O157*AA157*C157/4))*0.5)</f>
        <v>0.55798518656092133</v>
      </c>
      <c r="AN157" s="37">
        <f t="shared" si="301"/>
        <v>0.52954913419545757</v>
      </c>
      <c r="AO157" s="37">
        <f t="shared" si="301"/>
        <v>0.51963997707123522</v>
      </c>
      <c r="AP157" s="37">
        <f t="shared" si="301"/>
        <v>0.49919351982069332</v>
      </c>
      <c r="AQ157" s="37">
        <f t="shared" si="301"/>
        <v>0.48064315327875856</v>
      </c>
      <c r="AR157" s="37">
        <f t="shared" si="301"/>
        <v>0.45856653505806466</v>
      </c>
      <c r="AS157" s="37">
        <f t="shared" si="301"/>
        <v>0.44720060548816504</v>
      </c>
      <c r="AT157" s="37">
        <f t="shared" si="301"/>
        <v>0.43155245657519714</v>
      </c>
      <c r="AU157" s="37">
        <f t="shared" si="301"/>
        <v>0.4029425380493673</v>
      </c>
      <c r="AV157" s="37">
        <f t="shared" si="301"/>
        <v>0.38740225596284911</v>
      </c>
    </row>
    <row r="158" spans="1:48" ht="15" customHeight="1">
      <c r="B158" s="35" t="s">
        <v>30</v>
      </c>
      <c r="C158" s="28">
        <f t="shared" ref="C158:L158" si="302">C10+$C$33*C43</f>
        <v>0.53023200000000004</v>
      </c>
      <c r="D158" s="28">
        <f t="shared" si="302"/>
        <v>0.51855200000000001</v>
      </c>
      <c r="E158" s="28">
        <f t="shared" si="302"/>
        <v>0.49948720000000002</v>
      </c>
      <c r="F158" s="28">
        <f t="shared" si="302"/>
        <v>0.48137999999999997</v>
      </c>
      <c r="G158" s="28">
        <f t="shared" si="302"/>
        <v>0.45011279999999998</v>
      </c>
      <c r="H158" s="28">
        <f t="shared" si="302"/>
        <v>0.43437599999999998</v>
      </c>
      <c r="I158" s="28">
        <f t="shared" si="302"/>
        <v>0.41435840000000002</v>
      </c>
      <c r="J158" s="28">
        <f t="shared" si="302"/>
        <v>0.4060976</v>
      </c>
      <c r="K158" s="28">
        <f t="shared" si="302"/>
        <v>0.38986720000000002</v>
      </c>
      <c r="L158" s="28">
        <f t="shared" si="302"/>
        <v>0.35422240000000005</v>
      </c>
      <c r="N158" s="35" t="s">
        <v>30</v>
      </c>
      <c r="O158" s="28">
        <f t="shared" ref="O158:X158" si="303">O10+$D$33*O43</f>
        <v>-0.29809999999999998</v>
      </c>
      <c r="P158" s="28">
        <f t="shared" si="303"/>
        <v>-0.27760000000000001</v>
      </c>
      <c r="Q158" s="28">
        <f t="shared" si="303"/>
        <v>-0.2581</v>
      </c>
      <c r="R158" s="28">
        <f t="shared" si="303"/>
        <v>-0.2336</v>
      </c>
      <c r="S158" s="28">
        <f t="shared" si="303"/>
        <v>-0.21210000000000001</v>
      </c>
      <c r="T158" s="28">
        <f t="shared" si="303"/>
        <v>-0.19919999999999999</v>
      </c>
      <c r="U158" s="28">
        <f t="shared" si="303"/>
        <v>-0.18490000000000001</v>
      </c>
      <c r="V158" s="28">
        <f t="shared" si="303"/>
        <v>-0.15720000000000001</v>
      </c>
      <c r="W158" s="28">
        <f t="shared" si="303"/>
        <v>-0.13869999999999999</v>
      </c>
      <c r="X158" s="28">
        <f t="shared" si="303"/>
        <v>-0.1153</v>
      </c>
      <c r="Z158" s="35" t="s">
        <v>30</v>
      </c>
      <c r="AA158" s="28">
        <f t="shared" ref="AA158:AJ158" si="304">AA10+$E$33*AA43</f>
        <v>0.79239999999999999</v>
      </c>
      <c r="AB158" s="28">
        <f t="shared" si="304"/>
        <v>0.76490000000000002</v>
      </c>
      <c r="AC158" s="28">
        <f t="shared" si="304"/>
        <v>0.73919999999999997</v>
      </c>
      <c r="AD158" s="28">
        <f t="shared" si="304"/>
        <v>0.71899999999999997</v>
      </c>
      <c r="AE158" s="28">
        <f t="shared" si="304"/>
        <v>0.69799999999999995</v>
      </c>
      <c r="AF158" s="28">
        <f t="shared" si="304"/>
        <v>0.6633</v>
      </c>
      <c r="AG158" s="28">
        <f t="shared" si="304"/>
        <v>0.65800000000000003</v>
      </c>
      <c r="AH158" s="28">
        <f t="shared" si="304"/>
        <v>0.63339999999999996</v>
      </c>
      <c r="AI158" s="28">
        <f t="shared" si="304"/>
        <v>0.61299999999999999</v>
      </c>
      <c r="AJ158" s="28">
        <f t="shared" si="304"/>
        <v>0.58930000000000005</v>
      </c>
      <c r="AL158" s="35" t="s">
        <v>30</v>
      </c>
      <c r="AM158" s="37">
        <f t="shared" ref="AM158:AV158" si="305">C158*(1+(((2-3*O158^2)/24*AA158^2)+(O158*AA158*C158/4))*1)</f>
        <v>0.53767541902622495</v>
      </c>
      <c r="AN158" s="37">
        <f t="shared" si="305"/>
        <v>0.52663794753193993</v>
      </c>
      <c r="AO158" s="37">
        <f t="shared" si="305"/>
        <v>0.50805877708352509</v>
      </c>
      <c r="AP158" s="37">
        <f t="shared" si="305"/>
        <v>0.4906903112109296</v>
      </c>
      <c r="AQ158" s="37">
        <f t="shared" si="305"/>
        <v>0.45965578149369551</v>
      </c>
      <c r="AR158" s="37">
        <f t="shared" si="305"/>
        <v>0.44312137054683337</v>
      </c>
      <c r="AS158" s="37">
        <f t="shared" si="305"/>
        <v>0.42331969403133746</v>
      </c>
      <c r="AT158" s="37">
        <f t="shared" si="305"/>
        <v>0.41506620256414833</v>
      </c>
      <c r="AU158" s="37">
        <f t="shared" si="305"/>
        <v>0.39849244177850107</v>
      </c>
      <c r="AV158" s="37">
        <f t="shared" si="305"/>
        <v>0.36213765151208471</v>
      </c>
    </row>
    <row r="159" spans="1:48" ht="15" customHeight="1">
      <c r="B159" s="35" t="s">
        <v>60</v>
      </c>
      <c r="C159" s="28">
        <f t="shared" ref="C159:L159" si="306">C11+$C$33*C44</f>
        <v>0.50906560000000001</v>
      </c>
      <c r="D159" s="28">
        <f t="shared" si="306"/>
        <v>0.49029280000000003</v>
      </c>
      <c r="E159" s="28">
        <f t="shared" si="306"/>
        <v>0.46541840000000001</v>
      </c>
      <c r="F159" s="28">
        <f t="shared" si="306"/>
        <v>0.45804159999999999</v>
      </c>
      <c r="G159" s="28">
        <f t="shared" si="306"/>
        <v>0.42711919999999998</v>
      </c>
      <c r="H159" s="28">
        <f t="shared" si="306"/>
        <v>0.40919759999999999</v>
      </c>
      <c r="I159" s="28">
        <f t="shared" si="306"/>
        <v>0.39266479999999998</v>
      </c>
      <c r="J159" s="28">
        <f t="shared" si="306"/>
        <v>0.37345200000000001</v>
      </c>
      <c r="K159" s="28">
        <f t="shared" si="306"/>
        <v>0.35806719999999997</v>
      </c>
      <c r="L159" s="28">
        <f t="shared" si="306"/>
        <v>0.33371840000000003</v>
      </c>
      <c r="N159" s="35" t="s">
        <v>60</v>
      </c>
      <c r="O159" s="28">
        <f t="shared" ref="O159:X159" si="307">O11+$D$33*O44</f>
        <v>-0.28220000000000001</v>
      </c>
      <c r="P159" s="28">
        <f t="shared" si="307"/>
        <v>-0.25979999999999998</v>
      </c>
      <c r="Q159" s="28">
        <f t="shared" si="307"/>
        <v>-0.24129999999999999</v>
      </c>
      <c r="R159" s="28">
        <f t="shared" si="307"/>
        <v>-0.21659999999999999</v>
      </c>
      <c r="S159" s="28">
        <f t="shared" si="307"/>
        <v>-0.2039</v>
      </c>
      <c r="T159" s="28">
        <f t="shared" si="307"/>
        <v>-0.16750000000000001</v>
      </c>
      <c r="U159" s="28">
        <f t="shared" si="307"/>
        <v>-0.15329999999999999</v>
      </c>
      <c r="V159" s="28">
        <f t="shared" si="307"/>
        <v>-0.1431</v>
      </c>
      <c r="W159" s="28">
        <f t="shared" si="307"/>
        <v>-0.1216</v>
      </c>
      <c r="X159" s="28">
        <f t="shared" si="307"/>
        <v>-0.1003</v>
      </c>
      <c r="Z159" s="35" t="s">
        <v>60</v>
      </c>
      <c r="AA159" s="28">
        <f t="shared" ref="AA159:AJ159" si="308">AA11+$E$33*AA44</f>
        <v>0.75839999999999996</v>
      </c>
      <c r="AB159" s="28">
        <f t="shared" si="308"/>
        <v>0.73129999999999995</v>
      </c>
      <c r="AC159" s="28">
        <f t="shared" si="308"/>
        <v>0.72360000000000002</v>
      </c>
      <c r="AD159" s="28">
        <f t="shared" si="308"/>
        <v>0.70430000000000004</v>
      </c>
      <c r="AE159" s="28">
        <f t="shared" si="308"/>
        <v>0.67149999999999999</v>
      </c>
      <c r="AF159" s="28">
        <f t="shared" si="308"/>
        <v>0.64970000000000006</v>
      </c>
      <c r="AG159" s="28">
        <f t="shared" si="308"/>
        <v>0.61950000000000005</v>
      </c>
      <c r="AH159" s="28">
        <f t="shared" si="308"/>
        <v>0.59760000000000002</v>
      </c>
      <c r="AI159" s="28">
        <f t="shared" si="308"/>
        <v>0.58020000000000005</v>
      </c>
      <c r="AJ159" s="28">
        <f t="shared" si="308"/>
        <v>0.55640000000000001</v>
      </c>
      <c r="AL159" s="35" t="s">
        <v>60</v>
      </c>
      <c r="AM159" s="37">
        <f t="shared" ref="AM159:AV159" si="309">C159*(1+(((2-3*O159^2)/24*AA159^2)+(O159*AA159*C159/4))*2)</f>
        <v>0.5243046500383044</v>
      </c>
      <c r="AN159" s="37">
        <f t="shared" si="309"/>
        <v>0.50673392341984391</v>
      </c>
      <c r="AO159" s="37">
        <f t="shared" si="309"/>
        <v>0.48357546367021237</v>
      </c>
      <c r="AP159" s="37">
        <f t="shared" si="309"/>
        <v>0.47724163283011428</v>
      </c>
      <c r="AQ159" s="37">
        <f t="shared" si="309"/>
        <v>0.44472719498124968</v>
      </c>
      <c r="AR159" s="37">
        <f t="shared" si="309"/>
        <v>0.42766287160899163</v>
      </c>
      <c r="AS159" s="37">
        <f t="shared" si="309"/>
        <v>0.40957413222530376</v>
      </c>
      <c r="AT159" s="37">
        <f t="shared" si="309"/>
        <v>0.38903410705220043</v>
      </c>
      <c r="AU159" s="37">
        <f t="shared" si="309"/>
        <v>0.37318826925339554</v>
      </c>
      <c r="AV159" s="37">
        <f t="shared" si="309"/>
        <v>0.34756982455610641</v>
      </c>
    </row>
    <row r="160" spans="1:48" ht="15" customHeight="1">
      <c r="B160" s="35" t="s">
        <v>61</v>
      </c>
      <c r="C160" s="28">
        <f t="shared" ref="C160:L160" si="310">C12+$C$33*C45</f>
        <v>0.49958720000000001</v>
      </c>
      <c r="D160" s="28">
        <f t="shared" si="310"/>
        <v>0.46734719999999996</v>
      </c>
      <c r="E160" s="28">
        <f t="shared" si="310"/>
        <v>0.44525920000000002</v>
      </c>
      <c r="F160" s="28">
        <f t="shared" si="310"/>
        <v>0.44592720000000002</v>
      </c>
      <c r="G160" s="28">
        <f t="shared" si="310"/>
        <v>0.41791519999999999</v>
      </c>
      <c r="H160" s="28">
        <f t="shared" si="310"/>
        <v>0.39184560000000002</v>
      </c>
      <c r="I160" s="28">
        <f t="shared" si="310"/>
        <v>0.38163439999999998</v>
      </c>
      <c r="J160" s="28">
        <f t="shared" si="310"/>
        <v>0.35234960000000004</v>
      </c>
      <c r="K160" s="28">
        <f t="shared" si="310"/>
        <v>0.34299439999999998</v>
      </c>
      <c r="L160" s="28">
        <f t="shared" si="310"/>
        <v>0.33446559999999997</v>
      </c>
      <c r="N160" s="35" t="s">
        <v>61</v>
      </c>
      <c r="O160" s="28">
        <f t="shared" ref="O160:X160" si="311">O12+$D$33*O45</f>
        <v>-0.2455</v>
      </c>
      <c r="P160" s="28">
        <f t="shared" si="311"/>
        <v>-0.22939999999999999</v>
      </c>
      <c r="Q160" s="28">
        <f t="shared" si="311"/>
        <v>-0.21870000000000001</v>
      </c>
      <c r="R160" s="28">
        <f t="shared" si="311"/>
        <v>-0.1971</v>
      </c>
      <c r="S160" s="28">
        <f t="shared" si="311"/>
        <v>-0.1817</v>
      </c>
      <c r="T160" s="28">
        <f t="shared" si="311"/>
        <v>-0.15010000000000001</v>
      </c>
      <c r="U160" s="28">
        <f t="shared" si="311"/>
        <v>-0.13550000000000001</v>
      </c>
      <c r="V160" s="28">
        <f t="shared" si="311"/>
        <v>-0.1111</v>
      </c>
      <c r="W160" s="28">
        <f t="shared" si="311"/>
        <v>-0.10059999999999999</v>
      </c>
      <c r="X160" s="28">
        <f t="shared" si="311"/>
        <v>-8.3299999999999999E-2</v>
      </c>
      <c r="Z160" s="35" t="s">
        <v>61</v>
      </c>
      <c r="AA160" s="28">
        <f t="shared" ref="AA160:AJ160" si="312">AA12+$E$33*AA45</f>
        <v>0.74509999999999998</v>
      </c>
      <c r="AB160" s="28">
        <f t="shared" si="312"/>
        <v>0.72640000000000005</v>
      </c>
      <c r="AC160" s="28">
        <f t="shared" si="312"/>
        <v>0.70150000000000001</v>
      </c>
      <c r="AD160" s="28">
        <f t="shared" si="312"/>
        <v>0.67830000000000001</v>
      </c>
      <c r="AE160" s="28">
        <f t="shared" si="312"/>
        <v>0.65639999999999998</v>
      </c>
      <c r="AF160" s="28">
        <f t="shared" si="312"/>
        <v>0.63260000000000005</v>
      </c>
      <c r="AG160" s="28">
        <f t="shared" si="312"/>
        <v>0.60009999999999997</v>
      </c>
      <c r="AH160" s="28">
        <f t="shared" si="312"/>
        <v>0.5837</v>
      </c>
      <c r="AI160" s="28">
        <f t="shared" si="312"/>
        <v>0.55820000000000003</v>
      </c>
      <c r="AJ160" s="28">
        <f t="shared" si="312"/>
        <v>0.52949999999999997</v>
      </c>
      <c r="AL160" s="35" t="s">
        <v>61</v>
      </c>
      <c r="AM160" s="37">
        <f t="shared" ref="AM160:AV160" si="313">C160*(1+(((2-3*O160^2)/24*AA160^2)+(O160*AA160*C160/4))*3)</f>
        <v>0.52841672256708827</v>
      </c>
      <c r="AN160" s="37">
        <f t="shared" si="313"/>
        <v>0.49683385432191585</v>
      </c>
      <c r="AO160" s="37">
        <f t="shared" si="313"/>
        <v>0.47329541397135866</v>
      </c>
      <c r="AP160" s="37">
        <f t="shared" si="313"/>
        <v>0.47429131915798983</v>
      </c>
      <c r="AQ160" s="37">
        <f t="shared" si="313"/>
        <v>0.44507886673698815</v>
      </c>
      <c r="AR160" s="37">
        <f t="shared" si="313"/>
        <v>0.41878866112037105</v>
      </c>
      <c r="AS160" s="37">
        <f t="shared" si="313"/>
        <v>0.40616452601905595</v>
      </c>
      <c r="AT160" s="37">
        <f t="shared" si="313"/>
        <v>0.37576754328760725</v>
      </c>
      <c r="AU160" s="37">
        <f t="shared" si="313"/>
        <v>0.36435220752032976</v>
      </c>
      <c r="AV160" s="37">
        <f t="shared" si="313"/>
        <v>0.35396451708877597</v>
      </c>
    </row>
    <row r="161" spans="1:48" ht="15" customHeight="1">
      <c r="B161" s="35" t="s">
        <v>62</v>
      </c>
      <c r="C161" s="28">
        <f t="shared" ref="C161:L161" si="314">C13+$C$33*C46</f>
        <v>0.46396319999999996</v>
      </c>
      <c r="D161" s="28">
        <f t="shared" si="314"/>
        <v>0.45029200000000003</v>
      </c>
      <c r="E161" s="28">
        <f t="shared" si="314"/>
        <v>0.43197039999999998</v>
      </c>
      <c r="F161" s="28">
        <f t="shared" si="314"/>
        <v>0.42137199999999997</v>
      </c>
      <c r="G161" s="28">
        <f t="shared" si="314"/>
        <v>0.40791120000000003</v>
      </c>
      <c r="H161" s="28">
        <f t="shared" si="314"/>
        <v>0.37868159999999995</v>
      </c>
      <c r="I161" s="28">
        <f t="shared" si="314"/>
        <v>0.36978800000000001</v>
      </c>
      <c r="J161" s="28">
        <f t="shared" si="314"/>
        <v>0.35284399999999999</v>
      </c>
      <c r="K161" s="28">
        <f t="shared" si="314"/>
        <v>0.33307999999999999</v>
      </c>
      <c r="L161" s="28">
        <f t="shared" si="314"/>
        <v>0.30303439999999998</v>
      </c>
      <c r="N161" s="35" t="s">
        <v>62</v>
      </c>
      <c r="O161" s="28">
        <f t="shared" ref="O161:X161" si="315">O13+$D$33*O46</f>
        <v>-0.2389</v>
      </c>
      <c r="P161" s="28">
        <f t="shared" si="315"/>
        <v>-0.21940000000000001</v>
      </c>
      <c r="Q161" s="28">
        <f t="shared" si="315"/>
        <v>-0.20050000000000001</v>
      </c>
      <c r="R161" s="28">
        <f t="shared" si="315"/>
        <v>-0.18090000000000001</v>
      </c>
      <c r="S161" s="28">
        <f t="shared" si="315"/>
        <v>-0.15310000000000001</v>
      </c>
      <c r="T161" s="28">
        <f t="shared" si="315"/>
        <v>-0.12809999999999999</v>
      </c>
      <c r="U161" s="28">
        <f t="shared" si="315"/>
        <v>-0.1099</v>
      </c>
      <c r="V161" s="28">
        <f t="shared" si="315"/>
        <v>-9.7600000000000006E-2</v>
      </c>
      <c r="W161" s="28">
        <f t="shared" si="315"/>
        <v>-7.4700000000000003E-2</v>
      </c>
      <c r="X161" s="28">
        <f t="shared" si="315"/>
        <v>-5.2299999999999999E-2</v>
      </c>
      <c r="Z161" s="35" t="s">
        <v>62</v>
      </c>
      <c r="AA161" s="28">
        <f t="shared" ref="AA161:AJ161" si="316">AA13+$E$33*AA46</f>
        <v>0.70840000000000003</v>
      </c>
      <c r="AB161" s="28">
        <f t="shared" si="316"/>
        <v>0.69769999999999999</v>
      </c>
      <c r="AC161" s="28">
        <f t="shared" si="316"/>
        <v>0.6804</v>
      </c>
      <c r="AD161" s="28">
        <f t="shared" si="316"/>
        <v>0.65559999999999996</v>
      </c>
      <c r="AE161" s="28">
        <f t="shared" si="316"/>
        <v>0.63280000000000003</v>
      </c>
      <c r="AF161" s="28">
        <f t="shared" si="316"/>
        <v>0.60509999999999997</v>
      </c>
      <c r="AG161" s="28">
        <f t="shared" si="316"/>
        <v>0.57689999999999997</v>
      </c>
      <c r="AH161" s="28">
        <f t="shared" si="316"/>
        <v>0.56689999999999996</v>
      </c>
      <c r="AI161" s="28">
        <f t="shared" si="316"/>
        <v>0.53549999999999998</v>
      </c>
      <c r="AJ161" s="28">
        <f t="shared" si="316"/>
        <v>0.52270000000000005</v>
      </c>
      <c r="AL161" s="35" t="s">
        <v>62</v>
      </c>
      <c r="AM161" s="37">
        <f t="shared" ref="AM161:AV161" si="317">C161*(1+(((2-3*O161^2)/24*AA161^2)+(O161*AA161*C161/4))*5)</f>
        <v>0.50713305271283204</v>
      </c>
      <c r="AN161" s="37">
        <f t="shared" si="317"/>
        <v>0.49623141368652646</v>
      </c>
      <c r="AO161" s="37">
        <f t="shared" si="317"/>
        <v>0.47845041296324825</v>
      </c>
      <c r="AP161" s="37">
        <f t="shared" si="317"/>
        <v>0.46680844398857679</v>
      </c>
      <c r="AQ161" s="37">
        <f t="shared" si="317"/>
        <v>0.4534271865464462</v>
      </c>
      <c r="AR161" s="37">
        <f t="shared" si="317"/>
        <v>0.42113732150103134</v>
      </c>
      <c r="AS161" s="37">
        <f t="shared" si="317"/>
        <v>0.40930121755154314</v>
      </c>
      <c r="AT161" s="37">
        <f t="shared" si="317"/>
        <v>0.39080642815560357</v>
      </c>
      <c r="AU161" s="37">
        <f t="shared" si="317"/>
        <v>0.36699706167785018</v>
      </c>
      <c r="AV161" s="37">
        <f t="shared" si="317"/>
        <v>0.33425224129360553</v>
      </c>
    </row>
    <row r="162" spans="1:48" ht="15" customHeight="1">
      <c r="B162" s="35" t="s">
        <v>63</v>
      </c>
      <c r="C162" s="28">
        <f t="shared" ref="C162:L162" si="318">C14+$C$33*C47</f>
        <v>0.46434880000000001</v>
      </c>
      <c r="D162" s="28">
        <f t="shared" si="318"/>
        <v>0.43424480000000004</v>
      </c>
      <c r="E162" s="28">
        <f t="shared" si="318"/>
        <v>0.4163232</v>
      </c>
      <c r="F162" s="28">
        <f t="shared" si="318"/>
        <v>0.40795759999999998</v>
      </c>
      <c r="G162" s="28">
        <f t="shared" si="318"/>
        <v>0.38495359999999995</v>
      </c>
      <c r="H162" s="28">
        <f t="shared" si="318"/>
        <v>0.35554079999999999</v>
      </c>
      <c r="I162" s="28">
        <f t="shared" si="318"/>
        <v>0.33510640000000003</v>
      </c>
      <c r="J162" s="28">
        <f t="shared" si="318"/>
        <v>0.31684559999999995</v>
      </c>
      <c r="K162" s="28">
        <f t="shared" si="318"/>
        <v>0.31425999999999998</v>
      </c>
      <c r="L162" s="28">
        <f t="shared" si="318"/>
        <v>0.29350959999999998</v>
      </c>
      <c r="N162" s="35" t="s">
        <v>63</v>
      </c>
      <c r="O162" s="28">
        <f t="shared" ref="O162:X162" si="319">O14+$D$33*O47</f>
        <v>-0.221</v>
      </c>
      <c r="P162" s="28">
        <f t="shared" si="319"/>
        <v>-0.18790000000000001</v>
      </c>
      <c r="Q162" s="28">
        <f t="shared" si="319"/>
        <v>-0.16539999999999999</v>
      </c>
      <c r="R162" s="28">
        <f t="shared" si="319"/>
        <v>-0.15240000000000001</v>
      </c>
      <c r="S162" s="28">
        <f t="shared" si="319"/>
        <v>-0.1391</v>
      </c>
      <c r="T162" s="28">
        <f t="shared" si="319"/>
        <v>-0.1157</v>
      </c>
      <c r="U162" s="28">
        <f t="shared" si="319"/>
        <v>-0.1046</v>
      </c>
      <c r="V162" s="28">
        <f t="shared" si="319"/>
        <v>-8.7499999999999994E-2</v>
      </c>
      <c r="W162" s="28">
        <f t="shared" si="319"/>
        <v>-4.8899999999999999E-2</v>
      </c>
      <c r="X162" s="28">
        <f t="shared" si="319"/>
        <v>-3.5900000000000001E-2</v>
      </c>
      <c r="Z162" s="35" t="s">
        <v>63</v>
      </c>
      <c r="AA162" s="28">
        <f t="shared" ref="AA162:AJ162" si="320">AA14+$E$33*AA47</f>
        <v>0.69499999999999995</v>
      </c>
      <c r="AB162" s="28">
        <f t="shared" si="320"/>
        <v>0.68089999999999995</v>
      </c>
      <c r="AC162" s="28">
        <f t="shared" si="320"/>
        <v>0.64870000000000005</v>
      </c>
      <c r="AD162" s="28">
        <f t="shared" si="320"/>
        <v>0.63519999999999999</v>
      </c>
      <c r="AE162" s="28">
        <f t="shared" si="320"/>
        <v>0.61209999999999998</v>
      </c>
      <c r="AF162" s="28">
        <f t="shared" si="320"/>
        <v>0.5776</v>
      </c>
      <c r="AG162" s="28">
        <f t="shared" si="320"/>
        <v>0.55610000000000004</v>
      </c>
      <c r="AH162" s="28">
        <f t="shared" si="320"/>
        <v>0.53469999999999995</v>
      </c>
      <c r="AI162" s="28">
        <f t="shared" si="320"/>
        <v>0.51149999999999995</v>
      </c>
      <c r="AJ162" s="28">
        <f t="shared" si="320"/>
        <v>0.49619999999999997</v>
      </c>
      <c r="AL162" s="35" t="s">
        <v>63</v>
      </c>
      <c r="AM162" s="37">
        <f t="shared" ref="AM162:AV162" si="321">C162*(1+(((2-3*O162^2)/24*AA162^2)+(O162*AA162*C162/4))*10)</f>
        <v>0.55477024308996625</v>
      </c>
      <c r="AN162" s="37">
        <f t="shared" si="321"/>
        <v>0.5328176941274253</v>
      </c>
      <c r="AO162" s="37">
        <f t="shared" si="321"/>
        <v>0.50983466506574482</v>
      </c>
      <c r="AP162" s="37">
        <f t="shared" si="321"/>
        <v>0.50006966963018418</v>
      </c>
      <c r="AQ162" s="37">
        <f t="shared" si="321"/>
        <v>0.47011301810123279</v>
      </c>
      <c r="AR162" s="37">
        <f t="shared" si="321"/>
        <v>0.43128347592704347</v>
      </c>
      <c r="AS162" s="37">
        <f t="shared" si="321"/>
        <v>0.4037178876689248</v>
      </c>
      <c r="AT162" s="37">
        <f t="shared" si="321"/>
        <v>0.37972588212145381</v>
      </c>
      <c r="AU162" s="37">
        <f t="shared" si="321"/>
        <v>0.37635585906329067</v>
      </c>
      <c r="AV162" s="37">
        <f t="shared" si="321"/>
        <v>0.34977859063378686</v>
      </c>
    </row>
    <row r="163" spans="1:48" ht="15" customHeight="1">
      <c r="B163" s="35" t="s">
        <v>64</v>
      </c>
      <c r="C163" s="28">
        <f t="shared" ref="C163:L163" si="322">C15+$C$33*C48</f>
        <v>0.43127599999999999</v>
      </c>
      <c r="D163" s="28">
        <f t="shared" si="322"/>
        <v>0.4156704</v>
      </c>
      <c r="E163" s="28">
        <f t="shared" si="322"/>
        <v>0.3919936</v>
      </c>
      <c r="F163" s="28">
        <f t="shared" si="322"/>
        <v>0.3891464</v>
      </c>
      <c r="G163" s="28">
        <f t="shared" si="322"/>
        <v>0.35834480000000002</v>
      </c>
      <c r="H163" s="28">
        <f t="shared" si="322"/>
        <v>0.34273680000000001</v>
      </c>
      <c r="I163" s="28">
        <f t="shared" si="322"/>
        <v>0.32643120000000003</v>
      </c>
      <c r="J163" s="28">
        <f t="shared" si="322"/>
        <v>0.31383439999999996</v>
      </c>
      <c r="K163" s="28">
        <f t="shared" si="322"/>
        <v>0.28517199999999998</v>
      </c>
      <c r="L163" s="28">
        <f t="shared" si="322"/>
        <v>0.27836</v>
      </c>
      <c r="N163" s="35" t="s">
        <v>64</v>
      </c>
      <c r="O163" s="28">
        <f t="shared" ref="O163:X163" si="323">O15+$D$33*O48</f>
        <v>-0.19439999999999999</v>
      </c>
      <c r="P163" s="28">
        <f t="shared" si="323"/>
        <v>-0.1744</v>
      </c>
      <c r="Q163" s="28">
        <f t="shared" si="323"/>
        <v>-0.15509999999999999</v>
      </c>
      <c r="R163" s="28">
        <f t="shared" si="323"/>
        <v>-0.1457</v>
      </c>
      <c r="S163" s="28">
        <f t="shared" si="323"/>
        <v>-0.1179</v>
      </c>
      <c r="T163" s="28">
        <f t="shared" si="323"/>
        <v>-0.1036</v>
      </c>
      <c r="U163" s="28">
        <f t="shared" si="323"/>
        <v>-8.77E-2</v>
      </c>
      <c r="V163" s="28">
        <f t="shared" si="323"/>
        <v>-5.2299999999999999E-2</v>
      </c>
      <c r="W163" s="28">
        <f t="shared" si="323"/>
        <v>-4.5400000000000003E-2</v>
      </c>
      <c r="X163" s="28">
        <f t="shared" si="323"/>
        <v>-0.02</v>
      </c>
      <c r="Z163" s="35" t="s">
        <v>64</v>
      </c>
      <c r="AA163" s="28">
        <f t="shared" ref="AA163:AJ163" si="324">AA15+$E$33*AA48</f>
        <v>0.67669999999999997</v>
      </c>
      <c r="AB163" s="28">
        <f t="shared" si="324"/>
        <v>0.65110000000000001</v>
      </c>
      <c r="AC163" s="28">
        <f t="shared" si="324"/>
        <v>0.62429999999999997</v>
      </c>
      <c r="AD163" s="28">
        <f t="shared" si="324"/>
        <v>0.60589999999999999</v>
      </c>
      <c r="AE163" s="28">
        <f t="shared" si="324"/>
        <v>0.58440000000000003</v>
      </c>
      <c r="AF163" s="28">
        <f t="shared" si="324"/>
        <v>0.56679999999999997</v>
      </c>
      <c r="AG163" s="28">
        <f t="shared" si="324"/>
        <v>0.53100000000000003</v>
      </c>
      <c r="AH163" s="28">
        <f t="shared" si="324"/>
        <v>0.51790000000000003</v>
      </c>
      <c r="AI163" s="28">
        <f t="shared" si="324"/>
        <v>0.4894</v>
      </c>
      <c r="AJ163" s="28">
        <f t="shared" si="324"/>
        <v>0.46779999999999999</v>
      </c>
      <c r="AL163" s="35" t="s">
        <v>64</v>
      </c>
      <c r="AM163" s="37">
        <f t="shared" ref="AM163:AV163" si="325">C163*(1+(((2-3*O163^2)/24*AA163^2)+(O163*AA163*C163/4))*20)</f>
        <v>0.6194279915582156</v>
      </c>
      <c r="AN163" s="37">
        <f t="shared" si="325"/>
        <v>0.59786550010065265</v>
      </c>
      <c r="AO163" s="37">
        <f t="shared" si="325"/>
        <v>0.56304508035042622</v>
      </c>
      <c r="AP163" s="37">
        <f t="shared" si="325"/>
        <v>0.5528238208254922</v>
      </c>
      <c r="AQ163" s="37">
        <f t="shared" si="325"/>
        <v>0.51382565204753816</v>
      </c>
      <c r="AR163" s="37">
        <f t="shared" si="325"/>
        <v>0.48880727675394736</v>
      </c>
      <c r="AS163" s="37">
        <f t="shared" si="325"/>
        <v>0.45325168218110778</v>
      </c>
      <c r="AT163" s="37">
        <f t="shared" si="325"/>
        <v>0.44021457313498014</v>
      </c>
      <c r="AU163" s="37">
        <f t="shared" si="325"/>
        <v>0.38962258787924287</v>
      </c>
      <c r="AV163" s="37">
        <f t="shared" si="325"/>
        <v>0.37620007414706291</v>
      </c>
    </row>
    <row r="164" spans="1:48" ht="15" customHeight="1">
      <c r="B164" s="35" t="s">
        <v>65</v>
      </c>
      <c r="C164" s="28">
        <f t="shared" ref="C164:L164" si="326">C16+$C$33*C49</f>
        <v>0.42246879999999998</v>
      </c>
      <c r="D164" s="28">
        <f t="shared" si="326"/>
        <v>0.39980720000000003</v>
      </c>
      <c r="E164" s="28">
        <f t="shared" si="326"/>
        <v>0.38120559999999998</v>
      </c>
      <c r="F164" s="28">
        <f t="shared" si="326"/>
        <v>0.36711680000000002</v>
      </c>
      <c r="G164" s="28">
        <f t="shared" si="326"/>
        <v>0.35089599999999999</v>
      </c>
      <c r="H164" s="28">
        <f t="shared" si="326"/>
        <v>0.32354159999999998</v>
      </c>
      <c r="I164" s="28">
        <f t="shared" si="326"/>
        <v>0.30803439999999999</v>
      </c>
      <c r="J164" s="28">
        <f t="shared" si="326"/>
        <v>0.28675999999999996</v>
      </c>
      <c r="K164" s="28">
        <f t="shared" si="326"/>
        <v>0.27026</v>
      </c>
      <c r="L164" s="28">
        <f t="shared" si="326"/>
        <v>0.25725999999999999</v>
      </c>
      <c r="N164" s="35" t="s">
        <v>65</v>
      </c>
      <c r="O164" s="28">
        <f t="shared" ref="O164:X164" si="327">O16+$D$33*O49</f>
        <v>-0.17599999999999999</v>
      </c>
      <c r="P164" s="28">
        <f t="shared" si="327"/>
        <v>-0.15490000000000001</v>
      </c>
      <c r="Q164" s="28">
        <f t="shared" si="327"/>
        <v>-0.1366</v>
      </c>
      <c r="R164" s="28">
        <f t="shared" si="327"/>
        <v>-0.10780000000000001</v>
      </c>
      <c r="S164" s="28">
        <f t="shared" si="327"/>
        <v>-9.3200000000000005E-2</v>
      </c>
      <c r="T164" s="28">
        <f t="shared" si="327"/>
        <v>-7.0199999999999999E-2</v>
      </c>
      <c r="U164" s="28">
        <f t="shared" si="327"/>
        <v>-4.9500000000000002E-2</v>
      </c>
      <c r="V164" s="28">
        <f t="shared" si="327"/>
        <v>-4.3700000000000003E-2</v>
      </c>
      <c r="W164" s="28">
        <f t="shared" si="327"/>
        <v>-1.83E-2</v>
      </c>
      <c r="X164" s="28">
        <f t="shared" si="327"/>
        <v>8.8999999999999999E-3</v>
      </c>
      <c r="Z164" s="35" t="s">
        <v>65</v>
      </c>
      <c r="AA164" s="28">
        <f t="shared" ref="AA164:AJ164" si="328">AA16+$E$33*AA49</f>
        <v>0.65680000000000005</v>
      </c>
      <c r="AB164" s="28">
        <f t="shared" si="328"/>
        <v>0.62050000000000005</v>
      </c>
      <c r="AC164" s="28">
        <f t="shared" si="328"/>
        <v>0.59799999999999998</v>
      </c>
      <c r="AD164" s="28">
        <f t="shared" si="328"/>
        <v>0.58220000000000005</v>
      </c>
      <c r="AE164" s="28">
        <f t="shared" si="328"/>
        <v>0.55259999999999998</v>
      </c>
      <c r="AF164" s="28">
        <f t="shared" si="328"/>
        <v>0.53369999999999995</v>
      </c>
      <c r="AG164" s="28">
        <f t="shared" si="328"/>
        <v>0.5081</v>
      </c>
      <c r="AH164" s="28">
        <f t="shared" si="328"/>
        <v>0.49780000000000002</v>
      </c>
      <c r="AI164" s="28">
        <f t="shared" si="328"/>
        <v>0.47789999999999999</v>
      </c>
      <c r="AJ164" s="28">
        <f t="shared" si="328"/>
        <v>0.45789999999999997</v>
      </c>
      <c r="AL164" s="35" t="s">
        <v>65</v>
      </c>
      <c r="AM164" s="37">
        <f t="shared" ref="AM164:AV164" si="329">C164*(1+(((2-3*O164^2)/24*AA164^2)+(O164*AA164*C164/4))*30)</f>
        <v>0.7021792514789309</v>
      </c>
      <c r="AN164" s="37">
        <f t="shared" si="329"/>
        <v>0.65556389940703919</v>
      </c>
      <c r="AO164" s="37">
        <f t="shared" si="329"/>
        <v>0.62343936605914652</v>
      </c>
      <c r="AP164" s="37">
        <f t="shared" si="329"/>
        <v>0.60934630778361809</v>
      </c>
      <c r="AQ164" s="37">
        <f t="shared" si="329"/>
        <v>0.5677252988974828</v>
      </c>
      <c r="AR164" s="37">
        <f t="shared" si="329"/>
        <v>0.5228149085071766</v>
      </c>
      <c r="AS164" s="37">
        <f t="shared" si="329"/>
        <v>0.48821502634127439</v>
      </c>
      <c r="AT164" s="37">
        <f t="shared" si="329"/>
        <v>0.45048604044151863</v>
      </c>
      <c r="AU164" s="37">
        <f t="shared" si="329"/>
        <v>0.41970225966985852</v>
      </c>
      <c r="AV164" s="37">
        <f t="shared" si="329"/>
        <v>0.39411765106827162</v>
      </c>
    </row>
    <row r="166" spans="1:48" ht="15" customHeight="1">
      <c r="A166" s="7" t="s">
        <v>140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8" ht="15" customHeight="1">
      <c r="B167" s="7" t="s">
        <v>115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N167" s="7" t="s">
        <v>116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Z167" s="7" t="s">
        <v>117</v>
      </c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L167" s="6" t="s">
        <v>118</v>
      </c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ht="15" customHeight="1">
      <c r="B168" s="20" t="s">
        <v>119</v>
      </c>
      <c r="C168" s="21" t="s">
        <v>120</v>
      </c>
      <c r="D168" s="21" t="s">
        <v>58</v>
      </c>
      <c r="E168" s="21" t="s">
        <v>59</v>
      </c>
      <c r="F168" s="21" t="s">
        <v>30</v>
      </c>
      <c r="G168" s="21" t="s">
        <v>60</v>
      </c>
      <c r="H168" s="21" t="s">
        <v>61</v>
      </c>
      <c r="I168" s="21" t="s">
        <v>62</v>
      </c>
      <c r="J168" s="21" t="s">
        <v>63</v>
      </c>
      <c r="K168" s="21" t="s">
        <v>64</v>
      </c>
      <c r="L168" s="21" t="s">
        <v>65</v>
      </c>
      <c r="N168" s="20" t="s">
        <v>119</v>
      </c>
      <c r="O168" s="21" t="s">
        <v>120</v>
      </c>
      <c r="P168" s="21" t="s">
        <v>58</v>
      </c>
      <c r="Q168" s="21" t="s">
        <v>59</v>
      </c>
      <c r="R168" s="21" t="s">
        <v>30</v>
      </c>
      <c r="S168" s="21" t="s">
        <v>60</v>
      </c>
      <c r="T168" s="21" t="s">
        <v>61</v>
      </c>
      <c r="U168" s="21" t="s">
        <v>62</v>
      </c>
      <c r="V168" s="21" t="s">
        <v>63</v>
      </c>
      <c r="W168" s="21" t="s">
        <v>64</v>
      </c>
      <c r="X168" s="21" t="s">
        <v>65</v>
      </c>
      <c r="Z168" s="20" t="s">
        <v>119</v>
      </c>
      <c r="AA168" s="21" t="s">
        <v>120</v>
      </c>
      <c r="AB168" s="21" t="s">
        <v>58</v>
      </c>
      <c r="AC168" s="21" t="s">
        <v>59</v>
      </c>
      <c r="AD168" s="21" t="s">
        <v>30</v>
      </c>
      <c r="AE168" s="21" t="s">
        <v>60</v>
      </c>
      <c r="AF168" s="21" t="s">
        <v>61</v>
      </c>
      <c r="AG168" s="21" t="s">
        <v>62</v>
      </c>
      <c r="AH168" s="21" t="s">
        <v>63</v>
      </c>
      <c r="AI168" s="21" t="s">
        <v>64</v>
      </c>
      <c r="AJ168" s="21" t="s">
        <v>65</v>
      </c>
      <c r="AL168" s="20" t="s">
        <v>119</v>
      </c>
      <c r="AM168" s="21" t="s">
        <v>120</v>
      </c>
      <c r="AN168" s="21" t="s">
        <v>58</v>
      </c>
      <c r="AO168" s="21" t="s">
        <v>59</v>
      </c>
      <c r="AP168" s="21" t="s">
        <v>30</v>
      </c>
      <c r="AQ168" s="21" t="s">
        <v>60</v>
      </c>
      <c r="AR168" s="21" t="s">
        <v>61</v>
      </c>
      <c r="AS168" s="21" t="s">
        <v>62</v>
      </c>
      <c r="AT168" s="21" t="s">
        <v>63</v>
      </c>
      <c r="AU168" s="21" t="s">
        <v>64</v>
      </c>
      <c r="AV168" s="21" t="s">
        <v>65</v>
      </c>
    </row>
    <row r="169" spans="1:48" ht="15" customHeight="1">
      <c r="B169" s="35" t="s">
        <v>120</v>
      </c>
      <c r="C169" s="28">
        <f t="shared" ref="C169:L169" si="330">C7+$C$34*C40</f>
        <v>0.58892650000000002</v>
      </c>
      <c r="D169" s="28">
        <f t="shared" si="330"/>
        <v>0.56662699999999999</v>
      </c>
      <c r="E169" s="28">
        <f t="shared" si="330"/>
        <v>0.5573300000000001</v>
      </c>
      <c r="F169" s="28">
        <f t="shared" si="330"/>
        <v>0.52690999999999999</v>
      </c>
      <c r="G169" s="28">
        <f t="shared" si="330"/>
        <v>0.51688049999999996</v>
      </c>
      <c r="H169" s="28">
        <f t="shared" si="330"/>
        <v>0.49413050000000003</v>
      </c>
      <c r="I169" s="28">
        <f t="shared" si="330"/>
        <v>0.47008499999999998</v>
      </c>
      <c r="J169" s="28">
        <f t="shared" si="330"/>
        <v>0.46</v>
      </c>
      <c r="K169" s="28">
        <f t="shared" si="330"/>
        <v>0.43124999999999997</v>
      </c>
      <c r="L169" s="28">
        <f t="shared" si="330"/>
        <v>0.41995300000000002</v>
      </c>
      <c r="N169" s="35" t="s">
        <v>120</v>
      </c>
      <c r="O169" s="28">
        <f t="shared" ref="O169:X169" si="331">O7+$D$34*O40</f>
        <v>-0.35859999999999997</v>
      </c>
      <c r="P169" s="28">
        <f t="shared" si="331"/>
        <v>-0.3387</v>
      </c>
      <c r="Q169" s="28">
        <f t="shared" si="331"/>
        <v>-0.31259999999999999</v>
      </c>
      <c r="R169" s="28">
        <f t="shared" si="331"/>
        <v>-0.28510000000000002</v>
      </c>
      <c r="S169" s="28">
        <f t="shared" si="331"/>
        <v>-0.2797</v>
      </c>
      <c r="T169" s="28">
        <f t="shared" si="331"/>
        <v>-0.25829999999999997</v>
      </c>
      <c r="U169" s="28">
        <f t="shared" si="331"/>
        <v>-0.23080000000000001</v>
      </c>
      <c r="V169" s="28">
        <f t="shared" si="331"/>
        <v>-0.2049</v>
      </c>
      <c r="W169" s="28">
        <f t="shared" si="331"/>
        <v>-0.19289999999999999</v>
      </c>
      <c r="X169" s="28">
        <f t="shared" si="331"/>
        <v>-0.17710000000000001</v>
      </c>
      <c r="Z169" s="35" t="s">
        <v>120</v>
      </c>
      <c r="AA169" s="28">
        <f t="shared" ref="AA169:AJ169" si="332">AA7+$E$34*AA40</f>
        <v>0.85950000000000004</v>
      </c>
      <c r="AB169" s="28">
        <f t="shared" si="332"/>
        <v>0.81869999999999998</v>
      </c>
      <c r="AC169" s="28">
        <f t="shared" si="332"/>
        <v>0.81269999999999998</v>
      </c>
      <c r="AD169" s="28">
        <f t="shared" si="332"/>
        <v>0.77910000000000001</v>
      </c>
      <c r="AE169" s="28">
        <f t="shared" si="332"/>
        <v>0.754</v>
      </c>
      <c r="AF169" s="28">
        <f t="shared" si="332"/>
        <v>0.73119999999999996</v>
      </c>
      <c r="AG169" s="28">
        <f t="shared" si="332"/>
        <v>0.71279999999999999</v>
      </c>
      <c r="AH169" s="28">
        <f t="shared" si="332"/>
        <v>0.70079999999999998</v>
      </c>
      <c r="AI169" s="28">
        <f t="shared" si="332"/>
        <v>0.66579999999999995</v>
      </c>
      <c r="AJ169" s="28">
        <f t="shared" si="332"/>
        <v>0.65159999999999996</v>
      </c>
      <c r="AL169" s="35" t="s">
        <v>120</v>
      </c>
      <c r="AM169" s="37">
        <f t="shared" ref="AM169:AV169" si="333">C169*(1+(((2-3*O169^2)/24*AA169^2)+(O169*AA169*C169/4))*0.0833333333333333)</f>
        <v>0.5891379123509215</v>
      </c>
      <c r="AN169" s="37">
        <f t="shared" si="333"/>
        <v>0.5669558236001887</v>
      </c>
      <c r="AO169" s="37">
        <f t="shared" si="333"/>
        <v>0.55786759153131393</v>
      </c>
      <c r="AP169" s="37">
        <f t="shared" si="333"/>
        <v>0.52757550179221624</v>
      </c>
      <c r="AQ169" s="37">
        <f t="shared" si="333"/>
        <v>0.51750786740152832</v>
      </c>
      <c r="AR169" s="37">
        <f t="shared" si="333"/>
        <v>0.49482080193159844</v>
      </c>
      <c r="AS169" s="37">
        <f t="shared" si="333"/>
        <v>0.47085371762069606</v>
      </c>
      <c r="AT169" s="37">
        <f t="shared" si="333"/>
        <v>0.46083704733624953</v>
      </c>
      <c r="AU169" s="37">
        <f t="shared" si="333"/>
        <v>0.43200584706909384</v>
      </c>
      <c r="AV169" s="37">
        <f t="shared" si="333"/>
        <v>0.42070897875846291</v>
      </c>
    </row>
    <row r="170" spans="1:48" ht="15" customHeight="1">
      <c r="B170" s="35" t="s">
        <v>58</v>
      </c>
      <c r="C170" s="28">
        <f t="shared" ref="C170:L170" si="334">C8+$C$34*C41</f>
        <v>0.57582350000000004</v>
      </c>
      <c r="D170" s="28">
        <f t="shared" si="334"/>
        <v>0.55130599999999996</v>
      </c>
      <c r="E170" s="28">
        <f t="shared" si="334"/>
        <v>0.5359005</v>
      </c>
      <c r="F170" s="28">
        <f t="shared" si="334"/>
        <v>0.50677099999999997</v>
      </c>
      <c r="G170" s="28">
        <f t="shared" si="334"/>
        <v>0.48879899999999998</v>
      </c>
      <c r="H170" s="28">
        <f t="shared" si="334"/>
        <v>0.47203099999999998</v>
      </c>
      <c r="I170" s="28">
        <f t="shared" si="334"/>
        <v>0.4631615</v>
      </c>
      <c r="J170" s="28">
        <f t="shared" si="334"/>
        <v>0.43833450000000002</v>
      </c>
      <c r="K170" s="28">
        <f t="shared" si="334"/>
        <v>0.4179505</v>
      </c>
      <c r="L170" s="28">
        <f t="shared" si="334"/>
        <v>0.40410650000000004</v>
      </c>
      <c r="N170" s="35" t="s">
        <v>58</v>
      </c>
      <c r="O170" s="28">
        <f t="shared" ref="O170:X170" si="335">O8+$D$34*O41</f>
        <v>-0.33150000000000002</v>
      </c>
      <c r="P170" s="28">
        <f t="shared" si="335"/>
        <v>-0.31509999999999999</v>
      </c>
      <c r="Q170" s="28">
        <f t="shared" si="335"/>
        <v>-0.2858</v>
      </c>
      <c r="R170" s="28">
        <f t="shared" si="335"/>
        <v>-0.26819999999999999</v>
      </c>
      <c r="S170" s="28">
        <f t="shared" si="335"/>
        <v>-0.25790000000000002</v>
      </c>
      <c r="T170" s="28">
        <f t="shared" si="335"/>
        <v>-0.23180000000000001</v>
      </c>
      <c r="U170" s="28">
        <f t="shared" si="335"/>
        <v>-0.21340000000000001</v>
      </c>
      <c r="V170" s="28">
        <f t="shared" si="335"/>
        <v>-0.18690000000000001</v>
      </c>
      <c r="W170" s="28">
        <f t="shared" si="335"/>
        <v>-0.1704</v>
      </c>
      <c r="X170" s="28">
        <f t="shared" si="335"/>
        <v>-0.1598</v>
      </c>
      <c r="Z170" s="35" t="s">
        <v>58</v>
      </c>
      <c r="AA170" s="28">
        <f t="shared" ref="AA170:AJ170" si="336">AA8+$E$34*AA41</f>
        <v>0.83740000000000003</v>
      </c>
      <c r="AB170" s="28">
        <f t="shared" si="336"/>
        <v>0.79790000000000005</v>
      </c>
      <c r="AC170" s="28">
        <f t="shared" si="336"/>
        <v>0.78169999999999995</v>
      </c>
      <c r="AD170" s="28">
        <f t="shared" si="336"/>
        <v>0.76629999999999998</v>
      </c>
      <c r="AE170" s="28">
        <f t="shared" si="336"/>
        <v>0.7319</v>
      </c>
      <c r="AF170" s="28">
        <f t="shared" si="336"/>
        <v>0.71640000000000004</v>
      </c>
      <c r="AG170" s="28">
        <f t="shared" si="336"/>
        <v>0.68520000000000003</v>
      </c>
      <c r="AH170" s="28">
        <f t="shared" si="336"/>
        <v>0.67559999999999998</v>
      </c>
      <c r="AI170" s="28">
        <f t="shared" si="336"/>
        <v>0.65529999999999999</v>
      </c>
      <c r="AJ170" s="28">
        <f t="shared" si="336"/>
        <v>0.62919999999999998</v>
      </c>
      <c r="AL170" s="35" t="s">
        <v>58</v>
      </c>
      <c r="AM170" s="37">
        <f t="shared" ref="AM170:AV170" si="337">C170*(1+(((2-3*O170^2)/24*AA170^2)+(O170*AA170*C170/4))*0.25)</f>
        <v>0.57709637192693664</v>
      </c>
      <c r="AN170" s="37">
        <f t="shared" si="337"/>
        <v>0.55275320627265423</v>
      </c>
      <c r="AO170" s="37">
        <f t="shared" si="337"/>
        <v>0.5378767511553697</v>
      </c>
      <c r="AP170" s="37">
        <f t="shared" si="337"/>
        <v>0.50900290087803901</v>
      </c>
      <c r="AQ170" s="37">
        <f t="shared" si="337"/>
        <v>0.49089107075434019</v>
      </c>
      <c r="AR170" s="37">
        <f t="shared" si="337"/>
        <v>0.47435875952546636</v>
      </c>
      <c r="AS170" s="37">
        <f t="shared" si="337"/>
        <v>0.46542187394372553</v>
      </c>
      <c r="AT170" s="37">
        <f t="shared" si="337"/>
        <v>0.4407679350576959</v>
      </c>
      <c r="AU170" s="37">
        <f t="shared" si="337"/>
        <v>0.42030762014498779</v>
      </c>
      <c r="AV170" s="37">
        <f t="shared" si="337"/>
        <v>0.40628559609593928</v>
      </c>
    </row>
    <row r="171" spans="1:48" ht="15" customHeight="1">
      <c r="B171" s="35" t="s">
        <v>59</v>
      </c>
      <c r="C171" s="28">
        <f t="shared" ref="C171:L171" si="338">C9+$C$34*C42</f>
        <v>0.56103499999999995</v>
      </c>
      <c r="D171" s="28">
        <f t="shared" si="338"/>
        <v>0.53109450000000002</v>
      </c>
      <c r="E171" s="28">
        <f t="shared" si="338"/>
        <v>0.52072249999999998</v>
      </c>
      <c r="F171" s="28">
        <f t="shared" si="338"/>
        <v>0.49902200000000002</v>
      </c>
      <c r="G171" s="28">
        <f t="shared" si="338"/>
        <v>0.48045850000000001</v>
      </c>
      <c r="H171" s="28">
        <f t="shared" si="338"/>
        <v>0.45804600000000001</v>
      </c>
      <c r="I171" s="28">
        <f t="shared" si="338"/>
        <v>0.446131</v>
      </c>
      <c r="J171" s="28">
        <f t="shared" si="338"/>
        <v>0.43004699999999996</v>
      </c>
      <c r="K171" s="28">
        <f t="shared" si="338"/>
        <v>0.40180049999999995</v>
      </c>
      <c r="L171" s="28">
        <f t="shared" si="338"/>
        <v>0.38569399999999998</v>
      </c>
      <c r="N171" s="35" t="s">
        <v>59</v>
      </c>
      <c r="O171" s="28">
        <f t="shared" ref="O171:X171" si="339">O9+$D$34*O42</f>
        <v>-0.31990000000000002</v>
      </c>
      <c r="P171" s="28">
        <f t="shared" si="339"/>
        <v>-0.28760000000000002</v>
      </c>
      <c r="Q171" s="28">
        <f t="shared" si="339"/>
        <v>-0.26929999999999998</v>
      </c>
      <c r="R171" s="28">
        <f t="shared" si="339"/>
        <v>-0.2429</v>
      </c>
      <c r="S171" s="28">
        <f t="shared" si="339"/>
        <v>-0.22689999999999999</v>
      </c>
      <c r="T171" s="28">
        <f t="shared" si="339"/>
        <v>-0.21820000000000001</v>
      </c>
      <c r="U171" s="28">
        <f t="shared" si="339"/>
        <v>-0.19670000000000001</v>
      </c>
      <c r="V171" s="28">
        <f t="shared" si="339"/>
        <v>-0.1716</v>
      </c>
      <c r="W171" s="28">
        <f t="shared" si="339"/>
        <v>-0.1651</v>
      </c>
      <c r="X171" s="28">
        <f t="shared" si="339"/>
        <v>-0.13689999999999999</v>
      </c>
      <c r="Z171" s="35" t="s">
        <v>59</v>
      </c>
      <c r="AA171" s="28">
        <f t="shared" ref="AA171:AJ171" si="340">AA9+$E$34*AA42</f>
        <v>0.79890000000000005</v>
      </c>
      <c r="AB171" s="28">
        <f t="shared" si="340"/>
        <v>0.77569999999999995</v>
      </c>
      <c r="AC171" s="28">
        <f t="shared" si="340"/>
        <v>0.75229999999999997</v>
      </c>
      <c r="AD171" s="28">
        <f t="shared" si="340"/>
        <v>0.74429999999999996</v>
      </c>
      <c r="AE171" s="28">
        <f t="shared" si="340"/>
        <v>0.70930000000000004</v>
      </c>
      <c r="AF171" s="28">
        <f t="shared" si="340"/>
        <v>0.68940000000000001</v>
      </c>
      <c r="AG171" s="28">
        <f t="shared" si="340"/>
        <v>0.67</v>
      </c>
      <c r="AH171" s="28">
        <f t="shared" si="340"/>
        <v>0.65739999999999998</v>
      </c>
      <c r="AI171" s="28">
        <f t="shared" si="340"/>
        <v>0.61939999999999995</v>
      </c>
      <c r="AJ171" s="28">
        <f t="shared" si="340"/>
        <v>0.60450000000000004</v>
      </c>
      <c r="AL171" s="35" t="s">
        <v>59</v>
      </c>
      <c r="AM171" s="37">
        <f t="shared" ref="AM171:AV171" si="341">C171*(1+(((2-3*O171^2)/24*AA171^2)+(O171*AA171*C171/4))*0.5)</f>
        <v>0.56360923097209026</v>
      </c>
      <c r="AN171" s="37">
        <f t="shared" si="341"/>
        <v>0.53489200636356737</v>
      </c>
      <c r="AO171" s="37">
        <f t="shared" si="341"/>
        <v>0.5247993707114772</v>
      </c>
      <c r="AP171" s="37">
        <f t="shared" si="341"/>
        <v>0.50389369048923871</v>
      </c>
      <c r="AQ171" s="37">
        <f t="shared" si="341"/>
        <v>0.48510851078065448</v>
      </c>
      <c r="AR171" s="37">
        <f t="shared" si="341"/>
        <v>0.46252382589132734</v>
      </c>
      <c r="AS171" s="37">
        <f t="shared" si="341"/>
        <v>0.45071243103462344</v>
      </c>
      <c r="AT171" s="37">
        <f t="shared" si="341"/>
        <v>0.43484103978371524</v>
      </c>
      <c r="AU171" s="37">
        <f t="shared" si="341"/>
        <v>0.40589722266316697</v>
      </c>
      <c r="AV171" s="37">
        <f t="shared" si="341"/>
        <v>0.38986257863769774</v>
      </c>
    </row>
    <row r="172" spans="1:48" ht="15" customHeight="1">
      <c r="B172" s="35" t="s">
        <v>30</v>
      </c>
      <c r="C172" s="28">
        <f t="shared" ref="C172:L172" si="342">C10+$C$34*C43</f>
        <v>0.53558249999999996</v>
      </c>
      <c r="D172" s="28">
        <f t="shared" si="342"/>
        <v>0.52359500000000003</v>
      </c>
      <c r="E172" s="28">
        <f t="shared" si="342"/>
        <v>0.50431700000000002</v>
      </c>
      <c r="F172" s="28">
        <f t="shared" si="342"/>
        <v>0.48578749999999998</v>
      </c>
      <c r="G172" s="28">
        <f t="shared" si="342"/>
        <v>0.4539955</v>
      </c>
      <c r="H172" s="28">
        <f t="shared" si="342"/>
        <v>0.43792249999999999</v>
      </c>
      <c r="I172" s="28">
        <f t="shared" si="342"/>
        <v>0.41749900000000001</v>
      </c>
      <c r="J172" s="28">
        <f t="shared" si="342"/>
        <v>0.40886100000000003</v>
      </c>
      <c r="K172" s="28">
        <f t="shared" si="342"/>
        <v>0.39244200000000001</v>
      </c>
      <c r="L172" s="28">
        <f t="shared" si="342"/>
        <v>0.35627650000000005</v>
      </c>
      <c r="N172" s="35" t="s">
        <v>30</v>
      </c>
      <c r="O172" s="28">
        <f t="shared" ref="O172:X172" si="343">O10+$D$34*O43</f>
        <v>-0.29809999999999998</v>
      </c>
      <c r="P172" s="28">
        <f t="shared" si="343"/>
        <v>-0.27760000000000001</v>
      </c>
      <c r="Q172" s="28">
        <f t="shared" si="343"/>
        <v>-0.2581</v>
      </c>
      <c r="R172" s="28">
        <f t="shared" si="343"/>
        <v>-0.2336</v>
      </c>
      <c r="S172" s="28">
        <f t="shared" si="343"/>
        <v>-0.21210000000000001</v>
      </c>
      <c r="T172" s="28">
        <f t="shared" si="343"/>
        <v>-0.19919999999999999</v>
      </c>
      <c r="U172" s="28">
        <f t="shared" si="343"/>
        <v>-0.18490000000000001</v>
      </c>
      <c r="V172" s="28">
        <f t="shared" si="343"/>
        <v>-0.15720000000000001</v>
      </c>
      <c r="W172" s="28">
        <f t="shared" si="343"/>
        <v>-0.13869999999999999</v>
      </c>
      <c r="X172" s="28">
        <f t="shared" si="343"/>
        <v>-0.1153</v>
      </c>
      <c r="Z172" s="35" t="s">
        <v>30</v>
      </c>
      <c r="AA172" s="28">
        <f t="shared" ref="AA172:AJ172" si="344">AA10+$E$34*AA43</f>
        <v>0.79239999999999999</v>
      </c>
      <c r="AB172" s="28">
        <f t="shared" si="344"/>
        <v>0.76490000000000002</v>
      </c>
      <c r="AC172" s="28">
        <f t="shared" si="344"/>
        <v>0.73919999999999997</v>
      </c>
      <c r="AD172" s="28">
        <f t="shared" si="344"/>
        <v>0.71899999999999997</v>
      </c>
      <c r="AE172" s="28">
        <f t="shared" si="344"/>
        <v>0.69799999999999995</v>
      </c>
      <c r="AF172" s="28">
        <f t="shared" si="344"/>
        <v>0.6633</v>
      </c>
      <c r="AG172" s="28">
        <f t="shared" si="344"/>
        <v>0.65800000000000003</v>
      </c>
      <c r="AH172" s="28">
        <f t="shared" si="344"/>
        <v>0.63339999999999996</v>
      </c>
      <c r="AI172" s="28">
        <f t="shared" si="344"/>
        <v>0.61299999999999999</v>
      </c>
      <c r="AJ172" s="28">
        <f t="shared" si="344"/>
        <v>0.58930000000000005</v>
      </c>
      <c r="AL172" s="35" t="s">
        <v>30</v>
      </c>
      <c r="AM172" s="37">
        <f t="shared" ref="AM172:AV172" si="345">C172*(1+(((2-3*O172^2)/24*AA172^2)+(O172*AA172*C172/4))*1)</f>
        <v>0.54293180352688897</v>
      </c>
      <c r="AN172" s="37">
        <f t="shared" si="345"/>
        <v>0.53161941673966218</v>
      </c>
      <c r="AO172" s="37">
        <f t="shared" si="345"/>
        <v>0.51285528240711487</v>
      </c>
      <c r="AP172" s="37">
        <f t="shared" si="345"/>
        <v>0.49509315183931318</v>
      </c>
      <c r="AQ172" s="37">
        <f t="shared" si="345"/>
        <v>0.46355555869285436</v>
      </c>
      <c r="AR172" s="37">
        <f t="shared" si="345"/>
        <v>0.44668797060474413</v>
      </c>
      <c r="AS172" s="37">
        <f t="shared" si="345"/>
        <v>0.4264883340771663</v>
      </c>
      <c r="AT172" s="37">
        <f t="shared" si="345"/>
        <v>0.41786250698564259</v>
      </c>
      <c r="AU172" s="37">
        <f t="shared" si="345"/>
        <v>0.40110272736069447</v>
      </c>
      <c r="AV172" s="37">
        <f t="shared" si="345"/>
        <v>0.36422522001604263</v>
      </c>
    </row>
    <row r="173" spans="1:48" ht="15" customHeight="1">
      <c r="B173" s="35" t="s">
        <v>60</v>
      </c>
      <c r="C173" s="28">
        <f t="shared" ref="C173:L173" si="346">C11+$C$34*C44</f>
        <v>0.51416600000000001</v>
      </c>
      <c r="D173" s="28">
        <f t="shared" si="346"/>
        <v>0.49499550000000003</v>
      </c>
      <c r="E173" s="28">
        <f t="shared" si="346"/>
        <v>0.46968650000000001</v>
      </c>
      <c r="F173" s="28">
        <f t="shared" si="346"/>
        <v>0.46207599999999999</v>
      </c>
      <c r="G173" s="28">
        <f t="shared" si="346"/>
        <v>0.43063699999999999</v>
      </c>
      <c r="H173" s="28">
        <f t="shared" si="346"/>
        <v>0.41247349999999999</v>
      </c>
      <c r="I173" s="28">
        <f t="shared" si="346"/>
        <v>0.39544050000000003</v>
      </c>
      <c r="J173" s="28">
        <f t="shared" si="346"/>
        <v>0.3759325</v>
      </c>
      <c r="K173" s="28">
        <f t="shared" si="346"/>
        <v>0.36012949999999999</v>
      </c>
      <c r="L173" s="28">
        <f t="shared" si="346"/>
        <v>0.335424</v>
      </c>
      <c r="N173" s="35" t="s">
        <v>60</v>
      </c>
      <c r="O173" s="28">
        <f t="shared" ref="O173:X173" si="347">O11+$D$34*O44</f>
        <v>-0.28220000000000001</v>
      </c>
      <c r="P173" s="28">
        <f t="shared" si="347"/>
        <v>-0.25979999999999998</v>
      </c>
      <c r="Q173" s="28">
        <f t="shared" si="347"/>
        <v>-0.24129999999999999</v>
      </c>
      <c r="R173" s="28">
        <f t="shared" si="347"/>
        <v>-0.21659999999999999</v>
      </c>
      <c r="S173" s="28">
        <f t="shared" si="347"/>
        <v>-0.2039</v>
      </c>
      <c r="T173" s="28">
        <f t="shared" si="347"/>
        <v>-0.16750000000000001</v>
      </c>
      <c r="U173" s="28">
        <f t="shared" si="347"/>
        <v>-0.15329999999999999</v>
      </c>
      <c r="V173" s="28">
        <f t="shared" si="347"/>
        <v>-0.1431</v>
      </c>
      <c r="W173" s="28">
        <f t="shared" si="347"/>
        <v>-0.1216</v>
      </c>
      <c r="X173" s="28">
        <f t="shared" si="347"/>
        <v>-0.1003</v>
      </c>
      <c r="Z173" s="35" t="s">
        <v>60</v>
      </c>
      <c r="AA173" s="28">
        <f t="shared" ref="AA173:AJ173" si="348">AA11+$E$34*AA44</f>
        <v>0.75839999999999996</v>
      </c>
      <c r="AB173" s="28">
        <f t="shared" si="348"/>
        <v>0.73129999999999995</v>
      </c>
      <c r="AC173" s="28">
        <f t="shared" si="348"/>
        <v>0.72360000000000002</v>
      </c>
      <c r="AD173" s="28">
        <f t="shared" si="348"/>
        <v>0.70430000000000004</v>
      </c>
      <c r="AE173" s="28">
        <f t="shared" si="348"/>
        <v>0.67149999999999999</v>
      </c>
      <c r="AF173" s="28">
        <f t="shared" si="348"/>
        <v>0.64970000000000006</v>
      </c>
      <c r="AG173" s="28">
        <f t="shared" si="348"/>
        <v>0.61950000000000005</v>
      </c>
      <c r="AH173" s="28">
        <f t="shared" si="348"/>
        <v>0.59760000000000002</v>
      </c>
      <c r="AI173" s="28">
        <f t="shared" si="348"/>
        <v>0.58020000000000005</v>
      </c>
      <c r="AJ173" s="28">
        <f t="shared" si="348"/>
        <v>0.55640000000000001</v>
      </c>
      <c r="AL173" s="35" t="s">
        <v>60</v>
      </c>
      <c r="AM173" s="37">
        <f t="shared" ref="AM173:AV173" si="349">C173*(1+(((2-3*O173^2)/24*AA173^2)+(O173*AA173*C173/4))*2)</f>
        <v>0.52927710298219044</v>
      </c>
      <c r="AN173" s="37">
        <f t="shared" si="349"/>
        <v>0.51137318751018546</v>
      </c>
      <c r="AO173" s="37">
        <f t="shared" si="349"/>
        <v>0.48783505997399224</v>
      </c>
      <c r="AP173" s="37">
        <f t="shared" si="349"/>
        <v>0.48130295234781745</v>
      </c>
      <c r="AQ173" s="37">
        <f t="shared" si="349"/>
        <v>0.44828630750576121</v>
      </c>
      <c r="AR173" s="37">
        <f t="shared" si="349"/>
        <v>0.43101307524223265</v>
      </c>
      <c r="AS173" s="37">
        <f t="shared" si="349"/>
        <v>0.41241724192233925</v>
      </c>
      <c r="AT173" s="37">
        <f t="shared" si="349"/>
        <v>0.39157823261443675</v>
      </c>
      <c r="AU173" s="37">
        <f t="shared" si="349"/>
        <v>0.37531146012685052</v>
      </c>
      <c r="AV173" s="37">
        <f t="shared" si="349"/>
        <v>0.34933025419855435</v>
      </c>
    </row>
    <row r="174" spans="1:48" ht="15" customHeight="1">
      <c r="B174" s="35" t="s">
        <v>61</v>
      </c>
      <c r="C174" s="28">
        <f t="shared" ref="C174:L174" si="350">C12+$C$34*C45</f>
        <v>0.504417</v>
      </c>
      <c r="D174" s="28">
        <f t="shared" si="350"/>
        <v>0.47176699999999999</v>
      </c>
      <c r="E174" s="28">
        <f t="shared" si="350"/>
        <v>0.449187</v>
      </c>
      <c r="F174" s="28">
        <f t="shared" si="350"/>
        <v>0.44962950000000002</v>
      </c>
      <c r="G174" s="28">
        <f t="shared" si="350"/>
        <v>0.42108450000000003</v>
      </c>
      <c r="H174" s="28">
        <f t="shared" si="350"/>
        <v>0.39469100000000001</v>
      </c>
      <c r="I174" s="28">
        <f t="shared" si="350"/>
        <v>0.38422149999999999</v>
      </c>
      <c r="J174" s="28">
        <f t="shared" si="350"/>
        <v>0.35451850000000001</v>
      </c>
      <c r="K174" s="28">
        <f t="shared" si="350"/>
        <v>0.34465899999999999</v>
      </c>
      <c r="L174" s="28">
        <f t="shared" si="350"/>
        <v>0.33597850000000001</v>
      </c>
      <c r="N174" s="35" t="s">
        <v>61</v>
      </c>
      <c r="O174" s="28">
        <f t="shared" ref="O174:X174" si="351">O12+$D$34*O45</f>
        <v>-0.2455</v>
      </c>
      <c r="P174" s="28">
        <f t="shared" si="351"/>
        <v>-0.22939999999999999</v>
      </c>
      <c r="Q174" s="28">
        <f t="shared" si="351"/>
        <v>-0.21870000000000001</v>
      </c>
      <c r="R174" s="28">
        <f t="shared" si="351"/>
        <v>-0.1971</v>
      </c>
      <c r="S174" s="28">
        <f t="shared" si="351"/>
        <v>-0.1817</v>
      </c>
      <c r="T174" s="28">
        <f t="shared" si="351"/>
        <v>-0.15010000000000001</v>
      </c>
      <c r="U174" s="28">
        <f t="shared" si="351"/>
        <v>-0.13550000000000001</v>
      </c>
      <c r="V174" s="28">
        <f t="shared" si="351"/>
        <v>-0.1111</v>
      </c>
      <c r="W174" s="28">
        <f t="shared" si="351"/>
        <v>-0.10059999999999999</v>
      </c>
      <c r="X174" s="28">
        <f t="shared" si="351"/>
        <v>-8.3299999999999999E-2</v>
      </c>
      <c r="Z174" s="35" t="s">
        <v>61</v>
      </c>
      <c r="AA174" s="28">
        <f t="shared" ref="AA174:AJ174" si="352">AA12+$E$34*AA45</f>
        <v>0.74509999999999998</v>
      </c>
      <c r="AB174" s="28">
        <f t="shared" si="352"/>
        <v>0.72640000000000005</v>
      </c>
      <c r="AC174" s="28">
        <f t="shared" si="352"/>
        <v>0.70150000000000001</v>
      </c>
      <c r="AD174" s="28">
        <f t="shared" si="352"/>
        <v>0.67830000000000001</v>
      </c>
      <c r="AE174" s="28">
        <f t="shared" si="352"/>
        <v>0.65639999999999998</v>
      </c>
      <c r="AF174" s="28">
        <f t="shared" si="352"/>
        <v>0.63260000000000005</v>
      </c>
      <c r="AG174" s="28">
        <f t="shared" si="352"/>
        <v>0.60009999999999997</v>
      </c>
      <c r="AH174" s="28">
        <f t="shared" si="352"/>
        <v>0.5837</v>
      </c>
      <c r="AI174" s="28">
        <f t="shared" si="352"/>
        <v>0.55820000000000003</v>
      </c>
      <c r="AJ174" s="28">
        <f t="shared" si="352"/>
        <v>0.52949999999999997</v>
      </c>
      <c r="AL174" s="35" t="s">
        <v>61</v>
      </c>
      <c r="AM174" s="37">
        <f t="shared" ref="AM174:AV174" si="353">C174*(1+(((2-3*O174^2)/24*AA174^2)+(O174*AA174*C174/4))*3)</f>
        <v>0.53319100374564099</v>
      </c>
      <c r="AN174" s="37">
        <f t="shared" si="353"/>
        <v>0.50127192399946374</v>
      </c>
      <c r="AO174" s="37">
        <f t="shared" si="353"/>
        <v>0.47726752351006363</v>
      </c>
      <c r="AP174" s="37">
        <f t="shared" si="353"/>
        <v>0.4780621962991487</v>
      </c>
      <c r="AQ174" s="37">
        <f t="shared" si="353"/>
        <v>0.44833478891360895</v>
      </c>
      <c r="AR174" s="37">
        <f t="shared" si="353"/>
        <v>0.4217497308520804</v>
      </c>
      <c r="AS174" s="37">
        <f t="shared" si="353"/>
        <v>0.40885729533196585</v>
      </c>
      <c r="AT174" s="37">
        <f t="shared" si="353"/>
        <v>0.37804319566204458</v>
      </c>
      <c r="AU174" s="37">
        <f t="shared" si="353"/>
        <v>0.36609629708607899</v>
      </c>
      <c r="AV174" s="37">
        <f t="shared" si="353"/>
        <v>0.35554880233909031</v>
      </c>
    </row>
    <row r="175" spans="1:48" ht="15" customHeight="1">
      <c r="B175" s="35" t="s">
        <v>62</v>
      </c>
      <c r="C175" s="28">
        <f t="shared" ref="C175:L175" si="354">C13+$C$34*C46</f>
        <v>0.46823949999999998</v>
      </c>
      <c r="D175" s="28">
        <f t="shared" si="354"/>
        <v>0.45420749999999999</v>
      </c>
      <c r="E175" s="28">
        <f t="shared" si="354"/>
        <v>0.43564399999999998</v>
      </c>
      <c r="F175" s="28">
        <f t="shared" si="354"/>
        <v>0.42457</v>
      </c>
      <c r="G175" s="28">
        <f t="shared" si="354"/>
        <v>0.41073199999999999</v>
      </c>
      <c r="H175" s="28">
        <f t="shared" si="354"/>
        <v>0.38107599999999997</v>
      </c>
      <c r="I175" s="28">
        <f t="shared" si="354"/>
        <v>0.37181750000000002</v>
      </c>
      <c r="J175" s="28">
        <f t="shared" si="354"/>
        <v>0.35462750000000004</v>
      </c>
      <c r="K175" s="28">
        <f t="shared" si="354"/>
        <v>0.3344125</v>
      </c>
      <c r="L175" s="28">
        <f t="shared" si="354"/>
        <v>0.30408400000000002</v>
      </c>
      <c r="N175" s="35" t="s">
        <v>62</v>
      </c>
      <c r="O175" s="28">
        <f t="shared" ref="O175:X175" si="355">O13+$D$34*O46</f>
        <v>-0.2389</v>
      </c>
      <c r="P175" s="28">
        <f t="shared" si="355"/>
        <v>-0.21940000000000001</v>
      </c>
      <c r="Q175" s="28">
        <f t="shared" si="355"/>
        <v>-0.20050000000000001</v>
      </c>
      <c r="R175" s="28">
        <f t="shared" si="355"/>
        <v>-0.18090000000000001</v>
      </c>
      <c r="S175" s="28">
        <f t="shared" si="355"/>
        <v>-0.15310000000000001</v>
      </c>
      <c r="T175" s="28">
        <f t="shared" si="355"/>
        <v>-0.12809999999999999</v>
      </c>
      <c r="U175" s="28">
        <f t="shared" si="355"/>
        <v>-0.1099</v>
      </c>
      <c r="V175" s="28">
        <f t="shared" si="355"/>
        <v>-9.7600000000000006E-2</v>
      </c>
      <c r="W175" s="28">
        <f t="shared" si="355"/>
        <v>-7.4700000000000003E-2</v>
      </c>
      <c r="X175" s="28">
        <f t="shared" si="355"/>
        <v>-5.2299999999999999E-2</v>
      </c>
      <c r="Z175" s="35" t="s">
        <v>62</v>
      </c>
      <c r="AA175" s="28">
        <f t="shared" ref="AA175:AJ175" si="356">AA13+$E$34*AA46</f>
        <v>0.70840000000000003</v>
      </c>
      <c r="AB175" s="28">
        <f t="shared" si="356"/>
        <v>0.69769999999999999</v>
      </c>
      <c r="AC175" s="28">
        <f t="shared" si="356"/>
        <v>0.6804</v>
      </c>
      <c r="AD175" s="28">
        <f t="shared" si="356"/>
        <v>0.65559999999999996</v>
      </c>
      <c r="AE175" s="28">
        <f t="shared" si="356"/>
        <v>0.63280000000000003</v>
      </c>
      <c r="AF175" s="28">
        <f t="shared" si="356"/>
        <v>0.60509999999999997</v>
      </c>
      <c r="AG175" s="28">
        <f t="shared" si="356"/>
        <v>0.57689999999999997</v>
      </c>
      <c r="AH175" s="28">
        <f t="shared" si="356"/>
        <v>0.56689999999999996</v>
      </c>
      <c r="AI175" s="28">
        <f t="shared" si="356"/>
        <v>0.53549999999999998</v>
      </c>
      <c r="AJ175" s="28">
        <f t="shared" si="356"/>
        <v>0.52270000000000005</v>
      </c>
      <c r="AL175" s="35" t="s">
        <v>62</v>
      </c>
      <c r="AM175" s="37">
        <f t="shared" ref="AM175:AV175" si="357">C175*(1+(((2-3*O175^2)/24*AA175^2)+(O175*AA175*C175/4))*5)</f>
        <v>0.51138365935675767</v>
      </c>
      <c r="AN175" s="37">
        <f t="shared" si="357"/>
        <v>0.50020608238634312</v>
      </c>
      <c r="AO175" s="37">
        <f t="shared" si="357"/>
        <v>0.48224638679931942</v>
      </c>
      <c r="AP175" s="37">
        <f t="shared" si="357"/>
        <v>0.47014999678250519</v>
      </c>
      <c r="AQ175" s="37">
        <f t="shared" si="357"/>
        <v>0.45642243206380123</v>
      </c>
      <c r="AR175" s="37">
        <f t="shared" si="357"/>
        <v>0.42371175998976063</v>
      </c>
      <c r="AS175" s="37">
        <f t="shared" si="357"/>
        <v>0.41148777357187161</v>
      </c>
      <c r="AT175" s="37">
        <f t="shared" si="357"/>
        <v>0.39273807130136784</v>
      </c>
      <c r="AU175" s="37">
        <f t="shared" si="357"/>
        <v>0.36844296699043183</v>
      </c>
      <c r="AV175" s="37">
        <f t="shared" si="357"/>
        <v>0.33539906203994496</v>
      </c>
    </row>
    <row r="176" spans="1:48" ht="15" customHeight="1">
      <c r="B176" s="35" t="s">
        <v>63</v>
      </c>
      <c r="C176" s="28">
        <f t="shared" ref="C176:L176" si="358">C14+$C$34*C47</f>
        <v>0.46829300000000001</v>
      </c>
      <c r="D176" s="28">
        <f t="shared" si="358"/>
        <v>0.43784050000000002</v>
      </c>
      <c r="E176" s="28">
        <f t="shared" si="358"/>
        <v>0.41967700000000002</v>
      </c>
      <c r="F176" s="28">
        <f t="shared" si="358"/>
        <v>0.41082350000000001</v>
      </c>
      <c r="G176" s="28">
        <f t="shared" si="358"/>
        <v>0.38747099999999995</v>
      </c>
      <c r="H176" s="28">
        <f t="shared" si="358"/>
        <v>0.357763</v>
      </c>
      <c r="I176" s="28">
        <f t="shared" si="358"/>
        <v>0.33679150000000002</v>
      </c>
      <c r="J176" s="28">
        <f t="shared" si="358"/>
        <v>0.31815349999999998</v>
      </c>
      <c r="K176" s="28">
        <f t="shared" si="358"/>
        <v>0.31538749999999999</v>
      </c>
      <c r="L176" s="28">
        <f t="shared" si="358"/>
        <v>0.29424349999999999</v>
      </c>
      <c r="N176" s="35" t="s">
        <v>63</v>
      </c>
      <c r="O176" s="28">
        <f t="shared" ref="O176:X176" si="359">O14+$D$34*O47</f>
        <v>-0.221</v>
      </c>
      <c r="P176" s="28">
        <f t="shared" si="359"/>
        <v>-0.18790000000000001</v>
      </c>
      <c r="Q176" s="28">
        <f t="shared" si="359"/>
        <v>-0.16539999999999999</v>
      </c>
      <c r="R176" s="28">
        <f t="shared" si="359"/>
        <v>-0.15240000000000001</v>
      </c>
      <c r="S176" s="28">
        <f t="shared" si="359"/>
        <v>-0.1391</v>
      </c>
      <c r="T176" s="28">
        <f t="shared" si="359"/>
        <v>-0.1157</v>
      </c>
      <c r="U176" s="28">
        <f t="shared" si="359"/>
        <v>-0.1046</v>
      </c>
      <c r="V176" s="28">
        <f t="shared" si="359"/>
        <v>-8.7499999999999994E-2</v>
      </c>
      <c r="W176" s="28">
        <f t="shared" si="359"/>
        <v>-4.8899999999999999E-2</v>
      </c>
      <c r="X176" s="28">
        <f t="shared" si="359"/>
        <v>-3.5900000000000001E-2</v>
      </c>
      <c r="Z176" s="35" t="s">
        <v>63</v>
      </c>
      <c r="AA176" s="28">
        <f t="shared" ref="AA176:AJ176" si="360">AA14+$E$34*AA47</f>
        <v>0.69499999999999995</v>
      </c>
      <c r="AB176" s="28">
        <f t="shared" si="360"/>
        <v>0.68089999999999995</v>
      </c>
      <c r="AC176" s="28">
        <f t="shared" si="360"/>
        <v>0.64870000000000005</v>
      </c>
      <c r="AD176" s="28">
        <f t="shared" si="360"/>
        <v>0.63519999999999999</v>
      </c>
      <c r="AE176" s="28">
        <f t="shared" si="360"/>
        <v>0.61209999999999998</v>
      </c>
      <c r="AF176" s="28">
        <f t="shared" si="360"/>
        <v>0.5776</v>
      </c>
      <c r="AG176" s="28">
        <f t="shared" si="360"/>
        <v>0.55610000000000004</v>
      </c>
      <c r="AH176" s="28">
        <f t="shared" si="360"/>
        <v>0.53469999999999995</v>
      </c>
      <c r="AI176" s="28">
        <f t="shared" si="360"/>
        <v>0.51149999999999995</v>
      </c>
      <c r="AJ176" s="28">
        <f t="shared" si="360"/>
        <v>0.49619999999999997</v>
      </c>
      <c r="AL176" s="35" t="s">
        <v>63</v>
      </c>
      <c r="AM176" s="37">
        <f t="shared" ref="AM176:AV176" si="361">C176*(1+(((2-3*O176^2)/24*AA176^2)+(O176*AA176*C176/4))*10)</f>
        <v>0.55877324622164959</v>
      </c>
      <c r="AN176" s="37">
        <f t="shared" si="361"/>
        <v>0.53672605442946308</v>
      </c>
      <c r="AO176" s="37">
        <f t="shared" si="361"/>
        <v>0.51356422341105823</v>
      </c>
      <c r="AP176" s="37">
        <f t="shared" si="361"/>
        <v>0.50329771751489039</v>
      </c>
      <c r="AQ176" s="37">
        <f t="shared" si="361"/>
        <v>0.47297969159267755</v>
      </c>
      <c r="AR176" s="37">
        <f t="shared" si="361"/>
        <v>0.43384625777981706</v>
      </c>
      <c r="AS176" s="37">
        <f t="shared" si="361"/>
        <v>0.40566547419774523</v>
      </c>
      <c r="AT176" s="37">
        <f t="shared" si="361"/>
        <v>0.38124467334555406</v>
      </c>
      <c r="AU176" s="37">
        <f t="shared" si="361"/>
        <v>0.37768391024369519</v>
      </c>
      <c r="AV176" s="37">
        <f t="shared" si="361"/>
        <v>0.35064357036854515</v>
      </c>
    </row>
    <row r="177" spans="1:48" ht="15" customHeight="1">
      <c r="B177" s="35" t="s">
        <v>64</v>
      </c>
      <c r="C177" s="28">
        <f t="shared" ref="C177:L177" si="362">C15+$C$34*C48</f>
        <v>0.4348225</v>
      </c>
      <c r="D177" s="28">
        <f t="shared" si="362"/>
        <v>0.41883149999999997</v>
      </c>
      <c r="E177" s="28">
        <f t="shared" si="362"/>
        <v>0.39492100000000002</v>
      </c>
      <c r="F177" s="28">
        <f t="shared" si="362"/>
        <v>0.39175399999999999</v>
      </c>
      <c r="G177" s="28">
        <f t="shared" si="362"/>
        <v>0.36040300000000003</v>
      </c>
      <c r="H177" s="28">
        <f t="shared" si="362"/>
        <v>0.34461050000000004</v>
      </c>
      <c r="I177" s="28">
        <f t="shared" si="362"/>
        <v>0.32791950000000003</v>
      </c>
      <c r="J177" s="28">
        <f t="shared" si="362"/>
        <v>0.314884</v>
      </c>
      <c r="K177" s="28">
        <f t="shared" si="362"/>
        <v>0.28580749999999999</v>
      </c>
      <c r="L177" s="28">
        <f t="shared" si="362"/>
        <v>0.27897500000000003</v>
      </c>
      <c r="N177" s="35" t="s">
        <v>64</v>
      </c>
      <c r="O177" s="28">
        <f t="shared" ref="O177:X177" si="363">O15+$D$34*O48</f>
        <v>-0.19439999999999999</v>
      </c>
      <c r="P177" s="28">
        <f t="shared" si="363"/>
        <v>-0.1744</v>
      </c>
      <c r="Q177" s="28">
        <f t="shared" si="363"/>
        <v>-0.15509999999999999</v>
      </c>
      <c r="R177" s="28">
        <f t="shared" si="363"/>
        <v>-0.1457</v>
      </c>
      <c r="S177" s="28">
        <f t="shared" si="363"/>
        <v>-0.1179</v>
      </c>
      <c r="T177" s="28">
        <f t="shared" si="363"/>
        <v>-0.1036</v>
      </c>
      <c r="U177" s="28">
        <f t="shared" si="363"/>
        <v>-8.77E-2</v>
      </c>
      <c r="V177" s="28">
        <f t="shared" si="363"/>
        <v>-5.2299999999999999E-2</v>
      </c>
      <c r="W177" s="28">
        <f t="shared" si="363"/>
        <v>-4.5400000000000003E-2</v>
      </c>
      <c r="X177" s="28">
        <f t="shared" si="363"/>
        <v>-0.02</v>
      </c>
      <c r="Z177" s="35" t="s">
        <v>64</v>
      </c>
      <c r="AA177" s="28">
        <f t="shared" ref="AA177:AJ177" si="364">AA15+$E$34*AA48</f>
        <v>0.67669999999999997</v>
      </c>
      <c r="AB177" s="28">
        <f t="shared" si="364"/>
        <v>0.65110000000000001</v>
      </c>
      <c r="AC177" s="28">
        <f t="shared" si="364"/>
        <v>0.62429999999999997</v>
      </c>
      <c r="AD177" s="28">
        <f t="shared" si="364"/>
        <v>0.60589999999999999</v>
      </c>
      <c r="AE177" s="28">
        <f t="shared" si="364"/>
        <v>0.58440000000000003</v>
      </c>
      <c r="AF177" s="28">
        <f t="shared" si="364"/>
        <v>0.56679999999999997</v>
      </c>
      <c r="AG177" s="28">
        <f t="shared" si="364"/>
        <v>0.53100000000000003</v>
      </c>
      <c r="AH177" s="28">
        <f t="shared" si="364"/>
        <v>0.51790000000000003</v>
      </c>
      <c r="AI177" s="28">
        <f t="shared" si="364"/>
        <v>0.4894</v>
      </c>
      <c r="AJ177" s="28">
        <f t="shared" si="364"/>
        <v>0.46779999999999999</v>
      </c>
      <c r="AL177" s="35" t="s">
        <v>64</v>
      </c>
      <c r="AM177" s="37">
        <f t="shared" ref="AM177:AV177" si="365">C177*(1+(((2-3*O177^2)/24*AA177^2)+(O177*AA177*C177/4))*20)</f>
        <v>0.62350739796729926</v>
      </c>
      <c r="AN177" s="37">
        <f t="shared" si="365"/>
        <v>0.60166046651092475</v>
      </c>
      <c r="AO177" s="37">
        <f t="shared" si="365"/>
        <v>0.5666901735968094</v>
      </c>
      <c r="AP177" s="37">
        <f t="shared" si="365"/>
        <v>0.55607728890454622</v>
      </c>
      <c r="AQ177" s="37">
        <f t="shared" si="365"/>
        <v>0.51652133002836553</v>
      </c>
      <c r="AR177" s="37">
        <f t="shared" si="365"/>
        <v>0.49128994801497688</v>
      </c>
      <c r="AS177" s="37">
        <f t="shared" si="365"/>
        <v>0.45520455812658683</v>
      </c>
      <c r="AT177" s="37">
        <f t="shared" si="365"/>
        <v>0.44164208371190344</v>
      </c>
      <c r="AU177" s="37">
        <f t="shared" si="365"/>
        <v>0.39047067584831002</v>
      </c>
      <c r="AV177" s="37">
        <f t="shared" si="365"/>
        <v>0.37702321296265684</v>
      </c>
    </row>
    <row r="178" spans="1:48" ht="15" customHeight="1">
      <c r="B178" s="35" t="s">
        <v>65</v>
      </c>
      <c r="C178" s="28">
        <f t="shared" ref="C178:L178" si="366">C16+$C$34*C49</f>
        <v>0.425593</v>
      </c>
      <c r="D178" s="28">
        <f t="shared" si="366"/>
        <v>0.40279199999999998</v>
      </c>
      <c r="E178" s="28">
        <f t="shared" si="366"/>
        <v>0.38364100000000001</v>
      </c>
      <c r="F178" s="28">
        <f t="shared" si="366"/>
        <v>0.36929800000000002</v>
      </c>
      <c r="G178" s="28">
        <f t="shared" si="366"/>
        <v>0.35259750000000001</v>
      </c>
      <c r="H178" s="28">
        <f t="shared" si="366"/>
        <v>0.32501350000000001</v>
      </c>
      <c r="I178" s="28">
        <f t="shared" si="366"/>
        <v>0.30908400000000003</v>
      </c>
      <c r="J178" s="28">
        <f t="shared" si="366"/>
        <v>0.28737499999999999</v>
      </c>
      <c r="K178" s="28">
        <f t="shared" si="366"/>
        <v>0.27087500000000003</v>
      </c>
      <c r="L178" s="28">
        <f t="shared" si="366"/>
        <v>0.25787500000000002</v>
      </c>
      <c r="N178" s="35" t="s">
        <v>65</v>
      </c>
      <c r="O178" s="28">
        <f t="shared" ref="O178:X178" si="367">O16+$D$34*O49</f>
        <v>-0.17599999999999999</v>
      </c>
      <c r="P178" s="28">
        <f t="shared" si="367"/>
        <v>-0.15490000000000001</v>
      </c>
      <c r="Q178" s="28">
        <f t="shared" si="367"/>
        <v>-0.1366</v>
      </c>
      <c r="R178" s="28">
        <f t="shared" si="367"/>
        <v>-0.10780000000000001</v>
      </c>
      <c r="S178" s="28">
        <f t="shared" si="367"/>
        <v>-9.3200000000000005E-2</v>
      </c>
      <c r="T178" s="28">
        <f t="shared" si="367"/>
        <v>-7.0199999999999999E-2</v>
      </c>
      <c r="U178" s="28">
        <f t="shared" si="367"/>
        <v>-4.9500000000000002E-2</v>
      </c>
      <c r="V178" s="28">
        <f t="shared" si="367"/>
        <v>-4.3700000000000003E-2</v>
      </c>
      <c r="W178" s="28">
        <f t="shared" si="367"/>
        <v>-1.83E-2</v>
      </c>
      <c r="X178" s="28">
        <f t="shared" si="367"/>
        <v>8.8999999999999999E-3</v>
      </c>
      <c r="Z178" s="35" t="s">
        <v>65</v>
      </c>
      <c r="AA178" s="28">
        <f t="shared" ref="AA178:AJ178" si="368">AA16+$E$34*AA49</f>
        <v>0.65680000000000005</v>
      </c>
      <c r="AB178" s="28">
        <f t="shared" si="368"/>
        <v>0.62050000000000005</v>
      </c>
      <c r="AC178" s="28">
        <f t="shared" si="368"/>
        <v>0.59799999999999998</v>
      </c>
      <c r="AD178" s="28">
        <f t="shared" si="368"/>
        <v>0.58220000000000005</v>
      </c>
      <c r="AE178" s="28">
        <f t="shared" si="368"/>
        <v>0.55259999999999998</v>
      </c>
      <c r="AF178" s="28">
        <f t="shared" si="368"/>
        <v>0.53369999999999995</v>
      </c>
      <c r="AG178" s="28">
        <f t="shared" si="368"/>
        <v>0.5081</v>
      </c>
      <c r="AH178" s="28">
        <f t="shared" si="368"/>
        <v>0.49780000000000002</v>
      </c>
      <c r="AI178" s="28">
        <f t="shared" si="368"/>
        <v>0.47789999999999999</v>
      </c>
      <c r="AJ178" s="28">
        <f t="shared" si="368"/>
        <v>0.45789999999999997</v>
      </c>
      <c r="AL178" s="35" t="s">
        <v>65</v>
      </c>
      <c r="AM178" s="37">
        <f t="shared" ref="AM178:AV178" si="369">C178*(1+(((2-3*O178^2)/24*AA178^2)+(O178*AA178*C178/4))*30)</f>
        <v>0.70621917495383324</v>
      </c>
      <c r="AN178" s="37">
        <f t="shared" si="369"/>
        <v>0.65959141265198251</v>
      </c>
      <c r="AO178" s="37">
        <f t="shared" si="369"/>
        <v>0.62684990805093033</v>
      </c>
      <c r="AP178" s="37">
        <f t="shared" si="369"/>
        <v>0.61258753637847485</v>
      </c>
      <c r="AQ178" s="37">
        <f t="shared" si="369"/>
        <v>0.57024646838174531</v>
      </c>
      <c r="AR178" s="37">
        <f t="shared" si="369"/>
        <v>0.52505894655679819</v>
      </c>
      <c r="AS178" s="37">
        <f t="shared" si="369"/>
        <v>0.48981738089568422</v>
      </c>
      <c r="AT178" s="37">
        <f t="shared" si="369"/>
        <v>0.45142334047360505</v>
      </c>
      <c r="AU178" s="37">
        <f t="shared" si="369"/>
        <v>0.42064640164353845</v>
      </c>
      <c r="AV178" s="37">
        <f t="shared" si="369"/>
        <v>0.39506466727793976</v>
      </c>
    </row>
    <row r="180" spans="1:48" ht="15" customHeight="1">
      <c r="A180" s="7" t="s">
        <v>141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8" ht="15" customHeight="1">
      <c r="B181" s="7" t="s">
        <v>115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N181" s="7" t="s">
        <v>116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Z181" s="7" t="s">
        <v>117</v>
      </c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L181" s="6" t="s">
        <v>118</v>
      </c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ht="15" customHeight="1">
      <c r="B182" s="20" t="s">
        <v>119</v>
      </c>
      <c r="C182" s="21" t="s">
        <v>120</v>
      </c>
      <c r="D182" s="21" t="s">
        <v>58</v>
      </c>
      <c r="E182" s="21" t="s">
        <v>59</v>
      </c>
      <c r="F182" s="21" t="s">
        <v>30</v>
      </c>
      <c r="G182" s="21" t="s">
        <v>60</v>
      </c>
      <c r="H182" s="21" t="s">
        <v>61</v>
      </c>
      <c r="I182" s="21" t="s">
        <v>62</v>
      </c>
      <c r="J182" s="21" t="s">
        <v>63</v>
      </c>
      <c r="K182" s="21" t="s">
        <v>64</v>
      </c>
      <c r="L182" s="21" t="s">
        <v>65</v>
      </c>
      <c r="N182" s="20" t="s">
        <v>119</v>
      </c>
      <c r="O182" s="21" t="s">
        <v>120</v>
      </c>
      <c r="P182" s="21" t="s">
        <v>58</v>
      </c>
      <c r="Q182" s="21" t="s">
        <v>59</v>
      </c>
      <c r="R182" s="21" t="s">
        <v>30</v>
      </c>
      <c r="S182" s="21" t="s">
        <v>60</v>
      </c>
      <c r="T182" s="21" t="s">
        <v>61</v>
      </c>
      <c r="U182" s="21" t="s">
        <v>62</v>
      </c>
      <c r="V182" s="21" t="s">
        <v>63</v>
      </c>
      <c r="W182" s="21" t="s">
        <v>64</v>
      </c>
      <c r="X182" s="21" t="s">
        <v>65</v>
      </c>
      <c r="Z182" s="20" t="s">
        <v>119</v>
      </c>
      <c r="AA182" s="21" t="s">
        <v>120</v>
      </c>
      <c r="AB182" s="21" t="s">
        <v>58</v>
      </c>
      <c r="AC182" s="21" t="s">
        <v>59</v>
      </c>
      <c r="AD182" s="21" t="s">
        <v>30</v>
      </c>
      <c r="AE182" s="21" t="s">
        <v>60</v>
      </c>
      <c r="AF182" s="21" t="s">
        <v>61</v>
      </c>
      <c r="AG182" s="21" t="s">
        <v>62</v>
      </c>
      <c r="AH182" s="21" t="s">
        <v>63</v>
      </c>
      <c r="AI182" s="21" t="s">
        <v>64</v>
      </c>
      <c r="AJ182" s="21" t="s">
        <v>65</v>
      </c>
      <c r="AL182" s="20" t="s">
        <v>119</v>
      </c>
      <c r="AM182" s="21" t="s">
        <v>120</v>
      </c>
      <c r="AN182" s="21" t="s">
        <v>58</v>
      </c>
      <c r="AO182" s="21" t="s">
        <v>59</v>
      </c>
      <c r="AP182" s="21" t="s">
        <v>30</v>
      </c>
      <c r="AQ182" s="21" t="s">
        <v>60</v>
      </c>
      <c r="AR182" s="21" t="s">
        <v>61</v>
      </c>
      <c r="AS182" s="21" t="s">
        <v>62</v>
      </c>
      <c r="AT182" s="21" t="s">
        <v>63</v>
      </c>
      <c r="AU182" s="21" t="s">
        <v>64</v>
      </c>
      <c r="AV182" s="21" t="s">
        <v>65</v>
      </c>
    </row>
    <row r="183" spans="1:48" ht="15" customHeight="1">
      <c r="B183" s="35" t="s">
        <v>120</v>
      </c>
      <c r="C183" s="28">
        <f t="shared" ref="C183:L183" si="370">C7+$C$35*C40</f>
        <v>0.59709159999999994</v>
      </c>
      <c r="D183" s="28">
        <f t="shared" si="370"/>
        <v>0.57436880000000001</v>
      </c>
      <c r="E183" s="28">
        <f t="shared" si="370"/>
        <v>0.56457200000000007</v>
      </c>
      <c r="F183" s="28">
        <f t="shared" si="370"/>
        <v>0.533744</v>
      </c>
      <c r="G183" s="28">
        <f t="shared" si="370"/>
        <v>0.52318920000000002</v>
      </c>
      <c r="H183" s="28">
        <f t="shared" si="370"/>
        <v>0.49992920000000002</v>
      </c>
      <c r="I183" s="28">
        <f t="shared" si="370"/>
        <v>0.47564400000000001</v>
      </c>
      <c r="J183" s="28">
        <f t="shared" si="370"/>
        <v>0.46510000000000001</v>
      </c>
      <c r="K183" s="28">
        <f t="shared" si="370"/>
        <v>0.43584000000000001</v>
      </c>
      <c r="L183" s="28">
        <f t="shared" si="370"/>
        <v>0.42404320000000001</v>
      </c>
      <c r="N183" s="35" t="s">
        <v>120</v>
      </c>
      <c r="O183" s="28">
        <f t="shared" ref="O183:X183" si="371">O7+$D$35*O40</f>
        <v>-0.35859999999999997</v>
      </c>
      <c r="P183" s="28">
        <f t="shared" si="371"/>
        <v>-0.3387</v>
      </c>
      <c r="Q183" s="28">
        <f t="shared" si="371"/>
        <v>-0.31259999999999999</v>
      </c>
      <c r="R183" s="28">
        <f t="shared" si="371"/>
        <v>-0.28510000000000002</v>
      </c>
      <c r="S183" s="28">
        <f t="shared" si="371"/>
        <v>-0.2797</v>
      </c>
      <c r="T183" s="28">
        <f t="shared" si="371"/>
        <v>-0.25829999999999997</v>
      </c>
      <c r="U183" s="28">
        <f t="shared" si="371"/>
        <v>-0.23080000000000001</v>
      </c>
      <c r="V183" s="28">
        <f t="shared" si="371"/>
        <v>-0.2049</v>
      </c>
      <c r="W183" s="28">
        <f t="shared" si="371"/>
        <v>-0.19289999999999999</v>
      </c>
      <c r="X183" s="28">
        <f t="shared" si="371"/>
        <v>-0.17710000000000001</v>
      </c>
      <c r="Z183" s="35" t="s">
        <v>120</v>
      </c>
      <c r="AA183" s="28">
        <f t="shared" ref="AA183:AJ183" si="372">AA7+$E$35*AA40</f>
        <v>0.85950000000000004</v>
      </c>
      <c r="AB183" s="28">
        <f t="shared" si="372"/>
        <v>0.81869999999999998</v>
      </c>
      <c r="AC183" s="28">
        <f t="shared" si="372"/>
        <v>0.81269999999999998</v>
      </c>
      <c r="AD183" s="28">
        <f t="shared" si="372"/>
        <v>0.77910000000000001</v>
      </c>
      <c r="AE183" s="28">
        <f t="shared" si="372"/>
        <v>0.754</v>
      </c>
      <c r="AF183" s="28">
        <f t="shared" si="372"/>
        <v>0.73119999999999996</v>
      </c>
      <c r="AG183" s="28">
        <f t="shared" si="372"/>
        <v>0.71279999999999999</v>
      </c>
      <c r="AH183" s="28">
        <f t="shared" si="372"/>
        <v>0.70079999999999998</v>
      </c>
      <c r="AI183" s="28">
        <f t="shared" si="372"/>
        <v>0.66579999999999995</v>
      </c>
      <c r="AJ183" s="28">
        <f t="shared" si="372"/>
        <v>0.65159999999999996</v>
      </c>
      <c r="AL183" s="35" t="s">
        <v>120</v>
      </c>
      <c r="AM183" s="37">
        <f t="shared" ref="AM183:AV183" si="373">C183*(1+(((2-3*O183^2)/24*AA183^2)+(O183*AA183*C183/4))*0.0833333333333333)</f>
        <v>0.59727463818580473</v>
      </c>
      <c r="AN183" s="37">
        <f t="shared" si="373"/>
        <v>0.57467642822903131</v>
      </c>
      <c r="AO183" s="37">
        <f t="shared" si="373"/>
        <v>0.56509493711771941</v>
      </c>
      <c r="AP183" s="37">
        <f t="shared" si="373"/>
        <v>0.53440125391558202</v>
      </c>
      <c r="AQ183" s="37">
        <f t="shared" si="373"/>
        <v>0.5238097228542975</v>
      </c>
      <c r="AR183" s="37">
        <f t="shared" si="373"/>
        <v>0.5006161960745581</v>
      </c>
      <c r="AS183" s="37">
        <f t="shared" si="373"/>
        <v>0.47641274575441728</v>
      </c>
      <c r="AT183" s="37">
        <f t="shared" si="373"/>
        <v>0.46593923168087775</v>
      </c>
      <c r="AU183" s="37">
        <f t="shared" si="373"/>
        <v>0.43659853919061664</v>
      </c>
      <c r="AV183" s="37">
        <f t="shared" si="373"/>
        <v>0.42480237195646409</v>
      </c>
    </row>
    <row r="184" spans="1:48" ht="15" customHeight="1">
      <c r="B184" s="35" t="s">
        <v>58</v>
      </c>
      <c r="C184" s="28">
        <f t="shared" ref="C184:L184" si="374">C8+$C$35*C41</f>
        <v>0.5834684</v>
      </c>
      <c r="D184" s="28">
        <f t="shared" si="374"/>
        <v>0.55846640000000003</v>
      </c>
      <c r="E184" s="28">
        <f t="shared" si="374"/>
        <v>0.54261720000000002</v>
      </c>
      <c r="F184" s="28">
        <f t="shared" si="374"/>
        <v>0.51296240000000004</v>
      </c>
      <c r="G184" s="28">
        <f t="shared" si="374"/>
        <v>0.49474559999999995</v>
      </c>
      <c r="H184" s="28">
        <f t="shared" si="374"/>
        <v>0.47740640000000001</v>
      </c>
      <c r="I184" s="28">
        <f t="shared" si="374"/>
        <v>0.46821560000000001</v>
      </c>
      <c r="J184" s="28">
        <f t="shared" si="374"/>
        <v>0.44278680000000004</v>
      </c>
      <c r="K184" s="28">
        <f t="shared" si="374"/>
        <v>0.42211719999999997</v>
      </c>
      <c r="L184" s="28">
        <f t="shared" si="374"/>
        <v>0.40778360000000002</v>
      </c>
      <c r="N184" s="35" t="s">
        <v>58</v>
      </c>
      <c r="O184" s="28">
        <f t="shared" ref="O184:X184" si="375">O8+$D$35*O41</f>
        <v>-0.33150000000000002</v>
      </c>
      <c r="P184" s="28">
        <f t="shared" si="375"/>
        <v>-0.31509999999999999</v>
      </c>
      <c r="Q184" s="28">
        <f t="shared" si="375"/>
        <v>-0.2858</v>
      </c>
      <c r="R184" s="28">
        <f t="shared" si="375"/>
        <v>-0.26819999999999999</v>
      </c>
      <c r="S184" s="28">
        <f t="shared" si="375"/>
        <v>-0.25790000000000002</v>
      </c>
      <c r="T184" s="28">
        <f t="shared" si="375"/>
        <v>-0.23180000000000001</v>
      </c>
      <c r="U184" s="28">
        <f t="shared" si="375"/>
        <v>-0.21340000000000001</v>
      </c>
      <c r="V184" s="28">
        <f t="shared" si="375"/>
        <v>-0.18690000000000001</v>
      </c>
      <c r="W184" s="28">
        <f t="shared" si="375"/>
        <v>-0.1704</v>
      </c>
      <c r="X184" s="28">
        <f t="shared" si="375"/>
        <v>-0.1598</v>
      </c>
      <c r="Z184" s="35" t="s">
        <v>58</v>
      </c>
      <c r="AA184" s="28">
        <f t="shared" ref="AA184:AJ184" si="376">AA8+$E$35*AA41</f>
        <v>0.83740000000000003</v>
      </c>
      <c r="AB184" s="28">
        <f t="shared" si="376"/>
        <v>0.79790000000000005</v>
      </c>
      <c r="AC184" s="28">
        <f t="shared" si="376"/>
        <v>0.78169999999999995</v>
      </c>
      <c r="AD184" s="28">
        <f t="shared" si="376"/>
        <v>0.76629999999999998</v>
      </c>
      <c r="AE184" s="28">
        <f t="shared" si="376"/>
        <v>0.7319</v>
      </c>
      <c r="AF184" s="28">
        <f t="shared" si="376"/>
        <v>0.71640000000000004</v>
      </c>
      <c r="AG184" s="28">
        <f t="shared" si="376"/>
        <v>0.68520000000000003</v>
      </c>
      <c r="AH184" s="28">
        <f t="shared" si="376"/>
        <v>0.67559999999999998</v>
      </c>
      <c r="AI184" s="28">
        <f t="shared" si="376"/>
        <v>0.65529999999999999</v>
      </c>
      <c r="AJ184" s="28">
        <f t="shared" si="376"/>
        <v>0.62919999999999998</v>
      </c>
      <c r="AL184" s="35" t="s">
        <v>58</v>
      </c>
      <c r="AM184" s="37">
        <f t="shared" ref="AM184:AV184" si="377">C184*(1+(((2-3*O184^2)/24*AA184^2)+(O184*AA184*C184/4))*0.25)</f>
        <v>0.58468078102115328</v>
      </c>
      <c r="AN184" s="37">
        <f t="shared" si="377"/>
        <v>0.55986956629777618</v>
      </c>
      <c r="AO184" s="37">
        <f t="shared" si="377"/>
        <v>0.54456733053548445</v>
      </c>
      <c r="AP184" s="37">
        <f t="shared" si="377"/>
        <v>0.51518077332139711</v>
      </c>
      <c r="AQ184" s="37">
        <f t="shared" si="377"/>
        <v>0.49682841400213046</v>
      </c>
      <c r="AR184" s="37">
        <f t="shared" si="377"/>
        <v>0.47973403289716815</v>
      </c>
      <c r="AS184" s="37">
        <f t="shared" si="377"/>
        <v>0.47047901327915687</v>
      </c>
      <c r="AT184" s="37">
        <f t="shared" si="377"/>
        <v>0.44522939406202328</v>
      </c>
      <c r="AU184" s="37">
        <f t="shared" si="377"/>
        <v>0.42448554431206054</v>
      </c>
      <c r="AV184" s="37">
        <f t="shared" si="377"/>
        <v>0.40997310160322697</v>
      </c>
    </row>
    <row r="185" spans="1:48" ht="15" customHeight="1">
      <c r="B185" s="35" t="s">
        <v>59</v>
      </c>
      <c r="C185" s="28">
        <f t="shared" ref="C185:L185" si="378">C9+$C$35*C42</f>
        <v>0.56812399999999996</v>
      </c>
      <c r="D185" s="28">
        <f t="shared" si="378"/>
        <v>0.53779080000000001</v>
      </c>
      <c r="E185" s="28">
        <f t="shared" si="378"/>
        <v>0.52717400000000003</v>
      </c>
      <c r="F185" s="28">
        <f t="shared" si="378"/>
        <v>0.50487680000000001</v>
      </c>
      <c r="G185" s="28">
        <f t="shared" si="378"/>
        <v>0.48601240000000001</v>
      </c>
      <c r="H185" s="28">
        <f t="shared" si="378"/>
        <v>0.4629624</v>
      </c>
      <c r="I185" s="28">
        <f t="shared" si="378"/>
        <v>0.45048640000000001</v>
      </c>
      <c r="J185" s="28">
        <f t="shared" si="378"/>
        <v>0.43411679999999997</v>
      </c>
      <c r="K185" s="28">
        <f t="shared" si="378"/>
        <v>0.40545719999999996</v>
      </c>
      <c r="L185" s="28">
        <f t="shared" si="378"/>
        <v>0.38873360000000001</v>
      </c>
      <c r="N185" s="35" t="s">
        <v>59</v>
      </c>
      <c r="O185" s="28">
        <f t="shared" ref="O185:X185" si="379">O9+$D$35*O42</f>
        <v>-0.31990000000000002</v>
      </c>
      <c r="P185" s="28">
        <f t="shared" si="379"/>
        <v>-0.28760000000000002</v>
      </c>
      <c r="Q185" s="28">
        <f t="shared" si="379"/>
        <v>-0.26929999999999998</v>
      </c>
      <c r="R185" s="28">
        <f t="shared" si="379"/>
        <v>-0.2429</v>
      </c>
      <c r="S185" s="28">
        <f t="shared" si="379"/>
        <v>-0.22689999999999999</v>
      </c>
      <c r="T185" s="28">
        <f t="shared" si="379"/>
        <v>-0.21820000000000001</v>
      </c>
      <c r="U185" s="28">
        <f t="shared" si="379"/>
        <v>-0.19670000000000001</v>
      </c>
      <c r="V185" s="28">
        <f t="shared" si="379"/>
        <v>-0.1716</v>
      </c>
      <c r="W185" s="28">
        <f t="shared" si="379"/>
        <v>-0.1651</v>
      </c>
      <c r="X185" s="28">
        <f t="shared" si="379"/>
        <v>-0.13689999999999999</v>
      </c>
      <c r="Z185" s="35" t="s">
        <v>59</v>
      </c>
      <c r="AA185" s="28">
        <f t="shared" ref="AA185:AJ185" si="380">AA9+$E$35*AA42</f>
        <v>0.79890000000000005</v>
      </c>
      <c r="AB185" s="28">
        <f t="shared" si="380"/>
        <v>0.77569999999999995</v>
      </c>
      <c r="AC185" s="28">
        <f t="shared" si="380"/>
        <v>0.75229999999999997</v>
      </c>
      <c r="AD185" s="28">
        <f t="shared" si="380"/>
        <v>0.74429999999999996</v>
      </c>
      <c r="AE185" s="28">
        <f t="shared" si="380"/>
        <v>0.70930000000000004</v>
      </c>
      <c r="AF185" s="28">
        <f t="shared" si="380"/>
        <v>0.68940000000000001</v>
      </c>
      <c r="AG185" s="28">
        <f t="shared" si="380"/>
        <v>0.67</v>
      </c>
      <c r="AH185" s="28">
        <f t="shared" si="380"/>
        <v>0.65739999999999998</v>
      </c>
      <c r="AI185" s="28">
        <f t="shared" si="380"/>
        <v>0.61939999999999995</v>
      </c>
      <c r="AJ185" s="28">
        <f t="shared" si="380"/>
        <v>0.60450000000000004</v>
      </c>
      <c r="AL185" s="35" t="s">
        <v>59</v>
      </c>
      <c r="AM185" s="37">
        <f t="shared" ref="AM185:AV185" si="381">C185*(1+(((2-3*O185^2)/24*AA185^2)+(O185*AA185*C185/4))*0.5)</f>
        <v>0.57060209749417767</v>
      </c>
      <c r="AN185" s="37">
        <f t="shared" si="381"/>
        <v>0.54153576239109558</v>
      </c>
      <c r="AO185" s="37">
        <f t="shared" si="381"/>
        <v>0.53121525163135663</v>
      </c>
      <c r="AP185" s="37">
        <f t="shared" si="381"/>
        <v>0.50973884682647719</v>
      </c>
      <c r="AQ185" s="37">
        <f t="shared" si="381"/>
        <v>0.49066186046082888</v>
      </c>
      <c r="AR185" s="37">
        <f t="shared" si="381"/>
        <v>0.46744548973487249</v>
      </c>
      <c r="AS185" s="37">
        <f t="shared" si="381"/>
        <v>0.45508023567796979</v>
      </c>
      <c r="AT185" s="37">
        <f t="shared" si="381"/>
        <v>0.43893129512927881</v>
      </c>
      <c r="AU185" s="37">
        <f t="shared" si="381"/>
        <v>0.4095722537245588</v>
      </c>
      <c r="AV185" s="37">
        <f t="shared" si="381"/>
        <v>0.39292280760458753</v>
      </c>
    </row>
    <row r="186" spans="1:48" ht="15" customHeight="1">
      <c r="B186" s="35" t="s">
        <v>30</v>
      </c>
      <c r="C186" s="28">
        <f t="shared" ref="C186:L186" si="382">C10+$C$35*C43</f>
        <v>0.542238</v>
      </c>
      <c r="D186" s="28">
        <f t="shared" si="382"/>
        <v>0.52986800000000001</v>
      </c>
      <c r="E186" s="28">
        <f t="shared" si="382"/>
        <v>0.51032480000000002</v>
      </c>
      <c r="F186" s="28">
        <f t="shared" si="382"/>
        <v>0.49126999999999998</v>
      </c>
      <c r="G186" s="28">
        <f t="shared" si="382"/>
        <v>0.45882519999999999</v>
      </c>
      <c r="H186" s="28">
        <f t="shared" si="382"/>
        <v>0.442334</v>
      </c>
      <c r="I186" s="28">
        <f t="shared" si="382"/>
        <v>0.42140559999999999</v>
      </c>
      <c r="J186" s="28">
        <f t="shared" si="382"/>
        <v>0.41229840000000001</v>
      </c>
      <c r="K186" s="28">
        <f t="shared" si="382"/>
        <v>0.39564480000000002</v>
      </c>
      <c r="L186" s="28">
        <f t="shared" si="382"/>
        <v>0.35883160000000003</v>
      </c>
      <c r="N186" s="35" t="s">
        <v>30</v>
      </c>
      <c r="O186" s="28">
        <f t="shared" ref="O186:X186" si="383">O10+$D$35*O43</f>
        <v>-0.29809999999999998</v>
      </c>
      <c r="P186" s="28">
        <f t="shared" si="383"/>
        <v>-0.27760000000000001</v>
      </c>
      <c r="Q186" s="28">
        <f t="shared" si="383"/>
        <v>-0.2581</v>
      </c>
      <c r="R186" s="28">
        <f t="shared" si="383"/>
        <v>-0.2336</v>
      </c>
      <c r="S186" s="28">
        <f t="shared" si="383"/>
        <v>-0.21210000000000001</v>
      </c>
      <c r="T186" s="28">
        <f t="shared" si="383"/>
        <v>-0.19919999999999999</v>
      </c>
      <c r="U186" s="28">
        <f t="shared" si="383"/>
        <v>-0.18490000000000001</v>
      </c>
      <c r="V186" s="28">
        <f t="shared" si="383"/>
        <v>-0.15720000000000001</v>
      </c>
      <c r="W186" s="28">
        <f t="shared" si="383"/>
        <v>-0.13869999999999999</v>
      </c>
      <c r="X186" s="28">
        <f t="shared" si="383"/>
        <v>-0.1153</v>
      </c>
      <c r="Z186" s="35" t="s">
        <v>30</v>
      </c>
      <c r="AA186" s="28">
        <f t="shared" ref="AA186:AJ186" si="384">AA10+$E$35*AA43</f>
        <v>0.79239999999999999</v>
      </c>
      <c r="AB186" s="28">
        <f t="shared" si="384"/>
        <v>0.76490000000000002</v>
      </c>
      <c r="AC186" s="28">
        <f t="shared" si="384"/>
        <v>0.73919999999999997</v>
      </c>
      <c r="AD186" s="28">
        <f t="shared" si="384"/>
        <v>0.71899999999999997</v>
      </c>
      <c r="AE186" s="28">
        <f t="shared" si="384"/>
        <v>0.69799999999999995</v>
      </c>
      <c r="AF186" s="28">
        <f t="shared" si="384"/>
        <v>0.6633</v>
      </c>
      <c r="AG186" s="28">
        <f t="shared" si="384"/>
        <v>0.65800000000000003</v>
      </c>
      <c r="AH186" s="28">
        <f t="shared" si="384"/>
        <v>0.63339999999999996</v>
      </c>
      <c r="AI186" s="28">
        <f t="shared" si="384"/>
        <v>0.61299999999999999</v>
      </c>
      <c r="AJ186" s="28">
        <f t="shared" si="384"/>
        <v>0.58930000000000005</v>
      </c>
      <c r="AL186" s="35" t="s">
        <v>30</v>
      </c>
      <c r="AM186" s="37">
        <f t="shared" ref="AM186:AV186" si="385">C186*(1+(((2-3*O186^2)/24*AA186^2)+(O186*AA186*C186/4))*1)</f>
        <v>0.54946551429391088</v>
      </c>
      <c r="AN186" s="37">
        <f t="shared" si="385"/>
        <v>0.53781211025084708</v>
      </c>
      <c r="AO186" s="37">
        <f t="shared" si="385"/>
        <v>0.518818561527708</v>
      </c>
      <c r="AP186" s="37">
        <f t="shared" si="385"/>
        <v>0.50056757927865325</v>
      </c>
      <c r="AQ186" s="37">
        <f t="shared" si="385"/>
        <v>0.46840494368444707</v>
      </c>
      <c r="AR186" s="37">
        <f t="shared" si="385"/>
        <v>0.45112331345879164</v>
      </c>
      <c r="AS186" s="37">
        <f t="shared" si="385"/>
        <v>0.43042897578671496</v>
      </c>
      <c r="AT186" s="37">
        <f t="shared" si="385"/>
        <v>0.42134030629881075</v>
      </c>
      <c r="AU186" s="37">
        <f t="shared" si="385"/>
        <v>0.40434927463550441</v>
      </c>
      <c r="AV186" s="37">
        <f t="shared" si="385"/>
        <v>0.36682175151944396</v>
      </c>
    </row>
    <row r="187" spans="1:48" ht="15" customHeight="1">
      <c r="B187" s="35" t="s">
        <v>60</v>
      </c>
      <c r="C187" s="28">
        <f t="shared" ref="C187:L187" si="386">C11+$C$35*C44</f>
        <v>0.52051040000000004</v>
      </c>
      <c r="D187" s="28">
        <f t="shared" si="386"/>
        <v>0.50084519999999999</v>
      </c>
      <c r="E187" s="28">
        <f t="shared" si="386"/>
        <v>0.47499560000000002</v>
      </c>
      <c r="F187" s="28">
        <f t="shared" si="386"/>
        <v>0.46709440000000002</v>
      </c>
      <c r="G187" s="28">
        <f t="shared" si="386"/>
        <v>0.43501279999999998</v>
      </c>
      <c r="H187" s="28">
        <f t="shared" si="386"/>
        <v>0.41654839999999999</v>
      </c>
      <c r="I187" s="28">
        <f t="shared" si="386"/>
        <v>0.3988932</v>
      </c>
      <c r="J187" s="28">
        <f t="shared" si="386"/>
        <v>0.37901800000000002</v>
      </c>
      <c r="K187" s="28">
        <f t="shared" si="386"/>
        <v>0.36269479999999998</v>
      </c>
      <c r="L187" s="28">
        <f t="shared" si="386"/>
        <v>0.3375456</v>
      </c>
      <c r="N187" s="35" t="s">
        <v>60</v>
      </c>
      <c r="O187" s="28">
        <f t="shared" ref="O187:X187" si="387">O11+$D$35*O44</f>
        <v>-0.28220000000000001</v>
      </c>
      <c r="P187" s="28">
        <f t="shared" si="387"/>
        <v>-0.25979999999999998</v>
      </c>
      <c r="Q187" s="28">
        <f t="shared" si="387"/>
        <v>-0.24129999999999999</v>
      </c>
      <c r="R187" s="28">
        <f t="shared" si="387"/>
        <v>-0.21659999999999999</v>
      </c>
      <c r="S187" s="28">
        <f t="shared" si="387"/>
        <v>-0.2039</v>
      </c>
      <c r="T187" s="28">
        <f t="shared" si="387"/>
        <v>-0.16750000000000001</v>
      </c>
      <c r="U187" s="28">
        <f t="shared" si="387"/>
        <v>-0.15329999999999999</v>
      </c>
      <c r="V187" s="28">
        <f t="shared" si="387"/>
        <v>-0.1431</v>
      </c>
      <c r="W187" s="28">
        <f t="shared" si="387"/>
        <v>-0.1216</v>
      </c>
      <c r="X187" s="28">
        <f t="shared" si="387"/>
        <v>-0.1003</v>
      </c>
      <c r="Z187" s="35" t="s">
        <v>60</v>
      </c>
      <c r="AA187" s="28">
        <f t="shared" ref="AA187:AJ187" si="388">AA11+$E$35*AA44</f>
        <v>0.75839999999999996</v>
      </c>
      <c r="AB187" s="28">
        <f t="shared" si="388"/>
        <v>0.73129999999999995</v>
      </c>
      <c r="AC187" s="28">
        <f t="shared" si="388"/>
        <v>0.72360000000000002</v>
      </c>
      <c r="AD187" s="28">
        <f t="shared" si="388"/>
        <v>0.70430000000000004</v>
      </c>
      <c r="AE187" s="28">
        <f t="shared" si="388"/>
        <v>0.67149999999999999</v>
      </c>
      <c r="AF187" s="28">
        <f t="shared" si="388"/>
        <v>0.64970000000000006</v>
      </c>
      <c r="AG187" s="28">
        <f t="shared" si="388"/>
        <v>0.61950000000000005</v>
      </c>
      <c r="AH187" s="28">
        <f t="shared" si="388"/>
        <v>0.59760000000000002</v>
      </c>
      <c r="AI187" s="28">
        <f t="shared" si="388"/>
        <v>0.58020000000000005</v>
      </c>
      <c r="AJ187" s="28">
        <f t="shared" si="388"/>
        <v>0.55640000000000001</v>
      </c>
      <c r="AL187" s="35" t="s">
        <v>60</v>
      </c>
      <c r="AM187" s="37">
        <f t="shared" ref="AM187:AV187" si="389">C187*(1+(((2-3*O187^2)/24*AA187^2)+(O187*AA187*C187/4))*2)</f>
        <v>0.53545457927185791</v>
      </c>
      <c r="AN187" s="37">
        <f t="shared" si="389"/>
        <v>0.51713811548682109</v>
      </c>
      <c r="AO187" s="37">
        <f t="shared" si="389"/>
        <v>0.49312914320345991</v>
      </c>
      <c r="AP187" s="37">
        <f t="shared" si="389"/>
        <v>0.48635137235335618</v>
      </c>
      <c r="AQ187" s="37">
        <f t="shared" si="389"/>
        <v>0.4527111316114375</v>
      </c>
      <c r="AR187" s="37">
        <f t="shared" si="389"/>
        <v>0.43517877185681569</v>
      </c>
      <c r="AS187" s="37">
        <f t="shared" si="389"/>
        <v>0.41595277186061408</v>
      </c>
      <c r="AT187" s="37">
        <f t="shared" si="389"/>
        <v>0.3947421422803612</v>
      </c>
      <c r="AU187" s="37">
        <f t="shared" si="389"/>
        <v>0.37795208366312999</v>
      </c>
      <c r="AV187" s="37">
        <f t="shared" si="389"/>
        <v>0.35151983035435996</v>
      </c>
    </row>
    <row r="188" spans="1:48" ht="15" customHeight="1">
      <c r="B188" s="35" t="s">
        <v>61</v>
      </c>
      <c r="C188" s="28">
        <f t="shared" ref="C188:L188" si="390">C12+$C$35*C45</f>
        <v>0.51042480000000001</v>
      </c>
      <c r="D188" s="28">
        <f t="shared" si="390"/>
        <v>0.47726479999999999</v>
      </c>
      <c r="E188" s="28">
        <f t="shared" si="390"/>
        <v>0.4540728</v>
      </c>
      <c r="F188" s="28">
        <f t="shared" si="390"/>
        <v>0.45423480000000005</v>
      </c>
      <c r="G188" s="28">
        <f t="shared" si="390"/>
        <v>0.42502680000000004</v>
      </c>
      <c r="H188" s="28">
        <f t="shared" si="390"/>
        <v>0.39823040000000004</v>
      </c>
      <c r="I188" s="28">
        <f t="shared" si="390"/>
        <v>0.3874396</v>
      </c>
      <c r="J188" s="28">
        <f t="shared" si="390"/>
        <v>0.35721640000000005</v>
      </c>
      <c r="K188" s="28">
        <f t="shared" si="390"/>
        <v>0.34672959999999997</v>
      </c>
      <c r="L188" s="28">
        <f t="shared" si="390"/>
        <v>0.33786040000000001</v>
      </c>
      <c r="N188" s="35" t="s">
        <v>61</v>
      </c>
      <c r="O188" s="28">
        <f t="shared" ref="O188:X188" si="391">O12+$D$35*O45</f>
        <v>-0.2455</v>
      </c>
      <c r="P188" s="28">
        <f t="shared" si="391"/>
        <v>-0.22939999999999999</v>
      </c>
      <c r="Q188" s="28">
        <f t="shared" si="391"/>
        <v>-0.21870000000000001</v>
      </c>
      <c r="R188" s="28">
        <f t="shared" si="391"/>
        <v>-0.1971</v>
      </c>
      <c r="S188" s="28">
        <f t="shared" si="391"/>
        <v>-0.1817</v>
      </c>
      <c r="T188" s="28">
        <f t="shared" si="391"/>
        <v>-0.15010000000000001</v>
      </c>
      <c r="U188" s="28">
        <f t="shared" si="391"/>
        <v>-0.13550000000000001</v>
      </c>
      <c r="V188" s="28">
        <f t="shared" si="391"/>
        <v>-0.1111</v>
      </c>
      <c r="W188" s="28">
        <f t="shared" si="391"/>
        <v>-0.10059999999999999</v>
      </c>
      <c r="X188" s="28">
        <f t="shared" si="391"/>
        <v>-8.3299999999999999E-2</v>
      </c>
      <c r="Z188" s="35" t="s">
        <v>61</v>
      </c>
      <c r="AA188" s="28">
        <f t="shared" ref="AA188:AJ188" si="392">AA12+$E$35*AA45</f>
        <v>0.74509999999999998</v>
      </c>
      <c r="AB188" s="28">
        <f t="shared" si="392"/>
        <v>0.72640000000000005</v>
      </c>
      <c r="AC188" s="28">
        <f t="shared" si="392"/>
        <v>0.70150000000000001</v>
      </c>
      <c r="AD188" s="28">
        <f t="shared" si="392"/>
        <v>0.67830000000000001</v>
      </c>
      <c r="AE188" s="28">
        <f t="shared" si="392"/>
        <v>0.65639999999999998</v>
      </c>
      <c r="AF188" s="28">
        <f t="shared" si="392"/>
        <v>0.63260000000000005</v>
      </c>
      <c r="AG188" s="28">
        <f t="shared" si="392"/>
        <v>0.60009999999999997</v>
      </c>
      <c r="AH188" s="28">
        <f t="shared" si="392"/>
        <v>0.5837</v>
      </c>
      <c r="AI188" s="28">
        <f t="shared" si="392"/>
        <v>0.55820000000000003</v>
      </c>
      <c r="AJ188" s="28">
        <f t="shared" si="392"/>
        <v>0.52949999999999997</v>
      </c>
      <c r="AL188" s="35" t="s">
        <v>61</v>
      </c>
      <c r="AM188" s="37">
        <f t="shared" ref="AM188:AV188" si="393">C188*(1+(((2-3*O188^2)/24*AA188^2)+(O188*AA188*C188/4))*3)</f>
        <v>0.53912081118893951</v>
      </c>
      <c r="AN188" s="37">
        <f t="shared" si="393"/>
        <v>0.50678563532079723</v>
      </c>
      <c r="AO188" s="37">
        <f t="shared" si="393"/>
        <v>0.4822034854463203</v>
      </c>
      <c r="AP188" s="37">
        <f t="shared" si="393"/>
        <v>0.48274896335491568</v>
      </c>
      <c r="AQ188" s="37">
        <f t="shared" si="393"/>
        <v>0.45238233059924038</v>
      </c>
      <c r="AR188" s="37">
        <f t="shared" si="393"/>
        <v>0.42543140337243091</v>
      </c>
      <c r="AS188" s="37">
        <f t="shared" si="393"/>
        <v>0.41220569834065307</v>
      </c>
      <c r="AT188" s="37">
        <f t="shared" si="393"/>
        <v>0.38087324659296662</v>
      </c>
      <c r="AU188" s="37">
        <f t="shared" si="393"/>
        <v>0.36826544861975069</v>
      </c>
      <c r="AV188" s="37">
        <f t="shared" si="393"/>
        <v>0.35751928728545246</v>
      </c>
    </row>
    <row r="189" spans="1:48" ht="15" customHeight="1">
      <c r="B189" s="35" t="s">
        <v>62</v>
      </c>
      <c r="C189" s="28">
        <f t="shared" ref="C189:L189" si="394">C13+$C$35*C46</f>
        <v>0.4735588</v>
      </c>
      <c r="D189" s="28">
        <f t="shared" si="394"/>
        <v>0.45907799999999999</v>
      </c>
      <c r="E189" s="28">
        <f t="shared" si="394"/>
        <v>0.44021359999999998</v>
      </c>
      <c r="F189" s="28">
        <f t="shared" si="394"/>
        <v>0.42854799999999998</v>
      </c>
      <c r="G189" s="28">
        <f t="shared" si="394"/>
        <v>0.41424080000000002</v>
      </c>
      <c r="H189" s="28">
        <f t="shared" si="394"/>
        <v>0.38405439999999996</v>
      </c>
      <c r="I189" s="28">
        <f t="shared" si="394"/>
        <v>0.37434200000000001</v>
      </c>
      <c r="J189" s="28">
        <f t="shared" si="394"/>
        <v>0.356846</v>
      </c>
      <c r="K189" s="28">
        <f t="shared" si="394"/>
        <v>0.33606999999999998</v>
      </c>
      <c r="L189" s="28">
        <f t="shared" si="394"/>
        <v>0.30538959999999998</v>
      </c>
      <c r="N189" s="35" t="s">
        <v>62</v>
      </c>
      <c r="O189" s="28">
        <f t="shared" ref="O189:X189" si="395">O13+$D$35*O46</f>
        <v>-0.2389</v>
      </c>
      <c r="P189" s="28">
        <f t="shared" si="395"/>
        <v>-0.21940000000000001</v>
      </c>
      <c r="Q189" s="28">
        <f t="shared" si="395"/>
        <v>-0.20050000000000001</v>
      </c>
      <c r="R189" s="28">
        <f t="shared" si="395"/>
        <v>-0.18090000000000001</v>
      </c>
      <c r="S189" s="28">
        <f t="shared" si="395"/>
        <v>-0.15310000000000001</v>
      </c>
      <c r="T189" s="28">
        <f t="shared" si="395"/>
        <v>-0.12809999999999999</v>
      </c>
      <c r="U189" s="28">
        <f t="shared" si="395"/>
        <v>-0.1099</v>
      </c>
      <c r="V189" s="28">
        <f t="shared" si="395"/>
        <v>-9.7600000000000006E-2</v>
      </c>
      <c r="W189" s="28">
        <f t="shared" si="395"/>
        <v>-7.4700000000000003E-2</v>
      </c>
      <c r="X189" s="28">
        <f t="shared" si="395"/>
        <v>-5.2299999999999999E-2</v>
      </c>
      <c r="Z189" s="35" t="s">
        <v>62</v>
      </c>
      <c r="AA189" s="28">
        <f t="shared" ref="AA189:AJ189" si="396">AA13+$E$35*AA46</f>
        <v>0.70840000000000003</v>
      </c>
      <c r="AB189" s="28">
        <f t="shared" si="396"/>
        <v>0.69769999999999999</v>
      </c>
      <c r="AC189" s="28">
        <f t="shared" si="396"/>
        <v>0.6804</v>
      </c>
      <c r="AD189" s="28">
        <f t="shared" si="396"/>
        <v>0.65559999999999996</v>
      </c>
      <c r="AE189" s="28">
        <f t="shared" si="396"/>
        <v>0.63280000000000003</v>
      </c>
      <c r="AF189" s="28">
        <f t="shared" si="396"/>
        <v>0.60509999999999997</v>
      </c>
      <c r="AG189" s="28">
        <f t="shared" si="396"/>
        <v>0.57689999999999997</v>
      </c>
      <c r="AH189" s="28">
        <f t="shared" si="396"/>
        <v>0.56689999999999996</v>
      </c>
      <c r="AI189" s="28">
        <f t="shared" si="396"/>
        <v>0.53549999999999998</v>
      </c>
      <c r="AJ189" s="28">
        <f t="shared" si="396"/>
        <v>0.52270000000000005</v>
      </c>
      <c r="AL189" s="35" t="s">
        <v>62</v>
      </c>
      <c r="AM189" s="37">
        <f t="shared" ref="AM189:AV189" si="397">C189*(1+(((2-3*O189^2)/24*AA189^2)+(O189*AA189*C189/4))*5)</f>
        <v>0.51666020162651627</v>
      </c>
      <c r="AN189" s="37">
        <f t="shared" si="397"/>
        <v>0.50514199443352648</v>
      </c>
      <c r="AO189" s="37">
        <f t="shared" si="397"/>
        <v>0.48696178454575506</v>
      </c>
      <c r="AP189" s="37">
        <f t="shared" si="397"/>
        <v>0.47430233055946336</v>
      </c>
      <c r="AQ189" s="37">
        <f t="shared" si="397"/>
        <v>0.46014553567538846</v>
      </c>
      <c r="AR189" s="37">
        <f t="shared" si="397"/>
        <v>0.42691255981135412</v>
      </c>
      <c r="AS189" s="37">
        <f t="shared" si="397"/>
        <v>0.41420672481638571</v>
      </c>
      <c r="AT189" s="37">
        <f t="shared" si="397"/>
        <v>0.39514023287302447</v>
      </c>
      <c r="AU189" s="37">
        <f t="shared" si="397"/>
        <v>0.37024128432763981</v>
      </c>
      <c r="AV189" s="37">
        <f t="shared" si="397"/>
        <v>0.33682549008777807</v>
      </c>
    </row>
    <row r="190" spans="1:48" ht="15" customHeight="1">
      <c r="B190" s="35" t="s">
        <v>63</v>
      </c>
      <c r="C190" s="28">
        <f t="shared" ref="C190:L190" si="398">C14+$C$35*C47</f>
        <v>0.47319920000000004</v>
      </c>
      <c r="D190" s="28">
        <f t="shared" si="398"/>
        <v>0.44231320000000002</v>
      </c>
      <c r="E190" s="28">
        <f t="shared" si="398"/>
        <v>0.42384880000000003</v>
      </c>
      <c r="F190" s="28">
        <f t="shared" si="398"/>
        <v>0.41438839999999999</v>
      </c>
      <c r="G190" s="28">
        <f t="shared" si="398"/>
        <v>0.39060239999999996</v>
      </c>
      <c r="H190" s="28">
        <f t="shared" si="398"/>
        <v>0.36052719999999999</v>
      </c>
      <c r="I190" s="28">
        <f t="shared" si="398"/>
        <v>0.33888760000000001</v>
      </c>
      <c r="J190" s="28">
        <f t="shared" si="398"/>
        <v>0.31978039999999996</v>
      </c>
      <c r="K190" s="28">
        <f t="shared" si="398"/>
        <v>0.31678999999999996</v>
      </c>
      <c r="L190" s="28">
        <f t="shared" si="398"/>
        <v>0.29515639999999999</v>
      </c>
      <c r="N190" s="35" t="s">
        <v>63</v>
      </c>
      <c r="O190" s="28">
        <f t="shared" ref="O190:X190" si="399">O14+$D$35*O47</f>
        <v>-0.221</v>
      </c>
      <c r="P190" s="28">
        <f t="shared" si="399"/>
        <v>-0.18790000000000001</v>
      </c>
      <c r="Q190" s="28">
        <f t="shared" si="399"/>
        <v>-0.16539999999999999</v>
      </c>
      <c r="R190" s="28">
        <f t="shared" si="399"/>
        <v>-0.15240000000000001</v>
      </c>
      <c r="S190" s="28">
        <f t="shared" si="399"/>
        <v>-0.1391</v>
      </c>
      <c r="T190" s="28">
        <f t="shared" si="399"/>
        <v>-0.1157</v>
      </c>
      <c r="U190" s="28">
        <f t="shared" si="399"/>
        <v>-0.1046</v>
      </c>
      <c r="V190" s="28">
        <f t="shared" si="399"/>
        <v>-8.7499999999999994E-2</v>
      </c>
      <c r="W190" s="28">
        <f t="shared" si="399"/>
        <v>-4.8899999999999999E-2</v>
      </c>
      <c r="X190" s="28">
        <f t="shared" si="399"/>
        <v>-3.5900000000000001E-2</v>
      </c>
      <c r="Z190" s="35" t="s">
        <v>63</v>
      </c>
      <c r="AA190" s="28">
        <f t="shared" ref="AA190:AJ190" si="400">AA14+$E$35*AA47</f>
        <v>0.69499999999999995</v>
      </c>
      <c r="AB190" s="28">
        <f t="shared" si="400"/>
        <v>0.68089999999999995</v>
      </c>
      <c r="AC190" s="28">
        <f t="shared" si="400"/>
        <v>0.64870000000000005</v>
      </c>
      <c r="AD190" s="28">
        <f t="shared" si="400"/>
        <v>0.63519999999999999</v>
      </c>
      <c r="AE190" s="28">
        <f t="shared" si="400"/>
        <v>0.61209999999999998</v>
      </c>
      <c r="AF190" s="28">
        <f t="shared" si="400"/>
        <v>0.5776</v>
      </c>
      <c r="AG190" s="28">
        <f t="shared" si="400"/>
        <v>0.55610000000000004</v>
      </c>
      <c r="AH190" s="28">
        <f t="shared" si="400"/>
        <v>0.53469999999999995</v>
      </c>
      <c r="AI190" s="28">
        <f t="shared" si="400"/>
        <v>0.51149999999999995</v>
      </c>
      <c r="AJ190" s="28">
        <f t="shared" si="400"/>
        <v>0.49619999999999997</v>
      </c>
      <c r="AL190" s="35" t="s">
        <v>63</v>
      </c>
      <c r="AM190" s="37">
        <f t="shared" ref="AM190:AV190" si="401">C190*(1+(((2-3*O190^2)/24*AA190^2)+(O190*AA190*C190/4))*10)</f>
        <v>0.5637359181396735</v>
      </c>
      <c r="AN190" s="37">
        <f t="shared" si="401"/>
        <v>0.54157613064428334</v>
      </c>
      <c r="AO190" s="37">
        <f t="shared" si="401"/>
        <v>0.51819500873857849</v>
      </c>
      <c r="AP190" s="37">
        <f t="shared" si="401"/>
        <v>0.50730754600674344</v>
      </c>
      <c r="AQ190" s="37">
        <f t="shared" si="401"/>
        <v>0.47654178857339663</v>
      </c>
      <c r="AR190" s="37">
        <f t="shared" si="401"/>
        <v>0.43703180557235533</v>
      </c>
      <c r="AS190" s="37">
        <f t="shared" si="401"/>
        <v>0.40808692926401102</v>
      </c>
      <c r="AT190" s="37">
        <f t="shared" si="401"/>
        <v>0.38313334298645302</v>
      </c>
      <c r="AU190" s="37">
        <f t="shared" si="401"/>
        <v>0.37933565446628259</v>
      </c>
      <c r="AV190" s="37">
        <f t="shared" si="401"/>
        <v>0.35171945381959296</v>
      </c>
    </row>
    <row r="191" spans="1:48" ht="15" customHeight="1">
      <c r="B191" s="35" t="s">
        <v>64</v>
      </c>
      <c r="C191" s="28">
        <f t="shared" ref="C191:L191" si="402">C15+$C$35*C48</f>
        <v>0.43923400000000001</v>
      </c>
      <c r="D191" s="28">
        <f t="shared" si="402"/>
        <v>0.42276359999999996</v>
      </c>
      <c r="E191" s="28">
        <f t="shared" si="402"/>
        <v>0.39856239999999998</v>
      </c>
      <c r="F191" s="28">
        <f t="shared" si="402"/>
        <v>0.3949976</v>
      </c>
      <c r="G191" s="28">
        <f t="shared" si="402"/>
        <v>0.36296320000000004</v>
      </c>
      <c r="H191" s="28">
        <f t="shared" si="402"/>
        <v>0.34694120000000001</v>
      </c>
      <c r="I191" s="28">
        <f t="shared" si="402"/>
        <v>0.32977080000000003</v>
      </c>
      <c r="J191" s="28">
        <f t="shared" si="402"/>
        <v>0.31618959999999996</v>
      </c>
      <c r="K191" s="28">
        <f t="shared" si="402"/>
        <v>0.28659800000000002</v>
      </c>
      <c r="L191" s="28">
        <f t="shared" si="402"/>
        <v>0.27974000000000004</v>
      </c>
      <c r="N191" s="35" t="s">
        <v>64</v>
      </c>
      <c r="O191" s="28">
        <f t="shared" ref="O191:X191" si="403">O15+$D$35*O48</f>
        <v>-0.19439999999999999</v>
      </c>
      <c r="P191" s="28">
        <f t="shared" si="403"/>
        <v>-0.1744</v>
      </c>
      <c r="Q191" s="28">
        <f t="shared" si="403"/>
        <v>-0.15509999999999999</v>
      </c>
      <c r="R191" s="28">
        <f t="shared" si="403"/>
        <v>-0.1457</v>
      </c>
      <c r="S191" s="28">
        <f t="shared" si="403"/>
        <v>-0.1179</v>
      </c>
      <c r="T191" s="28">
        <f t="shared" si="403"/>
        <v>-0.1036</v>
      </c>
      <c r="U191" s="28">
        <f t="shared" si="403"/>
        <v>-8.77E-2</v>
      </c>
      <c r="V191" s="28">
        <f t="shared" si="403"/>
        <v>-5.2299999999999999E-2</v>
      </c>
      <c r="W191" s="28">
        <f t="shared" si="403"/>
        <v>-4.5400000000000003E-2</v>
      </c>
      <c r="X191" s="28">
        <f t="shared" si="403"/>
        <v>-0.02</v>
      </c>
      <c r="Z191" s="35" t="s">
        <v>64</v>
      </c>
      <c r="AA191" s="28">
        <f t="shared" ref="AA191:AJ191" si="404">AA15+$E$35*AA48</f>
        <v>0.67669999999999997</v>
      </c>
      <c r="AB191" s="28">
        <f t="shared" si="404"/>
        <v>0.65110000000000001</v>
      </c>
      <c r="AC191" s="28">
        <f t="shared" si="404"/>
        <v>0.62429999999999997</v>
      </c>
      <c r="AD191" s="28">
        <f t="shared" si="404"/>
        <v>0.60589999999999999</v>
      </c>
      <c r="AE191" s="28">
        <f t="shared" si="404"/>
        <v>0.58440000000000003</v>
      </c>
      <c r="AF191" s="28">
        <f t="shared" si="404"/>
        <v>0.56679999999999997</v>
      </c>
      <c r="AG191" s="28">
        <f t="shared" si="404"/>
        <v>0.53100000000000003</v>
      </c>
      <c r="AH191" s="28">
        <f t="shared" si="404"/>
        <v>0.51790000000000003</v>
      </c>
      <c r="AI191" s="28">
        <f t="shared" si="404"/>
        <v>0.4894</v>
      </c>
      <c r="AJ191" s="28">
        <f t="shared" si="404"/>
        <v>0.46779999999999999</v>
      </c>
      <c r="AL191" s="35" t="s">
        <v>64</v>
      </c>
      <c r="AM191" s="37">
        <f t="shared" ref="AM191:AV191" si="405">C191*(1+(((2-3*O191^2)/24*AA191^2)+(O191*AA191*C191/4))*20)</f>
        <v>0.62855869002196751</v>
      </c>
      <c r="AN191" s="37">
        <f t="shared" si="405"/>
        <v>0.60636519901533514</v>
      </c>
      <c r="AO191" s="37">
        <f t="shared" si="405"/>
        <v>0.57121273341637568</v>
      </c>
      <c r="AP191" s="37">
        <f t="shared" si="405"/>
        <v>0.56011590850892656</v>
      </c>
      <c r="AQ191" s="37">
        <f t="shared" si="405"/>
        <v>0.51987041702107395</v>
      </c>
      <c r="AR191" s="37">
        <f t="shared" si="405"/>
        <v>0.49437527178467344</v>
      </c>
      <c r="AS191" s="37">
        <f t="shared" si="405"/>
        <v>0.45763230569971269</v>
      </c>
      <c r="AT191" s="37">
        <f t="shared" si="405"/>
        <v>0.44341735115729836</v>
      </c>
      <c r="AU191" s="37">
        <f t="shared" si="405"/>
        <v>0.39152548931072051</v>
      </c>
      <c r="AV191" s="37">
        <f t="shared" si="405"/>
        <v>0.37804706795738374</v>
      </c>
    </row>
    <row r="192" spans="1:48" ht="15" customHeight="1">
      <c r="B192" s="35" t="s">
        <v>65</v>
      </c>
      <c r="C192" s="28">
        <f t="shared" ref="C192:L192" si="406">C16+$C$35*C49</f>
        <v>0.42947920000000001</v>
      </c>
      <c r="D192" s="28">
        <f t="shared" si="406"/>
        <v>0.4065048</v>
      </c>
      <c r="E192" s="28">
        <f t="shared" si="406"/>
        <v>0.38667040000000003</v>
      </c>
      <c r="F192" s="28">
        <f t="shared" si="406"/>
        <v>0.37201120000000004</v>
      </c>
      <c r="G192" s="28">
        <f t="shared" si="406"/>
        <v>0.35471400000000003</v>
      </c>
      <c r="H192" s="28">
        <f t="shared" si="406"/>
        <v>0.32684439999999998</v>
      </c>
      <c r="I192" s="28">
        <f t="shared" si="406"/>
        <v>0.31038959999999999</v>
      </c>
      <c r="J192" s="28">
        <f t="shared" si="406"/>
        <v>0.28814000000000001</v>
      </c>
      <c r="K192" s="28">
        <f t="shared" si="406"/>
        <v>0.27164000000000005</v>
      </c>
      <c r="L192" s="28">
        <f t="shared" si="406"/>
        <v>0.25864000000000004</v>
      </c>
      <c r="N192" s="35" t="s">
        <v>65</v>
      </c>
      <c r="O192" s="28">
        <f t="shared" ref="O192:X192" si="407">O16+$D$35*O49</f>
        <v>-0.17599999999999999</v>
      </c>
      <c r="P192" s="28">
        <f t="shared" si="407"/>
        <v>-0.15490000000000001</v>
      </c>
      <c r="Q192" s="28">
        <f t="shared" si="407"/>
        <v>-0.1366</v>
      </c>
      <c r="R192" s="28">
        <f t="shared" si="407"/>
        <v>-0.10780000000000001</v>
      </c>
      <c r="S192" s="28">
        <f t="shared" si="407"/>
        <v>-9.3200000000000005E-2</v>
      </c>
      <c r="T192" s="28">
        <f t="shared" si="407"/>
        <v>-7.0199999999999999E-2</v>
      </c>
      <c r="U192" s="28">
        <f t="shared" si="407"/>
        <v>-4.9500000000000002E-2</v>
      </c>
      <c r="V192" s="28">
        <f t="shared" si="407"/>
        <v>-4.3700000000000003E-2</v>
      </c>
      <c r="W192" s="28">
        <f t="shared" si="407"/>
        <v>-1.83E-2</v>
      </c>
      <c r="X192" s="28">
        <f t="shared" si="407"/>
        <v>8.8999999999999999E-3</v>
      </c>
      <c r="Z192" s="35" t="s">
        <v>65</v>
      </c>
      <c r="AA192" s="28">
        <f t="shared" ref="AA192:AJ192" si="408">AA16+$E$35*AA49</f>
        <v>0.65680000000000005</v>
      </c>
      <c r="AB192" s="28">
        <f t="shared" si="408"/>
        <v>0.62050000000000005</v>
      </c>
      <c r="AC192" s="28">
        <f t="shared" si="408"/>
        <v>0.59799999999999998</v>
      </c>
      <c r="AD192" s="28">
        <f t="shared" si="408"/>
        <v>0.58220000000000005</v>
      </c>
      <c r="AE192" s="28">
        <f t="shared" si="408"/>
        <v>0.55259999999999998</v>
      </c>
      <c r="AF192" s="28">
        <f t="shared" si="408"/>
        <v>0.53369999999999995</v>
      </c>
      <c r="AG192" s="28">
        <f t="shared" si="408"/>
        <v>0.5081</v>
      </c>
      <c r="AH192" s="28">
        <f t="shared" si="408"/>
        <v>0.49780000000000002</v>
      </c>
      <c r="AI192" s="28">
        <f t="shared" si="408"/>
        <v>0.47789999999999999</v>
      </c>
      <c r="AJ192" s="28">
        <f t="shared" si="408"/>
        <v>0.45789999999999997</v>
      </c>
      <c r="AL192" s="35" t="s">
        <v>65</v>
      </c>
      <c r="AM192" s="37">
        <f t="shared" ref="AM192:AV192" si="409">C192*(1+(((2-3*O192^2)/24*AA192^2)+(O192*AA192*C192/4))*30)</f>
        <v>0.7112208258826993</v>
      </c>
      <c r="AN192" s="37">
        <f t="shared" si="409"/>
        <v>0.66458332053750591</v>
      </c>
      <c r="AO192" s="37">
        <f t="shared" si="409"/>
        <v>0.6310821470757042</v>
      </c>
      <c r="AP192" s="37">
        <f t="shared" si="409"/>
        <v>0.61661305776342334</v>
      </c>
      <c r="AQ192" s="37">
        <f t="shared" si="409"/>
        <v>0.57337943590396578</v>
      </c>
      <c r="AR192" s="37">
        <f t="shared" si="409"/>
        <v>0.527848611767891</v>
      </c>
      <c r="AS192" s="37">
        <f t="shared" si="409"/>
        <v>0.49180997359990947</v>
      </c>
      <c r="AT192" s="37">
        <f t="shared" si="409"/>
        <v>0.45258907802798998</v>
      </c>
      <c r="AU192" s="37">
        <f t="shared" si="409"/>
        <v>0.42182075290214738</v>
      </c>
      <c r="AV192" s="37">
        <f t="shared" si="409"/>
        <v>0.39624269531822731</v>
      </c>
    </row>
  </sheetData>
  <mergeCells count="61">
    <mergeCell ref="A180:AU180"/>
    <mergeCell ref="B181:L181"/>
    <mergeCell ref="N181:X181"/>
    <mergeCell ref="Z181:AJ181"/>
    <mergeCell ref="AL181:AV181"/>
    <mergeCell ref="A166:AU166"/>
    <mergeCell ref="B167:L167"/>
    <mergeCell ref="N167:X167"/>
    <mergeCell ref="Z167:AJ167"/>
    <mergeCell ref="AL167:AV167"/>
    <mergeCell ref="A152:AU152"/>
    <mergeCell ref="B153:L153"/>
    <mergeCell ref="N153:X153"/>
    <mergeCell ref="Z153:AJ153"/>
    <mergeCell ref="AL153:AV153"/>
    <mergeCell ref="A138:AU138"/>
    <mergeCell ref="B139:L139"/>
    <mergeCell ref="N139:X139"/>
    <mergeCell ref="Z139:AJ139"/>
    <mergeCell ref="AL139:AV139"/>
    <mergeCell ref="A124:AU124"/>
    <mergeCell ref="B125:L125"/>
    <mergeCell ref="N125:X125"/>
    <mergeCell ref="Z125:AJ125"/>
    <mergeCell ref="AL125:AV125"/>
    <mergeCell ref="A110:AU110"/>
    <mergeCell ref="B111:L111"/>
    <mergeCell ref="N111:X111"/>
    <mergeCell ref="Z111:AJ111"/>
    <mergeCell ref="AL111:AV111"/>
    <mergeCell ref="A96:AU96"/>
    <mergeCell ref="B97:L97"/>
    <mergeCell ref="N97:X97"/>
    <mergeCell ref="Z97:AJ97"/>
    <mergeCell ref="AL97:AV97"/>
    <mergeCell ref="A82:AU82"/>
    <mergeCell ref="B83:L83"/>
    <mergeCell ref="N83:X83"/>
    <mergeCell ref="Z83:AJ83"/>
    <mergeCell ref="AL83:AV83"/>
    <mergeCell ref="A68:AU68"/>
    <mergeCell ref="B69:L69"/>
    <mergeCell ref="N69:X69"/>
    <mergeCell ref="Z69:AJ69"/>
    <mergeCell ref="AL69:AV69"/>
    <mergeCell ref="A51:AU51"/>
    <mergeCell ref="A54:AU54"/>
    <mergeCell ref="B55:L55"/>
    <mergeCell ref="N55:X55"/>
    <mergeCell ref="Z55:AJ55"/>
    <mergeCell ref="AL55:AV55"/>
    <mergeCell ref="A18:AU18"/>
    <mergeCell ref="A20:AU20"/>
    <mergeCell ref="B21:X22"/>
    <mergeCell ref="B24:E24"/>
    <mergeCell ref="B38:L38"/>
    <mergeCell ref="A3:AU3"/>
    <mergeCell ref="B5:L5"/>
    <mergeCell ref="N5:X5"/>
    <mergeCell ref="Z5:AJ5"/>
    <mergeCell ref="AL5:AV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topLeftCell="A67" zoomScaleNormal="100" workbookViewId="0">
      <selection sqref="A1:I1"/>
    </sheetView>
  </sheetViews>
  <sheetFormatPr defaultColWidth="8.7109375" defaultRowHeight="15"/>
  <cols>
    <col min="1" max="1" width="12" customWidth="1"/>
    <col min="2" max="9" width="13" customWidth="1"/>
  </cols>
  <sheetData>
    <row r="1" spans="1:9" ht="17.25" customHeight="1">
      <c r="A1" s="5" t="s">
        <v>142</v>
      </c>
      <c r="B1" s="5"/>
      <c r="C1" s="5"/>
      <c r="D1" s="5"/>
      <c r="E1" s="5"/>
      <c r="F1" s="5"/>
      <c r="G1" s="5"/>
      <c r="H1" s="5"/>
      <c r="I1" s="5"/>
    </row>
    <row r="2" spans="1:9" ht="54.75" customHeight="1">
      <c r="A2" s="8" t="s">
        <v>143</v>
      </c>
      <c r="B2" s="8"/>
      <c r="C2" s="8"/>
      <c r="D2" s="8"/>
      <c r="E2" s="8"/>
      <c r="F2" s="8"/>
      <c r="G2" s="8"/>
      <c r="H2" s="8"/>
      <c r="I2" s="8"/>
    </row>
    <row r="4" spans="1:9" ht="15" customHeight="1">
      <c r="A4" s="12" t="s">
        <v>26</v>
      </c>
      <c r="B4" s="39">
        <f>Trade_Info!B7</f>
        <v>10000000</v>
      </c>
    </row>
    <row r="6" spans="1:9" ht="15" customHeight="1">
      <c r="A6" s="12" t="s">
        <v>144</v>
      </c>
    </row>
    <row r="7" spans="1:9" ht="15" customHeight="1">
      <c r="A7" s="17" t="s">
        <v>145</v>
      </c>
      <c r="B7" s="40">
        <f>Curves!E8</f>
        <v>0.95776799999999995</v>
      </c>
    </row>
    <row r="8" spans="1:9" ht="15" customHeight="1">
      <c r="A8" s="17" t="s">
        <v>146</v>
      </c>
      <c r="B8" s="40">
        <f>Curves!E9</f>
        <v>0.96933000000000002</v>
      </c>
    </row>
    <row r="9" spans="1:9" ht="15" customHeight="1">
      <c r="A9" s="17" t="s">
        <v>147</v>
      </c>
      <c r="B9" s="40">
        <f>Curves!E10</f>
        <v>0.95872599999999997</v>
      </c>
    </row>
    <row r="10" spans="1:9" ht="15" customHeight="1">
      <c r="A10" s="17" t="s">
        <v>148</v>
      </c>
      <c r="B10" s="40">
        <f>Curves!E11</f>
        <v>0.95489900000000005</v>
      </c>
    </row>
    <row r="11" spans="1:9" ht="15" customHeight="1">
      <c r="A11" s="17" t="s">
        <v>149</v>
      </c>
      <c r="B11" s="40">
        <f>Curves!E12</f>
        <v>0.96739299999999995</v>
      </c>
    </row>
    <row r="12" spans="1:9" ht="15" customHeight="1">
      <c r="A12" s="17" t="s">
        <v>150</v>
      </c>
      <c r="B12" s="40">
        <f>Curves!E13</f>
        <v>0.96064499999999997</v>
      </c>
    </row>
    <row r="13" spans="1:9" ht="15" customHeight="1">
      <c r="A13" s="17" t="s">
        <v>151</v>
      </c>
      <c r="B13" s="40">
        <f>SABR!AT10</f>
        <v>0.39978211956629017</v>
      </c>
    </row>
    <row r="16" spans="1:9" ht="15" customHeight="1">
      <c r="A16" s="4" t="s">
        <v>152</v>
      </c>
      <c r="B16" s="4"/>
      <c r="C16" s="4"/>
      <c r="D16" s="4"/>
      <c r="E16" s="4"/>
      <c r="F16" s="4"/>
      <c r="G16" s="4"/>
      <c r="H16" s="4"/>
      <c r="I16" s="4"/>
    </row>
    <row r="17" spans="1:9" ht="26.25" customHeight="1">
      <c r="A17" s="25" t="s">
        <v>153</v>
      </c>
      <c r="B17" s="25" t="s">
        <v>154</v>
      </c>
      <c r="C17" s="25" t="s">
        <v>155</v>
      </c>
      <c r="D17" s="25" t="s">
        <v>156</v>
      </c>
      <c r="E17" s="25" t="s">
        <v>157</v>
      </c>
      <c r="F17" s="25" t="s">
        <v>158</v>
      </c>
      <c r="G17" s="25" t="s">
        <v>159</v>
      </c>
      <c r="H17" s="25" t="s">
        <v>160</v>
      </c>
      <c r="I17" s="25" t="s">
        <v>161</v>
      </c>
    </row>
    <row r="18" spans="1:9" ht="15" customHeight="1">
      <c r="A18" s="12" t="s">
        <v>162</v>
      </c>
      <c r="B18" s="34">
        <f>$B$7</f>
        <v>0.95776799999999995</v>
      </c>
      <c r="C18" s="34">
        <f>$B$8</f>
        <v>0.96933000000000002</v>
      </c>
      <c r="D18" s="34">
        <f>$B$13</f>
        <v>0.39978211956629017</v>
      </c>
      <c r="E18" s="34">
        <f>$B$9</f>
        <v>0.95872599999999997</v>
      </c>
      <c r="F18" s="34">
        <f>$B$10</f>
        <v>0.95489900000000005</v>
      </c>
      <c r="G18" s="34">
        <f>$B$11</f>
        <v>0.96739299999999995</v>
      </c>
      <c r="H18" s="34">
        <f>$B$12</f>
        <v>0.96064499999999997</v>
      </c>
      <c r="I18" s="41">
        <f t="shared" ref="I18:I28" si="0">$B$4*B18*(C18/$B$8)*(1+0.5*(D18-$B$13))*(AVERAGE(E18,F18,G18)/B18)*(H18/$B$12)</f>
        <v>9603393.333333334</v>
      </c>
    </row>
    <row r="19" spans="1:9" ht="15" customHeight="1">
      <c r="A19" s="17" t="s">
        <v>101</v>
      </c>
      <c r="B19" s="27">
        <f>Curves!Q37</f>
        <v>0.95645567308241974</v>
      </c>
      <c r="C19" s="27">
        <f>Curves!Q38</f>
        <v>0.96826857505336916</v>
      </c>
      <c r="D19" s="42">
        <f>SABR!AT60</f>
        <v>0.40653853777106708</v>
      </c>
      <c r="E19" s="27">
        <f>Curves!Q39</f>
        <v>0.95806182559562214</v>
      </c>
      <c r="F19" s="27">
        <f>Curves!Q40</f>
        <v>0.94931134658224248</v>
      </c>
      <c r="G19" s="27">
        <f>Curves!Q41</f>
        <v>0.96229708875850106</v>
      </c>
      <c r="H19" s="27">
        <f>Curves!Q42</f>
        <v>0.95855048960922939</v>
      </c>
      <c r="I19" s="41">
        <f t="shared" si="0"/>
        <v>9566468.7494528033</v>
      </c>
    </row>
    <row r="20" spans="1:9" ht="15" customHeight="1">
      <c r="A20" s="17" t="s">
        <v>102</v>
      </c>
      <c r="B20" s="27">
        <f>Curves!Q45</f>
        <v>0.95398447041781143</v>
      </c>
      <c r="C20" s="27">
        <f>Curves!Q46</f>
        <v>0.96893889714300441</v>
      </c>
      <c r="D20" s="42">
        <f>SABR!AT74</f>
        <v>0.40831258311903268</v>
      </c>
      <c r="E20" s="27">
        <f>Curves!Q47</f>
        <v>0.95458892283297658</v>
      </c>
      <c r="F20" s="27">
        <f>Curves!Q48</f>
        <v>0.9520918644379549</v>
      </c>
      <c r="G20" s="27">
        <f>Curves!Q49</f>
        <v>0.96495558406697302</v>
      </c>
      <c r="H20" s="27">
        <f>Curves!Q50</f>
        <v>0.95783611746544361</v>
      </c>
      <c r="I20" s="41">
        <f t="shared" si="0"/>
        <v>9580973.4589495789</v>
      </c>
    </row>
    <row r="21" spans="1:9" ht="15" customHeight="1">
      <c r="A21" s="17" t="s">
        <v>103</v>
      </c>
      <c r="B21" s="27">
        <f>Curves!Q53</f>
        <v>0.9534282578331934</v>
      </c>
      <c r="C21" s="27">
        <f>Curves!Q54</f>
        <v>0.96769945263608048</v>
      </c>
      <c r="D21" s="42">
        <f>SABR!AT88</f>
        <v>0.40797143242564204</v>
      </c>
      <c r="E21" s="27">
        <f>Curves!Q55</f>
        <v>0.95400895749566372</v>
      </c>
      <c r="F21" s="27">
        <f>Curves!Q56</f>
        <v>0.9536127078356571</v>
      </c>
      <c r="G21" s="27">
        <f>Curves!Q57</f>
        <v>0.96122366348805488</v>
      </c>
      <c r="H21" s="27">
        <f>Curves!Q58</f>
        <v>0.95758460198964945</v>
      </c>
      <c r="I21" s="41">
        <f t="shared" si="0"/>
        <v>9555284.0998353269</v>
      </c>
    </row>
    <row r="22" spans="1:9" ht="15" customHeight="1">
      <c r="A22" s="17" t="s">
        <v>104</v>
      </c>
      <c r="B22" s="27">
        <f>Curves!Q61</f>
        <v>0.95304178574419385</v>
      </c>
      <c r="C22" s="27">
        <f>Curves!Q62</f>
        <v>0.96526908095015307</v>
      </c>
      <c r="D22" s="42">
        <f>SABR!AT102</f>
        <v>0.41377022526113372</v>
      </c>
      <c r="E22" s="27">
        <f>Curves!Q63</f>
        <v>0.95320762385314017</v>
      </c>
      <c r="F22" s="27">
        <f>Curves!Q64</f>
        <v>0.94623447980964559</v>
      </c>
      <c r="G22" s="27">
        <f>Curves!Q65</f>
        <v>0.96033670077021449</v>
      </c>
      <c r="H22" s="27">
        <f>Curves!Q66</f>
        <v>0.96226355985512491</v>
      </c>
      <c r="I22" s="41">
        <f t="shared" si="0"/>
        <v>9575157.9847247116</v>
      </c>
    </row>
    <row r="23" spans="1:9" ht="15" customHeight="1">
      <c r="A23" s="17" t="s">
        <v>105</v>
      </c>
      <c r="B23" s="27">
        <f>Curves!Q69</f>
        <v>0.95548798414669567</v>
      </c>
      <c r="C23" s="27">
        <f>Curves!Q70</f>
        <v>0.96483622866771579</v>
      </c>
      <c r="D23" s="42">
        <f>SABR!AT116</f>
        <v>0.41063225788842</v>
      </c>
      <c r="E23" s="27">
        <f>Curves!Q71</f>
        <v>0.95639570608579993</v>
      </c>
      <c r="F23" s="27">
        <f>Curves!Q72</f>
        <v>0.94534425538944911</v>
      </c>
      <c r="G23" s="27">
        <f>Curves!Q73</f>
        <v>0.96004350658501603</v>
      </c>
      <c r="H23" s="27">
        <f>Curves!Q74</f>
        <v>0.95680488523976404</v>
      </c>
      <c r="I23" s="41">
        <f t="shared" si="0"/>
        <v>9508404.114559073</v>
      </c>
    </row>
    <row r="24" spans="1:9" ht="15" customHeight="1">
      <c r="A24" s="17" t="s">
        <v>106</v>
      </c>
      <c r="B24" s="27">
        <f>Curves!Q77</f>
        <v>0.95499110378965923</v>
      </c>
      <c r="C24" s="27">
        <f>Curves!Q78</f>
        <v>0.96434631914571989</v>
      </c>
      <c r="D24" s="42">
        <f>SABR!AT130</f>
        <v>0.41192843285736946</v>
      </c>
      <c r="E24" s="27">
        <f>Curves!Q79</f>
        <v>0.95213789656946579</v>
      </c>
      <c r="F24" s="27">
        <f>Curves!Q80</f>
        <v>0.9444820885238937</v>
      </c>
      <c r="G24" s="27">
        <f>Curves!Q81</f>
        <v>0.95861205091835933</v>
      </c>
      <c r="H24" s="27">
        <f>Curves!Q82</f>
        <v>0.95873693486627742</v>
      </c>
      <c r="I24" s="41">
        <f t="shared" si="0"/>
        <v>9507090.3195664473</v>
      </c>
    </row>
    <row r="25" spans="1:9" ht="15" customHeight="1">
      <c r="A25" s="17" t="s">
        <v>107</v>
      </c>
      <c r="B25" s="27">
        <f>Curves!Q85</f>
        <v>0.95463157173929081</v>
      </c>
      <c r="C25" s="27">
        <f>Curves!Q86</f>
        <v>0.96389893786194725</v>
      </c>
      <c r="D25" s="42">
        <f>SABR!AT144</f>
        <v>0.41772611071224464</v>
      </c>
      <c r="E25" s="27">
        <f>Curves!Q87</f>
        <v>0.95164490471319885</v>
      </c>
      <c r="F25" s="27">
        <f>Curves!Q88</f>
        <v>0.95011546948932746</v>
      </c>
      <c r="G25" s="27">
        <f>Curves!Q89</f>
        <v>0.95780837598502511</v>
      </c>
      <c r="H25" s="27">
        <f>Curves!Q90</f>
        <v>0.95626062825732783</v>
      </c>
      <c r="I25" s="41">
        <f t="shared" si="0"/>
        <v>9519882.6773091555</v>
      </c>
    </row>
    <row r="26" spans="1:9" ht="15" customHeight="1">
      <c r="A26" s="17" t="s">
        <v>108</v>
      </c>
      <c r="B26" s="27">
        <f>Curves!Q93</f>
        <v>0.95085969225013667</v>
      </c>
      <c r="C26" s="27">
        <f>Curves!Q94</f>
        <v>0.97201771219028454</v>
      </c>
      <c r="D26" s="42">
        <f>SABR!AT158</f>
        <v>0.41506620256414833</v>
      </c>
      <c r="E26" s="27">
        <f>Curves!Q95</f>
        <v>0.95082457210343307</v>
      </c>
      <c r="F26" s="27">
        <f>Curves!Q96</f>
        <v>0.94234686904763121</v>
      </c>
      <c r="G26" s="27">
        <f>Curves!Q97</f>
        <v>0.9570569639241342</v>
      </c>
      <c r="H26" s="27">
        <f>Curves!Q98</f>
        <v>0.96022971266562596</v>
      </c>
      <c r="I26" s="41">
        <f t="shared" si="0"/>
        <v>9595761.0923337471</v>
      </c>
    </row>
    <row r="27" spans="1:9" ht="15" customHeight="1">
      <c r="A27" s="17" t="s">
        <v>109</v>
      </c>
      <c r="B27" s="27">
        <f>Curves!Q101</f>
        <v>0.95062999832629902</v>
      </c>
      <c r="C27" s="27">
        <f>Curves!Q102</f>
        <v>0.96317151307628934</v>
      </c>
      <c r="D27" s="42">
        <f>SABR!AT172</f>
        <v>0.41786250698564259</v>
      </c>
      <c r="E27" s="27">
        <f>Curves!Q103</f>
        <v>0.95006941890563312</v>
      </c>
      <c r="F27" s="27">
        <f>Curves!Q104</f>
        <v>0.94108518751281534</v>
      </c>
      <c r="G27" s="27">
        <f>Curves!Q105</f>
        <v>0.95616810338263591</v>
      </c>
      <c r="H27" s="27">
        <f>Curves!Q106</f>
        <v>0.9555911486309453</v>
      </c>
      <c r="I27" s="41">
        <f t="shared" si="0"/>
        <v>9465968.8367270064</v>
      </c>
    </row>
    <row r="28" spans="1:9" ht="15" customHeight="1">
      <c r="A28" s="17" t="s">
        <v>110</v>
      </c>
      <c r="B28" s="27">
        <f>Curves!Q109</f>
        <v>0.94992462257042909</v>
      </c>
      <c r="C28" s="27">
        <f>Curves!Q110</f>
        <v>0.97264772484608164</v>
      </c>
      <c r="D28" s="42">
        <f>SABR!AT186</f>
        <v>0.42134030629881075</v>
      </c>
      <c r="E28" s="27">
        <f>Curves!Q111</f>
        <v>0.95723779694481859</v>
      </c>
      <c r="F28" s="27">
        <f>Curves!Q112</f>
        <v>0.9482563191398401</v>
      </c>
      <c r="G28" s="27">
        <f>Curves!Q113</f>
        <v>0.96603972318670239</v>
      </c>
      <c r="H28" s="27">
        <f>Curves!Q114</f>
        <v>0.95521334474714148</v>
      </c>
      <c r="I28" s="41">
        <f t="shared" si="0"/>
        <v>9653177.9020157475</v>
      </c>
    </row>
    <row r="31" spans="1:9" ht="15" customHeight="1">
      <c r="A31" s="3" t="s">
        <v>163</v>
      </c>
      <c r="B31" s="3"/>
      <c r="C31" s="3"/>
      <c r="D31" s="3"/>
      <c r="E31" s="3"/>
      <c r="F31" s="3"/>
      <c r="G31" s="3"/>
      <c r="H31" s="3"/>
      <c r="I31" s="3"/>
    </row>
    <row r="32" spans="1:9" ht="26.25" customHeight="1">
      <c r="A32" s="25" t="s">
        <v>153</v>
      </c>
      <c r="B32" s="25" t="s">
        <v>154</v>
      </c>
      <c r="C32" s="25" t="s">
        <v>155</v>
      </c>
      <c r="D32" s="25" t="s">
        <v>156</v>
      </c>
      <c r="E32" s="25" t="s">
        <v>157</v>
      </c>
      <c r="F32" s="25" t="s">
        <v>158</v>
      </c>
      <c r="G32" s="25" t="s">
        <v>159</v>
      </c>
      <c r="H32" s="25" t="s">
        <v>160</v>
      </c>
      <c r="I32" s="25" t="s">
        <v>161</v>
      </c>
    </row>
    <row r="33" spans="1:9" ht="15" customHeight="1">
      <c r="A33" s="12" t="s">
        <v>162</v>
      </c>
      <c r="B33" s="34">
        <f>$B$7</f>
        <v>0.95776799999999995</v>
      </c>
      <c r="C33" s="34">
        <f>$B$8</f>
        <v>0.96933000000000002</v>
      </c>
      <c r="D33" s="34">
        <f>$B$13</f>
        <v>0.39978211956629017</v>
      </c>
      <c r="E33" s="34">
        <f t="shared" ref="E33:E43" si="1">$B$9</f>
        <v>0.95872599999999997</v>
      </c>
      <c r="F33" s="34">
        <f t="shared" ref="F33:F43" si="2">$B$10</f>
        <v>0.95489900000000005</v>
      </c>
      <c r="G33" s="34">
        <f t="shared" ref="G33:G43" si="3">$B$11</f>
        <v>0.96739299999999995</v>
      </c>
      <c r="H33" s="34">
        <f t="shared" ref="H33:H43" si="4">$B$12</f>
        <v>0.96064499999999997</v>
      </c>
      <c r="I33" s="41">
        <f t="shared" ref="I33:I43" si="5">$B$4*B33*(C33/$B$8)*(1+0.5*(D33-$B$13))*(AVERAGE(E33,F33,G33)/B33)*(H33/$B$12)</f>
        <v>9603393.333333334</v>
      </c>
    </row>
    <row r="34" spans="1:9" ht="15" customHeight="1">
      <c r="A34" s="17" t="s">
        <v>101</v>
      </c>
      <c r="B34" s="27">
        <f>Curves!Q37</f>
        <v>0.95645567308241974</v>
      </c>
      <c r="C34" s="27">
        <f>Curves!Q38</f>
        <v>0.96826857505336916</v>
      </c>
      <c r="D34" s="42">
        <f>SABR!AT60</f>
        <v>0.40653853777106708</v>
      </c>
      <c r="E34" s="34">
        <f t="shared" si="1"/>
        <v>0.95872599999999997</v>
      </c>
      <c r="F34" s="34">
        <f t="shared" si="2"/>
        <v>0.95489900000000005</v>
      </c>
      <c r="G34" s="34">
        <f t="shared" si="3"/>
        <v>0.96739299999999995</v>
      </c>
      <c r="H34" s="34">
        <f t="shared" si="4"/>
        <v>0.96064499999999997</v>
      </c>
      <c r="I34" s="41">
        <f t="shared" si="5"/>
        <v>9625284.2786626406</v>
      </c>
    </row>
    <row r="35" spans="1:9" ht="15" customHeight="1">
      <c r="A35" s="17" t="s">
        <v>102</v>
      </c>
      <c r="B35" s="27">
        <f>Curves!Q45</f>
        <v>0.95398447041781143</v>
      </c>
      <c r="C35" s="27">
        <f>Curves!Q46</f>
        <v>0.96893889714300441</v>
      </c>
      <c r="D35" s="42">
        <f>SABR!AT74</f>
        <v>0.40831258311903268</v>
      </c>
      <c r="E35" s="34">
        <f t="shared" si="1"/>
        <v>0.95872599999999997</v>
      </c>
      <c r="F35" s="34">
        <f t="shared" si="2"/>
        <v>0.95489900000000005</v>
      </c>
      <c r="G35" s="34">
        <f t="shared" si="3"/>
        <v>0.96739299999999995</v>
      </c>
      <c r="H35" s="34">
        <f t="shared" si="4"/>
        <v>0.96064499999999997</v>
      </c>
      <c r="I35" s="41">
        <f t="shared" si="5"/>
        <v>9640462.7517672107</v>
      </c>
    </row>
    <row r="36" spans="1:9" ht="15" customHeight="1">
      <c r="A36" s="17" t="s">
        <v>103</v>
      </c>
      <c r="B36" s="27">
        <f>Curves!Q53</f>
        <v>0.9534282578331934</v>
      </c>
      <c r="C36" s="27">
        <f>Curves!Q54</f>
        <v>0.96769945263608048</v>
      </c>
      <c r="D36" s="42">
        <f>SABR!AT88</f>
        <v>0.40797143242564204</v>
      </c>
      <c r="E36" s="34">
        <f t="shared" si="1"/>
        <v>0.95872599999999997</v>
      </c>
      <c r="F36" s="34">
        <f t="shared" si="2"/>
        <v>0.95489900000000005</v>
      </c>
      <c r="G36" s="34">
        <f t="shared" si="3"/>
        <v>0.96739299999999995</v>
      </c>
      <c r="H36" s="34">
        <f t="shared" si="4"/>
        <v>0.96064499999999997</v>
      </c>
      <c r="I36" s="41">
        <f t="shared" si="5"/>
        <v>9626495.5453681946</v>
      </c>
    </row>
    <row r="37" spans="1:9" ht="15" customHeight="1">
      <c r="A37" s="17" t="s">
        <v>104</v>
      </c>
      <c r="B37" s="27">
        <f>Curves!Q61</f>
        <v>0.95304178574419385</v>
      </c>
      <c r="C37" s="27">
        <f>Curves!Q62</f>
        <v>0.96526908095015307</v>
      </c>
      <c r="D37" s="42">
        <f>SABR!AT102</f>
        <v>0.41377022526113372</v>
      </c>
      <c r="E37" s="34">
        <f t="shared" si="1"/>
        <v>0.95872599999999997</v>
      </c>
      <c r="F37" s="34">
        <f t="shared" si="2"/>
        <v>0.95489900000000005</v>
      </c>
      <c r="G37" s="34">
        <f t="shared" si="3"/>
        <v>0.96739299999999995</v>
      </c>
      <c r="H37" s="34">
        <f t="shared" si="4"/>
        <v>0.96064499999999997</v>
      </c>
      <c r="I37" s="41">
        <f t="shared" si="5"/>
        <v>9630046.0505749006</v>
      </c>
    </row>
    <row r="38" spans="1:9" ht="15" customHeight="1">
      <c r="A38" s="17" t="s">
        <v>105</v>
      </c>
      <c r="B38" s="27">
        <f>Curves!Q69</f>
        <v>0.95548798414669567</v>
      </c>
      <c r="C38" s="27">
        <f>Curves!Q70</f>
        <v>0.96483622866771579</v>
      </c>
      <c r="D38" s="42">
        <f>SABR!AT116</f>
        <v>0.41063225788842</v>
      </c>
      <c r="E38" s="34">
        <f t="shared" si="1"/>
        <v>0.95872599999999997</v>
      </c>
      <c r="F38" s="34">
        <f t="shared" si="2"/>
        <v>0.95489900000000005</v>
      </c>
      <c r="G38" s="34">
        <f t="shared" si="3"/>
        <v>0.96739299999999995</v>
      </c>
      <c r="H38" s="34">
        <f t="shared" si="4"/>
        <v>0.96064499999999997</v>
      </c>
      <c r="I38" s="41">
        <f t="shared" si="5"/>
        <v>9610729.9673693813</v>
      </c>
    </row>
    <row r="39" spans="1:9" ht="15" customHeight="1">
      <c r="A39" s="17" t="s">
        <v>106</v>
      </c>
      <c r="B39" s="27">
        <f>Curves!Q77</f>
        <v>0.95499110378965923</v>
      </c>
      <c r="C39" s="27">
        <f>Curves!Q78</f>
        <v>0.96434631914571989</v>
      </c>
      <c r="D39" s="42">
        <f>SABR!AT130</f>
        <v>0.41192843285736946</v>
      </c>
      <c r="E39" s="34">
        <f t="shared" si="1"/>
        <v>0.95872599999999997</v>
      </c>
      <c r="F39" s="34">
        <f t="shared" si="2"/>
        <v>0.95489900000000005</v>
      </c>
      <c r="G39" s="34">
        <f t="shared" si="3"/>
        <v>0.96739299999999995</v>
      </c>
      <c r="H39" s="34">
        <f t="shared" si="4"/>
        <v>0.96064499999999997</v>
      </c>
      <c r="I39" s="41">
        <f t="shared" si="5"/>
        <v>9612041.8204926793</v>
      </c>
    </row>
    <row r="40" spans="1:9" ht="15" customHeight="1">
      <c r="A40" s="17" t="s">
        <v>107</v>
      </c>
      <c r="B40" s="27">
        <f>Curves!Q85</f>
        <v>0.95463157173929081</v>
      </c>
      <c r="C40" s="27">
        <f>Curves!Q86</f>
        <v>0.96389893786194725</v>
      </c>
      <c r="D40" s="42">
        <f>SABR!AT144</f>
        <v>0.41772611071224464</v>
      </c>
      <c r="E40" s="34">
        <f t="shared" si="1"/>
        <v>0.95872599999999997</v>
      </c>
      <c r="F40" s="34">
        <f t="shared" si="2"/>
        <v>0.95489900000000005</v>
      </c>
      <c r="G40" s="34">
        <f t="shared" si="3"/>
        <v>0.96739299999999995</v>
      </c>
      <c r="H40" s="34">
        <f t="shared" si="4"/>
        <v>0.96064499999999997</v>
      </c>
      <c r="I40" s="41">
        <f t="shared" si="5"/>
        <v>9635265.2976571117</v>
      </c>
    </row>
    <row r="41" spans="1:9" ht="15" customHeight="1">
      <c r="A41" s="17" t="s">
        <v>108</v>
      </c>
      <c r="B41" s="27">
        <f>Curves!Q93</f>
        <v>0.95085969225013667</v>
      </c>
      <c r="C41" s="27">
        <f>Curves!Q94</f>
        <v>0.97201771219028454</v>
      </c>
      <c r="D41" s="42">
        <f>SABR!AT158</f>
        <v>0.41506620256414833</v>
      </c>
      <c r="E41" s="34">
        <f t="shared" si="1"/>
        <v>0.95872599999999997</v>
      </c>
      <c r="F41" s="34">
        <f t="shared" si="2"/>
        <v>0.95489900000000005</v>
      </c>
      <c r="G41" s="34">
        <f t="shared" si="3"/>
        <v>0.96739299999999995</v>
      </c>
      <c r="H41" s="34">
        <f t="shared" si="4"/>
        <v>0.96064499999999997</v>
      </c>
      <c r="I41" s="41">
        <f t="shared" si="5"/>
        <v>9703614.1876889672</v>
      </c>
    </row>
    <row r="42" spans="1:9" ht="15" customHeight="1">
      <c r="A42" s="17" t="s">
        <v>109</v>
      </c>
      <c r="B42" s="27">
        <f>Curves!Q101</f>
        <v>0.95062999832629902</v>
      </c>
      <c r="C42" s="27">
        <f>Curves!Q102</f>
        <v>0.96317151307628934</v>
      </c>
      <c r="D42" s="42">
        <f>SABR!AT172</f>
        <v>0.41786250698564259</v>
      </c>
      <c r="E42" s="34">
        <f t="shared" si="1"/>
        <v>0.95872599999999997</v>
      </c>
      <c r="F42" s="34">
        <f t="shared" si="2"/>
        <v>0.95489900000000005</v>
      </c>
      <c r="G42" s="34">
        <f t="shared" si="3"/>
        <v>0.96739299999999995</v>
      </c>
      <c r="H42" s="34">
        <f t="shared" si="4"/>
        <v>0.96064499999999997</v>
      </c>
      <c r="I42" s="41">
        <f t="shared" si="5"/>
        <v>9628644.6327628307</v>
      </c>
    </row>
    <row r="43" spans="1:9" ht="15" customHeight="1">
      <c r="A43" s="17" t="s">
        <v>110</v>
      </c>
      <c r="B43" s="27">
        <f>Curves!Q109</f>
        <v>0.94992462257042909</v>
      </c>
      <c r="C43" s="27">
        <f>Curves!Q110</f>
        <v>0.97264772484608164</v>
      </c>
      <c r="D43" s="42">
        <f>SABR!AT186</f>
        <v>0.42134030629881075</v>
      </c>
      <c r="E43" s="34">
        <f t="shared" si="1"/>
        <v>0.95872599999999997</v>
      </c>
      <c r="F43" s="34">
        <f t="shared" si="2"/>
        <v>0.95489900000000005</v>
      </c>
      <c r="G43" s="34">
        <f t="shared" si="3"/>
        <v>0.96739299999999995</v>
      </c>
      <c r="H43" s="34">
        <f t="shared" si="4"/>
        <v>0.96064499999999997</v>
      </c>
      <c r="I43" s="41">
        <f t="shared" si="5"/>
        <v>9740133.0353855975</v>
      </c>
    </row>
    <row r="46" spans="1:9" ht="15" customHeight="1">
      <c r="A46" s="2" t="s">
        <v>164</v>
      </c>
      <c r="B46" s="2"/>
      <c r="C46" s="2"/>
      <c r="D46" s="2"/>
      <c r="E46" s="2"/>
      <c r="F46" s="2"/>
      <c r="G46" s="2"/>
      <c r="H46" s="2"/>
      <c r="I46" s="2"/>
    </row>
    <row r="47" spans="1:9" ht="26.25" customHeight="1">
      <c r="A47" s="25" t="s">
        <v>153</v>
      </c>
      <c r="B47" s="25" t="s">
        <v>154</v>
      </c>
      <c r="C47" s="25" t="s">
        <v>155</v>
      </c>
      <c r="D47" s="25" t="s">
        <v>156</v>
      </c>
      <c r="E47" s="25" t="s">
        <v>157</v>
      </c>
      <c r="F47" s="25" t="s">
        <v>158</v>
      </c>
      <c r="G47" s="25" t="s">
        <v>159</v>
      </c>
      <c r="H47" s="25" t="s">
        <v>160</v>
      </c>
      <c r="I47" s="25" t="s">
        <v>161</v>
      </c>
    </row>
    <row r="48" spans="1:9" ht="15" customHeight="1">
      <c r="A48" s="12" t="s">
        <v>162</v>
      </c>
      <c r="B48" s="34">
        <f t="shared" ref="B48:B58" si="6">$B$7</f>
        <v>0.95776799999999995</v>
      </c>
      <c r="C48" s="34">
        <f t="shared" ref="C48:C58" si="7">$B$8</f>
        <v>0.96933000000000002</v>
      </c>
      <c r="D48" s="34">
        <f t="shared" ref="D48:D58" si="8">$B$13</f>
        <v>0.39978211956629017</v>
      </c>
      <c r="E48" s="34">
        <f>$B$9</f>
        <v>0.95872599999999997</v>
      </c>
      <c r="F48" s="34">
        <f>$B$10</f>
        <v>0.95489900000000005</v>
      </c>
      <c r="G48" s="34">
        <f>$B$11</f>
        <v>0.96739299999999995</v>
      </c>
      <c r="H48" s="34">
        <f t="shared" ref="H48:H58" si="9">$B$12</f>
        <v>0.96064499999999997</v>
      </c>
      <c r="I48" s="41">
        <f t="shared" ref="I48:I58" si="10">$B$4*B48*(C48/$B$8)*(1+0.5*(D48-$B$13))*(AVERAGE(E48,F48,G48)/B48)*(H48/$B$12)</f>
        <v>9603393.333333334</v>
      </c>
    </row>
    <row r="49" spans="1:9" ht="15" customHeight="1">
      <c r="A49" s="17" t="s">
        <v>101</v>
      </c>
      <c r="B49" s="34">
        <f t="shared" si="6"/>
        <v>0.95776799999999995</v>
      </c>
      <c r="C49" s="34">
        <f t="shared" si="7"/>
        <v>0.96933000000000002</v>
      </c>
      <c r="D49" s="28">
        <f t="shared" si="8"/>
        <v>0.39978211956629017</v>
      </c>
      <c r="E49" s="27">
        <f>Curves!Q39</f>
        <v>0.95806182559562214</v>
      </c>
      <c r="F49" s="27">
        <f>Curves!Q40</f>
        <v>0.94931134658224248</v>
      </c>
      <c r="G49" s="27">
        <f>Curves!Q41</f>
        <v>0.96229708875850106</v>
      </c>
      <c r="H49" s="34">
        <f t="shared" si="9"/>
        <v>0.96064499999999997</v>
      </c>
      <c r="I49" s="41">
        <f t="shared" si="10"/>
        <v>9565567.5364545528</v>
      </c>
    </row>
    <row r="50" spans="1:9" ht="15" customHeight="1">
      <c r="A50" s="17" t="s">
        <v>102</v>
      </c>
      <c r="B50" s="34">
        <f t="shared" si="6"/>
        <v>0.95776799999999995</v>
      </c>
      <c r="C50" s="34">
        <f t="shared" si="7"/>
        <v>0.96933000000000002</v>
      </c>
      <c r="D50" s="28">
        <f t="shared" si="8"/>
        <v>0.39978211956629017</v>
      </c>
      <c r="E50" s="27">
        <f>Curves!Q47</f>
        <v>0.95458892283297658</v>
      </c>
      <c r="F50" s="27">
        <f>Curves!Q48</f>
        <v>0.9520918644379549</v>
      </c>
      <c r="G50" s="27">
        <f>Curves!Q49</f>
        <v>0.96495558406697302</v>
      </c>
      <c r="H50" s="34">
        <f t="shared" si="9"/>
        <v>0.96064499999999997</v>
      </c>
      <c r="I50" s="41">
        <f t="shared" si="10"/>
        <v>9572121.2377930153</v>
      </c>
    </row>
    <row r="51" spans="1:9" ht="15" customHeight="1">
      <c r="A51" s="17" t="s">
        <v>103</v>
      </c>
      <c r="B51" s="34">
        <f t="shared" si="6"/>
        <v>0.95776799999999995</v>
      </c>
      <c r="C51" s="34">
        <f t="shared" si="7"/>
        <v>0.96933000000000002</v>
      </c>
      <c r="D51" s="28">
        <f t="shared" si="8"/>
        <v>0.39978211956629017</v>
      </c>
      <c r="E51" s="27">
        <f>Curves!Q55</f>
        <v>0.95400895749566372</v>
      </c>
      <c r="F51" s="27">
        <f>Curves!Q56</f>
        <v>0.9536127078356571</v>
      </c>
      <c r="G51" s="27">
        <f>Curves!Q57</f>
        <v>0.96122366348805488</v>
      </c>
      <c r="H51" s="34">
        <f t="shared" si="9"/>
        <v>0.96064499999999997</v>
      </c>
      <c r="I51" s="41">
        <f t="shared" si="10"/>
        <v>9562817.7627312522</v>
      </c>
    </row>
    <row r="52" spans="1:9" ht="15" customHeight="1">
      <c r="A52" s="17" t="s">
        <v>104</v>
      </c>
      <c r="B52" s="34">
        <f t="shared" si="6"/>
        <v>0.95776799999999995</v>
      </c>
      <c r="C52" s="34">
        <f t="shared" si="7"/>
        <v>0.96933000000000002</v>
      </c>
      <c r="D52" s="28">
        <f t="shared" si="8"/>
        <v>0.39978211956629017</v>
      </c>
      <c r="E52" s="27">
        <f>Curves!Q63</f>
        <v>0.95320762385314017</v>
      </c>
      <c r="F52" s="27">
        <f>Curves!Q64</f>
        <v>0.94623447980964559</v>
      </c>
      <c r="G52" s="27">
        <f>Curves!Q65</f>
        <v>0.96033670077021449</v>
      </c>
      <c r="H52" s="34">
        <f t="shared" si="9"/>
        <v>0.96064499999999997</v>
      </c>
      <c r="I52" s="41">
        <f t="shared" si="10"/>
        <v>9532596.0147766676</v>
      </c>
    </row>
    <row r="53" spans="1:9" ht="15" customHeight="1">
      <c r="A53" s="17" t="s">
        <v>105</v>
      </c>
      <c r="B53" s="34">
        <f t="shared" si="6"/>
        <v>0.95776799999999995</v>
      </c>
      <c r="C53" s="34">
        <f t="shared" si="7"/>
        <v>0.96933000000000002</v>
      </c>
      <c r="D53" s="28">
        <f t="shared" si="8"/>
        <v>0.39978211956629017</v>
      </c>
      <c r="E53" s="27">
        <f>Curves!Q71</f>
        <v>0.95639570608579993</v>
      </c>
      <c r="F53" s="27">
        <f>Curves!Q72</f>
        <v>0.94534425538944911</v>
      </c>
      <c r="G53" s="27">
        <f>Curves!Q73</f>
        <v>0.96004350658501603</v>
      </c>
      <c r="H53" s="34">
        <f t="shared" si="9"/>
        <v>0.96064499999999997</v>
      </c>
      <c r="I53" s="41">
        <f t="shared" si="10"/>
        <v>9539278.226867551</v>
      </c>
    </row>
    <row r="54" spans="1:9" ht="15" customHeight="1">
      <c r="A54" s="17" t="s">
        <v>106</v>
      </c>
      <c r="B54" s="34">
        <f t="shared" si="6"/>
        <v>0.95776799999999995</v>
      </c>
      <c r="C54" s="34">
        <f t="shared" si="7"/>
        <v>0.96933000000000002</v>
      </c>
      <c r="D54" s="28">
        <f t="shared" si="8"/>
        <v>0.39978211956629017</v>
      </c>
      <c r="E54" s="27">
        <f>Curves!Q79</f>
        <v>0.95213789656946579</v>
      </c>
      <c r="F54" s="27">
        <f>Curves!Q80</f>
        <v>0.9444820885238937</v>
      </c>
      <c r="G54" s="27">
        <f>Curves!Q81</f>
        <v>0.95861205091835933</v>
      </c>
      <c r="H54" s="34">
        <f t="shared" si="9"/>
        <v>0.96064499999999997</v>
      </c>
      <c r="I54" s="41">
        <f t="shared" si="10"/>
        <v>9517440.1200390644</v>
      </c>
    </row>
    <row r="55" spans="1:9" ht="15" customHeight="1">
      <c r="A55" s="17" t="s">
        <v>107</v>
      </c>
      <c r="B55" s="34">
        <f t="shared" si="6"/>
        <v>0.95776799999999995</v>
      </c>
      <c r="C55" s="34">
        <f t="shared" si="7"/>
        <v>0.96933000000000002</v>
      </c>
      <c r="D55" s="28">
        <f t="shared" si="8"/>
        <v>0.39978211956629017</v>
      </c>
      <c r="E55" s="27">
        <f>Curves!Q87</f>
        <v>0.95164490471319885</v>
      </c>
      <c r="F55" s="27">
        <f>Curves!Q88</f>
        <v>0.95011546948932746</v>
      </c>
      <c r="G55" s="27">
        <f>Curves!Q89</f>
        <v>0.95780837598502511</v>
      </c>
      <c r="H55" s="34">
        <f t="shared" si="9"/>
        <v>0.96064499999999997</v>
      </c>
      <c r="I55" s="41">
        <f t="shared" si="10"/>
        <v>9531895.8339585047</v>
      </c>
    </row>
    <row r="56" spans="1:9" ht="15" customHeight="1">
      <c r="A56" s="17" t="s">
        <v>108</v>
      </c>
      <c r="B56" s="34">
        <f t="shared" si="6"/>
        <v>0.95776799999999995</v>
      </c>
      <c r="C56" s="34">
        <f t="shared" si="7"/>
        <v>0.96933000000000002</v>
      </c>
      <c r="D56" s="28">
        <f t="shared" si="8"/>
        <v>0.39978211956629017</v>
      </c>
      <c r="E56" s="27">
        <f>Curves!Q95</f>
        <v>0.95082457210343307</v>
      </c>
      <c r="F56" s="27">
        <f>Curves!Q96</f>
        <v>0.94234686904763121</v>
      </c>
      <c r="G56" s="27">
        <f>Curves!Q97</f>
        <v>0.9570569639241342</v>
      </c>
      <c r="H56" s="34">
        <f t="shared" si="9"/>
        <v>0.96064499999999997</v>
      </c>
      <c r="I56" s="41">
        <f t="shared" si="10"/>
        <v>9500761.3502506632</v>
      </c>
    </row>
    <row r="57" spans="1:9" ht="15" customHeight="1">
      <c r="A57" s="17" t="s">
        <v>109</v>
      </c>
      <c r="B57" s="34">
        <f t="shared" si="6"/>
        <v>0.95776799999999995</v>
      </c>
      <c r="C57" s="34">
        <f t="shared" si="7"/>
        <v>0.96933000000000002</v>
      </c>
      <c r="D57" s="28">
        <f t="shared" si="8"/>
        <v>0.39978211956629017</v>
      </c>
      <c r="E57" s="27">
        <f>Curves!Q103</f>
        <v>0.95006941890563312</v>
      </c>
      <c r="F57" s="27">
        <f>Curves!Q104</f>
        <v>0.94108518751281534</v>
      </c>
      <c r="G57" s="27">
        <f>Curves!Q105</f>
        <v>0.95616810338263591</v>
      </c>
      <c r="H57" s="34">
        <f t="shared" si="9"/>
        <v>0.96064499999999997</v>
      </c>
      <c r="I57" s="41">
        <f t="shared" si="10"/>
        <v>9491075.6993369497</v>
      </c>
    </row>
    <row r="58" spans="1:9" ht="15" customHeight="1">
      <c r="A58" s="17" t="s">
        <v>110</v>
      </c>
      <c r="B58" s="34">
        <f t="shared" si="6"/>
        <v>0.95776799999999995</v>
      </c>
      <c r="C58" s="34">
        <f t="shared" si="7"/>
        <v>0.96933000000000002</v>
      </c>
      <c r="D58" s="28">
        <f t="shared" si="8"/>
        <v>0.39978211956629017</v>
      </c>
      <c r="E58" s="27">
        <f>Curves!Q111</f>
        <v>0.95723779694481859</v>
      </c>
      <c r="F58" s="27">
        <f>Curves!Q112</f>
        <v>0.9482563191398401</v>
      </c>
      <c r="G58" s="27">
        <f>Curves!Q113</f>
        <v>0.96603972318670239</v>
      </c>
      <c r="H58" s="34">
        <f t="shared" si="9"/>
        <v>0.96064499999999997</v>
      </c>
      <c r="I58" s="41">
        <f t="shared" si="10"/>
        <v>9571779.4642378706</v>
      </c>
    </row>
    <row r="61" spans="1:9" ht="15" customHeight="1">
      <c r="A61" s="1" t="s">
        <v>165</v>
      </c>
      <c r="B61" s="1"/>
      <c r="C61" s="1"/>
      <c r="D61" s="1"/>
      <c r="E61" s="1"/>
      <c r="F61" s="1"/>
      <c r="G61" s="1"/>
      <c r="H61" s="1"/>
      <c r="I61" s="1"/>
    </row>
    <row r="62" spans="1:9" ht="26.25" customHeight="1">
      <c r="A62" s="25" t="s">
        <v>153</v>
      </c>
      <c r="B62" s="25" t="s">
        <v>154</v>
      </c>
      <c r="C62" s="25" t="s">
        <v>155</v>
      </c>
      <c r="D62" s="25" t="s">
        <v>156</v>
      </c>
      <c r="E62" s="25" t="s">
        <v>157</v>
      </c>
      <c r="F62" s="25" t="s">
        <v>158</v>
      </c>
      <c r="G62" s="25" t="s">
        <v>159</v>
      </c>
      <c r="H62" s="25" t="s">
        <v>160</v>
      </c>
      <c r="I62" s="25" t="s">
        <v>161</v>
      </c>
    </row>
    <row r="63" spans="1:9" ht="15" customHeight="1">
      <c r="A63" s="12" t="s">
        <v>162</v>
      </c>
      <c r="B63" s="34">
        <f t="shared" ref="B63:B73" si="11">$B$7</f>
        <v>0.95776799999999995</v>
      </c>
      <c r="C63" s="34">
        <f t="shared" ref="C63:C73" si="12">$B$8</f>
        <v>0.96933000000000002</v>
      </c>
      <c r="D63" s="34">
        <f t="shared" ref="D63:D73" si="13">$B$13</f>
        <v>0.39978211956629017</v>
      </c>
      <c r="E63" s="34">
        <f t="shared" ref="E63:E73" si="14">$B$9</f>
        <v>0.95872599999999997</v>
      </c>
      <c r="F63" s="34">
        <f t="shared" ref="F63:F73" si="15">$B$10</f>
        <v>0.95489900000000005</v>
      </c>
      <c r="G63" s="34">
        <f t="shared" ref="G63:G73" si="16">$B$11</f>
        <v>0.96739299999999995</v>
      </c>
      <c r="H63" s="34">
        <f>$B$12</f>
        <v>0.96064499999999997</v>
      </c>
      <c r="I63" s="41">
        <f t="shared" ref="I63:I73" si="17">$B$4*B63*(C63/$B$8)*(1+0.5*(D63-$B$13))*(AVERAGE(E63,F63,G63)/B63)*(H63/$B$12)</f>
        <v>9603393.333333334</v>
      </c>
    </row>
    <row r="64" spans="1:9" ht="15" customHeight="1">
      <c r="A64" s="17" t="s">
        <v>101</v>
      </c>
      <c r="B64" s="34">
        <f t="shared" si="11"/>
        <v>0.95776799999999995</v>
      </c>
      <c r="C64" s="34">
        <f t="shared" si="12"/>
        <v>0.96933000000000002</v>
      </c>
      <c r="D64" s="28">
        <f t="shared" si="13"/>
        <v>0.39978211956629017</v>
      </c>
      <c r="E64" s="34">
        <f t="shared" si="14"/>
        <v>0.95872599999999997</v>
      </c>
      <c r="F64" s="34">
        <f t="shared" si="15"/>
        <v>0.95489900000000005</v>
      </c>
      <c r="G64" s="34">
        <f t="shared" si="16"/>
        <v>0.96739299999999995</v>
      </c>
      <c r="H64" s="27">
        <f>Curves!Q42</f>
        <v>0.95855048960922939</v>
      </c>
      <c r="I64" s="41">
        <f t="shared" si="17"/>
        <v>9582454.8939271811</v>
      </c>
    </row>
    <row r="65" spans="1:9" ht="15" customHeight="1">
      <c r="A65" s="17" t="s">
        <v>102</v>
      </c>
      <c r="B65" s="34">
        <f t="shared" si="11"/>
        <v>0.95776799999999995</v>
      </c>
      <c r="C65" s="34">
        <f t="shared" si="12"/>
        <v>0.96933000000000002</v>
      </c>
      <c r="D65" s="28">
        <f t="shared" si="13"/>
        <v>0.39978211956629017</v>
      </c>
      <c r="E65" s="34">
        <f t="shared" si="14"/>
        <v>0.95872599999999997</v>
      </c>
      <c r="F65" s="34">
        <f t="shared" si="15"/>
        <v>0.95489900000000005</v>
      </c>
      <c r="G65" s="34">
        <f t="shared" si="16"/>
        <v>0.96739299999999995</v>
      </c>
      <c r="H65" s="27">
        <f>Curves!Q50</f>
        <v>0.95783611746544361</v>
      </c>
      <c r="I65" s="41">
        <f t="shared" si="17"/>
        <v>9575313.4455428645</v>
      </c>
    </row>
    <row r="66" spans="1:9" ht="15" customHeight="1">
      <c r="A66" s="17" t="s">
        <v>103</v>
      </c>
      <c r="B66" s="34">
        <f t="shared" si="11"/>
        <v>0.95776799999999995</v>
      </c>
      <c r="C66" s="34">
        <f t="shared" si="12"/>
        <v>0.96933000000000002</v>
      </c>
      <c r="D66" s="28">
        <f t="shared" si="13"/>
        <v>0.39978211956629017</v>
      </c>
      <c r="E66" s="34">
        <f t="shared" si="14"/>
        <v>0.95872599999999997</v>
      </c>
      <c r="F66" s="34">
        <f t="shared" si="15"/>
        <v>0.95489900000000005</v>
      </c>
      <c r="G66" s="34">
        <f t="shared" si="16"/>
        <v>0.96739299999999995</v>
      </c>
      <c r="H66" s="27">
        <f>Curves!Q58</f>
        <v>0.95758460198964945</v>
      </c>
      <c r="I66" s="41">
        <f t="shared" si="17"/>
        <v>9572799.0910794865</v>
      </c>
    </row>
    <row r="67" spans="1:9" ht="15" customHeight="1">
      <c r="A67" s="17" t="s">
        <v>104</v>
      </c>
      <c r="B67" s="34">
        <f t="shared" si="11"/>
        <v>0.95776799999999995</v>
      </c>
      <c r="C67" s="34">
        <f t="shared" si="12"/>
        <v>0.96933000000000002</v>
      </c>
      <c r="D67" s="28">
        <f t="shared" si="13"/>
        <v>0.39978211956629017</v>
      </c>
      <c r="E67" s="34">
        <f t="shared" si="14"/>
        <v>0.95872599999999997</v>
      </c>
      <c r="F67" s="34">
        <f t="shared" si="15"/>
        <v>0.95489900000000005</v>
      </c>
      <c r="G67" s="34">
        <f t="shared" si="16"/>
        <v>0.96739299999999995</v>
      </c>
      <c r="H67" s="27">
        <f>Curves!Q66</f>
        <v>0.96226355985512491</v>
      </c>
      <c r="I67" s="41">
        <f t="shared" si="17"/>
        <v>9619573.7818052545</v>
      </c>
    </row>
    <row r="68" spans="1:9" ht="15" customHeight="1">
      <c r="A68" s="17" t="s">
        <v>105</v>
      </c>
      <c r="B68" s="34">
        <f t="shared" si="11"/>
        <v>0.95776799999999995</v>
      </c>
      <c r="C68" s="34">
        <f t="shared" si="12"/>
        <v>0.96933000000000002</v>
      </c>
      <c r="D68" s="28">
        <f t="shared" si="13"/>
        <v>0.39978211956629017</v>
      </c>
      <c r="E68" s="34">
        <f t="shared" si="14"/>
        <v>0.95872599999999997</v>
      </c>
      <c r="F68" s="34">
        <f t="shared" si="15"/>
        <v>0.95489900000000005</v>
      </c>
      <c r="G68" s="34">
        <f t="shared" si="16"/>
        <v>0.96739299999999995</v>
      </c>
      <c r="H68" s="27">
        <f>Curves!Q74</f>
        <v>0.95680488523976404</v>
      </c>
      <c r="I68" s="41">
        <f t="shared" si="17"/>
        <v>9565004.4045535196</v>
      </c>
    </row>
    <row r="69" spans="1:9" ht="15" customHeight="1">
      <c r="A69" s="17" t="s">
        <v>106</v>
      </c>
      <c r="B69" s="34">
        <f t="shared" si="11"/>
        <v>0.95776799999999995</v>
      </c>
      <c r="C69" s="34">
        <f t="shared" si="12"/>
        <v>0.96933000000000002</v>
      </c>
      <c r="D69" s="28">
        <f t="shared" si="13"/>
        <v>0.39978211956629017</v>
      </c>
      <c r="E69" s="34">
        <f t="shared" si="14"/>
        <v>0.95872599999999997</v>
      </c>
      <c r="F69" s="34">
        <f t="shared" si="15"/>
        <v>0.95489900000000005</v>
      </c>
      <c r="G69" s="34">
        <f t="shared" si="16"/>
        <v>0.96739299999999995</v>
      </c>
      <c r="H69" s="27">
        <f>Curves!Q82</f>
        <v>0.95873693486627742</v>
      </c>
      <c r="I69" s="41">
        <f t="shared" si="17"/>
        <v>9584318.7532493733</v>
      </c>
    </row>
    <row r="70" spans="1:9" ht="15" customHeight="1">
      <c r="A70" s="17" t="s">
        <v>107</v>
      </c>
      <c r="B70" s="34">
        <f t="shared" si="11"/>
        <v>0.95776799999999995</v>
      </c>
      <c r="C70" s="34">
        <f t="shared" si="12"/>
        <v>0.96933000000000002</v>
      </c>
      <c r="D70" s="28">
        <f t="shared" si="13"/>
        <v>0.39978211956629017</v>
      </c>
      <c r="E70" s="34">
        <f t="shared" si="14"/>
        <v>0.95872599999999997</v>
      </c>
      <c r="F70" s="34">
        <f t="shared" si="15"/>
        <v>0.95489900000000005</v>
      </c>
      <c r="G70" s="34">
        <f t="shared" si="16"/>
        <v>0.96739299999999995</v>
      </c>
      <c r="H70" s="27">
        <f>Curves!Q90</f>
        <v>0.95626062825732783</v>
      </c>
      <c r="I70" s="41">
        <f t="shared" si="17"/>
        <v>9559563.566494979</v>
      </c>
    </row>
    <row r="71" spans="1:9" ht="15" customHeight="1">
      <c r="A71" s="17" t="s">
        <v>108</v>
      </c>
      <c r="B71" s="34">
        <f t="shared" si="11"/>
        <v>0.95776799999999995</v>
      </c>
      <c r="C71" s="34">
        <f t="shared" si="12"/>
        <v>0.96933000000000002</v>
      </c>
      <c r="D71" s="28">
        <f t="shared" si="13"/>
        <v>0.39978211956629017</v>
      </c>
      <c r="E71" s="34">
        <f t="shared" si="14"/>
        <v>0.95872599999999997</v>
      </c>
      <c r="F71" s="34">
        <f t="shared" si="15"/>
        <v>0.95489900000000005</v>
      </c>
      <c r="G71" s="34">
        <f t="shared" si="16"/>
        <v>0.96739299999999995</v>
      </c>
      <c r="H71" s="27">
        <f>Curves!Q98</f>
        <v>0.96022971266562596</v>
      </c>
      <c r="I71" s="41">
        <f t="shared" si="17"/>
        <v>9599241.7813881878</v>
      </c>
    </row>
    <row r="72" spans="1:9" ht="15" customHeight="1">
      <c r="A72" s="17" t="s">
        <v>109</v>
      </c>
      <c r="B72" s="34">
        <f t="shared" si="11"/>
        <v>0.95776799999999995</v>
      </c>
      <c r="C72" s="34">
        <f t="shared" si="12"/>
        <v>0.96933000000000002</v>
      </c>
      <c r="D72" s="28">
        <f t="shared" si="13"/>
        <v>0.39978211956629017</v>
      </c>
      <c r="E72" s="34">
        <f t="shared" si="14"/>
        <v>0.95872599999999997</v>
      </c>
      <c r="F72" s="34">
        <f t="shared" si="15"/>
        <v>0.95489900000000005</v>
      </c>
      <c r="G72" s="34">
        <f t="shared" si="16"/>
        <v>0.96739299999999995</v>
      </c>
      <c r="H72" s="27">
        <f>Curves!Q106</f>
        <v>0.9555911486309453</v>
      </c>
      <c r="I72" s="41">
        <f t="shared" si="17"/>
        <v>9552870.9004416447</v>
      </c>
    </row>
    <row r="73" spans="1:9" ht="15" customHeight="1">
      <c r="A73" s="17" t="s">
        <v>110</v>
      </c>
      <c r="B73" s="34">
        <f t="shared" si="11"/>
        <v>0.95776799999999995</v>
      </c>
      <c r="C73" s="34">
        <f t="shared" si="12"/>
        <v>0.96933000000000002</v>
      </c>
      <c r="D73" s="28">
        <f t="shared" si="13"/>
        <v>0.39978211956629017</v>
      </c>
      <c r="E73" s="34">
        <f t="shared" si="14"/>
        <v>0.95872599999999997</v>
      </c>
      <c r="F73" s="34">
        <f t="shared" si="15"/>
        <v>0.95489900000000005</v>
      </c>
      <c r="G73" s="34">
        <f t="shared" si="16"/>
        <v>0.96739299999999995</v>
      </c>
      <c r="H73" s="27">
        <f>Curves!Q114</f>
        <v>0.95521334474714148</v>
      </c>
      <c r="I73" s="41">
        <f t="shared" si="17"/>
        <v>9549094.0637339856</v>
      </c>
    </row>
  </sheetData>
  <mergeCells count="6">
    <mergeCell ref="A61:I61"/>
    <mergeCell ref="A1:I1"/>
    <mergeCell ref="A2:I2"/>
    <mergeCell ref="A16:I16"/>
    <mergeCell ref="A31:I31"/>
    <mergeCell ref="A46:I4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topLeftCell="A13" zoomScaleNormal="100" workbookViewId="0">
      <selection activeCell="B42" sqref="B42"/>
    </sheetView>
  </sheetViews>
  <sheetFormatPr defaultColWidth="8.7109375" defaultRowHeight="15"/>
  <cols>
    <col min="1" max="1" width="14" customWidth="1"/>
    <col min="2" max="5" width="16" customWidth="1"/>
    <col min="6" max="6" width="18" customWidth="1"/>
    <col min="7" max="7" width="22" customWidth="1"/>
  </cols>
  <sheetData>
    <row r="1" spans="1:7" ht="17.25" customHeight="1">
      <c r="A1" s="5" t="s">
        <v>166</v>
      </c>
      <c r="B1" s="5"/>
      <c r="C1" s="5"/>
      <c r="D1" s="5"/>
      <c r="E1" s="5"/>
    </row>
    <row r="2" spans="1:7" ht="27.75" customHeight="1">
      <c r="A2" s="8" t="s">
        <v>167</v>
      </c>
      <c r="B2" s="8"/>
      <c r="C2" s="8"/>
      <c r="D2" s="8"/>
      <c r="E2" s="8"/>
    </row>
    <row r="4" spans="1:7" ht="26.25" customHeight="1">
      <c r="A4" s="20" t="s">
        <v>125</v>
      </c>
      <c r="B4" s="25" t="s">
        <v>168</v>
      </c>
      <c r="C4" s="25" t="s">
        <v>169</v>
      </c>
      <c r="D4" s="25" t="s">
        <v>170</v>
      </c>
      <c r="E4" s="25" t="s">
        <v>171</v>
      </c>
      <c r="F4" s="25" t="s">
        <v>172</v>
      </c>
      <c r="G4" s="25" t="s">
        <v>173</v>
      </c>
    </row>
    <row r="5" spans="1:7" ht="15" customHeight="1">
      <c r="A5" s="17" t="s">
        <v>101</v>
      </c>
      <c r="B5" s="43">
        <f>NPV_Engine!I19-NPV_Engine!I18</f>
        <v>-36924.58388053067</v>
      </c>
      <c r="C5" s="43">
        <f>NPV_Engine!I34-NPV_Engine!I33</f>
        <v>21890.945329306647</v>
      </c>
      <c r="D5" s="43">
        <f>NPV_Engine!I49-NPV_Engine!I48</f>
        <v>-37825.79687878117</v>
      </c>
      <c r="E5" s="43">
        <f>NPV_Engine!I64-NPV_Engine!I63</f>
        <v>-20938.439406152815</v>
      </c>
      <c r="F5" s="43">
        <f t="shared" ref="F5:F14" si="0">C5+D5+E5</f>
        <v>-36873.290955627337</v>
      </c>
      <c r="G5" s="43">
        <f t="shared" ref="G5:G14" si="1">B5-F5</f>
        <v>-51.292924903333187</v>
      </c>
    </row>
    <row r="6" spans="1:7" ht="15" customHeight="1">
      <c r="A6" s="17" t="s">
        <v>102</v>
      </c>
      <c r="B6" s="43">
        <f>NPV_Engine!I20-NPV_Engine!I18</f>
        <v>-22419.874383755028</v>
      </c>
      <c r="C6" s="43">
        <f>NPV_Engine!I35-NPV_Engine!I33</f>
        <v>37069.418433876708</v>
      </c>
      <c r="D6" s="43">
        <f>NPV_Engine!I50-NPV_Engine!I48</f>
        <v>-31272.095540318638</v>
      </c>
      <c r="E6" s="43">
        <f>NPV_Engine!I65-NPV_Engine!I63</f>
        <v>-28079.887790469453</v>
      </c>
      <c r="F6" s="43">
        <f t="shared" si="0"/>
        <v>-22282.564896911383</v>
      </c>
      <c r="G6" s="43">
        <f t="shared" si="1"/>
        <v>-137.30948684364557</v>
      </c>
    </row>
    <row r="7" spans="1:7" ht="15" customHeight="1">
      <c r="A7" s="17" t="s">
        <v>103</v>
      </c>
      <c r="B7" s="43">
        <f>NPV_Engine!I21-NPV_Engine!I18</f>
        <v>-48109.233498007059</v>
      </c>
      <c r="C7" s="43">
        <f>NPV_Engine!I36-NPV_Engine!I33</f>
        <v>23102.212034860626</v>
      </c>
      <c r="D7" s="43">
        <f>NPV_Engine!I51-NPV_Engine!I48</f>
        <v>-40575.570602081716</v>
      </c>
      <c r="E7" s="43">
        <f>NPV_Engine!I66-NPV_Engine!I63</f>
        <v>-30594.24225384742</v>
      </c>
      <c r="F7" s="43">
        <f t="shared" si="0"/>
        <v>-48067.60082106851</v>
      </c>
      <c r="G7" s="43">
        <f t="shared" si="1"/>
        <v>-41.632676938548684</v>
      </c>
    </row>
    <row r="8" spans="1:7" ht="15" customHeight="1">
      <c r="A8" s="17" t="s">
        <v>104</v>
      </c>
      <c r="B8" s="43">
        <f>NPV_Engine!I22-NPV_Engine!I18</f>
        <v>-28235.348608622327</v>
      </c>
      <c r="C8" s="43">
        <f>NPV_Engine!I37-NPV_Engine!I33</f>
        <v>26652.717241566628</v>
      </c>
      <c r="D8" s="43">
        <f>NPV_Engine!I52-NPV_Engine!I48</f>
        <v>-70797.318556666374</v>
      </c>
      <c r="E8" s="43">
        <f>NPV_Engine!I67-NPV_Engine!I63</f>
        <v>16180.448471920565</v>
      </c>
      <c r="F8" s="43">
        <f t="shared" si="0"/>
        <v>-27964.152843179181</v>
      </c>
      <c r="G8" s="43">
        <f t="shared" si="1"/>
        <v>-271.19576544314623</v>
      </c>
    </row>
    <row r="9" spans="1:7" ht="15" customHeight="1">
      <c r="A9" s="17" t="s">
        <v>105</v>
      </c>
      <c r="B9" s="43">
        <f>NPV_Engine!I23-NPV_Engine!I18</f>
        <v>-94989.218774260953</v>
      </c>
      <c r="C9" s="43">
        <f>NPV_Engine!I38-NPV_Engine!I33</f>
        <v>7336.6340360473841</v>
      </c>
      <c r="D9" s="43">
        <f>NPV_Engine!I53-NPV_Engine!I48</f>
        <v>-64115.10646578297</v>
      </c>
      <c r="E9" s="43">
        <f>NPV_Engine!I68-NPV_Engine!I63</f>
        <v>-38388.928779814392</v>
      </c>
      <c r="F9" s="43">
        <f t="shared" si="0"/>
        <v>-95167.401209549978</v>
      </c>
      <c r="G9" s="43">
        <f t="shared" si="1"/>
        <v>178.18243528902531</v>
      </c>
    </row>
    <row r="10" spans="1:7" ht="15" customHeight="1">
      <c r="A10" s="17" t="s">
        <v>106</v>
      </c>
      <c r="B10" s="43">
        <f>NPV_Engine!I24-NPV_Engine!I18</f>
        <v>-96303.013766886666</v>
      </c>
      <c r="C10" s="43">
        <f>NPV_Engine!I39-NPV_Engine!I33</f>
        <v>8648.487159345299</v>
      </c>
      <c r="D10" s="43">
        <f>NPV_Engine!I54-NPV_Engine!I48</f>
        <v>-85953.213294269517</v>
      </c>
      <c r="E10" s="43">
        <f>NPV_Engine!I69-NPV_Engine!I63</f>
        <v>-19074.580083960667</v>
      </c>
      <c r="F10" s="43">
        <f t="shared" si="0"/>
        <v>-96379.306218884885</v>
      </c>
      <c r="G10" s="43">
        <f t="shared" si="1"/>
        <v>76.292451998218894</v>
      </c>
    </row>
    <row r="11" spans="1:7" ht="15" customHeight="1">
      <c r="A11" s="17" t="s">
        <v>107</v>
      </c>
      <c r="B11" s="43">
        <f>NPV_Engine!I25-NPV_Engine!I18</f>
        <v>-83510.65602417849</v>
      </c>
      <c r="C11" s="43">
        <f>NPV_Engine!I40-NPV_Engine!I33</f>
        <v>31871.964323777705</v>
      </c>
      <c r="D11" s="43">
        <f>NPV_Engine!I55-NPV_Engine!I48</f>
        <v>-71497.499374829233</v>
      </c>
      <c r="E11" s="43">
        <f>NPV_Engine!I70-NPV_Engine!I63</f>
        <v>-43829.76683835499</v>
      </c>
      <c r="F11" s="43">
        <f t="shared" si="0"/>
        <v>-83455.301889406517</v>
      </c>
      <c r="G11" s="43">
        <f t="shared" si="1"/>
        <v>-55.354134771972895</v>
      </c>
    </row>
    <row r="12" spans="1:7" ht="15" customHeight="1">
      <c r="A12" s="17" t="s">
        <v>108</v>
      </c>
      <c r="B12" s="43">
        <f>NPV_Engine!I26-NPV_Engine!I18</f>
        <v>-7632.2409995868802</v>
      </c>
      <c r="C12" s="43">
        <f>NPV_Engine!I41-NPV_Engine!I33</f>
        <v>100220.85435563326</v>
      </c>
      <c r="D12" s="43">
        <f>NPV_Engine!I56-NPV_Engine!I48</f>
        <v>-102631.98308267072</v>
      </c>
      <c r="E12" s="43">
        <f>NPV_Engine!I71-NPV_Engine!I63</f>
        <v>-4151.5519451461732</v>
      </c>
      <c r="F12" s="43">
        <f t="shared" si="0"/>
        <v>-6562.6806721836329</v>
      </c>
      <c r="G12" s="43">
        <f t="shared" si="1"/>
        <v>-1069.5603274032474</v>
      </c>
    </row>
    <row r="13" spans="1:7" ht="15" customHeight="1">
      <c r="A13" s="17" t="s">
        <v>109</v>
      </c>
      <c r="B13" s="43">
        <f>NPV_Engine!I27-NPV_Engine!I18</f>
        <v>-137424.49660632759</v>
      </c>
      <c r="C13" s="43">
        <f>NPV_Engine!I42-NPV_Engine!I33</f>
        <v>25251.29942949675</v>
      </c>
      <c r="D13" s="43">
        <f>NPV_Engine!I57-NPV_Engine!I48</f>
        <v>-112317.63399638422</v>
      </c>
      <c r="E13" s="43">
        <f>NPV_Engine!I72-NPV_Engine!I63</f>
        <v>-50522.432891689241</v>
      </c>
      <c r="F13" s="43">
        <f t="shared" si="0"/>
        <v>-137588.76745857671</v>
      </c>
      <c r="G13" s="43">
        <f t="shared" si="1"/>
        <v>164.27085224911571</v>
      </c>
    </row>
    <row r="14" spans="1:7" ht="15" customHeight="1">
      <c r="A14" s="17" t="s">
        <v>110</v>
      </c>
      <c r="B14" s="43">
        <f>NPV_Engine!I28-NPV_Engine!I18</f>
        <v>49784.568682413548</v>
      </c>
      <c r="C14" s="43">
        <f>NPV_Engine!I43-NPV_Engine!I33</f>
        <v>136739.70205226354</v>
      </c>
      <c r="D14" s="43">
        <f>NPV_Engine!I58-NPV_Engine!I48</f>
        <v>-31613.869095463306</v>
      </c>
      <c r="E14" s="43">
        <f>NPV_Engine!I73-NPV_Engine!I63</f>
        <v>-54299.269599348307</v>
      </c>
      <c r="F14" s="43">
        <f t="shared" si="0"/>
        <v>50826.563357451931</v>
      </c>
      <c r="G14" s="43">
        <f t="shared" si="1"/>
        <v>-1041.9946750383824</v>
      </c>
    </row>
    <row r="16" spans="1:7" ht="15" customHeight="1">
      <c r="A16" s="12" t="s">
        <v>174</v>
      </c>
      <c r="B16" s="44">
        <f t="shared" ref="B16:G16" si="2">MIN(B5:B14)</f>
        <v>-137424.49660632759</v>
      </c>
      <c r="C16" s="44">
        <f t="shared" si="2"/>
        <v>7336.6340360473841</v>
      </c>
      <c r="D16" s="44">
        <f t="shared" si="2"/>
        <v>-112317.63399638422</v>
      </c>
      <c r="E16" s="44">
        <f t="shared" si="2"/>
        <v>-54299.269599348307</v>
      </c>
      <c r="F16" s="45">
        <f t="shared" si="2"/>
        <v>-137588.76745857671</v>
      </c>
      <c r="G16" s="45">
        <f t="shared" si="2"/>
        <v>-1069.5603274032474</v>
      </c>
    </row>
    <row r="17" spans="1:7" ht="15" customHeight="1">
      <c r="A17" s="12" t="s">
        <v>175</v>
      </c>
      <c r="B17" s="44">
        <f t="shared" ref="B17:G17" si="3">MAX(B5:B14)</f>
        <v>49784.568682413548</v>
      </c>
      <c r="C17" s="44">
        <f t="shared" si="3"/>
        <v>136739.70205226354</v>
      </c>
      <c r="D17" s="44">
        <f t="shared" si="3"/>
        <v>-31272.095540318638</v>
      </c>
      <c r="E17" s="44">
        <f t="shared" si="3"/>
        <v>16180.448471920565</v>
      </c>
      <c r="F17" s="45">
        <f t="shared" si="3"/>
        <v>50826.563357451931</v>
      </c>
      <c r="G17" s="45">
        <f t="shared" si="3"/>
        <v>178.18243528902531</v>
      </c>
    </row>
    <row r="18" spans="1:7" ht="15" customHeight="1">
      <c r="A18" s="46" t="s">
        <v>176</v>
      </c>
      <c r="B18" s="47">
        <f>SUMPRODUCT(SMALL($B$5:$B$14,{1,2,3,4,5,6}))/6</f>
        <v>-82876.867091698572</v>
      </c>
      <c r="C18" s="47">
        <f>SUMPRODUCT(SMALL($C$5:$C$14,{1,2,3,4,5,6}))/6</f>
        <v>18813.715871770557</v>
      </c>
      <c r="D18" s="47">
        <f>SUMPRODUCT(SMALL($D$5:$D$14,{1,2,3,4,5,6}))/6</f>
        <v>-84552.12579510051</v>
      </c>
      <c r="E18" s="47">
        <f>SUMPRODUCT(SMALL($E$5:$E$14,{1,2,3,4,5,6}))/6</f>
        <v>-40952.421358920634</v>
      </c>
      <c r="F18" s="45">
        <f>SUMPRODUCT(SMALL($F$5:$F$14,{1,2,3,4,5,6}))/6</f>
        <v>-82921.944758852318</v>
      </c>
      <c r="G18" s="45">
        <f>SUMPRODUCT(SMALL($G$5:$G$14,{1,2,3,4,5,6}))/6</f>
        <v>-437.78455240062129</v>
      </c>
    </row>
    <row r="20" spans="1:7" ht="39.75" customHeight="1">
      <c r="A20" s="8" t="s">
        <v>177</v>
      </c>
      <c r="B20" s="8"/>
      <c r="C20" s="8"/>
      <c r="D20" s="8"/>
      <c r="E20" s="8"/>
      <c r="F20" s="8"/>
      <c r="G20" s="8"/>
    </row>
  </sheetData>
  <mergeCells count="3">
    <mergeCell ref="A1:E1"/>
    <mergeCell ref="A2:E2"/>
    <mergeCell ref="A20:G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Formula</vt:lpstr>
      <vt:lpstr>Trade_Info</vt:lpstr>
      <vt:lpstr>Curves</vt:lpstr>
      <vt:lpstr>SABR</vt:lpstr>
      <vt:lpstr>NPV_Engine</vt:lpstr>
      <vt:lpstr>PnL_Summary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CHOUKRI ABDELILAH</cp:lastModifiedBy>
  <cp:revision>10</cp:revision>
  <dcterms:created xsi:type="dcterms:W3CDTF">2026-08-04T11:28:17Z</dcterms:created>
  <dcterms:modified xsi:type="dcterms:W3CDTF">2026-08-05T11:40:37Z</dcterms:modified>
  <dc:language>en-US</dc:language>
</cp:coreProperties>
</file>